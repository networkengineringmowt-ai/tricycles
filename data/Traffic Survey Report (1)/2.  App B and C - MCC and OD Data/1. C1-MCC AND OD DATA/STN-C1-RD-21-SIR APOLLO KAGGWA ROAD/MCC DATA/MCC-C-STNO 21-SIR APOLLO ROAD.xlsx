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3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drawings/drawing4.xml" ContentType="application/vnd.openxmlformats-officedocument.drawing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drawings/drawing5.xml" ContentType="application/vnd.openxmlformats-officedocument.drawing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drawings/drawing6.xml" ContentType="application/vnd.openxmlformats-officedocument.drawing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drawings/drawing7.xml" ContentType="application/vnd.openxmlformats-officedocument.drawing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drawings/drawing8.xml" ContentType="application/vnd.openxmlformats-officedocument.drawing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drawings/drawing9.xml" ContentType="application/vnd.openxmlformats-officedocument.drawing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drawings/drawing10.xml" ContentType="application/vnd.openxmlformats-officedocument.drawing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drawings/drawing11.xml" ContentType="application/vnd.openxmlformats-officedocument.drawing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drawings/drawing12.xml" ContentType="application/vnd.openxmlformats-officedocument.drawing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drawings/drawing13.xml" ContentType="application/vnd.openxmlformats-officedocument.drawing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drawings/drawing14.xml" ContentType="application/vnd.openxmlformats-officedocument.drawing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xl/drawings/drawing15.xml" ContentType="application/vnd.openxmlformats-officedocument.drawing+xml"/>
  <Override PartName="/xl/charts/chart51.xml" ContentType="application/vnd.openxmlformats-officedocument.drawingml.chart+xml"/>
  <Override PartName="/xl/charts/chart52.xml" ContentType="application/vnd.openxmlformats-officedocument.drawingml.chart+xml"/>
  <Override PartName="/xl/charts/chart53.xml" ContentType="application/vnd.openxmlformats-officedocument.drawingml.chart+xml"/>
  <Override PartName="/xl/drawings/drawing16.xml" ContentType="application/vnd.openxmlformats-officedocument.drawing+xml"/>
  <Override PartName="/xl/charts/chart54.xml" ContentType="application/vnd.openxmlformats-officedocument.drawingml.chart+xml"/>
  <Override PartName="/xl/charts/chart55.xml" ContentType="application/vnd.openxmlformats-officedocument.drawingml.chart+xml"/>
  <Override PartName="/xl/charts/chart56.xml" ContentType="application/vnd.openxmlformats-officedocument.drawingml.chart+xml"/>
  <Override PartName="/xl/drawings/drawing17.xml" ContentType="application/vnd.openxmlformats-officedocument.drawing+xml"/>
  <Override PartName="/xl/charts/chart57.xml" ContentType="application/vnd.openxmlformats-officedocument.drawingml.chart+xml"/>
  <Override PartName="/xl/charts/chart58.xml" ContentType="application/vnd.openxmlformats-officedocument.drawingml.chart+xml"/>
  <Override PartName="/xl/charts/chart59.xml" ContentType="application/vnd.openxmlformats-officedocument.drawingml.chart+xml"/>
  <Override PartName="/xl/charts/chart60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6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67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LLAN\Desktop\C-1 Analysis Complete\STN-C1-RD-21-SIR APOLLO KAGGWA ROAD\MCC DATA\"/>
    </mc:Choice>
  </mc:AlternateContent>
  <bookViews>
    <workbookView xWindow="-120" yWindow="-120" windowWidth="20730" windowHeight="11160" tabRatio="940" firstSheet="12" activeTab="16"/>
  </bookViews>
  <sheets>
    <sheet name="22.07 Bwaise-Makerere" sheetId="93" r:id="rId1"/>
    <sheet name="22.07 MAKERERE-BWAISE" sheetId="94" r:id="rId2"/>
    <sheet name="23.07 BWAISE-MAKERERE" sheetId="95" r:id="rId3"/>
    <sheet name="23.07 Makerere-Bwaise" sheetId="96" r:id="rId4"/>
    <sheet name="24.07 Bwaise-Makerere" sheetId="97" r:id="rId5"/>
    <sheet name="24.07 Makerere-Bwaise" sheetId="98" r:id="rId6"/>
    <sheet name="25.07Bwaise-Makerere" sheetId="99" r:id="rId7"/>
    <sheet name="25.07 Makerere-Bwaise" sheetId="100" r:id="rId8"/>
    <sheet name="26.07 Bwaise-Makerere-24h" sheetId="101" r:id="rId9"/>
    <sheet name="26.07 Makerere-Bwaise-24h" sheetId="109" r:id="rId10"/>
    <sheet name="27.07 Bwaise-Makerere-24h" sheetId="105" r:id="rId11"/>
    <sheet name="27.07 Makerere-Bwaise-24h" sheetId="110" r:id="rId12"/>
    <sheet name="28.07 Bwaise-Makerere" sheetId="103" r:id="rId13"/>
    <sheet name="28.07 Makerere-Bwaise" sheetId="104" r:id="rId14"/>
    <sheet name="Avg Week Bwaise-Makerere" sheetId="107" r:id="rId15"/>
    <sheet name="Avg Week Makerere-Bwaise" sheetId="108" r:id="rId16"/>
    <sheet name="Avg Week Bwaise-Makerere-2Dir" sheetId="111" r:id="rId17"/>
  </sheets>
  <definedNames>
    <definedName name="_xlnm.Print_Area" localSheetId="0">'22.07 Bwaise-Makerere'!$A$1:$AF$60</definedName>
    <definedName name="_xlnm.Print_Area" localSheetId="1">'22.07 MAKERERE-BWAISE'!$A$1:$AF$60</definedName>
    <definedName name="_xlnm.Print_Area" localSheetId="2">'23.07 BWAISE-MAKERERE'!$A$1:$AF$60</definedName>
    <definedName name="_xlnm.Print_Area" localSheetId="3">'23.07 Makerere-Bwaise'!$A$1:$AF$60</definedName>
    <definedName name="_xlnm.Print_Area" localSheetId="4">'24.07 Bwaise-Makerere'!$A$1:$AF$60</definedName>
    <definedName name="_xlnm.Print_Area" localSheetId="5">'24.07 Makerere-Bwaise'!$A$1:$AF$60</definedName>
    <definedName name="_xlnm.Print_Area" localSheetId="7">'25.07 Makerere-Bwaise'!$A$1:$AF$60</definedName>
    <definedName name="_xlnm.Print_Area" localSheetId="6">'25.07Bwaise-Makerere'!$A$1:$AF$60</definedName>
    <definedName name="_xlnm.Print_Area" localSheetId="8">'26.07 Bwaise-Makerere-24h'!$A$1:$AF$108</definedName>
    <definedName name="_xlnm.Print_Area" localSheetId="9">'26.07 Makerere-Bwaise-24h'!$A$1:$AF$108</definedName>
    <definedName name="_xlnm.Print_Area" localSheetId="10">'27.07 Bwaise-Makerere-24h'!$A$1:$AF$108</definedName>
    <definedName name="_xlnm.Print_Area" localSheetId="11">'27.07 Makerere-Bwaise-24h'!$A$1:$AF$108</definedName>
    <definedName name="_xlnm.Print_Area" localSheetId="12">'28.07 Bwaise-Makerere'!$A$1:$AF$60</definedName>
    <definedName name="_xlnm.Print_Area" localSheetId="13">'28.07 Makerere-Bwaise'!$A$1:$AF$60</definedName>
    <definedName name="_xlnm.Print_Area" localSheetId="14">'Avg Week Bwaise-Makerere'!$A$1:$AF$108</definedName>
    <definedName name="_xlnm.Print_Area" localSheetId="16">'Avg Week Bwaise-Makerere-2Dir'!$A$1:$AF$108</definedName>
    <definedName name="_xlnm.Print_Area" localSheetId="15">'Avg Week Makerere-Bwaise'!$A$1:$AF$108</definedName>
    <definedName name="_xlnm.Print_Titles" localSheetId="0">'22.07 Bwaise-Makerere'!$1:$8</definedName>
    <definedName name="_xlnm.Print_Titles" localSheetId="1">'22.07 MAKERERE-BWAISE'!$1:$8</definedName>
    <definedName name="_xlnm.Print_Titles" localSheetId="2">'23.07 BWAISE-MAKERERE'!$1:$8</definedName>
    <definedName name="_xlnm.Print_Titles" localSheetId="3">'23.07 Makerere-Bwaise'!$1:$8</definedName>
    <definedName name="_xlnm.Print_Titles" localSheetId="4">'24.07 Bwaise-Makerere'!$1:$8</definedName>
    <definedName name="_xlnm.Print_Titles" localSheetId="5">'24.07 Makerere-Bwaise'!$1:$8</definedName>
    <definedName name="_xlnm.Print_Titles" localSheetId="7">'25.07 Makerere-Bwaise'!$1:$8</definedName>
    <definedName name="_xlnm.Print_Titles" localSheetId="6">'25.07Bwaise-Makerere'!$1:$8</definedName>
    <definedName name="_xlnm.Print_Titles" localSheetId="8">'26.07 Bwaise-Makerere-24h'!$1:$8</definedName>
    <definedName name="_xlnm.Print_Titles" localSheetId="9">'26.07 Makerere-Bwaise-24h'!$1:$8</definedName>
    <definedName name="_xlnm.Print_Titles" localSheetId="10">'27.07 Bwaise-Makerere-24h'!$1:$8</definedName>
    <definedName name="_xlnm.Print_Titles" localSheetId="11">'27.07 Makerere-Bwaise-24h'!$1:$8</definedName>
    <definedName name="_xlnm.Print_Titles" localSheetId="12">'28.07 Bwaise-Makerere'!$1:$8</definedName>
    <definedName name="_xlnm.Print_Titles" localSheetId="13">'28.07 Makerere-Bwaise'!$1:$8</definedName>
    <definedName name="_xlnm.Print_Titles" localSheetId="14">'Avg Week Bwaise-Makerere'!$1:$8</definedName>
    <definedName name="_xlnm.Print_Titles" localSheetId="16">'Avg Week Bwaise-Makerere-2Dir'!$1:$8</definedName>
    <definedName name="_xlnm.Print_Titles" localSheetId="15">'Avg Week Makerere-Bwaise'!$1:$8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11" i="111" l="1"/>
  <c r="D11" i="111"/>
  <c r="E11" i="111"/>
  <c r="F11" i="111"/>
  <c r="G11" i="111"/>
  <c r="H11" i="111"/>
  <c r="I11" i="111"/>
  <c r="J11" i="111"/>
  <c r="K11" i="111"/>
  <c r="L11" i="111"/>
  <c r="M11" i="111"/>
  <c r="N11" i="111"/>
  <c r="C12" i="111"/>
  <c r="D12" i="111"/>
  <c r="E12" i="111"/>
  <c r="F12" i="111"/>
  <c r="G12" i="111"/>
  <c r="H12" i="111"/>
  <c r="I12" i="111"/>
  <c r="J12" i="111"/>
  <c r="K12" i="111"/>
  <c r="L12" i="111"/>
  <c r="M12" i="111"/>
  <c r="N12" i="111"/>
  <c r="C13" i="111"/>
  <c r="D13" i="111"/>
  <c r="E13" i="111"/>
  <c r="F13" i="111"/>
  <c r="G13" i="111"/>
  <c r="H13" i="111"/>
  <c r="I13" i="111"/>
  <c r="J13" i="111"/>
  <c r="K13" i="111"/>
  <c r="L13" i="111"/>
  <c r="M13" i="111"/>
  <c r="N13" i="111"/>
  <c r="C14" i="111"/>
  <c r="D14" i="111"/>
  <c r="E14" i="111"/>
  <c r="F14" i="111"/>
  <c r="G14" i="111"/>
  <c r="H14" i="111"/>
  <c r="I14" i="111"/>
  <c r="J14" i="111"/>
  <c r="K14" i="111"/>
  <c r="L14" i="111"/>
  <c r="M14" i="111"/>
  <c r="N14" i="111"/>
  <c r="C15" i="111"/>
  <c r="D15" i="111"/>
  <c r="E15" i="111"/>
  <c r="F15" i="111"/>
  <c r="G15" i="111"/>
  <c r="H15" i="111"/>
  <c r="I15" i="111"/>
  <c r="J15" i="111"/>
  <c r="K15" i="111"/>
  <c r="L15" i="111"/>
  <c r="M15" i="111"/>
  <c r="N15" i="111"/>
  <c r="C16" i="111"/>
  <c r="D16" i="111"/>
  <c r="E16" i="111"/>
  <c r="F16" i="111"/>
  <c r="G16" i="111"/>
  <c r="H16" i="111"/>
  <c r="I16" i="111"/>
  <c r="J16" i="111"/>
  <c r="K16" i="111"/>
  <c r="L16" i="111"/>
  <c r="M16" i="111"/>
  <c r="N16" i="111"/>
  <c r="C17" i="111"/>
  <c r="D17" i="111"/>
  <c r="E17" i="111"/>
  <c r="F17" i="111"/>
  <c r="G17" i="111"/>
  <c r="H17" i="111"/>
  <c r="I17" i="111"/>
  <c r="J17" i="111"/>
  <c r="K17" i="111"/>
  <c r="L17" i="111"/>
  <c r="M17" i="111"/>
  <c r="N17" i="111"/>
  <c r="C18" i="111"/>
  <c r="D18" i="111"/>
  <c r="E18" i="111"/>
  <c r="F18" i="111"/>
  <c r="G18" i="111"/>
  <c r="H18" i="111"/>
  <c r="I18" i="111"/>
  <c r="J18" i="111"/>
  <c r="K18" i="111"/>
  <c r="L18" i="111"/>
  <c r="M18" i="111"/>
  <c r="N18" i="111"/>
  <c r="C19" i="111"/>
  <c r="D19" i="111"/>
  <c r="E19" i="111"/>
  <c r="F19" i="111"/>
  <c r="G19" i="111"/>
  <c r="H19" i="111"/>
  <c r="I19" i="111"/>
  <c r="J19" i="111"/>
  <c r="K19" i="111"/>
  <c r="L19" i="111"/>
  <c r="M19" i="111"/>
  <c r="N19" i="111"/>
  <c r="C20" i="111"/>
  <c r="D20" i="111"/>
  <c r="E20" i="111"/>
  <c r="F20" i="111"/>
  <c r="G20" i="111"/>
  <c r="H20" i="111"/>
  <c r="I20" i="111"/>
  <c r="J20" i="111"/>
  <c r="K20" i="111"/>
  <c r="L20" i="111"/>
  <c r="M20" i="111"/>
  <c r="N20" i="111"/>
  <c r="C21" i="111"/>
  <c r="D21" i="111"/>
  <c r="E21" i="111"/>
  <c r="F21" i="111"/>
  <c r="G21" i="111"/>
  <c r="H21" i="111"/>
  <c r="I21" i="111"/>
  <c r="J21" i="111"/>
  <c r="K21" i="111"/>
  <c r="L21" i="111"/>
  <c r="M21" i="111"/>
  <c r="N21" i="111"/>
  <c r="C22" i="111"/>
  <c r="D22" i="111"/>
  <c r="E22" i="111"/>
  <c r="F22" i="111"/>
  <c r="G22" i="111"/>
  <c r="H22" i="111"/>
  <c r="I22" i="111"/>
  <c r="J22" i="111"/>
  <c r="K22" i="111"/>
  <c r="L22" i="111"/>
  <c r="M22" i="111"/>
  <c r="N22" i="111"/>
  <c r="C23" i="111"/>
  <c r="D23" i="111"/>
  <c r="E23" i="111"/>
  <c r="F23" i="111"/>
  <c r="G23" i="111"/>
  <c r="H23" i="111"/>
  <c r="I23" i="111"/>
  <c r="J23" i="111"/>
  <c r="K23" i="111"/>
  <c r="L23" i="111"/>
  <c r="M23" i="111"/>
  <c r="N23" i="111"/>
  <c r="C24" i="111"/>
  <c r="D24" i="111"/>
  <c r="E24" i="111"/>
  <c r="F24" i="111"/>
  <c r="G24" i="111"/>
  <c r="H24" i="111"/>
  <c r="I24" i="111"/>
  <c r="J24" i="111"/>
  <c r="K24" i="111"/>
  <c r="L24" i="111"/>
  <c r="M24" i="111"/>
  <c r="N24" i="111"/>
  <c r="C25" i="111"/>
  <c r="D25" i="111"/>
  <c r="E25" i="111"/>
  <c r="F25" i="111"/>
  <c r="G25" i="111"/>
  <c r="H25" i="111"/>
  <c r="I25" i="111"/>
  <c r="J25" i="111"/>
  <c r="K25" i="111"/>
  <c r="L25" i="111"/>
  <c r="M25" i="111"/>
  <c r="N25" i="111"/>
  <c r="C26" i="111"/>
  <c r="D26" i="111"/>
  <c r="E26" i="111"/>
  <c r="F26" i="111"/>
  <c r="G26" i="111"/>
  <c r="H26" i="111"/>
  <c r="I26" i="111"/>
  <c r="J26" i="111"/>
  <c r="K26" i="111"/>
  <c r="L26" i="111"/>
  <c r="M26" i="111"/>
  <c r="N26" i="111"/>
  <c r="C27" i="111"/>
  <c r="D27" i="111"/>
  <c r="E27" i="111"/>
  <c r="F27" i="111"/>
  <c r="G27" i="111"/>
  <c r="H27" i="111"/>
  <c r="I27" i="111"/>
  <c r="J27" i="111"/>
  <c r="K27" i="111"/>
  <c r="L27" i="111"/>
  <c r="M27" i="111"/>
  <c r="N27" i="111"/>
  <c r="C28" i="111"/>
  <c r="D28" i="111"/>
  <c r="E28" i="111"/>
  <c r="F28" i="111"/>
  <c r="G28" i="111"/>
  <c r="H28" i="111"/>
  <c r="I28" i="111"/>
  <c r="J28" i="111"/>
  <c r="K28" i="111"/>
  <c r="L28" i="111"/>
  <c r="M28" i="111"/>
  <c r="N28" i="111"/>
  <c r="C29" i="111"/>
  <c r="D29" i="111"/>
  <c r="E29" i="111"/>
  <c r="F29" i="111"/>
  <c r="G29" i="111"/>
  <c r="H29" i="111"/>
  <c r="I29" i="111"/>
  <c r="J29" i="111"/>
  <c r="K29" i="111"/>
  <c r="L29" i="111"/>
  <c r="M29" i="111"/>
  <c r="N29" i="111"/>
  <c r="C30" i="111"/>
  <c r="D30" i="111"/>
  <c r="E30" i="111"/>
  <c r="F30" i="111"/>
  <c r="G30" i="111"/>
  <c r="H30" i="111"/>
  <c r="I30" i="111"/>
  <c r="J30" i="111"/>
  <c r="K30" i="111"/>
  <c r="L30" i="111"/>
  <c r="M30" i="111"/>
  <c r="N30" i="111"/>
  <c r="C31" i="111"/>
  <c r="D31" i="111"/>
  <c r="E31" i="111"/>
  <c r="F31" i="111"/>
  <c r="G31" i="111"/>
  <c r="H31" i="111"/>
  <c r="I31" i="111"/>
  <c r="J31" i="111"/>
  <c r="K31" i="111"/>
  <c r="L31" i="111"/>
  <c r="M31" i="111"/>
  <c r="N31" i="111"/>
  <c r="C32" i="111"/>
  <c r="D32" i="111"/>
  <c r="E32" i="111"/>
  <c r="F32" i="111"/>
  <c r="G32" i="111"/>
  <c r="H32" i="111"/>
  <c r="I32" i="111"/>
  <c r="J32" i="111"/>
  <c r="K32" i="111"/>
  <c r="L32" i="111"/>
  <c r="M32" i="111"/>
  <c r="N32" i="111"/>
  <c r="C33" i="111"/>
  <c r="D33" i="111"/>
  <c r="E33" i="111"/>
  <c r="F33" i="111"/>
  <c r="G33" i="111"/>
  <c r="H33" i="111"/>
  <c r="I33" i="111"/>
  <c r="J33" i="111"/>
  <c r="K33" i="111"/>
  <c r="L33" i="111"/>
  <c r="M33" i="111"/>
  <c r="N33" i="111"/>
  <c r="C34" i="111"/>
  <c r="D34" i="111"/>
  <c r="E34" i="111"/>
  <c r="F34" i="111"/>
  <c r="G34" i="111"/>
  <c r="H34" i="111"/>
  <c r="I34" i="111"/>
  <c r="J34" i="111"/>
  <c r="K34" i="111"/>
  <c r="L34" i="111"/>
  <c r="M34" i="111"/>
  <c r="N34" i="111"/>
  <c r="C35" i="111"/>
  <c r="D35" i="111"/>
  <c r="E35" i="111"/>
  <c r="F35" i="111"/>
  <c r="G35" i="111"/>
  <c r="H35" i="111"/>
  <c r="I35" i="111"/>
  <c r="J35" i="111"/>
  <c r="K35" i="111"/>
  <c r="L35" i="111"/>
  <c r="M35" i="111"/>
  <c r="N35" i="111"/>
  <c r="C36" i="111"/>
  <c r="D36" i="111"/>
  <c r="E36" i="111"/>
  <c r="F36" i="111"/>
  <c r="G36" i="111"/>
  <c r="H36" i="111"/>
  <c r="I36" i="111"/>
  <c r="J36" i="111"/>
  <c r="K36" i="111"/>
  <c r="L36" i="111"/>
  <c r="M36" i="111"/>
  <c r="N36" i="111"/>
  <c r="C37" i="111"/>
  <c r="D37" i="111"/>
  <c r="E37" i="111"/>
  <c r="F37" i="111"/>
  <c r="G37" i="111"/>
  <c r="H37" i="111"/>
  <c r="I37" i="111"/>
  <c r="J37" i="111"/>
  <c r="K37" i="111"/>
  <c r="L37" i="111"/>
  <c r="M37" i="111"/>
  <c r="N37" i="111"/>
  <c r="C38" i="111"/>
  <c r="D38" i="111"/>
  <c r="E38" i="111"/>
  <c r="F38" i="111"/>
  <c r="G38" i="111"/>
  <c r="H38" i="111"/>
  <c r="I38" i="111"/>
  <c r="J38" i="111"/>
  <c r="K38" i="111"/>
  <c r="L38" i="111"/>
  <c r="M38" i="111"/>
  <c r="N38" i="111"/>
  <c r="C39" i="111"/>
  <c r="D39" i="111"/>
  <c r="E39" i="111"/>
  <c r="F39" i="111"/>
  <c r="G39" i="111"/>
  <c r="H39" i="111"/>
  <c r="I39" i="111"/>
  <c r="J39" i="111"/>
  <c r="K39" i="111"/>
  <c r="L39" i="111"/>
  <c r="M39" i="111"/>
  <c r="N39" i="111"/>
  <c r="C40" i="111"/>
  <c r="D40" i="111"/>
  <c r="E40" i="111"/>
  <c r="F40" i="111"/>
  <c r="G40" i="111"/>
  <c r="H40" i="111"/>
  <c r="I40" i="111"/>
  <c r="J40" i="111"/>
  <c r="K40" i="111"/>
  <c r="L40" i="111"/>
  <c r="M40" i="111"/>
  <c r="N40" i="111"/>
  <c r="C41" i="111"/>
  <c r="D41" i="111"/>
  <c r="E41" i="111"/>
  <c r="F41" i="111"/>
  <c r="G41" i="111"/>
  <c r="H41" i="111"/>
  <c r="I41" i="111"/>
  <c r="J41" i="111"/>
  <c r="K41" i="111"/>
  <c r="L41" i="111"/>
  <c r="M41" i="111"/>
  <c r="N41" i="111"/>
  <c r="C42" i="111"/>
  <c r="D42" i="111"/>
  <c r="E42" i="111"/>
  <c r="F42" i="111"/>
  <c r="G42" i="111"/>
  <c r="H42" i="111"/>
  <c r="I42" i="111"/>
  <c r="J42" i="111"/>
  <c r="K42" i="111"/>
  <c r="L42" i="111"/>
  <c r="M42" i="111"/>
  <c r="N42" i="111"/>
  <c r="C43" i="111"/>
  <c r="D43" i="111"/>
  <c r="E43" i="111"/>
  <c r="F43" i="111"/>
  <c r="G43" i="111"/>
  <c r="H43" i="111"/>
  <c r="I43" i="111"/>
  <c r="J43" i="111"/>
  <c r="K43" i="111"/>
  <c r="L43" i="111"/>
  <c r="M43" i="111"/>
  <c r="N43" i="111"/>
  <c r="C44" i="111"/>
  <c r="D44" i="111"/>
  <c r="E44" i="111"/>
  <c r="F44" i="111"/>
  <c r="G44" i="111"/>
  <c r="H44" i="111"/>
  <c r="I44" i="111"/>
  <c r="J44" i="111"/>
  <c r="K44" i="111"/>
  <c r="L44" i="111"/>
  <c r="M44" i="111"/>
  <c r="N44" i="111"/>
  <c r="C45" i="111"/>
  <c r="D45" i="111"/>
  <c r="E45" i="111"/>
  <c r="F45" i="111"/>
  <c r="G45" i="111"/>
  <c r="H45" i="111"/>
  <c r="I45" i="111"/>
  <c r="J45" i="111"/>
  <c r="K45" i="111"/>
  <c r="L45" i="111"/>
  <c r="M45" i="111"/>
  <c r="N45" i="111"/>
  <c r="C46" i="111"/>
  <c r="D46" i="111"/>
  <c r="E46" i="111"/>
  <c r="F46" i="111"/>
  <c r="G46" i="111"/>
  <c r="H46" i="111"/>
  <c r="I46" i="111"/>
  <c r="J46" i="111"/>
  <c r="K46" i="111"/>
  <c r="L46" i="111"/>
  <c r="M46" i="111"/>
  <c r="N46" i="111"/>
  <c r="C47" i="111"/>
  <c r="D47" i="111"/>
  <c r="E47" i="111"/>
  <c r="F47" i="111"/>
  <c r="G47" i="111"/>
  <c r="H47" i="111"/>
  <c r="I47" i="111"/>
  <c r="J47" i="111"/>
  <c r="K47" i="111"/>
  <c r="L47" i="111"/>
  <c r="M47" i="111"/>
  <c r="N47" i="111"/>
  <c r="C48" i="111"/>
  <c r="D48" i="111"/>
  <c r="E48" i="111"/>
  <c r="F48" i="111"/>
  <c r="G48" i="111"/>
  <c r="H48" i="111"/>
  <c r="I48" i="111"/>
  <c r="J48" i="111"/>
  <c r="K48" i="111"/>
  <c r="L48" i="111"/>
  <c r="M48" i="111"/>
  <c r="N48" i="111"/>
  <c r="C49" i="111"/>
  <c r="D49" i="111"/>
  <c r="E49" i="111"/>
  <c r="F49" i="111"/>
  <c r="G49" i="111"/>
  <c r="H49" i="111"/>
  <c r="I49" i="111"/>
  <c r="J49" i="111"/>
  <c r="K49" i="111"/>
  <c r="L49" i="111"/>
  <c r="M49" i="111"/>
  <c r="N49" i="111"/>
  <c r="C50" i="111"/>
  <c r="D50" i="111"/>
  <c r="E50" i="111"/>
  <c r="F50" i="111"/>
  <c r="G50" i="111"/>
  <c r="H50" i="111"/>
  <c r="I50" i="111"/>
  <c r="J50" i="111"/>
  <c r="K50" i="111"/>
  <c r="L50" i="111"/>
  <c r="M50" i="111"/>
  <c r="N50" i="111"/>
  <c r="C51" i="111"/>
  <c r="D51" i="111"/>
  <c r="E51" i="111"/>
  <c r="F51" i="111"/>
  <c r="G51" i="111"/>
  <c r="H51" i="111"/>
  <c r="I51" i="111"/>
  <c r="J51" i="111"/>
  <c r="K51" i="111"/>
  <c r="L51" i="111"/>
  <c r="M51" i="111"/>
  <c r="N51" i="111"/>
  <c r="C52" i="111"/>
  <c r="D52" i="111"/>
  <c r="E52" i="111"/>
  <c r="F52" i="111"/>
  <c r="G52" i="111"/>
  <c r="H52" i="111"/>
  <c r="I52" i="111"/>
  <c r="J52" i="111"/>
  <c r="K52" i="111"/>
  <c r="L52" i="111"/>
  <c r="M52" i="111"/>
  <c r="N52" i="111"/>
  <c r="C53" i="111"/>
  <c r="D53" i="111"/>
  <c r="E53" i="111"/>
  <c r="F53" i="111"/>
  <c r="G53" i="111"/>
  <c r="H53" i="111"/>
  <c r="I53" i="111"/>
  <c r="J53" i="111"/>
  <c r="K53" i="111"/>
  <c r="L53" i="111"/>
  <c r="M53" i="111"/>
  <c r="N53" i="111"/>
  <c r="C54" i="111"/>
  <c r="D54" i="111"/>
  <c r="E54" i="111"/>
  <c r="F54" i="111"/>
  <c r="G54" i="111"/>
  <c r="H54" i="111"/>
  <c r="I54" i="111"/>
  <c r="J54" i="111"/>
  <c r="K54" i="111"/>
  <c r="L54" i="111"/>
  <c r="M54" i="111"/>
  <c r="N54" i="111"/>
  <c r="C55" i="111"/>
  <c r="D55" i="111"/>
  <c r="E55" i="111"/>
  <c r="F55" i="111"/>
  <c r="G55" i="111"/>
  <c r="H55" i="111"/>
  <c r="I55" i="111"/>
  <c r="J55" i="111"/>
  <c r="K55" i="111"/>
  <c r="L55" i="111"/>
  <c r="M55" i="111"/>
  <c r="N55" i="111"/>
  <c r="C56" i="111"/>
  <c r="D56" i="111"/>
  <c r="E56" i="111"/>
  <c r="F56" i="111"/>
  <c r="G56" i="111"/>
  <c r="H56" i="111"/>
  <c r="I56" i="111"/>
  <c r="J56" i="111"/>
  <c r="K56" i="111"/>
  <c r="L56" i="111"/>
  <c r="M56" i="111"/>
  <c r="N56" i="111"/>
  <c r="C57" i="111"/>
  <c r="D57" i="111"/>
  <c r="E57" i="111"/>
  <c r="F57" i="111"/>
  <c r="G57" i="111"/>
  <c r="H57" i="111"/>
  <c r="I57" i="111"/>
  <c r="J57" i="111"/>
  <c r="K57" i="111"/>
  <c r="L57" i="111"/>
  <c r="M57" i="111"/>
  <c r="N57" i="111"/>
  <c r="C58" i="111"/>
  <c r="D58" i="111"/>
  <c r="E58" i="111"/>
  <c r="F58" i="111"/>
  <c r="G58" i="111"/>
  <c r="H58" i="111"/>
  <c r="I58" i="111"/>
  <c r="J58" i="111"/>
  <c r="K58" i="111"/>
  <c r="L58" i="111"/>
  <c r="M58" i="111"/>
  <c r="N58" i="111"/>
  <c r="C59" i="111"/>
  <c r="D59" i="111"/>
  <c r="E59" i="111"/>
  <c r="F59" i="111"/>
  <c r="G59" i="111"/>
  <c r="H59" i="111"/>
  <c r="I59" i="111"/>
  <c r="J59" i="111"/>
  <c r="K59" i="111"/>
  <c r="L59" i="111"/>
  <c r="M59" i="111"/>
  <c r="N59" i="111"/>
  <c r="C60" i="111"/>
  <c r="D60" i="111"/>
  <c r="E60" i="111"/>
  <c r="F60" i="111"/>
  <c r="G60" i="111"/>
  <c r="H60" i="111"/>
  <c r="I60" i="111"/>
  <c r="J60" i="111"/>
  <c r="K60" i="111"/>
  <c r="L60" i="111"/>
  <c r="M60" i="111"/>
  <c r="N60" i="111"/>
  <c r="C61" i="111"/>
  <c r="D61" i="111"/>
  <c r="E61" i="111"/>
  <c r="F61" i="111"/>
  <c r="G61" i="111"/>
  <c r="H61" i="111"/>
  <c r="I61" i="111"/>
  <c r="J61" i="111"/>
  <c r="K61" i="111"/>
  <c r="L61" i="111"/>
  <c r="M61" i="111"/>
  <c r="N61" i="111"/>
  <c r="C62" i="111"/>
  <c r="D62" i="111"/>
  <c r="E62" i="111"/>
  <c r="F62" i="111"/>
  <c r="G62" i="111"/>
  <c r="H62" i="111"/>
  <c r="I62" i="111"/>
  <c r="J62" i="111"/>
  <c r="K62" i="111"/>
  <c r="L62" i="111"/>
  <c r="M62" i="111"/>
  <c r="N62" i="111"/>
  <c r="C63" i="111"/>
  <c r="D63" i="111"/>
  <c r="E63" i="111"/>
  <c r="F63" i="111"/>
  <c r="G63" i="111"/>
  <c r="H63" i="111"/>
  <c r="I63" i="111"/>
  <c r="J63" i="111"/>
  <c r="K63" i="111"/>
  <c r="L63" i="111"/>
  <c r="M63" i="111"/>
  <c r="N63" i="111"/>
  <c r="C64" i="111"/>
  <c r="D64" i="111"/>
  <c r="E64" i="111"/>
  <c r="F64" i="111"/>
  <c r="G64" i="111"/>
  <c r="H64" i="111"/>
  <c r="I64" i="111"/>
  <c r="J64" i="111"/>
  <c r="K64" i="111"/>
  <c r="L64" i="111"/>
  <c r="M64" i="111"/>
  <c r="N64" i="111"/>
  <c r="C65" i="111"/>
  <c r="D65" i="111"/>
  <c r="E65" i="111"/>
  <c r="F65" i="111"/>
  <c r="G65" i="111"/>
  <c r="H65" i="111"/>
  <c r="I65" i="111"/>
  <c r="J65" i="111"/>
  <c r="K65" i="111"/>
  <c r="L65" i="111"/>
  <c r="M65" i="111"/>
  <c r="N65" i="111"/>
  <c r="C66" i="111"/>
  <c r="D66" i="111"/>
  <c r="E66" i="111"/>
  <c r="F66" i="111"/>
  <c r="G66" i="111"/>
  <c r="H66" i="111"/>
  <c r="I66" i="111"/>
  <c r="J66" i="111"/>
  <c r="K66" i="111"/>
  <c r="L66" i="111"/>
  <c r="M66" i="111"/>
  <c r="N66" i="111"/>
  <c r="C67" i="111"/>
  <c r="D67" i="111"/>
  <c r="E67" i="111"/>
  <c r="F67" i="111"/>
  <c r="G67" i="111"/>
  <c r="H67" i="111"/>
  <c r="I67" i="111"/>
  <c r="J67" i="111"/>
  <c r="K67" i="111"/>
  <c r="L67" i="111"/>
  <c r="M67" i="111"/>
  <c r="N67" i="111"/>
  <c r="C68" i="111"/>
  <c r="D68" i="111"/>
  <c r="E68" i="111"/>
  <c r="F68" i="111"/>
  <c r="G68" i="111"/>
  <c r="H68" i="111"/>
  <c r="I68" i="111"/>
  <c r="J68" i="111"/>
  <c r="K68" i="111"/>
  <c r="L68" i="111"/>
  <c r="M68" i="111"/>
  <c r="N68" i="111"/>
  <c r="C69" i="111"/>
  <c r="D69" i="111"/>
  <c r="E69" i="111"/>
  <c r="F69" i="111"/>
  <c r="G69" i="111"/>
  <c r="H69" i="111"/>
  <c r="I69" i="111"/>
  <c r="J69" i="111"/>
  <c r="K69" i="111"/>
  <c r="L69" i="111"/>
  <c r="M69" i="111"/>
  <c r="N69" i="111"/>
  <c r="C70" i="111"/>
  <c r="D70" i="111"/>
  <c r="E70" i="111"/>
  <c r="F70" i="111"/>
  <c r="G70" i="111"/>
  <c r="H70" i="111"/>
  <c r="I70" i="111"/>
  <c r="J70" i="111"/>
  <c r="K70" i="111"/>
  <c r="L70" i="111"/>
  <c r="M70" i="111"/>
  <c r="N70" i="111"/>
  <c r="C71" i="111"/>
  <c r="D71" i="111"/>
  <c r="E71" i="111"/>
  <c r="F71" i="111"/>
  <c r="G71" i="111"/>
  <c r="H71" i="111"/>
  <c r="I71" i="111"/>
  <c r="J71" i="111"/>
  <c r="K71" i="111"/>
  <c r="L71" i="111"/>
  <c r="M71" i="111"/>
  <c r="N71" i="111"/>
  <c r="C72" i="111"/>
  <c r="D72" i="111"/>
  <c r="E72" i="111"/>
  <c r="F72" i="111"/>
  <c r="G72" i="111"/>
  <c r="H72" i="111"/>
  <c r="I72" i="111"/>
  <c r="J72" i="111"/>
  <c r="K72" i="111"/>
  <c r="L72" i="111"/>
  <c r="M72" i="111"/>
  <c r="N72" i="111"/>
  <c r="C73" i="111"/>
  <c r="D73" i="111"/>
  <c r="E73" i="111"/>
  <c r="F73" i="111"/>
  <c r="G73" i="111"/>
  <c r="H73" i="111"/>
  <c r="I73" i="111"/>
  <c r="J73" i="111"/>
  <c r="K73" i="111"/>
  <c r="L73" i="111"/>
  <c r="M73" i="111"/>
  <c r="N73" i="111"/>
  <c r="C74" i="111"/>
  <c r="D74" i="111"/>
  <c r="E74" i="111"/>
  <c r="F74" i="111"/>
  <c r="G74" i="111"/>
  <c r="H74" i="111"/>
  <c r="I74" i="111"/>
  <c r="J74" i="111"/>
  <c r="K74" i="111"/>
  <c r="L74" i="111"/>
  <c r="M74" i="111"/>
  <c r="N74" i="111"/>
  <c r="C75" i="111"/>
  <c r="D75" i="111"/>
  <c r="E75" i="111"/>
  <c r="F75" i="111"/>
  <c r="G75" i="111"/>
  <c r="H75" i="111"/>
  <c r="I75" i="111"/>
  <c r="J75" i="111"/>
  <c r="K75" i="111"/>
  <c r="L75" i="111"/>
  <c r="M75" i="111"/>
  <c r="N75" i="111"/>
  <c r="C76" i="111"/>
  <c r="D76" i="111"/>
  <c r="E76" i="111"/>
  <c r="F76" i="111"/>
  <c r="G76" i="111"/>
  <c r="H76" i="111"/>
  <c r="I76" i="111"/>
  <c r="J76" i="111"/>
  <c r="K76" i="111"/>
  <c r="L76" i="111"/>
  <c r="M76" i="111"/>
  <c r="N76" i="111"/>
  <c r="C77" i="111"/>
  <c r="D77" i="111"/>
  <c r="E77" i="111"/>
  <c r="F77" i="111"/>
  <c r="G77" i="111"/>
  <c r="H77" i="111"/>
  <c r="I77" i="111"/>
  <c r="J77" i="111"/>
  <c r="K77" i="111"/>
  <c r="L77" i="111"/>
  <c r="M77" i="111"/>
  <c r="N77" i="111"/>
  <c r="C78" i="111"/>
  <c r="D78" i="111"/>
  <c r="E78" i="111"/>
  <c r="F78" i="111"/>
  <c r="G78" i="111"/>
  <c r="H78" i="111"/>
  <c r="I78" i="111"/>
  <c r="J78" i="111"/>
  <c r="K78" i="111"/>
  <c r="L78" i="111"/>
  <c r="M78" i="111"/>
  <c r="N78" i="111"/>
  <c r="C79" i="111"/>
  <c r="D79" i="111"/>
  <c r="E79" i="111"/>
  <c r="F79" i="111"/>
  <c r="G79" i="111"/>
  <c r="H79" i="111"/>
  <c r="I79" i="111"/>
  <c r="J79" i="111"/>
  <c r="K79" i="111"/>
  <c r="L79" i="111"/>
  <c r="M79" i="111"/>
  <c r="N79" i="111"/>
  <c r="C80" i="111"/>
  <c r="D80" i="111"/>
  <c r="E80" i="111"/>
  <c r="F80" i="111"/>
  <c r="G80" i="111"/>
  <c r="H80" i="111"/>
  <c r="I80" i="111"/>
  <c r="J80" i="111"/>
  <c r="K80" i="111"/>
  <c r="L80" i="111"/>
  <c r="M80" i="111"/>
  <c r="N80" i="111"/>
  <c r="C81" i="111"/>
  <c r="D81" i="111"/>
  <c r="E81" i="111"/>
  <c r="F81" i="111"/>
  <c r="G81" i="111"/>
  <c r="H81" i="111"/>
  <c r="I81" i="111"/>
  <c r="J81" i="111"/>
  <c r="K81" i="111"/>
  <c r="L81" i="111"/>
  <c r="M81" i="111"/>
  <c r="N81" i="111"/>
  <c r="C82" i="111"/>
  <c r="D82" i="111"/>
  <c r="E82" i="111"/>
  <c r="F82" i="111"/>
  <c r="G82" i="111"/>
  <c r="H82" i="111"/>
  <c r="I82" i="111"/>
  <c r="J82" i="111"/>
  <c r="K82" i="111"/>
  <c r="L82" i="111"/>
  <c r="M82" i="111"/>
  <c r="N82" i="111"/>
  <c r="C83" i="111"/>
  <c r="D83" i="111"/>
  <c r="E83" i="111"/>
  <c r="F83" i="111"/>
  <c r="G83" i="111"/>
  <c r="H83" i="111"/>
  <c r="I83" i="111"/>
  <c r="J83" i="111"/>
  <c r="K83" i="111"/>
  <c r="L83" i="111"/>
  <c r="M83" i="111"/>
  <c r="N83" i="111"/>
  <c r="C84" i="111"/>
  <c r="D84" i="111"/>
  <c r="E84" i="111"/>
  <c r="F84" i="111"/>
  <c r="G84" i="111"/>
  <c r="H84" i="111"/>
  <c r="I84" i="111"/>
  <c r="J84" i="111"/>
  <c r="K84" i="111"/>
  <c r="L84" i="111"/>
  <c r="M84" i="111"/>
  <c r="N84" i="111"/>
  <c r="C85" i="111"/>
  <c r="D85" i="111"/>
  <c r="E85" i="111"/>
  <c r="F85" i="111"/>
  <c r="G85" i="111"/>
  <c r="H85" i="111"/>
  <c r="I85" i="111"/>
  <c r="J85" i="111"/>
  <c r="K85" i="111"/>
  <c r="L85" i="111"/>
  <c r="M85" i="111"/>
  <c r="N85" i="111"/>
  <c r="C86" i="111"/>
  <c r="D86" i="111"/>
  <c r="E86" i="111"/>
  <c r="F86" i="111"/>
  <c r="G86" i="111"/>
  <c r="H86" i="111"/>
  <c r="I86" i="111"/>
  <c r="J86" i="111"/>
  <c r="K86" i="111"/>
  <c r="L86" i="111"/>
  <c r="M86" i="111"/>
  <c r="N86" i="111"/>
  <c r="C87" i="111"/>
  <c r="D87" i="111"/>
  <c r="E87" i="111"/>
  <c r="F87" i="111"/>
  <c r="G87" i="111"/>
  <c r="H87" i="111"/>
  <c r="I87" i="111"/>
  <c r="J87" i="111"/>
  <c r="K87" i="111"/>
  <c r="L87" i="111"/>
  <c r="M87" i="111"/>
  <c r="N87" i="111"/>
  <c r="C88" i="111"/>
  <c r="D88" i="111"/>
  <c r="E88" i="111"/>
  <c r="F88" i="111"/>
  <c r="G88" i="111"/>
  <c r="H88" i="111"/>
  <c r="I88" i="111"/>
  <c r="J88" i="111"/>
  <c r="K88" i="111"/>
  <c r="L88" i="111"/>
  <c r="M88" i="111"/>
  <c r="N88" i="111"/>
  <c r="C89" i="111"/>
  <c r="D89" i="111"/>
  <c r="E89" i="111"/>
  <c r="F89" i="111"/>
  <c r="G89" i="111"/>
  <c r="H89" i="111"/>
  <c r="I89" i="111"/>
  <c r="J89" i="111"/>
  <c r="K89" i="111"/>
  <c r="L89" i="111"/>
  <c r="M89" i="111"/>
  <c r="N89" i="111"/>
  <c r="C90" i="111"/>
  <c r="D90" i="111"/>
  <c r="E90" i="111"/>
  <c r="F90" i="111"/>
  <c r="G90" i="111"/>
  <c r="H90" i="111"/>
  <c r="I90" i="111"/>
  <c r="J90" i="111"/>
  <c r="K90" i="111"/>
  <c r="L90" i="111"/>
  <c r="M90" i="111"/>
  <c r="N90" i="111"/>
  <c r="C91" i="111"/>
  <c r="D91" i="111"/>
  <c r="E91" i="111"/>
  <c r="F91" i="111"/>
  <c r="G91" i="111"/>
  <c r="H91" i="111"/>
  <c r="I91" i="111"/>
  <c r="J91" i="111"/>
  <c r="K91" i="111"/>
  <c r="L91" i="111"/>
  <c r="M91" i="111"/>
  <c r="N91" i="111"/>
  <c r="C92" i="111"/>
  <c r="D92" i="111"/>
  <c r="E92" i="111"/>
  <c r="F92" i="111"/>
  <c r="G92" i="111"/>
  <c r="H92" i="111"/>
  <c r="I92" i="111"/>
  <c r="J92" i="111"/>
  <c r="K92" i="111"/>
  <c r="L92" i="111"/>
  <c r="M92" i="111"/>
  <c r="N92" i="111"/>
  <c r="C93" i="111"/>
  <c r="D93" i="111"/>
  <c r="E93" i="111"/>
  <c r="F93" i="111"/>
  <c r="G93" i="111"/>
  <c r="H93" i="111"/>
  <c r="I93" i="111"/>
  <c r="J93" i="111"/>
  <c r="K93" i="111"/>
  <c r="L93" i="111"/>
  <c r="M93" i="111"/>
  <c r="N93" i="111"/>
  <c r="C94" i="111"/>
  <c r="D94" i="111"/>
  <c r="E94" i="111"/>
  <c r="F94" i="111"/>
  <c r="G94" i="111"/>
  <c r="H94" i="111"/>
  <c r="I94" i="111"/>
  <c r="J94" i="111"/>
  <c r="K94" i="111"/>
  <c r="L94" i="111"/>
  <c r="M94" i="111"/>
  <c r="N94" i="111"/>
  <c r="C95" i="111"/>
  <c r="D95" i="111"/>
  <c r="E95" i="111"/>
  <c r="F95" i="111"/>
  <c r="G95" i="111"/>
  <c r="H95" i="111"/>
  <c r="I95" i="111"/>
  <c r="J95" i="111"/>
  <c r="K95" i="111"/>
  <c r="L95" i="111"/>
  <c r="M95" i="111"/>
  <c r="N95" i="111"/>
  <c r="C96" i="111"/>
  <c r="D96" i="111"/>
  <c r="E96" i="111"/>
  <c r="F96" i="111"/>
  <c r="G96" i="111"/>
  <c r="H96" i="111"/>
  <c r="I96" i="111"/>
  <c r="J96" i="111"/>
  <c r="K96" i="111"/>
  <c r="L96" i="111"/>
  <c r="M96" i="111"/>
  <c r="N96" i="111"/>
  <c r="C97" i="111"/>
  <c r="D97" i="111"/>
  <c r="E97" i="111"/>
  <c r="F97" i="111"/>
  <c r="G97" i="111"/>
  <c r="H97" i="111"/>
  <c r="I97" i="111"/>
  <c r="J97" i="111"/>
  <c r="K97" i="111"/>
  <c r="L97" i="111"/>
  <c r="M97" i="111"/>
  <c r="N97" i="111"/>
  <c r="C98" i="111"/>
  <c r="D98" i="111"/>
  <c r="E98" i="111"/>
  <c r="F98" i="111"/>
  <c r="G98" i="111"/>
  <c r="H98" i="111"/>
  <c r="I98" i="111"/>
  <c r="J98" i="111"/>
  <c r="K98" i="111"/>
  <c r="L98" i="111"/>
  <c r="M98" i="111"/>
  <c r="N98" i="111"/>
  <c r="C99" i="111"/>
  <c r="D99" i="111"/>
  <c r="E99" i="111"/>
  <c r="F99" i="111"/>
  <c r="G99" i="111"/>
  <c r="H99" i="111"/>
  <c r="I99" i="111"/>
  <c r="J99" i="111"/>
  <c r="K99" i="111"/>
  <c r="L99" i="111"/>
  <c r="M99" i="111"/>
  <c r="N99" i="111"/>
  <c r="C100" i="111"/>
  <c r="D100" i="111"/>
  <c r="E100" i="111"/>
  <c r="F100" i="111"/>
  <c r="G100" i="111"/>
  <c r="H100" i="111"/>
  <c r="I100" i="111"/>
  <c r="J100" i="111"/>
  <c r="K100" i="111"/>
  <c r="L100" i="111"/>
  <c r="M100" i="111"/>
  <c r="N100" i="111"/>
  <c r="C101" i="111"/>
  <c r="D101" i="111"/>
  <c r="E101" i="111"/>
  <c r="F101" i="111"/>
  <c r="G101" i="111"/>
  <c r="H101" i="111"/>
  <c r="I101" i="111"/>
  <c r="J101" i="111"/>
  <c r="K101" i="111"/>
  <c r="L101" i="111"/>
  <c r="M101" i="111"/>
  <c r="N101" i="111"/>
  <c r="C102" i="111"/>
  <c r="D102" i="111"/>
  <c r="E102" i="111"/>
  <c r="F102" i="111"/>
  <c r="G102" i="111"/>
  <c r="H102" i="111"/>
  <c r="I102" i="111"/>
  <c r="J102" i="111"/>
  <c r="K102" i="111"/>
  <c r="L102" i="111"/>
  <c r="M102" i="111"/>
  <c r="N102" i="111"/>
  <c r="C103" i="111"/>
  <c r="D103" i="111"/>
  <c r="E103" i="111"/>
  <c r="F103" i="111"/>
  <c r="G103" i="111"/>
  <c r="H103" i="111"/>
  <c r="I103" i="111"/>
  <c r="J103" i="111"/>
  <c r="K103" i="111"/>
  <c r="L103" i="111"/>
  <c r="M103" i="111"/>
  <c r="N103" i="111"/>
  <c r="C104" i="111"/>
  <c r="D104" i="111"/>
  <c r="E104" i="111"/>
  <c r="F104" i="111"/>
  <c r="G104" i="111"/>
  <c r="H104" i="111"/>
  <c r="I104" i="111"/>
  <c r="J104" i="111"/>
  <c r="K104" i="111"/>
  <c r="L104" i="111"/>
  <c r="M104" i="111"/>
  <c r="N104" i="111"/>
  <c r="C105" i="111"/>
  <c r="D105" i="111"/>
  <c r="E105" i="111"/>
  <c r="F105" i="111"/>
  <c r="G105" i="111"/>
  <c r="H105" i="111"/>
  <c r="I105" i="111"/>
  <c r="J105" i="111"/>
  <c r="K105" i="111"/>
  <c r="L105" i="111"/>
  <c r="M105" i="111"/>
  <c r="N105" i="111"/>
  <c r="D10" i="111"/>
  <c r="E10" i="111"/>
  <c r="F10" i="111"/>
  <c r="G10" i="111"/>
  <c r="H10" i="111"/>
  <c r="I10" i="111"/>
  <c r="J10" i="111"/>
  <c r="K10" i="111"/>
  <c r="L10" i="111"/>
  <c r="M10" i="111"/>
  <c r="N10" i="111"/>
  <c r="C10" i="111"/>
  <c r="D58" i="108" l="1"/>
  <c r="E58" i="108"/>
  <c r="F58" i="108"/>
  <c r="G58" i="108"/>
  <c r="H58" i="108"/>
  <c r="I58" i="108"/>
  <c r="J58" i="108"/>
  <c r="K58" i="108"/>
  <c r="L58" i="108"/>
  <c r="M58" i="108"/>
  <c r="N58" i="108"/>
  <c r="D59" i="108"/>
  <c r="E59" i="108"/>
  <c r="F59" i="108"/>
  <c r="G59" i="108"/>
  <c r="H59" i="108"/>
  <c r="O59" i="108" s="1"/>
  <c r="I59" i="108"/>
  <c r="J59" i="108"/>
  <c r="K59" i="108"/>
  <c r="L59" i="108"/>
  <c r="M59" i="108"/>
  <c r="N59" i="108"/>
  <c r="D60" i="108"/>
  <c r="E60" i="108"/>
  <c r="F60" i="108"/>
  <c r="G60" i="108"/>
  <c r="H60" i="108"/>
  <c r="I60" i="108"/>
  <c r="J60" i="108"/>
  <c r="K60" i="108"/>
  <c r="L60" i="108"/>
  <c r="M60" i="108"/>
  <c r="AC22" i="108" s="1"/>
  <c r="N60" i="108"/>
  <c r="D61" i="108"/>
  <c r="E61" i="108"/>
  <c r="F61" i="108"/>
  <c r="G61" i="108"/>
  <c r="H61" i="108"/>
  <c r="I61" i="108"/>
  <c r="J61" i="108"/>
  <c r="O61" i="108" s="1"/>
  <c r="K61" i="108"/>
  <c r="L61" i="108"/>
  <c r="M61" i="108"/>
  <c r="N61" i="108"/>
  <c r="D62" i="108"/>
  <c r="E62" i="108"/>
  <c r="F62" i="108"/>
  <c r="G62" i="108"/>
  <c r="H62" i="108"/>
  <c r="I62" i="108"/>
  <c r="J62" i="108"/>
  <c r="K62" i="108"/>
  <c r="L62" i="108"/>
  <c r="M62" i="108"/>
  <c r="N62" i="108"/>
  <c r="D63" i="108"/>
  <c r="E63" i="108"/>
  <c r="F63" i="108"/>
  <c r="G63" i="108"/>
  <c r="H63" i="108"/>
  <c r="I63" i="108"/>
  <c r="J63" i="108"/>
  <c r="K63" i="108"/>
  <c r="L63" i="108"/>
  <c r="L106" i="108" s="1"/>
  <c r="M63" i="108"/>
  <c r="N63" i="108"/>
  <c r="D64" i="108"/>
  <c r="E64" i="108"/>
  <c r="F64" i="108"/>
  <c r="G64" i="108"/>
  <c r="H64" i="108"/>
  <c r="I64" i="108"/>
  <c r="I106" i="108" s="1"/>
  <c r="J64" i="108"/>
  <c r="K64" i="108"/>
  <c r="L64" i="108"/>
  <c r="M64" i="108"/>
  <c r="N64" i="108"/>
  <c r="D65" i="108"/>
  <c r="E65" i="108"/>
  <c r="F65" i="108"/>
  <c r="G65" i="108"/>
  <c r="H65" i="108"/>
  <c r="I65" i="108"/>
  <c r="J65" i="108"/>
  <c r="K65" i="108"/>
  <c r="L65" i="108"/>
  <c r="M65" i="108"/>
  <c r="N65" i="108"/>
  <c r="D66" i="108"/>
  <c r="E66" i="108"/>
  <c r="F66" i="108"/>
  <c r="G66" i="108"/>
  <c r="H66" i="108"/>
  <c r="I66" i="108"/>
  <c r="J66" i="108"/>
  <c r="K66" i="108"/>
  <c r="AA24" i="108" s="1"/>
  <c r="L66" i="108"/>
  <c r="M66" i="108"/>
  <c r="N66" i="108"/>
  <c r="D67" i="108"/>
  <c r="E67" i="108"/>
  <c r="F67" i="108"/>
  <c r="G67" i="108"/>
  <c r="H67" i="108"/>
  <c r="O67" i="108" s="1"/>
  <c r="I67" i="108"/>
  <c r="J67" i="108"/>
  <c r="K67" i="108"/>
  <c r="L67" i="108"/>
  <c r="M67" i="108"/>
  <c r="N67" i="108"/>
  <c r="D68" i="108"/>
  <c r="E68" i="108"/>
  <c r="O68" i="108" s="1"/>
  <c r="F68" i="108"/>
  <c r="G68" i="108"/>
  <c r="H68" i="108"/>
  <c r="I68" i="108"/>
  <c r="J68" i="108"/>
  <c r="K68" i="108"/>
  <c r="L68" i="108"/>
  <c r="M68" i="108"/>
  <c r="N68" i="108"/>
  <c r="D69" i="108"/>
  <c r="E69" i="108"/>
  <c r="F69" i="108"/>
  <c r="G69" i="108"/>
  <c r="H69" i="108"/>
  <c r="I69" i="108"/>
  <c r="J69" i="108"/>
  <c r="O69" i="108" s="1"/>
  <c r="K69" i="108"/>
  <c r="L69" i="108"/>
  <c r="M69" i="108"/>
  <c r="N69" i="108"/>
  <c r="D70" i="108"/>
  <c r="E70" i="108"/>
  <c r="F70" i="108"/>
  <c r="G70" i="108"/>
  <c r="O70" i="108" s="1"/>
  <c r="H70" i="108"/>
  <c r="I70" i="108"/>
  <c r="J70" i="108"/>
  <c r="K70" i="108"/>
  <c r="L70" i="108"/>
  <c r="M70" i="108"/>
  <c r="N70" i="108"/>
  <c r="D71" i="108"/>
  <c r="E71" i="108"/>
  <c r="F71" i="108"/>
  <c r="G71" i="108"/>
  <c r="H71" i="108"/>
  <c r="I71" i="108"/>
  <c r="J71" i="108"/>
  <c r="K71" i="108"/>
  <c r="L71" i="108"/>
  <c r="M71" i="108"/>
  <c r="N71" i="108"/>
  <c r="D72" i="108"/>
  <c r="E72" i="108"/>
  <c r="F72" i="108"/>
  <c r="G72" i="108"/>
  <c r="H72" i="108"/>
  <c r="I72" i="108"/>
  <c r="Y25" i="108" s="1"/>
  <c r="J72" i="108"/>
  <c r="K72" i="108"/>
  <c r="L72" i="108"/>
  <c r="M72" i="108"/>
  <c r="N72" i="108"/>
  <c r="D73" i="108"/>
  <c r="E73" i="108"/>
  <c r="F73" i="108"/>
  <c r="G73" i="108"/>
  <c r="H73" i="108"/>
  <c r="I73" i="108"/>
  <c r="J73" i="108"/>
  <c r="K73" i="108"/>
  <c r="L73" i="108"/>
  <c r="M73" i="108"/>
  <c r="N73" i="108"/>
  <c r="D74" i="108"/>
  <c r="E74" i="108"/>
  <c r="F74" i="108"/>
  <c r="G74" i="108"/>
  <c r="H74" i="108"/>
  <c r="I74" i="108"/>
  <c r="J74" i="108"/>
  <c r="K74" i="108"/>
  <c r="L74" i="108"/>
  <c r="M74" i="108"/>
  <c r="N74" i="108"/>
  <c r="D75" i="108"/>
  <c r="E75" i="108"/>
  <c r="F75" i="108"/>
  <c r="G75" i="108"/>
  <c r="H75" i="108"/>
  <c r="O75" i="108" s="1"/>
  <c r="I75" i="108"/>
  <c r="J75" i="108"/>
  <c r="K75" i="108"/>
  <c r="L75" i="108"/>
  <c r="M75" i="108"/>
  <c r="N75" i="108"/>
  <c r="D76" i="108"/>
  <c r="E76" i="108"/>
  <c r="O76" i="108" s="1"/>
  <c r="F76" i="108"/>
  <c r="G76" i="108"/>
  <c r="H76" i="108"/>
  <c r="I76" i="108"/>
  <c r="J76" i="108"/>
  <c r="K76" i="108"/>
  <c r="L76" i="108"/>
  <c r="M76" i="108"/>
  <c r="N76" i="108"/>
  <c r="D77" i="108"/>
  <c r="E77" i="108"/>
  <c r="F77" i="108"/>
  <c r="G77" i="108"/>
  <c r="H77" i="108"/>
  <c r="I77" i="108"/>
  <c r="J77" i="108"/>
  <c r="K77" i="108"/>
  <c r="L77" i="108"/>
  <c r="M77" i="108"/>
  <c r="N77" i="108"/>
  <c r="D78" i="108"/>
  <c r="E78" i="108"/>
  <c r="F78" i="108"/>
  <c r="G78" i="108"/>
  <c r="O78" i="108" s="1"/>
  <c r="H78" i="108"/>
  <c r="I78" i="108"/>
  <c r="J78" i="108"/>
  <c r="K78" i="108"/>
  <c r="L78" i="108"/>
  <c r="M78" i="108"/>
  <c r="N78" i="108"/>
  <c r="D79" i="108"/>
  <c r="O79" i="108" s="1"/>
  <c r="E79" i="108"/>
  <c r="F79" i="108"/>
  <c r="G79" i="108"/>
  <c r="H79" i="108"/>
  <c r="I79" i="108"/>
  <c r="J79" i="108"/>
  <c r="K79" i="108"/>
  <c r="L79" i="108"/>
  <c r="M79" i="108"/>
  <c r="N79" i="108"/>
  <c r="D80" i="108"/>
  <c r="E80" i="108"/>
  <c r="F80" i="108"/>
  <c r="G80" i="108"/>
  <c r="H80" i="108"/>
  <c r="I80" i="108"/>
  <c r="J80" i="108"/>
  <c r="K80" i="108"/>
  <c r="L80" i="108"/>
  <c r="M80" i="108"/>
  <c r="N80" i="108"/>
  <c r="D81" i="108"/>
  <c r="E81" i="108"/>
  <c r="F81" i="108"/>
  <c r="V27" i="108" s="1"/>
  <c r="G81" i="108"/>
  <c r="H81" i="108"/>
  <c r="I81" i="108"/>
  <c r="J81" i="108"/>
  <c r="K81" i="108"/>
  <c r="L81" i="108"/>
  <c r="M81" i="108"/>
  <c r="N81" i="108"/>
  <c r="D82" i="108"/>
  <c r="E82" i="108"/>
  <c r="F82" i="108"/>
  <c r="G82" i="108"/>
  <c r="H82" i="108"/>
  <c r="I82" i="108"/>
  <c r="J82" i="108"/>
  <c r="K82" i="108"/>
  <c r="AA28" i="111" s="1"/>
  <c r="L82" i="108"/>
  <c r="M82" i="108"/>
  <c r="N82" i="108"/>
  <c r="D83" i="108"/>
  <c r="E83" i="108"/>
  <c r="F83" i="108"/>
  <c r="G83" i="108"/>
  <c r="H83" i="108"/>
  <c r="O83" i="108" s="1"/>
  <c r="I83" i="108"/>
  <c r="J83" i="108"/>
  <c r="K83" i="108"/>
  <c r="L83" i="108"/>
  <c r="M83" i="108"/>
  <c r="N83" i="108"/>
  <c r="D84" i="108"/>
  <c r="E84" i="108"/>
  <c r="O84" i="108" s="1"/>
  <c r="F84" i="108"/>
  <c r="G84" i="108"/>
  <c r="H84" i="108"/>
  <c r="I84" i="108"/>
  <c r="J84" i="108"/>
  <c r="K84" i="108"/>
  <c r="L84" i="108"/>
  <c r="M84" i="108"/>
  <c r="AC28" i="108" s="1"/>
  <c r="N84" i="108"/>
  <c r="D85" i="108"/>
  <c r="E85" i="108"/>
  <c r="F85" i="108"/>
  <c r="G85" i="108"/>
  <c r="H85" i="108"/>
  <c r="I85" i="108"/>
  <c r="J85" i="108"/>
  <c r="O85" i="108" s="1"/>
  <c r="K85" i="108"/>
  <c r="L85" i="108"/>
  <c r="M85" i="108"/>
  <c r="N85" i="108"/>
  <c r="D86" i="108"/>
  <c r="E86" i="108"/>
  <c r="F86" i="108"/>
  <c r="G86" i="108"/>
  <c r="O86" i="108" s="1"/>
  <c r="H86" i="108"/>
  <c r="I86" i="108"/>
  <c r="J86" i="108"/>
  <c r="K86" i="108"/>
  <c r="L86" i="108"/>
  <c r="M86" i="108"/>
  <c r="N86" i="108"/>
  <c r="D87" i="108"/>
  <c r="O87" i="108" s="1"/>
  <c r="E87" i="108"/>
  <c r="F87" i="108"/>
  <c r="G87" i="108"/>
  <c r="H87" i="108"/>
  <c r="I87" i="108"/>
  <c r="J87" i="108"/>
  <c r="K87" i="108"/>
  <c r="L87" i="108"/>
  <c r="AB29" i="111" s="1"/>
  <c r="M87" i="108"/>
  <c r="N87" i="108"/>
  <c r="D88" i="108"/>
  <c r="E88" i="108"/>
  <c r="F88" i="108"/>
  <c r="G88" i="108"/>
  <c r="H88" i="108"/>
  <c r="I88" i="108"/>
  <c r="Y29" i="108" s="1"/>
  <c r="J88" i="108"/>
  <c r="K88" i="108"/>
  <c r="L88" i="108"/>
  <c r="M88" i="108"/>
  <c r="N88" i="108"/>
  <c r="D89" i="108"/>
  <c r="E89" i="108"/>
  <c r="F89" i="108"/>
  <c r="V29" i="111" s="1"/>
  <c r="G89" i="108"/>
  <c r="H89" i="108"/>
  <c r="I89" i="108"/>
  <c r="J89" i="108"/>
  <c r="K89" i="108"/>
  <c r="L89" i="108"/>
  <c r="M89" i="108"/>
  <c r="N89" i="108"/>
  <c r="AD29" i="111" s="1"/>
  <c r="D90" i="108"/>
  <c r="E90" i="108"/>
  <c r="F90" i="108"/>
  <c r="G90" i="108"/>
  <c r="H90" i="108"/>
  <c r="I90" i="108"/>
  <c r="J90" i="108"/>
  <c r="K90" i="108"/>
  <c r="AA30" i="111" s="1"/>
  <c r="L90" i="108"/>
  <c r="M90" i="108"/>
  <c r="N90" i="108"/>
  <c r="D91" i="108"/>
  <c r="E91" i="108"/>
  <c r="F91" i="108"/>
  <c r="G91" i="108"/>
  <c r="H91" i="108"/>
  <c r="O91" i="108" s="1"/>
  <c r="I91" i="108"/>
  <c r="J91" i="108"/>
  <c r="K91" i="108"/>
  <c r="L91" i="108"/>
  <c r="M91" i="108"/>
  <c r="N91" i="108"/>
  <c r="D92" i="108"/>
  <c r="E92" i="108"/>
  <c r="O92" i="108" s="1"/>
  <c r="F92" i="108"/>
  <c r="G92" i="108"/>
  <c r="H92" i="108"/>
  <c r="I92" i="108"/>
  <c r="J92" i="108"/>
  <c r="K92" i="108"/>
  <c r="L92" i="108"/>
  <c r="M92" i="108"/>
  <c r="AC30" i="108" s="1"/>
  <c r="N92" i="108"/>
  <c r="D93" i="108"/>
  <c r="E93" i="108"/>
  <c r="F93" i="108"/>
  <c r="G93" i="108"/>
  <c r="H93" i="108"/>
  <c r="I93" i="108"/>
  <c r="J93" i="108"/>
  <c r="O93" i="108" s="1"/>
  <c r="K93" i="108"/>
  <c r="L93" i="108"/>
  <c r="M93" i="108"/>
  <c r="N93" i="108"/>
  <c r="D94" i="108"/>
  <c r="E94" i="108"/>
  <c r="F94" i="108"/>
  <c r="G94" i="108"/>
  <c r="O94" i="108" s="1"/>
  <c r="H94" i="108"/>
  <c r="I94" i="108"/>
  <c r="J94" i="108"/>
  <c r="K94" i="108"/>
  <c r="L94" i="108"/>
  <c r="M94" i="108"/>
  <c r="N94" i="108"/>
  <c r="D95" i="108"/>
  <c r="T31" i="108" s="1"/>
  <c r="E95" i="108"/>
  <c r="F95" i="108"/>
  <c r="G95" i="108"/>
  <c r="H95" i="108"/>
  <c r="I95" i="108"/>
  <c r="J95" i="108"/>
  <c r="K95" i="108"/>
  <c r="L95" i="108"/>
  <c r="AB31" i="108" s="1"/>
  <c r="M95" i="108"/>
  <c r="N95" i="108"/>
  <c r="D96" i="108"/>
  <c r="E96" i="108"/>
  <c r="F96" i="108"/>
  <c r="G96" i="108"/>
  <c r="H96" i="108"/>
  <c r="I96" i="108"/>
  <c r="Y31" i="108" s="1"/>
  <c r="J96" i="108"/>
  <c r="K96" i="108"/>
  <c r="L96" i="108"/>
  <c r="M96" i="108"/>
  <c r="N96" i="108"/>
  <c r="D97" i="108"/>
  <c r="E97" i="108"/>
  <c r="F97" i="108"/>
  <c r="V31" i="111" s="1"/>
  <c r="G97" i="108"/>
  <c r="H97" i="108"/>
  <c r="I97" i="108"/>
  <c r="J97" i="108"/>
  <c r="K97" i="108"/>
  <c r="L97" i="108"/>
  <c r="M97" i="108"/>
  <c r="N97" i="108"/>
  <c r="D98" i="108"/>
  <c r="E98" i="108"/>
  <c r="F98" i="108"/>
  <c r="G98" i="108"/>
  <c r="H98" i="108"/>
  <c r="I98" i="108"/>
  <c r="J98" i="108"/>
  <c r="K98" i="108"/>
  <c r="AA32" i="111" s="1"/>
  <c r="L98" i="108"/>
  <c r="M98" i="108"/>
  <c r="N98" i="108"/>
  <c r="D99" i="108"/>
  <c r="E99" i="108"/>
  <c r="F99" i="108"/>
  <c r="G99" i="108"/>
  <c r="H99" i="108"/>
  <c r="O99" i="108" s="1"/>
  <c r="I99" i="108"/>
  <c r="J99" i="108"/>
  <c r="K99" i="108"/>
  <c r="L99" i="108"/>
  <c r="M99" i="108"/>
  <c r="N99" i="108"/>
  <c r="D100" i="108"/>
  <c r="E100" i="108"/>
  <c r="O100" i="108" s="1"/>
  <c r="F100" i="108"/>
  <c r="G100" i="108"/>
  <c r="H100" i="108"/>
  <c r="I100" i="108"/>
  <c r="J100" i="108"/>
  <c r="K100" i="108"/>
  <c r="L100" i="108"/>
  <c r="M100" i="108"/>
  <c r="AC32" i="111" s="1"/>
  <c r="N100" i="108"/>
  <c r="D101" i="108"/>
  <c r="E101" i="108"/>
  <c r="F101" i="108"/>
  <c r="G101" i="108"/>
  <c r="H101" i="108"/>
  <c r="I101" i="108"/>
  <c r="J101" i="108"/>
  <c r="O101" i="108" s="1"/>
  <c r="K101" i="108"/>
  <c r="L101" i="108"/>
  <c r="M101" i="108"/>
  <c r="N101" i="108"/>
  <c r="D102" i="108"/>
  <c r="E102" i="108"/>
  <c r="F102" i="108"/>
  <c r="G102" i="108"/>
  <c r="O102" i="108" s="1"/>
  <c r="H102" i="108"/>
  <c r="I102" i="108"/>
  <c r="J102" i="108"/>
  <c r="K102" i="108"/>
  <c r="L102" i="108"/>
  <c r="M102" i="108"/>
  <c r="N102" i="108"/>
  <c r="D103" i="108"/>
  <c r="T33" i="108" s="1"/>
  <c r="E103" i="108"/>
  <c r="F103" i="108"/>
  <c r="G103" i="108"/>
  <c r="H103" i="108"/>
  <c r="I103" i="108"/>
  <c r="J103" i="108"/>
  <c r="K103" i="108"/>
  <c r="L103" i="108"/>
  <c r="AB33" i="108" s="1"/>
  <c r="M103" i="108"/>
  <c r="N103" i="108"/>
  <c r="D104" i="108"/>
  <c r="E104" i="108"/>
  <c r="F104" i="108"/>
  <c r="G104" i="108"/>
  <c r="H104" i="108"/>
  <c r="I104" i="108"/>
  <c r="Y33" i="108" s="1"/>
  <c r="J104" i="108"/>
  <c r="K104" i="108"/>
  <c r="L104" i="108"/>
  <c r="M104" i="108"/>
  <c r="N104" i="108"/>
  <c r="D105" i="108"/>
  <c r="O105" i="108" s="1"/>
  <c r="E105" i="108"/>
  <c r="F105" i="108"/>
  <c r="V33" i="111" s="1"/>
  <c r="G105" i="108"/>
  <c r="H105" i="108"/>
  <c r="I105" i="108"/>
  <c r="J105" i="108"/>
  <c r="K105" i="108"/>
  <c r="L105" i="108"/>
  <c r="M105" i="108"/>
  <c r="N105" i="108"/>
  <c r="AD33" i="111" s="1"/>
  <c r="C59" i="108"/>
  <c r="C60" i="108"/>
  <c r="C61" i="108"/>
  <c r="C62" i="108"/>
  <c r="C63" i="108"/>
  <c r="C64" i="108"/>
  <c r="C65" i="108"/>
  <c r="C66" i="108"/>
  <c r="C106" i="108" s="1"/>
  <c r="C67" i="108"/>
  <c r="C68" i="108"/>
  <c r="C69" i="108"/>
  <c r="C70" i="108"/>
  <c r="C71" i="108"/>
  <c r="C72" i="108"/>
  <c r="C73" i="108"/>
  <c r="C74" i="108"/>
  <c r="S26" i="108" s="1"/>
  <c r="C75" i="108"/>
  <c r="C76" i="108"/>
  <c r="C77" i="108"/>
  <c r="C78" i="108"/>
  <c r="C79" i="108"/>
  <c r="C80" i="108"/>
  <c r="C81" i="108"/>
  <c r="C82" i="108"/>
  <c r="S28" i="108" s="1"/>
  <c r="C83" i="108"/>
  <c r="C84" i="108"/>
  <c r="C85" i="108"/>
  <c r="C86" i="108"/>
  <c r="C87" i="108"/>
  <c r="C88" i="108"/>
  <c r="C89" i="108"/>
  <c r="C90" i="108"/>
  <c r="S30" i="111" s="1"/>
  <c r="C91" i="108"/>
  <c r="C92" i="108"/>
  <c r="C93" i="108"/>
  <c r="C94" i="108"/>
  <c r="C95" i="108"/>
  <c r="C96" i="108"/>
  <c r="C97" i="108"/>
  <c r="C98" i="108"/>
  <c r="C99" i="108"/>
  <c r="C100" i="108"/>
  <c r="C101" i="108"/>
  <c r="C102" i="108"/>
  <c r="C103" i="108"/>
  <c r="C104" i="108"/>
  <c r="C105" i="108"/>
  <c r="C58" i="108"/>
  <c r="O58" i="108" s="1"/>
  <c r="P58" i="107"/>
  <c r="P59" i="107"/>
  <c r="P60" i="107"/>
  <c r="P61" i="107"/>
  <c r="P62" i="107"/>
  <c r="P63" i="107"/>
  <c r="AF23" i="107" s="1"/>
  <c r="P64" i="107"/>
  <c r="P65" i="107"/>
  <c r="P66" i="107"/>
  <c r="P67" i="107"/>
  <c r="AF24" i="107" s="1"/>
  <c r="P68" i="107"/>
  <c r="P69" i="107"/>
  <c r="P70" i="107"/>
  <c r="P71" i="107"/>
  <c r="AF25" i="107" s="1"/>
  <c r="P72" i="107"/>
  <c r="P73" i="107"/>
  <c r="P74" i="107"/>
  <c r="P75" i="107"/>
  <c r="AF26" i="107" s="1"/>
  <c r="P76" i="107"/>
  <c r="P77" i="107"/>
  <c r="P78" i="107"/>
  <c r="P79" i="107"/>
  <c r="AF27" i="107" s="1"/>
  <c r="P80" i="107"/>
  <c r="P81" i="107"/>
  <c r="P82" i="107"/>
  <c r="P83" i="107"/>
  <c r="P84" i="107"/>
  <c r="P85" i="107"/>
  <c r="P86" i="107"/>
  <c r="P87" i="107"/>
  <c r="AF29" i="107" s="1"/>
  <c r="P88" i="107"/>
  <c r="P89" i="107"/>
  <c r="P90" i="107"/>
  <c r="P91" i="107"/>
  <c r="AF30" i="107" s="1"/>
  <c r="P92" i="107"/>
  <c r="P93" i="107"/>
  <c r="P94" i="107"/>
  <c r="P95" i="107"/>
  <c r="AF31" i="107" s="1"/>
  <c r="P96" i="107"/>
  <c r="P97" i="107"/>
  <c r="P98" i="107"/>
  <c r="P99" i="107"/>
  <c r="AF32" i="107" s="1"/>
  <c r="P100" i="107"/>
  <c r="P101" i="107"/>
  <c r="P102" i="107"/>
  <c r="P103" i="107"/>
  <c r="P104" i="107"/>
  <c r="P105" i="107"/>
  <c r="O58" i="107"/>
  <c r="O59" i="107"/>
  <c r="O60" i="107"/>
  <c r="O61" i="107"/>
  <c r="O62" i="107"/>
  <c r="O63" i="107"/>
  <c r="O64" i="107"/>
  <c r="O65" i="107"/>
  <c r="AE23" i="107" s="1"/>
  <c r="O66" i="107"/>
  <c r="O67" i="107"/>
  <c r="O68" i="107"/>
  <c r="O69" i="107"/>
  <c r="O70" i="107"/>
  <c r="O71" i="107"/>
  <c r="O72" i="107"/>
  <c r="O73" i="107"/>
  <c r="O74" i="107"/>
  <c r="O75" i="107"/>
  <c r="O76" i="107"/>
  <c r="O77" i="107"/>
  <c r="O78" i="107"/>
  <c r="O79" i="107"/>
  <c r="O80" i="107"/>
  <c r="O81" i="107"/>
  <c r="AE27" i="107" s="1"/>
  <c r="O82" i="107"/>
  <c r="O83" i="107"/>
  <c r="O84" i="107"/>
  <c r="O85" i="107"/>
  <c r="O86" i="107"/>
  <c r="O87" i="107"/>
  <c r="O88" i="107"/>
  <c r="O89" i="107"/>
  <c r="AE29" i="107" s="1"/>
  <c r="O90" i="107"/>
  <c r="O91" i="107"/>
  <c r="O92" i="107"/>
  <c r="O93" i="107"/>
  <c r="O94" i="107"/>
  <c r="O95" i="107"/>
  <c r="O96" i="107"/>
  <c r="O97" i="107"/>
  <c r="AE31" i="107" s="1"/>
  <c r="O98" i="107"/>
  <c r="O99" i="107"/>
  <c r="O100" i="107"/>
  <c r="O101" i="107"/>
  <c r="O102" i="107"/>
  <c r="O103" i="107"/>
  <c r="O104" i="107"/>
  <c r="O105" i="107"/>
  <c r="AE33" i="107" s="1"/>
  <c r="D58" i="107"/>
  <c r="E58" i="107"/>
  <c r="F58" i="107"/>
  <c r="G58" i="107"/>
  <c r="H58" i="107"/>
  <c r="I58" i="107"/>
  <c r="J58" i="107"/>
  <c r="K58" i="107"/>
  <c r="K106" i="107" s="1"/>
  <c r="L58" i="107"/>
  <c r="M58" i="107"/>
  <c r="N58" i="107"/>
  <c r="D59" i="107"/>
  <c r="E59" i="107"/>
  <c r="F59" i="107"/>
  <c r="G59" i="107"/>
  <c r="H59" i="107"/>
  <c r="X22" i="107" s="1"/>
  <c r="I59" i="107"/>
  <c r="J59" i="107"/>
  <c r="K59" i="107"/>
  <c r="L59" i="107"/>
  <c r="M59" i="107"/>
  <c r="N59" i="107"/>
  <c r="D60" i="107"/>
  <c r="E60" i="107"/>
  <c r="E106" i="107" s="1"/>
  <c r="F60" i="107"/>
  <c r="G60" i="107"/>
  <c r="H60" i="107"/>
  <c r="I60" i="107"/>
  <c r="J60" i="107"/>
  <c r="K60" i="107"/>
  <c r="L60" i="107"/>
  <c r="M60" i="107"/>
  <c r="M106" i="107" s="1"/>
  <c r="N60" i="107"/>
  <c r="D61" i="107"/>
  <c r="E61" i="107"/>
  <c r="F61" i="107"/>
  <c r="G61" i="107"/>
  <c r="H61" i="107"/>
  <c r="I61" i="107"/>
  <c r="J61" i="107"/>
  <c r="Z22" i="107" s="1"/>
  <c r="K61" i="107"/>
  <c r="L61" i="107"/>
  <c r="M61" i="107"/>
  <c r="N61" i="107"/>
  <c r="D62" i="107"/>
  <c r="E62" i="107"/>
  <c r="F62" i="107"/>
  <c r="G62" i="107"/>
  <c r="G106" i="107" s="1"/>
  <c r="H62" i="107"/>
  <c r="I62" i="107"/>
  <c r="J62" i="107"/>
  <c r="K62" i="107"/>
  <c r="L62" i="107"/>
  <c r="M62" i="107"/>
  <c r="N62" i="107"/>
  <c r="D63" i="107"/>
  <c r="T23" i="107" s="1"/>
  <c r="E63" i="107"/>
  <c r="F63" i="107"/>
  <c r="G63" i="107"/>
  <c r="H63" i="107"/>
  <c r="I63" i="107"/>
  <c r="J63" i="107"/>
  <c r="K63" i="107"/>
  <c r="L63" i="107"/>
  <c r="AB23" i="107" s="1"/>
  <c r="M63" i="107"/>
  <c r="N63" i="107"/>
  <c r="D64" i="107"/>
  <c r="E64" i="107"/>
  <c r="F64" i="107"/>
  <c r="G64" i="107"/>
  <c r="H64" i="107"/>
  <c r="I64" i="107"/>
  <c r="Y23" i="107" s="1"/>
  <c r="J64" i="107"/>
  <c r="K64" i="107"/>
  <c r="L64" i="107"/>
  <c r="M64" i="107"/>
  <c r="N64" i="107"/>
  <c r="D65" i="107"/>
  <c r="E65" i="107"/>
  <c r="F65" i="107"/>
  <c r="F106" i="107" s="1"/>
  <c r="G65" i="107"/>
  <c r="H65" i="107"/>
  <c r="I65" i="107"/>
  <c r="J65" i="107"/>
  <c r="K65" i="107"/>
  <c r="L65" i="107"/>
  <c r="M65" i="107"/>
  <c r="N65" i="107"/>
  <c r="N106" i="107" s="1"/>
  <c r="D66" i="107"/>
  <c r="E66" i="107"/>
  <c r="F66" i="107"/>
  <c r="G66" i="107"/>
  <c r="H66" i="107"/>
  <c r="I66" i="107"/>
  <c r="J66" i="107"/>
  <c r="K66" i="107"/>
  <c r="AA24" i="107" s="1"/>
  <c r="L66" i="107"/>
  <c r="M66" i="107"/>
  <c r="N66" i="107"/>
  <c r="D67" i="107"/>
  <c r="E67" i="107"/>
  <c r="F67" i="107"/>
  <c r="G67" i="107"/>
  <c r="H67" i="107"/>
  <c r="I67" i="107"/>
  <c r="J67" i="107"/>
  <c r="K67" i="107"/>
  <c r="L67" i="107"/>
  <c r="M67" i="107"/>
  <c r="N67" i="107"/>
  <c r="D68" i="107"/>
  <c r="E68" i="107"/>
  <c r="U24" i="107" s="1"/>
  <c r="F68" i="107"/>
  <c r="G68" i="107"/>
  <c r="H68" i="107"/>
  <c r="I68" i="107"/>
  <c r="J68" i="107"/>
  <c r="K68" i="107"/>
  <c r="L68" i="107"/>
  <c r="M68" i="107"/>
  <c r="AC24" i="107" s="1"/>
  <c r="N68" i="107"/>
  <c r="D69" i="107"/>
  <c r="E69" i="107"/>
  <c r="F69" i="107"/>
  <c r="G69" i="107"/>
  <c r="H69" i="107"/>
  <c r="I69" i="107"/>
  <c r="J69" i="107"/>
  <c r="Z24" i="107" s="1"/>
  <c r="K69" i="107"/>
  <c r="L69" i="107"/>
  <c r="M69" i="107"/>
  <c r="N69" i="107"/>
  <c r="D70" i="107"/>
  <c r="E70" i="107"/>
  <c r="F70" i="107"/>
  <c r="G70" i="107"/>
  <c r="W25" i="107" s="1"/>
  <c r="H70" i="107"/>
  <c r="I70" i="107"/>
  <c r="J70" i="107"/>
  <c r="K70" i="107"/>
  <c r="L70" i="107"/>
  <c r="M70" i="107"/>
  <c r="N70" i="107"/>
  <c r="D71" i="107"/>
  <c r="T25" i="107" s="1"/>
  <c r="E71" i="107"/>
  <c r="F71" i="107"/>
  <c r="G71" i="107"/>
  <c r="H71" i="107"/>
  <c r="I71" i="107"/>
  <c r="J71" i="107"/>
  <c r="K71" i="107"/>
  <c r="L71" i="107"/>
  <c r="AB25" i="107" s="1"/>
  <c r="M71" i="107"/>
  <c r="N71" i="107"/>
  <c r="D72" i="107"/>
  <c r="E72" i="107"/>
  <c r="F72" i="107"/>
  <c r="G72" i="107"/>
  <c r="H72" i="107"/>
  <c r="I72" i="107"/>
  <c r="Y25" i="107" s="1"/>
  <c r="J72" i="107"/>
  <c r="K72" i="107"/>
  <c r="L72" i="107"/>
  <c r="M72" i="107"/>
  <c r="N72" i="107"/>
  <c r="D73" i="107"/>
  <c r="E73" i="107"/>
  <c r="F73" i="107"/>
  <c r="V25" i="107" s="1"/>
  <c r="G73" i="107"/>
  <c r="H73" i="107"/>
  <c r="I73" i="107"/>
  <c r="J73" i="107"/>
  <c r="K73" i="107"/>
  <c r="L73" i="107"/>
  <c r="M73" i="107"/>
  <c r="N73" i="107"/>
  <c r="AD25" i="107" s="1"/>
  <c r="D74" i="107"/>
  <c r="E74" i="107"/>
  <c r="F74" i="107"/>
  <c r="G74" i="107"/>
  <c r="H74" i="107"/>
  <c r="I74" i="107"/>
  <c r="J74" i="107"/>
  <c r="K74" i="107"/>
  <c r="AA26" i="107" s="1"/>
  <c r="L74" i="107"/>
  <c r="M74" i="107"/>
  <c r="N74" i="107"/>
  <c r="D75" i="107"/>
  <c r="E75" i="107"/>
  <c r="F75" i="107"/>
  <c r="G75" i="107"/>
  <c r="H75" i="107"/>
  <c r="X26" i="107" s="1"/>
  <c r="I75" i="107"/>
  <c r="J75" i="107"/>
  <c r="K75" i="107"/>
  <c r="L75" i="107"/>
  <c r="M75" i="107"/>
  <c r="N75" i="107"/>
  <c r="D76" i="107"/>
  <c r="E76" i="107"/>
  <c r="F76" i="107"/>
  <c r="G76" i="107"/>
  <c r="H76" i="107"/>
  <c r="I76" i="107"/>
  <c r="J76" i="107"/>
  <c r="K76" i="107"/>
  <c r="L76" i="107"/>
  <c r="M76" i="107"/>
  <c r="N76" i="107"/>
  <c r="D77" i="107"/>
  <c r="E77" i="107"/>
  <c r="F77" i="107"/>
  <c r="G77" i="107"/>
  <c r="H77" i="107"/>
  <c r="I77" i="107"/>
  <c r="J77" i="107"/>
  <c r="Z26" i="107" s="1"/>
  <c r="K77" i="107"/>
  <c r="L77" i="107"/>
  <c r="M77" i="107"/>
  <c r="N77" i="107"/>
  <c r="D78" i="107"/>
  <c r="E78" i="107"/>
  <c r="F78" i="107"/>
  <c r="G78" i="107"/>
  <c r="H78" i="107"/>
  <c r="I78" i="107"/>
  <c r="J78" i="107"/>
  <c r="K78" i="107"/>
  <c r="L78" i="107"/>
  <c r="M78" i="107"/>
  <c r="N78" i="107"/>
  <c r="D79" i="107"/>
  <c r="T27" i="107" s="1"/>
  <c r="E79" i="107"/>
  <c r="F79" i="107"/>
  <c r="G79" i="107"/>
  <c r="H79" i="107"/>
  <c r="I79" i="107"/>
  <c r="J79" i="107"/>
  <c r="K79" i="107"/>
  <c r="L79" i="107"/>
  <c r="AB27" i="107" s="1"/>
  <c r="M79" i="107"/>
  <c r="N79" i="107"/>
  <c r="D80" i="107"/>
  <c r="E80" i="107"/>
  <c r="F80" i="107"/>
  <c r="G80" i="107"/>
  <c r="H80" i="107"/>
  <c r="I80" i="107"/>
  <c r="Y27" i="107" s="1"/>
  <c r="J80" i="107"/>
  <c r="K80" i="107"/>
  <c r="L80" i="107"/>
  <c r="M80" i="107"/>
  <c r="N80" i="107"/>
  <c r="D81" i="107"/>
  <c r="E81" i="107"/>
  <c r="F81" i="107"/>
  <c r="V27" i="107" s="1"/>
  <c r="G81" i="107"/>
  <c r="H81" i="107"/>
  <c r="I81" i="107"/>
  <c r="J81" i="107"/>
  <c r="K81" i="107"/>
  <c r="L81" i="107"/>
  <c r="M81" i="107"/>
  <c r="N81" i="107"/>
  <c r="AD27" i="107" s="1"/>
  <c r="D82" i="107"/>
  <c r="E82" i="107"/>
  <c r="F82" i="107"/>
  <c r="G82" i="107"/>
  <c r="H82" i="107"/>
  <c r="I82" i="107"/>
  <c r="J82" i="107"/>
  <c r="K82" i="107"/>
  <c r="AA28" i="107" s="1"/>
  <c r="L82" i="107"/>
  <c r="M82" i="107"/>
  <c r="N82" i="107"/>
  <c r="D83" i="107"/>
  <c r="E83" i="107"/>
  <c r="F83" i="107"/>
  <c r="G83" i="107"/>
  <c r="H83" i="107"/>
  <c r="X28" i="107" s="1"/>
  <c r="I83" i="107"/>
  <c r="J83" i="107"/>
  <c r="K83" i="107"/>
  <c r="L83" i="107"/>
  <c r="M83" i="107"/>
  <c r="N83" i="107"/>
  <c r="D84" i="107"/>
  <c r="E84" i="107"/>
  <c r="U28" i="107" s="1"/>
  <c r="F84" i="107"/>
  <c r="G84" i="107"/>
  <c r="H84" i="107"/>
  <c r="I84" i="107"/>
  <c r="J84" i="107"/>
  <c r="K84" i="107"/>
  <c r="L84" i="107"/>
  <c r="M84" i="107"/>
  <c r="AC28" i="107" s="1"/>
  <c r="N84" i="107"/>
  <c r="D85" i="107"/>
  <c r="E85" i="107"/>
  <c r="F85" i="107"/>
  <c r="G85" i="107"/>
  <c r="H85" i="107"/>
  <c r="I85" i="107"/>
  <c r="J85" i="107"/>
  <c r="K85" i="107"/>
  <c r="L85" i="107"/>
  <c r="M85" i="107"/>
  <c r="N85" i="107"/>
  <c r="D86" i="107"/>
  <c r="E86" i="107"/>
  <c r="F86" i="107"/>
  <c r="G86" i="107"/>
  <c r="W29" i="107" s="1"/>
  <c r="H86" i="107"/>
  <c r="I86" i="107"/>
  <c r="J86" i="107"/>
  <c r="K86" i="107"/>
  <c r="L86" i="107"/>
  <c r="M86" i="107"/>
  <c r="N86" i="107"/>
  <c r="D87" i="107"/>
  <c r="E87" i="107"/>
  <c r="F87" i="107"/>
  <c r="G87" i="107"/>
  <c r="H87" i="107"/>
  <c r="I87" i="107"/>
  <c r="J87" i="107"/>
  <c r="K87" i="107"/>
  <c r="L87" i="107"/>
  <c r="M87" i="107"/>
  <c r="N87" i="107"/>
  <c r="D88" i="107"/>
  <c r="E88" i="107"/>
  <c r="F88" i="107"/>
  <c r="G88" i="107"/>
  <c r="H88" i="107"/>
  <c r="I88" i="107"/>
  <c r="Y29" i="107" s="1"/>
  <c r="J88" i="107"/>
  <c r="K88" i="107"/>
  <c r="L88" i="107"/>
  <c r="M88" i="107"/>
  <c r="N88" i="107"/>
  <c r="D89" i="107"/>
  <c r="E89" i="107"/>
  <c r="F89" i="107"/>
  <c r="V29" i="107" s="1"/>
  <c r="G89" i="107"/>
  <c r="H89" i="107"/>
  <c r="I89" i="107"/>
  <c r="J89" i="107"/>
  <c r="K89" i="107"/>
  <c r="L89" i="107"/>
  <c r="M89" i="107"/>
  <c r="N89" i="107"/>
  <c r="AD29" i="107" s="1"/>
  <c r="D90" i="107"/>
  <c r="E90" i="107"/>
  <c r="F90" i="107"/>
  <c r="G90" i="107"/>
  <c r="H90" i="107"/>
  <c r="I90" i="107"/>
  <c r="J90" i="107"/>
  <c r="K90" i="107"/>
  <c r="AA30" i="107" s="1"/>
  <c r="L90" i="107"/>
  <c r="M90" i="107"/>
  <c r="N90" i="107"/>
  <c r="D91" i="107"/>
  <c r="E91" i="107"/>
  <c r="F91" i="107"/>
  <c r="G91" i="107"/>
  <c r="H91" i="107"/>
  <c r="X30" i="107" s="1"/>
  <c r="I91" i="107"/>
  <c r="J91" i="107"/>
  <c r="K91" i="107"/>
  <c r="L91" i="107"/>
  <c r="M91" i="107"/>
  <c r="N91" i="107"/>
  <c r="D92" i="107"/>
  <c r="E92" i="107"/>
  <c r="U30" i="107" s="1"/>
  <c r="F92" i="107"/>
  <c r="G92" i="107"/>
  <c r="H92" i="107"/>
  <c r="I92" i="107"/>
  <c r="J92" i="107"/>
  <c r="K92" i="107"/>
  <c r="L92" i="107"/>
  <c r="M92" i="107"/>
  <c r="AC30" i="107" s="1"/>
  <c r="N92" i="107"/>
  <c r="D93" i="107"/>
  <c r="E93" i="107"/>
  <c r="F93" i="107"/>
  <c r="G93" i="107"/>
  <c r="H93" i="107"/>
  <c r="I93" i="107"/>
  <c r="J93" i="107"/>
  <c r="Z30" i="107" s="1"/>
  <c r="K93" i="107"/>
  <c r="L93" i="107"/>
  <c r="M93" i="107"/>
  <c r="N93" i="107"/>
  <c r="D94" i="107"/>
  <c r="E94" i="107"/>
  <c r="F94" i="107"/>
  <c r="G94" i="107"/>
  <c r="W31" i="107" s="1"/>
  <c r="H94" i="107"/>
  <c r="I94" i="107"/>
  <c r="J94" i="107"/>
  <c r="K94" i="107"/>
  <c r="L94" i="107"/>
  <c r="M94" i="107"/>
  <c r="N94" i="107"/>
  <c r="D95" i="107"/>
  <c r="T31" i="107" s="1"/>
  <c r="E95" i="107"/>
  <c r="F95" i="107"/>
  <c r="G95" i="107"/>
  <c r="H95" i="107"/>
  <c r="I95" i="107"/>
  <c r="J95" i="107"/>
  <c r="K95" i="107"/>
  <c r="L95" i="107"/>
  <c r="AB31" i="107" s="1"/>
  <c r="M95" i="107"/>
  <c r="N95" i="107"/>
  <c r="D96" i="107"/>
  <c r="E96" i="107"/>
  <c r="F96" i="107"/>
  <c r="G96" i="107"/>
  <c r="H96" i="107"/>
  <c r="I96" i="107"/>
  <c r="J96" i="107"/>
  <c r="K96" i="107"/>
  <c r="L96" i="107"/>
  <c r="M96" i="107"/>
  <c r="N96" i="107"/>
  <c r="D97" i="107"/>
  <c r="E97" i="107"/>
  <c r="F97" i="107"/>
  <c r="V31" i="107" s="1"/>
  <c r="G97" i="107"/>
  <c r="H97" i="107"/>
  <c r="I97" i="107"/>
  <c r="J97" i="107"/>
  <c r="K97" i="107"/>
  <c r="L97" i="107"/>
  <c r="M97" i="107"/>
  <c r="N97" i="107"/>
  <c r="AD31" i="107" s="1"/>
  <c r="D98" i="107"/>
  <c r="E98" i="107"/>
  <c r="F98" i="107"/>
  <c r="G98" i="107"/>
  <c r="H98" i="107"/>
  <c r="I98" i="107"/>
  <c r="J98" i="107"/>
  <c r="K98" i="107"/>
  <c r="AA32" i="107" s="1"/>
  <c r="L98" i="107"/>
  <c r="M98" i="107"/>
  <c r="N98" i="107"/>
  <c r="D99" i="107"/>
  <c r="E99" i="107"/>
  <c r="F99" i="107"/>
  <c r="G99" i="107"/>
  <c r="H99" i="107"/>
  <c r="X32" i="107" s="1"/>
  <c r="I99" i="107"/>
  <c r="J99" i="107"/>
  <c r="K99" i="107"/>
  <c r="L99" i="107"/>
  <c r="M99" i="107"/>
  <c r="N99" i="107"/>
  <c r="D100" i="107"/>
  <c r="E100" i="107"/>
  <c r="U32" i="107" s="1"/>
  <c r="F100" i="107"/>
  <c r="G100" i="107"/>
  <c r="H100" i="107"/>
  <c r="I100" i="107"/>
  <c r="J100" i="107"/>
  <c r="K100" i="107"/>
  <c r="L100" i="107"/>
  <c r="M100" i="107"/>
  <c r="AC32" i="107" s="1"/>
  <c r="N100" i="107"/>
  <c r="D101" i="107"/>
  <c r="E101" i="107"/>
  <c r="F101" i="107"/>
  <c r="G101" i="107"/>
  <c r="H101" i="107"/>
  <c r="I101" i="107"/>
  <c r="J101" i="107"/>
  <c r="Z32" i="107" s="1"/>
  <c r="K101" i="107"/>
  <c r="L101" i="107"/>
  <c r="M101" i="107"/>
  <c r="N101" i="107"/>
  <c r="D102" i="107"/>
  <c r="E102" i="107"/>
  <c r="F102" i="107"/>
  <c r="G102" i="107"/>
  <c r="W33" i="107" s="1"/>
  <c r="H102" i="107"/>
  <c r="I102" i="107"/>
  <c r="J102" i="107"/>
  <c r="K102" i="107"/>
  <c r="L102" i="107"/>
  <c r="M102" i="107"/>
  <c r="N102" i="107"/>
  <c r="D103" i="107"/>
  <c r="T33" i="107" s="1"/>
  <c r="E103" i="107"/>
  <c r="F103" i="107"/>
  <c r="G103" i="107"/>
  <c r="H103" i="107"/>
  <c r="I103" i="107"/>
  <c r="J103" i="107"/>
  <c r="K103" i="107"/>
  <c r="L103" i="107"/>
  <c r="AB33" i="107" s="1"/>
  <c r="M103" i="107"/>
  <c r="N103" i="107"/>
  <c r="D104" i="107"/>
  <c r="E104" i="107"/>
  <c r="F104" i="107"/>
  <c r="G104" i="107"/>
  <c r="H104" i="107"/>
  <c r="I104" i="107"/>
  <c r="Y33" i="107" s="1"/>
  <c r="J104" i="107"/>
  <c r="K104" i="107"/>
  <c r="L104" i="107"/>
  <c r="M104" i="107"/>
  <c r="N104" i="107"/>
  <c r="D105" i="107"/>
  <c r="E105" i="107"/>
  <c r="F105" i="107"/>
  <c r="G105" i="107"/>
  <c r="H105" i="107"/>
  <c r="I105" i="107"/>
  <c r="J105" i="107"/>
  <c r="K105" i="107"/>
  <c r="L105" i="107"/>
  <c r="M105" i="107"/>
  <c r="N105" i="107"/>
  <c r="C59" i="107"/>
  <c r="C60" i="107"/>
  <c r="C61" i="107"/>
  <c r="C62" i="107"/>
  <c r="C63" i="107"/>
  <c r="C64" i="107"/>
  <c r="C65" i="107"/>
  <c r="C66" i="107"/>
  <c r="S24" i="107" s="1"/>
  <c r="C67" i="107"/>
  <c r="C68" i="107"/>
  <c r="C69" i="107"/>
  <c r="C70" i="107"/>
  <c r="C71" i="107"/>
  <c r="C72" i="107"/>
  <c r="C73" i="107"/>
  <c r="C74" i="107"/>
  <c r="S26" i="107" s="1"/>
  <c r="C75" i="107"/>
  <c r="C76" i="107"/>
  <c r="C77" i="107"/>
  <c r="C78" i="107"/>
  <c r="C79" i="107"/>
  <c r="C80" i="107"/>
  <c r="C81" i="107"/>
  <c r="C82" i="107"/>
  <c r="S28" i="107" s="1"/>
  <c r="C83" i="107"/>
  <c r="C84" i="107"/>
  <c r="C85" i="107"/>
  <c r="C86" i="107"/>
  <c r="C87" i="107"/>
  <c r="C88" i="107"/>
  <c r="C89" i="107"/>
  <c r="C90" i="107"/>
  <c r="S30" i="107" s="1"/>
  <c r="C91" i="107"/>
  <c r="C92" i="107"/>
  <c r="C93" i="107"/>
  <c r="C94" i="107"/>
  <c r="C95" i="107"/>
  <c r="C96" i="107"/>
  <c r="C97" i="107"/>
  <c r="C98" i="107"/>
  <c r="S32" i="107" s="1"/>
  <c r="C99" i="107"/>
  <c r="C100" i="107"/>
  <c r="C101" i="107"/>
  <c r="C102" i="107"/>
  <c r="C103" i="107"/>
  <c r="C104" i="107"/>
  <c r="C105" i="107"/>
  <c r="C58" i="107"/>
  <c r="V22" i="111" s="1"/>
  <c r="O66" i="108"/>
  <c r="O74" i="108"/>
  <c r="O82" i="108"/>
  <c r="O90" i="108"/>
  <c r="O98" i="108"/>
  <c r="P58" i="108"/>
  <c r="P60" i="108"/>
  <c r="P66" i="108"/>
  <c r="P68" i="108"/>
  <c r="P74" i="108"/>
  <c r="P82" i="108"/>
  <c r="P90" i="108"/>
  <c r="P98" i="108"/>
  <c r="T28" i="111"/>
  <c r="V28" i="111"/>
  <c r="AB28" i="111"/>
  <c r="W28" i="111"/>
  <c r="AA29" i="111"/>
  <c r="V30" i="111"/>
  <c r="AD30" i="111"/>
  <c r="X31" i="111"/>
  <c r="AA31" i="111"/>
  <c r="T32" i="111"/>
  <c r="V32" i="111"/>
  <c r="AB32" i="111"/>
  <c r="AD32" i="111"/>
  <c r="W32" i="111"/>
  <c r="S23" i="111"/>
  <c r="S27" i="111"/>
  <c r="S31" i="111"/>
  <c r="X33" i="111"/>
  <c r="S33" i="111"/>
  <c r="AC31" i="111"/>
  <c r="U31" i="111"/>
  <c r="AB30" i="111"/>
  <c r="T30" i="111"/>
  <c r="Z29" i="111"/>
  <c r="X29" i="111"/>
  <c r="AD28" i="111"/>
  <c r="Y28" i="111"/>
  <c r="S25" i="111"/>
  <c r="AD21" i="111"/>
  <c r="AC21" i="111"/>
  <c r="AB21" i="111"/>
  <c r="AA21" i="111"/>
  <c r="Z21" i="111"/>
  <c r="Y21" i="111"/>
  <c r="X21" i="111"/>
  <c r="W21" i="111"/>
  <c r="V21" i="111"/>
  <c r="U21" i="111"/>
  <c r="T21" i="111"/>
  <c r="S21" i="111"/>
  <c r="AD20" i="111"/>
  <c r="AC20" i="111"/>
  <c r="AB20" i="111"/>
  <c r="AA20" i="111"/>
  <c r="Z20" i="111"/>
  <c r="Y20" i="111"/>
  <c r="X20" i="111"/>
  <c r="W20" i="111"/>
  <c r="V20" i="111"/>
  <c r="U20" i="111"/>
  <c r="T20" i="111"/>
  <c r="S20" i="111"/>
  <c r="AD19" i="111"/>
  <c r="AC19" i="111"/>
  <c r="AB19" i="111"/>
  <c r="AA19" i="111"/>
  <c r="Z19" i="111"/>
  <c r="Y19" i="111"/>
  <c r="X19" i="111"/>
  <c r="X39" i="111" s="1"/>
  <c r="W19" i="111"/>
  <c r="W39" i="111" s="1"/>
  <c r="V19" i="111"/>
  <c r="U19" i="111"/>
  <c r="T19" i="111"/>
  <c r="S19" i="111"/>
  <c r="AD18" i="111"/>
  <c r="AC18" i="111"/>
  <c r="AB18" i="111"/>
  <c r="AA18" i="111"/>
  <c r="Z18" i="111"/>
  <c r="Y18" i="111"/>
  <c r="X18" i="111"/>
  <c r="W18" i="111"/>
  <c r="V18" i="111"/>
  <c r="U18" i="111"/>
  <c r="T18" i="111"/>
  <c r="S18" i="111"/>
  <c r="AD17" i="111"/>
  <c r="AC17" i="111"/>
  <c r="AB17" i="111"/>
  <c r="AA17" i="111"/>
  <c r="Z17" i="111"/>
  <c r="Y17" i="111"/>
  <c r="X17" i="111"/>
  <c r="W17" i="111"/>
  <c r="V17" i="111"/>
  <c r="U17" i="111"/>
  <c r="T17" i="111"/>
  <c r="S17" i="111"/>
  <c r="AD16" i="111"/>
  <c r="AC16" i="111"/>
  <c r="AB16" i="111"/>
  <c r="AA16" i="111"/>
  <c r="Z16" i="111"/>
  <c r="Y16" i="111"/>
  <c r="X16" i="111"/>
  <c r="W16" i="111"/>
  <c r="V16" i="111"/>
  <c r="U16" i="111"/>
  <c r="T16" i="111"/>
  <c r="S16" i="111"/>
  <c r="AD15" i="111"/>
  <c r="AC15" i="111"/>
  <c r="AB15" i="111"/>
  <c r="AA15" i="111"/>
  <c r="Z15" i="111"/>
  <c r="Y15" i="111"/>
  <c r="X15" i="111"/>
  <c r="W15" i="111"/>
  <c r="V15" i="111"/>
  <c r="U15" i="111"/>
  <c r="T15" i="111"/>
  <c r="S15" i="111"/>
  <c r="AD14" i="111"/>
  <c r="AC14" i="111"/>
  <c r="AB14" i="111"/>
  <c r="AA14" i="111"/>
  <c r="Z14" i="111"/>
  <c r="Y14" i="111"/>
  <c r="X14" i="111"/>
  <c r="W14" i="111"/>
  <c r="V14" i="111"/>
  <c r="U14" i="111"/>
  <c r="T14" i="111"/>
  <c r="S14" i="111"/>
  <c r="AD13" i="111"/>
  <c r="AD38" i="111" s="1"/>
  <c r="AC13" i="111"/>
  <c r="AB13" i="111"/>
  <c r="AB38" i="111" s="1"/>
  <c r="AA13" i="111"/>
  <c r="AA38" i="111" s="1"/>
  <c r="Z13" i="111"/>
  <c r="Y13" i="111"/>
  <c r="X13" i="111"/>
  <c r="W13" i="111"/>
  <c r="V13" i="111"/>
  <c r="V38" i="111" s="1"/>
  <c r="U13" i="111"/>
  <c r="T13" i="111"/>
  <c r="T38" i="111" s="1"/>
  <c r="S13" i="111"/>
  <c r="S38" i="111" s="1"/>
  <c r="AD12" i="111"/>
  <c r="AC12" i="111"/>
  <c r="AB12" i="111"/>
  <c r="AA12" i="111"/>
  <c r="Z12" i="111"/>
  <c r="Y12" i="111"/>
  <c r="X12" i="111"/>
  <c r="W12" i="111"/>
  <c r="V12" i="111"/>
  <c r="U12" i="111"/>
  <c r="T12" i="111"/>
  <c r="S12" i="111"/>
  <c r="AD11" i="111"/>
  <c r="AC11" i="111"/>
  <c r="AB11" i="111"/>
  <c r="AA11" i="111"/>
  <c r="Z11" i="111"/>
  <c r="Y11" i="111"/>
  <c r="X11" i="111"/>
  <c r="W11" i="111"/>
  <c r="V11" i="111"/>
  <c r="U11" i="111"/>
  <c r="T11" i="111"/>
  <c r="S11" i="111"/>
  <c r="AD10" i="111"/>
  <c r="AC10" i="111"/>
  <c r="AB10" i="111"/>
  <c r="AB40" i="111" s="1"/>
  <c r="AA10" i="111"/>
  <c r="AA40" i="111" s="1"/>
  <c r="Z10" i="111"/>
  <c r="Y10" i="111"/>
  <c r="X10" i="111"/>
  <c r="W10" i="111"/>
  <c r="W37" i="111" s="1"/>
  <c r="V10" i="111"/>
  <c r="U10" i="111"/>
  <c r="T10" i="111"/>
  <c r="T40" i="111" s="1"/>
  <c r="S10" i="111"/>
  <c r="S40" i="111" s="1"/>
  <c r="AF33" i="107"/>
  <c r="AD33" i="107"/>
  <c r="AC33" i="107"/>
  <c r="AA33" i="107"/>
  <c r="Z33" i="107"/>
  <c r="X33" i="107"/>
  <c r="V33" i="107"/>
  <c r="U33" i="107"/>
  <c r="S33" i="107"/>
  <c r="AE32" i="107"/>
  <c r="AD32" i="107"/>
  <c r="AB32" i="107"/>
  <c r="Y32" i="107"/>
  <c r="W32" i="107"/>
  <c r="V32" i="107"/>
  <c r="T32" i="107"/>
  <c r="AC31" i="107"/>
  <c r="AA31" i="107"/>
  <c r="Z31" i="107"/>
  <c r="Y31" i="107"/>
  <c r="X31" i="107"/>
  <c r="U31" i="107"/>
  <c r="S31" i="107"/>
  <c r="AE30" i="107"/>
  <c r="AD30" i="107"/>
  <c r="AB30" i="107"/>
  <c r="Y30" i="107"/>
  <c r="W30" i="107"/>
  <c r="V30" i="107"/>
  <c r="T30" i="107"/>
  <c r="AC29" i="107"/>
  <c r="AB29" i="107"/>
  <c r="AA29" i="107"/>
  <c r="Z29" i="107"/>
  <c r="X29" i="107"/>
  <c r="U29" i="107"/>
  <c r="T29" i="107"/>
  <c r="S29" i="107"/>
  <c r="AF28" i="107"/>
  <c r="AE28" i="107"/>
  <c r="AD28" i="107"/>
  <c r="AB28" i="107"/>
  <c r="Z28" i="107"/>
  <c r="Y28" i="107"/>
  <c r="W28" i="107"/>
  <c r="V28" i="107"/>
  <c r="T28" i="107"/>
  <c r="AC27" i="107"/>
  <c r="AA27" i="107"/>
  <c r="Z27" i="107"/>
  <c r="X27" i="107"/>
  <c r="W27" i="107"/>
  <c r="U27" i="107"/>
  <c r="S27" i="107"/>
  <c r="AE26" i="107"/>
  <c r="AD26" i="107"/>
  <c r="AC26" i="107"/>
  <c r="AB26" i="107"/>
  <c r="Y26" i="107"/>
  <c r="W26" i="107"/>
  <c r="V26" i="107"/>
  <c r="U26" i="107"/>
  <c r="T26" i="107"/>
  <c r="AE25" i="107"/>
  <c r="AC25" i="107"/>
  <c r="AA25" i="107"/>
  <c r="Z25" i="107"/>
  <c r="X25" i="107"/>
  <c r="U25" i="107"/>
  <c r="S25" i="107"/>
  <c r="AE24" i="107"/>
  <c r="AD24" i="107"/>
  <c r="AB24" i="107"/>
  <c r="Y24" i="107"/>
  <c r="X24" i="107"/>
  <c r="W24" i="107"/>
  <c r="V24" i="107"/>
  <c r="T24" i="107"/>
  <c r="AC23" i="107"/>
  <c r="AA23" i="107"/>
  <c r="Z23" i="107"/>
  <c r="X23" i="107"/>
  <c r="U23" i="107"/>
  <c r="S23" i="107"/>
  <c r="AF22" i="107"/>
  <c r="AE22" i="107"/>
  <c r="AD22" i="107"/>
  <c r="AB22" i="107"/>
  <c r="AA22" i="107"/>
  <c r="Y22" i="107"/>
  <c r="W22" i="107"/>
  <c r="V22" i="107"/>
  <c r="T22" i="107"/>
  <c r="S22" i="107"/>
  <c r="AF21" i="107"/>
  <c r="AE21" i="107"/>
  <c r="AD21" i="107"/>
  <c r="AC21" i="107"/>
  <c r="AB21" i="107"/>
  <c r="AA21" i="107"/>
  <c r="Z21" i="107"/>
  <c r="Y21" i="107"/>
  <c r="X21" i="107"/>
  <c r="W21" i="107"/>
  <c r="V21" i="107"/>
  <c r="U21" i="107"/>
  <c r="T21" i="107"/>
  <c r="S21" i="107"/>
  <c r="AF20" i="107"/>
  <c r="AE20" i="107"/>
  <c r="AD20" i="107"/>
  <c r="AD36" i="107" s="1"/>
  <c r="AC20" i="107"/>
  <c r="AB20" i="107"/>
  <c r="AA20" i="107"/>
  <c r="Z20" i="107"/>
  <c r="Z36" i="107" s="1"/>
  <c r="Y20" i="107"/>
  <c r="X20" i="107"/>
  <c r="W20" i="107"/>
  <c r="V20" i="107"/>
  <c r="V36" i="107" s="1"/>
  <c r="U20" i="107"/>
  <c r="T20" i="107"/>
  <c r="S20" i="107"/>
  <c r="AF19" i="107"/>
  <c r="AF39" i="107" s="1"/>
  <c r="AE19" i="107"/>
  <c r="AE39" i="107" s="1"/>
  <c r="AD19" i="107"/>
  <c r="AD39" i="107" s="1"/>
  <c r="AC19" i="107"/>
  <c r="AC39" i="107" s="1"/>
  <c r="AB19" i="107"/>
  <c r="AB36" i="107" s="1"/>
  <c r="AA19" i="107"/>
  <c r="AA36" i="107" s="1"/>
  <c r="Z19" i="107"/>
  <c r="Z39" i="107" s="1"/>
  <c r="Y19" i="107"/>
  <c r="Y39" i="107" s="1"/>
  <c r="X19" i="107"/>
  <c r="X39" i="107" s="1"/>
  <c r="W19" i="107"/>
  <c r="W39" i="107" s="1"/>
  <c r="V19" i="107"/>
  <c r="V39" i="107" s="1"/>
  <c r="U19" i="107"/>
  <c r="U39" i="107" s="1"/>
  <c r="T19" i="107"/>
  <c r="T36" i="107" s="1"/>
  <c r="S19" i="107"/>
  <c r="S36" i="107" s="1"/>
  <c r="AF18" i="107"/>
  <c r="AE18" i="107"/>
  <c r="AD18" i="107"/>
  <c r="AC18" i="107"/>
  <c r="AB18" i="107"/>
  <c r="AA18" i="107"/>
  <c r="Z18" i="107"/>
  <c r="Y18" i="107"/>
  <c r="X18" i="107"/>
  <c r="W18" i="107"/>
  <c r="V18" i="107"/>
  <c r="U18" i="107"/>
  <c r="T18" i="107"/>
  <c r="S18" i="107"/>
  <c r="AF17" i="107"/>
  <c r="AE17" i="107"/>
  <c r="AD17" i="107"/>
  <c r="AC17" i="107"/>
  <c r="AB17" i="107"/>
  <c r="AA17" i="107"/>
  <c r="Z17" i="107"/>
  <c r="Y17" i="107"/>
  <c r="X17" i="107"/>
  <c r="W17" i="107"/>
  <c r="V17" i="107"/>
  <c r="U17" i="107"/>
  <c r="T17" i="107"/>
  <c r="S17" i="107"/>
  <c r="AF16" i="107"/>
  <c r="AE16" i="107"/>
  <c r="AD16" i="107"/>
  <c r="AC16" i="107"/>
  <c r="AB16" i="107"/>
  <c r="AA16" i="107"/>
  <c r="Z16" i="107"/>
  <c r="Y16" i="107"/>
  <c r="X16" i="107"/>
  <c r="W16" i="107"/>
  <c r="V16" i="107"/>
  <c r="U16" i="107"/>
  <c r="T16" i="107"/>
  <c r="S16" i="107"/>
  <c r="AF15" i="107"/>
  <c r="AE15" i="107"/>
  <c r="AD15" i="107"/>
  <c r="AC15" i="107"/>
  <c r="AB15" i="107"/>
  <c r="AA15" i="107"/>
  <c r="Z15" i="107"/>
  <c r="Y15" i="107"/>
  <c r="X15" i="107"/>
  <c r="W15" i="107"/>
  <c r="V15" i="107"/>
  <c r="U15" i="107"/>
  <c r="T15" i="107"/>
  <c r="S15" i="107"/>
  <c r="AF14" i="107"/>
  <c r="AE14" i="107"/>
  <c r="AD14" i="107"/>
  <c r="AC14" i="107"/>
  <c r="AB14" i="107"/>
  <c r="AA14" i="107"/>
  <c r="Z14" i="107"/>
  <c r="Y14" i="107"/>
  <c r="X14" i="107"/>
  <c r="W14" i="107"/>
  <c r="V14" i="107"/>
  <c r="U14" i="107"/>
  <c r="T14" i="107"/>
  <c r="S14" i="107"/>
  <c r="AF13" i="107"/>
  <c r="AF38" i="107" s="1"/>
  <c r="AE13" i="107"/>
  <c r="AE38" i="107" s="1"/>
  <c r="AD13" i="107"/>
  <c r="AD38" i="107" s="1"/>
  <c r="AC13" i="107"/>
  <c r="AC38" i="107" s="1"/>
  <c r="AB13" i="107"/>
  <c r="AB38" i="107" s="1"/>
  <c r="AA13" i="107"/>
  <c r="AA38" i="107" s="1"/>
  <c r="Z13" i="107"/>
  <c r="Z35" i="107" s="1"/>
  <c r="Y13" i="107"/>
  <c r="Y35" i="107" s="1"/>
  <c r="X13" i="107"/>
  <c r="X38" i="107" s="1"/>
  <c r="W13" i="107"/>
  <c r="W38" i="107" s="1"/>
  <c r="V13" i="107"/>
  <c r="V38" i="107" s="1"/>
  <c r="U13" i="107"/>
  <c r="U38" i="107" s="1"/>
  <c r="T13" i="107"/>
  <c r="T38" i="107" s="1"/>
  <c r="S13" i="107"/>
  <c r="S38" i="107" s="1"/>
  <c r="AF12" i="107"/>
  <c r="AE12" i="107"/>
  <c r="AD12" i="107"/>
  <c r="AC12" i="107"/>
  <c r="AB12" i="107"/>
  <c r="AA12" i="107"/>
  <c r="Z12" i="107"/>
  <c r="Y12" i="107"/>
  <c r="X12" i="107"/>
  <c r="W12" i="107"/>
  <c r="V12" i="107"/>
  <c r="U12" i="107"/>
  <c r="T12" i="107"/>
  <c r="S12" i="107"/>
  <c r="AF11" i="107"/>
  <c r="AE11" i="107"/>
  <c r="AD11" i="107"/>
  <c r="AC11" i="107"/>
  <c r="AB11" i="107"/>
  <c r="AA11" i="107"/>
  <c r="Z11" i="107"/>
  <c r="Y11" i="107"/>
  <c r="X11" i="107"/>
  <c r="W11" i="107"/>
  <c r="V11" i="107"/>
  <c r="U11" i="107"/>
  <c r="T11" i="107"/>
  <c r="S11" i="107"/>
  <c r="AF10" i="107"/>
  <c r="AF34" i="107" s="1"/>
  <c r="AE10" i="107"/>
  <c r="AE34" i="107" s="1"/>
  <c r="AD10" i="107"/>
  <c r="AC10" i="107"/>
  <c r="AB10" i="107"/>
  <c r="AB40" i="107" s="1"/>
  <c r="AA10" i="107"/>
  <c r="AA40" i="107" s="1"/>
  <c r="Z10" i="107"/>
  <c r="Z40" i="107" s="1"/>
  <c r="Y10" i="107"/>
  <c r="Y40" i="107" s="1"/>
  <c r="X10" i="107"/>
  <c r="X34" i="107" s="1"/>
  <c r="W10" i="107"/>
  <c r="W34" i="107" s="1"/>
  <c r="V10" i="107"/>
  <c r="U10" i="107"/>
  <c r="T10" i="107"/>
  <c r="T40" i="107" s="1"/>
  <c r="S10" i="107"/>
  <c r="S40" i="107" s="1"/>
  <c r="AE37" i="108"/>
  <c r="W37" i="108"/>
  <c r="AC33" i="108"/>
  <c r="AA33" i="108"/>
  <c r="Z33" i="108"/>
  <c r="X33" i="108"/>
  <c r="U33" i="108"/>
  <c r="S33" i="108"/>
  <c r="AD32" i="108"/>
  <c r="AB32" i="108"/>
  <c r="Z32" i="108"/>
  <c r="Y32" i="108"/>
  <c r="X32" i="108"/>
  <c r="W32" i="108"/>
  <c r="V32" i="108"/>
  <c r="T32" i="108"/>
  <c r="AC31" i="108"/>
  <c r="AA31" i="108"/>
  <c r="Z31" i="108"/>
  <c r="X31" i="108"/>
  <c r="U31" i="108"/>
  <c r="S31" i="108"/>
  <c r="AD30" i="108"/>
  <c r="AB30" i="108"/>
  <c r="Y30" i="108"/>
  <c r="W30" i="108"/>
  <c r="V30" i="108"/>
  <c r="T30" i="108"/>
  <c r="AC29" i="108"/>
  <c r="AB29" i="108"/>
  <c r="AA29" i="108"/>
  <c r="Z29" i="108"/>
  <c r="X29" i="108"/>
  <c r="U29" i="108"/>
  <c r="T29" i="108"/>
  <c r="S29" i="108"/>
  <c r="AD28" i="108"/>
  <c r="AB28" i="108"/>
  <c r="Y28" i="108"/>
  <c r="X28" i="108"/>
  <c r="W28" i="108"/>
  <c r="V28" i="108"/>
  <c r="T28" i="108"/>
  <c r="AC27" i="108"/>
  <c r="AB27" i="108"/>
  <c r="AA27" i="108"/>
  <c r="Z27" i="108"/>
  <c r="X27" i="108"/>
  <c r="U27" i="108"/>
  <c r="T27" i="108"/>
  <c r="S27" i="108"/>
  <c r="AD26" i="108"/>
  <c r="AB26" i="108"/>
  <c r="Y26" i="108"/>
  <c r="W26" i="108"/>
  <c r="V26" i="108"/>
  <c r="T26" i="108"/>
  <c r="AC25" i="108"/>
  <c r="AB25" i="108"/>
  <c r="AA25" i="108"/>
  <c r="Z25" i="108"/>
  <c r="X25" i="108"/>
  <c r="U25" i="108"/>
  <c r="T25" i="108"/>
  <c r="S25" i="108"/>
  <c r="AD24" i="108"/>
  <c r="AB24" i="108"/>
  <c r="Y24" i="108"/>
  <c r="X24" i="108"/>
  <c r="W24" i="108"/>
  <c r="V24" i="108"/>
  <c r="T24" i="108"/>
  <c r="AC23" i="108"/>
  <c r="AA23" i="108"/>
  <c r="Z23" i="108"/>
  <c r="Y23" i="108"/>
  <c r="X23" i="108"/>
  <c r="U23" i="108"/>
  <c r="S23" i="108"/>
  <c r="AD22" i="108"/>
  <c r="AB22" i="108"/>
  <c r="Y22" i="108"/>
  <c r="X22" i="108"/>
  <c r="W22" i="108"/>
  <c r="V22" i="108"/>
  <c r="T22" i="108"/>
  <c r="S22" i="108"/>
  <c r="AF21" i="108"/>
  <c r="AE21" i="108"/>
  <c r="AD21" i="108"/>
  <c r="AC21" i="108"/>
  <c r="AB21" i="108"/>
  <c r="AA21" i="108"/>
  <c r="Z21" i="108"/>
  <c r="Y21" i="108"/>
  <c r="X21" i="108"/>
  <c r="W21" i="108"/>
  <c r="V21" i="108"/>
  <c r="U21" i="108"/>
  <c r="T21" i="108"/>
  <c r="S21" i="108"/>
  <c r="AF20" i="108"/>
  <c r="AE20" i="108"/>
  <c r="AD20" i="108"/>
  <c r="AC20" i="108"/>
  <c r="AC36" i="108" s="1"/>
  <c r="AB20" i="108"/>
  <c r="AA20" i="108"/>
  <c r="Z20" i="108"/>
  <c r="Y20" i="108"/>
  <c r="X20" i="108"/>
  <c r="W20" i="108"/>
  <c r="V20" i="108"/>
  <c r="U20" i="108"/>
  <c r="U36" i="108" s="1"/>
  <c r="T20" i="108"/>
  <c r="S20" i="108"/>
  <c r="AF19" i="108"/>
  <c r="AF39" i="108" s="1"/>
  <c r="AE19" i="108"/>
  <c r="AE39" i="108" s="1"/>
  <c r="AD19" i="108"/>
  <c r="AD39" i="108" s="1"/>
  <c r="AC19" i="108"/>
  <c r="AC39" i="108" s="1"/>
  <c r="AB19" i="108"/>
  <c r="AB36" i="108" s="1"/>
  <c r="AA19" i="108"/>
  <c r="AA36" i="108" s="1"/>
  <c r="Z19" i="108"/>
  <c r="Z39" i="108" s="1"/>
  <c r="Y19" i="108"/>
  <c r="Y39" i="108" s="1"/>
  <c r="X19" i="108"/>
  <c r="X39" i="108" s="1"/>
  <c r="W19" i="108"/>
  <c r="W39" i="108" s="1"/>
  <c r="V19" i="108"/>
  <c r="V39" i="108" s="1"/>
  <c r="U19" i="108"/>
  <c r="U39" i="108" s="1"/>
  <c r="T19" i="108"/>
  <c r="T36" i="108" s="1"/>
  <c r="S19" i="108"/>
  <c r="S39" i="108" s="1"/>
  <c r="AF18" i="108"/>
  <c r="AE18" i="108"/>
  <c r="AD18" i="108"/>
  <c r="AC18" i="108"/>
  <c r="AB18" i="108"/>
  <c r="AA18" i="108"/>
  <c r="Z18" i="108"/>
  <c r="Y18" i="108"/>
  <c r="X18" i="108"/>
  <c r="W18" i="108"/>
  <c r="V18" i="108"/>
  <c r="U18" i="108"/>
  <c r="T18" i="108"/>
  <c r="S18" i="108"/>
  <c r="AF17" i="108"/>
  <c r="AE17" i="108"/>
  <c r="AD17" i="108"/>
  <c r="AC17" i="108"/>
  <c r="AB17" i="108"/>
  <c r="AA17" i="108"/>
  <c r="Z17" i="108"/>
  <c r="Y17" i="108"/>
  <c r="X17" i="108"/>
  <c r="W17" i="108"/>
  <c r="V17" i="108"/>
  <c r="U17" i="108"/>
  <c r="T17" i="108"/>
  <c r="S17" i="108"/>
  <c r="AF16" i="108"/>
  <c r="AE16" i="108"/>
  <c r="AD16" i="108"/>
  <c r="AC16" i="108"/>
  <c r="AB16" i="108"/>
  <c r="AA16" i="108"/>
  <c r="Z16" i="108"/>
  <c r="Y16" i="108"/>
  <c r="X16" i="108"/>
  <c r="W16" i="108"/>
  <c r="V16" i="108"/>
  <c r="U16" i="108"/>
  <c r="T16" i="108"/>
  <c r="S16" i="108"/>
  <c r="AF15" i="108"/>
  <c r="AE15" i="108"/>
  <c r="AD15" i="108"/>
  <c r="AC15" i="108"/>
  <c r="AB15" i="108"/>
  <c r="AA15" i="108"/>
  <c r="AA35" i="108" s="1"/>
  <c r="Z15" i="108"/>
  <c r="Y15" i="108"/>
  <c r="X15" i="108"/>
  <c r="W15" i="108"/>
  <c r="V15" i="108"/>
  <c r="U15" i="108"/>
  <c r="T15" i="108"/>
  <c r="S15" i="108"/>
  <c r="S35" i="108" s="1"/>
  <c r="AF14" i="108"/>
  <c r="AE14" i="108"/>
  <c r="AD14" i="108"/>
  <c r="AC14" i="108"/>
  <c r="AB14" i="108"/>
  <c r="AA14" i="108"/>
  <c r="Z14" i="108"/>
  <c r="Y14" i="108"/>
  <c r="Y38" i="108" s="1"/>
  <c r="X14" i="108"/>
  <c r="W14" i="108"/>
  <c r="V14" i="108"/>
  <c r="U14" i="108"/>
  <c r="T14" i="108"/>
  <c r="S14" i="108"/>
  <c r="AF13" i="108"/>
  <c r="AF38" i="108" s="1"/>
  <c r="AE13" i="108"/>
  <c r="AE38" i="108" s="1"/>
  <c r="AD13" i="108"/>
  <c r="AD38" i="108" s="1"/>
  <c r="AC13" i="108"/>
  <c r="AC38" i="108" s="1"/>
  <c r="AB13" i="108"/>
  <c r="AB38" i="108" s="1"/>
  <c r="AA13" i="108"/>
  <c r="AA38" i="108" s="1"/>
  <c r="Z13" i="108"/>
  <c r="Z35" i="108" s="1"/>
  <c r="Y13" i="108"/>
  <c r="Y35" i="108" s="1"/>
  <c r="X13" i="108"/>
  <c r="X38" i="108" s="1"/>
  <c r="W13" i="108"/>
  <c r="W38" i="108" s="1"/>
  <c r="V13" i="108"/>
  <c r="V38" i="108" s="1"/>
  <c r="U13" i="108"/>
  <c r="U38" i="108" s="1"/>
  <c r="T13" i="108"/>
  <c r="T38" i="108" s="1"/>
  <c r="S13" i="108"/>
  <c r="S38" i="108" s="1"/>
  <c r="AF12" i="108"/>
  <c r="AE12" i="108"/>
  <c r="AD12" i="108"/>
  <c r="AC12" i="108"/>
  <c r="AC40" i="108" s="1"/>
  <c r="AB12" i="108"/>
  <c r="AA12" i="108"/>
  <c r="Z12" i="108"/>
  <c r="Y12" i="108"/>
  <c r="X12" i="108"/>
  <c r="W12" i="108"/>
  <c r="V12" i="108"/>
  <c r="U12" i="108"/>
  <c r="U40" i="108" s="1"/>
  <c r="T12" i="108"/>
  <c r="S12" i="108"/>
  <c r="AF11" i="108"/>
  <c r="AE11" i="108"/>
  <c r="AD11" i="108"/>
  <c r="AC11" i="108"/>
  <c r="AB11" i="108"/>
  <c r="AA11" i="108"/>
  <c r="Z11" i="108"/>
  <c r="Y11" i="108"/>
  <c r="X11" i="108"/>
  <c r="W11" i="108"/>
  <c r="V11" i="108"/>
  <c r="U11" i="108"/>
  <c r="T11" i="108"/>
  <c r="S11" i="108"/>
  <c r="AF10" i="108"/>
  <c r="AF34" i="108" s="1"/>
  <c r="AE10" i="108"/>
  <c r="AE34" i="108" s="1"/>
  <c r="AD10" i="108"/>
  <c r="AC10" i="108"/>
  <c r="AB10" i="108"/>
  <c r="AB40" i="108" s="1"/>
  <c r="AA10" i="108"/>
  <c r="AA40" i="108" s="1"/>
  <c r="Z10" i="108"/>
  <c r="Z40" i="108" s="1"/>
  <c r="Y10" i="108"/>
  <c r="Y40" i="108" s="1"/>
  <c r="X10" i="108"/>
  <c r="X34" i="108" s="1"/>
  <c r="W10" i="108"/>
  <c r="W34" i="108" s="1"/>
  <c r="V10" i="108"/>
  <c r="U10" i="108"/>
  <c r="T10" i="108"/>
  <c r="T40" i="108" s="1"/>
  <c r="S10" i="108"/>
  <c r="S40" i="108" s="1"/>
  <c r="H106" i="107"/>
  <c r="M106" i="108"/>
  <c r="K106" i="108"/>
  <c r="E106" i="108"/>
  <c r="AC38" i="111" l="1"/>
  <c r="Y39" i="111"/>
  <c r="Z39" i="111"/>
  <c r="W34" i="111"/>
  <c r="U40" i="111"/>
  <c r="W38" i="111"/>
  <c r="Y38" i="111"/>
  <c r="S35" i="111"/>
  <c r="AA35" i="111"/>
  <c r="S36" i="111"/>
  <c r="AA39" i="111"/>
  <c r="U36" i="111"/>
  <c r="AC36" i="111"/>
  <c r="X34" i="111"/>
  <c r="X38" i="111"/>
  <c r="T36" i="111"/>
  <c r="AB36" i="111"/>
  <c r="Y34" i="111"/>
  <c r="Y35" i="111"/>
  <c r="U39" i="111"/>
  <c r="AC39" i="111"/>
  <c r="U38" i="111"/>
  <c r="Z40" i="111"/>
  <c r="Z35" i="111"/>
  <c r="V39" i="111"/>
  <c r="AD39" i="111"/>
  <c r="AC40" i="111"/>
  <c r="AD31" i="111"/>
  <c r="AF28" i="108"/>
  <c r="AE32" i="108"/>
  <c r="AE24" i="108"/>
  <c r="F106" i="108"/>
  <c r="N106" i="108"/>
  <c r="T23" i="108"/>
  <c r="AB23" i="108"/>
  <c r="Z26" i="108"/>
  <c r="Z30" i="108"/>
  <c r="V31" i="108"/>
  <c r="AD31" i="108"/>
  <c r="AA32" i="108"/>
  <c r="V33" i="108"/>
  <c r="AD33" i="108"/>
  <c r="P105" i="111"/>
  <c r="AA33" i="111"/>
  <c r="W30" i="111"/>
  <c r="AB23" i="111"/>
  <c r="P105" i="108"/>
  <c r="P97" i="108"/>
  <c r="P89" i="108"/>
  <c r="P81" i="108"/>
  <c r="P73" i="108"/>
  <c r="P65" i="108"/>
  <c r="O97" i="108"/>
  <c r="AE31" i="108" s="1"/>
  <c r="O89" i="108"/>
  <c r="O81" i="108"/>
  <c r="O73" i="108"/>
  <c r="O65" i="108"/>
  <c r="G106" i="108"/>
  <c r="Z22" i="108"/>
  <c r="Z24" i="108"/>
  <c r="Z41" i="108" s="1"/>
  <c r="Z42" i="108" s="1"/>
  <c r="V25" i="108"/>
  <c r="AD25" i="108"/>
  <c r="AA26" i="108"/>
  <c r="AD27" i="108"/>
  <c r="Z28" i="108"/>
  <c r="V29" i="108"/>
  <c r="AD29" i="108"/>
  <c r="AA30" i="108"/>
  <c r="AA41" i="108" s="1"/>
  <c r="AA42" i="108" s="1"/>
  <c r="W31" i="108"/>
  <c r="W33" i="108"/>
  <c r="P104" i="108"/>
  <c r="P96" i="108"/>
  <c r="P88" i="108"/>
  <c r="P80" i="108"/>
  <c r="P72" i="108"/>
  <c r="P64" i="108"/>
  <c r="O104" i="108"/>
  <c r="O96" i="108"/>
  <c r="O88" i="108"/>
  <c r="AE29" i="108" s="1"/>
  <c r="O80" i="108"/>
  <c r="AE27" i="108" s="1"/>
  <c r="O72" i="108"/>
  <c r="O106" i="108" s="1"/>
  <c r="O64" i="108"/>
  <c r="H106" i="108"/>
  <c r="AA22" i="108"/>
  <c r="V23" i="108"/>
  <c r="V41" i="108" s="1"/>
  <c r="AD23" i="108"/>
  <c r="W25" i="108"/>
  <c r="W27" i="108"/>
  <c r="W41" i="108" s="1"/>
  <c r="W42" i="108" s="1"/>
  <c r="AA28" i="108"/>
  <c r="W29" i="108"/>
  <c r="U32" i="108"/>
  <c r="AC32" i="108"/>
  <c r="P94" i="111"/>
  <c r="P85" i="111"/>
  <c r="Y33" i="111"/>
  <c r="AB33" i="111"/>
  <c r="T33" i="111"/>
  <c r="W33" i="111"/>
  <c r="Z32" i="111"/>
  <c r="U32" i="111"/>
  <c r="X32" i="111"/>
  <c r="Y31" i="111"/>
  <c r="AB31" i="111"/>
  <c r="T31" i="111"/>
  <c r="W31" i="111"/>
  <c r="Z30" i="111"/>
  <c r="AC30" i="111"/>
  <c r="U30" i="111"/>
  <c r="X30" i="111"/>
  <c r="Y29" i="111"/>
  <c r="T29" i="111"/>
  <c r="W29" i="111"/>
  <c r="Z28" i="111"/>
  <c r="AC28" i="111"/>
  <c r="U28" i="111"/>
  <c r="X28" i="111"/>
  <c r="W25" i="111"/>
  <c r="P103" i="108"/>
  <c r="P95" i="108"/>
  <c r="P87" i="108"/>
  <c r="P79" i="108"/>
  <c r="P71" i="108"/>
  <c r="P63" i="108"/>
  <c r="O103" i="108"/>
  <c r="AE33" i="108" s="1"/>
  <c r="O95" i="108"/>
  <c r="O71" i="108"/>
  <c r="AE25" i="108" s="1"/>
  <c r="O63" i="108"/>
  <c r="P88" i="111"/>
  <c r="AE28" i="108"/>
  <c r="W23" i="108"/>
  <c r="U26" i="108"/>
  <c r="AC26" i="108"/>
  <c r="U30" i="108"/>
  <c r="P102" i="111"/>
  <c r="P93" i="111"/>
  <c r="P84" i="111"/>
  <c r="P102" i="108"/>
  <c r="P94" i="108"/>
  <c r="P86" i="108"/>
  <c r="P78" i="108"/>
  <c r="P70" i="108"/>
  <c r="P62" i="108"/>
  <c r="O62" i="108"/>
  <c r="P97" i="111"/>
  <c r="AE30" i="108"/>
  <c r="P98" i="111"/>
  <c r="J106" i="108"/>
  <c r="AC41" i="108"/>
  <c r="AC42" i="108" s="1"/>
  <c r="U22" i="108"/>
  <c r="U41" i="108" s="1"/>
  <c r="U42" i="108" s="1"/>
  <c r="U24" i="108"/>
  <c r="AC24" i="108"/>
  <c r="Y27" i="108"/>
  <c r="Y41" i="108" s="1"/>
  <c r="Y42" i="108" s="1"/>
  <c r="U28" i="108"/>
  <c r="P83" i="111"/>
  <c r="Z33" i="111"/>
  <c r="AC33" i="111"/>
  <c r="U33" i="111"/>
  <c r="Y32" i="111"/>
  <c r="Z31" i="111"/>
  <c r="Y30" i="111"/>
  <c r="AC29" i="111"/>
  <c r="U29" i="111"/>
  <c r="P101" i="108"/>
  <c r="P93" i="108"/>
  <c r="P85" i="108"/>
  <c r="P77" i="108"/>
  <c r="P69" i="108"/>
  <c r="P61" i="108"/>
  <c r="O77" i="108"/>
  <c r="AE26" i="108" s="1"/>
  <c r="AD41" i="108"/>
  <c r="P100" i="111"/>
  <c r="P91" i="111"/>
  <c r="P100" i="108"/>
  <c r="P92" i="108"/>
  <c r="P84" i="108"/>
  <c r="P76" i="108"/>
  <c r="O60" i="108"/>
  <c r="AE22" i="108" s="1"/>
  <c r="AE41" i="108" s="1"/>
  <c r="D106" i="108"/>
  <c r="X26" i="108"/>
  <c r="X30" i="108"/>
  <c r="X41" i="108" s="1"/>
  <c r="X42" i="108" s="1"/>
  <c r="P99" i="111"/>
  <c r="P89" i="111"/>
  <c r="P99" i="108"/>
  <c r="AF32" i="108" s="1"/>
  <c r="P91" i="108"/>
  <c r="AF30" i="108" s="1"/>
  <c r="P83" i="108"/>
  <c r="P75" i="108"/>
  <c r="AF26" i="108" s="1"/>
  <c r="P67" i="108"/>
  <c r="AF24" i="108" s="1"/>
  <c r="P59" i="108"/>
  <c r="AF22" i="108" s="1"/>
  <c r="S30" i="108"/>
  <c r="S24" i="108"/>
  <c r="S32" i="108"/>
  <c r="S28" i="111"/>
  <c r="S26" i="111"/>
  <c r="S24" i="111"/>
  <c r="S29" i="111"/>
  <c r="P106" i="107"/>
  <c r="O106" i="107"/>
  <c r="I106" i="107"/>
  <c r="V23" i="107"/>
  <c r="AD23" i="107"/>
  <c r="J106" i="107"/>
  <c r="U41" i="107"/>
  <c r="AC41" i="107"/>
  <c r="U22" i="107"/>
  <c r="AC22" i="107"/>
  <c r="W23" i="107"/>
  <c r="V41" i="107"/>
  <c r="AD41" i="107"/>
  <c r="D106" i="107"/>
  <c r="L106" i="107"/>
  <c r="C106" i="107"/>
  <c r="AC27" i="111"/>
  <c r="U27" i="111"/>
  <c r="X27" i="111"/>
  <c r="AA27" i="111"/>
  <c r="Y26" i="111"/>
  <c r="AB26" i="111"/>
  <c r="T26" i="111"/>
  <c r="W26" i="111"/>
  <c r="Z26" i="111"/>
  <c r="AC25" i="111"/>
  <c r="U25" i="111"/>
  <c r="X25" i="111"/>
  <c r="AA25" i="111"/>
  <c r="P70" i="111"/>
  <c r="Y24" i="111"/>
  <c r="AB24" i="111"/>
  <c r="T24" i="111"/>
  <c r="W24" i="111"/>
  <c r="AC23" i="111"/>
  <c r="U23" i="111"/>
  <c r="X23" i="111"/>
  <c r="AA23" i="111"/>
  <c r="AD23" i="111"/>
  <c r="Y22" i="111"/>
  <c r="W22" i="111"/>
  <c r="O96" i="111"/>
  <c r="O88" i="111"/>
  <c r="P96" i="111"/>
  <c r="O103" i="111"/>
  <c r="P87" i="111"/>
  <c r="O102" i="111"/>
  <c r="O94" i="111"/>
  <c r="O86" i="111"/>
  <c r="O101" i="111"/>
  <c r="O93" i="111"/>
  <c r="O85" i="111"/>
  <c r="O81" i="111"/>
  <c r="O79" i="111"/>
  <c r="Z27" i="111"/>
  <c r="AC26" i="111"/>
  <c r="P77" i="111"/>
  <c r="X26" i="111"/>
  <c r="AA26" i="111"/>
  <c r="AD26" i="111"/>
  <c r="V26" i="111"/>
  <c r="O71" i="111"/>
  <c r="Z25" i="111"/>
  <c r="AC24" i="111"/>
  <c r="O69" i="111"/>
  <c r="AA24" i="111"/>
  <c r="AD24" i="111"/>
  <c r="V24" i="111"/>
  <c r="O65" i="111"/>
  <c r="O64" i="111"/>
  <c r="W23" i="111"/>
  <c r="Z23" i="111"/>
  <c r="AC22" i="111"/>
  <c r="U22" i="111"/>
  <c r="X22" i="111"/>
  <c r="K106" i="111"/>
  <c r="AD22" i="111"/>
  <c r="O100" i="111"/>
  <c r="O92" i="111"/>
  <c r="O84" i="111"/>
  <c r="O99" i="111"/>
  <c r="O91" i="111"/>
  <c r="O83" i="111"/>
  <c r="O59" i="111"/>
  <c r="O98" i="111"/>
  <c r="O90" i="111"/>
  <c r="O82" i="111"/>
  <c r="P90" i="111"/>
  <c r="P82" i="111"/>
  <c r="AD27" i="111"/>
  <c r="V27" i="111"/>
  <c r="Y27" i="111"/>
  <c r="AB27" i="111"/>
  <c r="T27" i="111"/>
  <c r="W27" i="111"/>
  <c r="U26" i="111"/>
  <c r="AD25" i="111"/>
  <c r="Y25" i="111"/>
  <c r="AB25" i="111"/>
  <c r="T25" i="111"/>
  <c r="Z24" i="111"/>
  <c r="X24" i="111"/>
  <c r="V23" i="111"/>
  <c r="I106" i="111"/>
  <c r="E106" i="111"/>
  <c r="O105" i="111"/>
  <c r="O97" i="111"/>
  <c r="O89" i="111"/>
  <c r="AE23" i="108"/>
  <c r="Y23" i="111"/>
  <c r="Z22" i="111"/>
  <c r="AA22" i="111"/>
  <c r="S32" i="111"/>
  <c r="Z34" i="111"/>
  <c r="T35" i="111"/>
  <c r="AB35" i="111"/>
  <c r="V36" i="111"/>
  <c r="AD36" i="111"/>
  <c r="X37" i="111"/>
  <c r="Z38" i="111"/>
  <c r="T39" i="111"/>
  <c r="AB39" i="111"/>
  <c r="V40" i="111"/>
  <c r="AD40" i="111"/>
  <c r="S34" i="111"/>
  <c r="AA34" i="111"/>
  <c r="U35" i="111"/>
  <c r="AC35" i="111"/>
  <c r="W36" i="111"/>
  <c r="Y37" i="111"/>
  <c r="W40" i="111"/>
  <c r="T34" i="111"/>
  <c r="AB34" i="111"/>
  <c r="V35" i="111"/>
  <c r="AD35" i="111"/>
  <c r="X36" i="111"/>
  <c r="Z37" i="111"/>
  <c r="X40" i="111"/>
  <c r="U34" i="111"/>
  <c r="AC34" i="111"/>
  <c r="W35" i="111"/>
  <c r="Y36" i="111"/>
  <c r="S37" i="111"/>
  <c r="AA37" i="111"/>
  <c r="Y40" i="111"/>
  <c r="V34" i="111"/>
  <c r="AD34" i="111"/>
  <c r="X35" i="111"/>
  <c r="Z36" i="111"/>
  <c r="T37" i="111"/>
  <c r="AB37" i="111"/>
  <c r="S39" i="111"/>
  <c r="AA36" i="111"/>
  <c r="U37" i="111"/>
  <c r="AC37" i="111"/>
  <c r="V37" i="111"/>
  <c r="AD37" i="111"/>
  <c r="AD42" i="107"/>
  <c r="Y34" i="107"/>
  <c r="S35" i="107"/>
  <c r="AA35" i="107"/>
  <c r="U36" i="107"/>
  <c r="AC36" i="107"/>
  <c r="W37" i="107"/>
  <c r="AE37" i="107"/>
  <c r="Y38" i="107"/>
  <c r="S39" i="107"/>
  <c r="AA39" i="107"/>
  <c r="U40" i="107"/>
  <c r="AC40" i="107"/>
  <c r="W41" i="107"/>
  <c r="AE41" i="107"/>
  <c r="AE42" i="107" s="1"/>
  <c r="Z34" i="107"/>
  <c r="T35" i="107"/>
  <c r="AB35" i="107"/>
  <c r="X37" i="107"/>
  <c r="AF37" i="107"/>
  <c r="Z38" i="107"/>
  <c r="T39" i="107"/>
  <c r="AB39" i="107"/>
  <c r="V40" i="107"/>
  <c r="AD40" i="107"/>
  <c r="X41" i="107"/>
  <c r="AF41" i="107"/>
  <c r="S34" i="107"/>
  <c r="AA34" i="107"/>
  <c r="U35" i="107"/>
  <c r="AC35" i="107"/>
  <c r="W36" i="107"/>
  <c r="AE36" i="107"/>
  <c r="Y37" i="107"/>
  <c r="W40" i="107"/>
  <c r="AE40" i="107"/>
  <c r="Y41" i="107"/>
  <c r="Y42" i="107" s="1"/>
  <c r="T34" i="107"/>
  <c r="AB34" i="107"/>
  <c r="V35" i="107"/>
  <c r="AD35" i="107"/>
  <c r="X36" i="107"/>
  <c r="AF36" i="107"/>
  <c r="Z37" i="107"/>
  <c r="X40" i="107"/>
  <c r="AF40" i="107"/>
  <c r="Z41" i="107"/>
  <c r="Z42" i="107" s="1"/>
  <c r="U34" i="107"/>
  <c r="AC34" i="107"/>
  <c r="W35" i="107"/>
  <c r="AE35" i="107"/>
  <c r="Y36" i="107"/>
  <c r="S37" i="107"/>
  <c r="AA37" i="107"/>
  <c r="S41" i="107"/>
  <c r="S42" i="107" s="1"/>
  <c r="AA41" i="107"/>
  <c r="AA42" i="107" s="1"/>
  <c r="V34" i="107"/>
  <c r="AD34" i="107"/>
  <c r="X35" i="107"/>
  <c r="AF35" i="107"/>
  <c r="T37" i="107"/>
  <c r="AB37" i="107"/>
  <c r="T41" i="107"/>
  <c r="T42" i="107" s="1"/>
  <c r="AB41" i="107"/>
  <c r="AB42" i="107" s="1"/>
  <c r="U37" i="107"/>
  <c r="AC37" i="107"/>
  <c r="V37" i="107"/>
  <c r="AD37" i="107"/>
  <c r="Y34" i="108"/>
  <c r="Z34" i="108"/>
  <c r="T35" i="108"/>
  <c r="AB35" i="108"/>
  <c r="V36" i="108"/>
  <c r="AD36" i="108"/>
  <c r="X37" i="108"/>
  <c r="AF37" i="108"/>
  <c r="Z38" i="108"/>
  <c r="T39" i="108"/>
  <c r="AB39" i="108"/>
  <c r="V40" i="108"/>
  <c r="AD40" i="108"/>
  <c r="AD42" i="108" s="1"/>
  <c r="S34" i="108"/>
  <c r="AA34" i="108"/>
  <c r="U35" i="108"/>
  <c r="AC35" i="108"/>
  <c r="W36" i="108"/>
  <c r="AE36" i="108"/>
  <c r="Y37" i="108"/>
  <c r="W40" i="108"/>
  <c r="AE40" i="108"/>
  <c r="T34" i="108"/>
  <c r="AB34" i="108"/>
  <c r="V35" i="108"/>
  <c r="AD35" i="108"/>
  <c r="X36" i="108"/>
  <c r="AF36" i="108"/>
  <c r="Z37" i="108"/>
  <c r="X40" i="108"/>
  <c r="AF40" i="108"/>
  <c r="U34" i="108"/>
  <c r="AC34" i="108"/>
  <c r="W35" i="108"/>
  <c r="AE35" i="108"/>
  <c r="Y36" i="108"/>
  <c r="S37" i="108"/>
  <c r="AA37" i="108"/>
  <c r="S41" i="108"/>
  <c r="S42" i="108" s="1"/>
  <c r="V34" i="108"/>
  <c r="AD34" i="108"/>
  <c r="X35" i="108"/>
  <c r="AF35" i="108"/>
  <c r="Z36" i="108"/>
  <c r="T37" i="108"/>
  <c r="AB37" i="108"/>
  <c r="T41" i="108"/>
  <c r="T42" i="108" s="1"/>
  <c r="AB41" i="108"/>
  <c r="AB42" i="108" s="1"/>
  <c r="AA39" i="108"/>
  <c r="S36" i="108"/>
  <c r="U37" i="108"/>
  <c r="AC37" i="108"/>
  <c r="V37" i="108"/>
  <c r="AD37" i="108"/>
  <c r="K6" i="98"/>
  <c r="K6" i="99" s="1"/>
  <c r="K6" i="100" s="1"/>
  <c r="K6" i="101" s="1"/>
  <c r="K6" i="109" s="1"/>
  <c r="K6" i="105" s="1"/>
  <c r="K6" i="110" s="1"/>
  <c r="K6" i="103" s="1"/>
  <c r="K5" i="99"/>
  <c r="K5" i="101" s="1"/>
  <c r="K5" i="110" s="1"/>
  <c r="K5" i="103" s="1"/>
  <c r="G5" i="98"/>
  <c r="G5" i="99" s="1"/>
  <c r="G5" i="101" s="1"/>
  <c r="G5" i="105" s="1"/>
  <c r="G5" i="110" s="1"/>
  <c r="G5" i="103" s="1"/>
  <c r="K6" i="97"/>
  <c r="K6" i="96"/>
  <c r="G5" i="96"/>
  <c r="K6" i="95"/>
  <c r="K6" i="94"/>
  <c r="G6" i="104"/>
  <c r="G6" i="108" s="1"/>
  <c r="G6" i="110"/>
  <c r="G6" i="100"/>
  <c r="G6" i="98"/>
  <c r="G6" i="96"/>
  <c r="G6" i="109" s="1"/>
  <c r="G6" i="103"/>
  <c r="G6" i="107" s="1"/>
  <c r="G6" i="105"/>
  <c r="G6" i="101"/>
  <c r="G6" i="99"/>
  <c r="G6" i="97"/>
  <c r="D6" i="104"/>
  <c r="D6" i="108" s="1"/>
  <c r="D6" i="110"/>
  <c r="D6" i="109"/>
  <c r="D6" i="100"/>
  <c r="D6" i="98"/>
  <c r="D6" i="96"/>
  <c r="D6" i="103"/>
  <c r="D6" i="107" s="1"/>
  <c r="D6" i="105"/>
  <c r="D6" i="101"/>
  <c r="D6" i="99"/>
  <c r="D6" i="97"/>
  <c r="D5" i="104"/>
  <c r="D5" i="110"/>
  <c r="D5" i="109"/>
  <c r="D5" i="100"/>
  <c r="D5" i="98"/>
  <c r="D5" i="96"/>
  <c r="D5" i="94"/>
  <c r="AF28" i="111" l="1"/>
  <c r="G106" i="111"/>
  <c r="O75" i="111"/>
  <c r="O77" i="111"/>
  <c r="O87" i="111"/>
  <c r="AE29" i="111" s="1"/>
  <c r="AF23" i="108"/>
  <c r="AF41" i="108" s="1"/>
  <c r="AF42" i="108" s="1"/>
  <c r="O95" i="111"/>
  <c r="AE31" i="111" s="1"/>
  <c r="P65" i="111"/>
  <c r="AF25" i="108"/>
  <c r="V42" i="108"/>
  <c r="P106" i="108"/>
  <c r="U24" i="111"/>
  <c r="U41" i="111" s="1"/>
  <c r="U42" i="111" s="1"/>
  <c r="P72" i="111"/>
  <c r="P78" i="111"/>
  <c r="P103" i="111"/>
  <c r="P86" i="111"/>
  <c r="AF29" i="111" s="1"/>
  <c r="AF27" i="108"/>
  <c r="P95" i="111"/>
  <c r="AF31" i="111" s="1"/>
  <c r="AF29" i="108"/>
  <c r="W41" i="111"/>
  <c r="O76" i="111"/>
  <c r="P73" i="111"/>
  <c r="P62" i="111"/>
  <c r="P92" i="111"/>
  <c r="AF30" i="111" s="1"/>
  <c r="P104" i="111"/>
  <c r="AF31" i="108"/>
  <c r="O73" i="111"/>
  <c r="T23" i="111"/>
  <c r="AE30" i="111"/>
  <c r="O80" i="111"/>
  <c r="AD41" i="111"/>
  <c r="AD42" i="111" s="1"/>
  <c r="P101" i="111"/>
  <c r="AF32" i="111" s="1"/>
  <c r="AF33" i="108"/>
  <c r="AA41" i="111"/>
  <c r="AA42" i="111" s="1"/>
  <c r="O63" i="111"/>
  <c r="O104" i="111"/>
  <c r="AE33" i="111" s="1"/>
  <c r="Y41" i="111"/>
  <c r="Y42" i="111" s="1"/>
  <c r="P66" i="111"/>
  <c r="AE32" i="111"/>
  <c r="AC42" i="107"/>
  <c r="U42" i="107"/>
  <c r="V42" i="107"/>
  <c r="AC41" i="111"/>
  <c r="AC42" i="111" s="1"/>
  <c r="X41" i="111"/>
  <c r="X42" i="111" s="1"/>
  <c r="O60" i="111"/>
  <c r="N106" i="111"/>
  <c r="H106" i="111"/>
  <c r="P74" i="111"/>
  <c r="O68" i="111"/>
  <c r="P64" i="111"/>
  <c r="P61" i="111"/>
  <c r="P63" i="111"/>
  <c r="P80" i="111"/>
  <c r="P69" i="111"/>
  <c r="P71" i="111"/>
  <c r="P81" i="111"/>
  <c r="F106" i="111"/>
  <c r="M106" i="111"/>
  <c r="O67" i="111"/>
  <c r="V25" i="111"/>
  <c r="V41" i="111" s="1"/>
  <c r="V42" i="111" s="1"/>
  <c r="P79" i="111"/>
  <c r="Z41" i="111"/>
  <c r="Z42" i="111" s="1"/>
  <c r="J106" i="111"/>
  <c r="O62" i="111"/>
  <c r="T22" i="111"/>
  <c r="T41" i="111" s="1"/>
  <c r="T42" i="111" s="1"/>
  <c r="D106" i="111"/>
  <c r="P60" i="111"/>
  <c r="P75" i="111"/>
  <c r="O66" i="111"/>
  <c r="O70" i="111"/>
  <c r="O72" i="111"/>
  <c r="L106" i="111"/>
  <c r="AB22" i="111"/>
  <c r="AB41" i="111" s="1"/>
  <c r="AB42" i="111" s="1"/>
  <c r="P68" i="111"/>
  <c r="O74" i="111"/>
  <c r="O61" i="111"/>
  <c r="O78" i="111"/>
  <c r="AE27" i="111" s="1"/>
  <c r="P76" i="111"/>
  <c r="P67" i="111"/>
  <c r="AE28" i="111"/>
  <c r="P59" i="111"/>
  <c r="W42" i="111"/>
  <c r="AF42" i="107"/>
  <c r="X42" i="107"/>
  <c r="W42" i="107"/>
  <c r="AE42" i="108"/>
  <c r="K6" i="107"/>
  <c r="K6" i="104"/>
  <c r="K6" i="108" s="1"/>
  <c r="K6" i="111" s="1"/>
  <c r="K5" i="104"/>
  <c r="K5" i="108" s="1"/>
  <c r="K5" i="111" s="1"/>
  <c r="K5" i="107"/>
  <c r="G5" i="107"/>
  <c r="G5" i="104"/>
  <c r="G5" i="108" s="1"/>
  <c r="G5" i="111" s="1"/>
  <c r="AC33" i="110"/>
  <c r="AA33" i="110"/>
  <c r="Y33" i="110"/>
  <c r="W33" i="110"/>
  <c r="U33" i="110"/>
  <c r="S33" i="110"/>
  <c r="AA32" i="110"/>
  <c r="W32" i="110"/>
  <c r="S32" i="110"/>
  <c r="AC31" i="110"/>
  <c r="AA31" i="110"/>
  <c r="Y31" i="110"/>
  <c r="W31" i="110"/>
  <c r="U31" i="110"/>
  <c r="S31" i="110"/>
  <c r="AA30" i="110"/>
  <c r="W30" i="110"/>
  <c r="S30" i="110"/>
  <c r="AC29" i="110"/>
  <c r="AA29" i="110"/>
  <c r="Y29" i="110"/>
  <c r="W29" i="110"/>
  <c r="U29" i="110"/>
  <c r="S29" i="110"/>
  <c r="AA28" i="110"/>
  <c r="W28" i="110"/>
  <c r="S28" i="110"/>
  <c r="AC27" i="110"/>
  <c r="AA27" i="110"/>
  <c r="Y27" i="110"/>
  <c r="W27" i="110"/>
  <c r="U27" i="110"/>
  <c r="S27" i="110"/>
  <c r="AA26" i="110"/>
  <c r="W26" i="110"/>
  <c r="S26" i="110"/>
  <c r="AC25" i="110"/>
  <c r="AA25" i="110"/>
  <c r="Y25" i="110"/>
  <c r="W25" i="110"/>
  <c r="U25" i="110"/>
  <c r="S25" i="110"/>
  <c r="AA24" i="110"/>
  <c r="W24" i="110"/>
  <c r="S24" i="110"/>
  <c r="AC23" i="110"/>
  <c r="AA23" i="110"/>
  <c r="Y23" i="110"/>
  <c r="W23" i="110"/>
  <c r="U23" i="110"/>
  <c r="S23" i="110"/>
  <c r="AA22" i="110"/>
  <c r="W22" i="110"/>
  <c r="S22" i="110"/>
  <c r="AA21" i="110"/>
  <c r="W21" i="110"/>
  <c r="S21" i="110"/>
  <c r="AA20" i="110"/>
  <c r="W20" i="110"/>
  <c r="S20" i="110"/>
  <c r="AA19" i="110"/>
  <c r="W19" i="110"/>
  <c r="S19" i="110"/>
  <c r="AA18" i="110"/>
  <c r="Y18" i="110"/>
  <c r="W18" i="110"/>
  <c r="U18" i="110"/>
  <c r="S18" i="110"/>
  <c r="AC17" i="110"/>
  <c r="AB17" i="110"/>
  <c r="AA17" i="110"/>
  <c r="Z17" i="110"/>
  <c r="Y17" i="110"/>
  <c r="X17" i="110"/>
  <c r="W17" i="110"/>
  <c r="V17" i="110"/>
  <c r="U17" i="110"/>
  <c r="T17" i="110"/>
  <c r="AD16" i="110"/>
  <c r="AC16" i="110"/>
  <c r="AB16" i="110"/>
  <c r="AA16" i="110"/>
  <c r="Z16" i="110"/>
  <c r="Y16" i="110"/>
  <c r="X16" i="110"/>
  <c r="W16" i="110"/>
  <c r="V16" i="110"/>
  <c r="U16" i="110"/>
  <c r="T16" i="110"/>
  <c r="S16" i="110"/>
  <c r="AD17" i="110"/>
  <c r="C3" i="110"/>
  <c r="AC33" i="109"/>
  <c r="AA33" i="109"/>
  <c r="Y33" i="109"/>
  <c r="W33" i="109"/>
  <c r="U33" i="109"/>
  <c r="AA32" i="109"/>
  <c r="Y32" i="109"/>
  <c r="W32" i="109"/>
  <c r="U32" i="109"/>
  <c r="S32" i="109"/>
  <c r="AC31" i="109"/>
  <c r="AA31" i="109"/>
  <c r="Y31" i="109"/>
  <c r="W31" i="109"/>
  <c r="U31" i="109"/>
  <c r="AC30" i="109"/>
  <c r="AA30" i="109"/>
  <c r="Y30" i="109"/>
  <c r="W30" i="109"/>
  <c r="U30" i="109"/>
  <c r="S30" i="109"/>
  <c r="AC29" i="109"/>
  <c r="AA29" i="109"/>
  <c r="Y29" i="109"/>
  <c r="W29" i="109"/>
  <c r="U29" i="109"/>
  <c r="AC28" i="109"/>
  <c r="AA28" i="109"/>
  <c r="Y28" i="109"/>
  <c r="W28" i="109"/>
  <c r="U28" i="109"/>
  <c r="S28" i="109"/>
  <c r="AC27" i="109"/>
  <c r="AA27" i="109"/>
  <c r="Y27" i="109"/>
  <c r="W27" i="109"/>
  <c r="U27" i="109"/>
  <c r="AC26" i="109"/>
  <c r="AA26" i="109"/>
  <c r="Y26" i="109"/>
  <c r="W26" i="109"/>
  <c r="U26" i="109"/>
  <c r="S26" i="109"/>
  <c r="AC25" i="109"/>
  <c r="AA25" i="109"/>
  <c r="Y25" i="109"/>
  <c r="W25" i="109"/>
  <c r="U25" i="109"/>
  <c r="AC24" i="109"/>
  <c r="AA24" i="109"/>
  <c r="Y24" i="109"/>
  <c r="W24" i="109"/>
  <c r="U24" i="109"/>
  <c r="S24" i="109"/>
  <c r="AC23" i="109"/>
  <c r="AA23" i="109"/>
  <c r="Y23" i="109"/>
  <c r="W23" i="109"/>
  <c r="U23" i="109"/>
  <c r="AC22" i="109"/>
  <c r="AA22" i="109"/>
  <c r="Y22" i="109"/>
  <c r="W22" i="109"/>
  <c r="S22" i="109"/>
  <c r="AC21" i="109"/>
  <c r="AA21" i="109"/>
  <c r="Y21" i="109"/>
  <c r="W21" i="109"/>
  <c r="U21" i="109"/>
  <c r="S21" i="109"/>
  <c r="AC20" i="109"/>
  <c r="AA20" i="109"/>
  <c r="Y20" i="109"/>
  <c r="W20" i="109"/>
  <c r="U20" i="109"/>
  <c r="S20" i="109"/>
  <c r="AC19" i="109"/>
  <c r="AC39" i="109" s="1"/>
  <c r="AA19" i="109"/>
  <c r="Y19" i="109"/>
  <c r="W19" i="109"/>
  <c r="U19" i="109"/>
  <c r="U39" i="109" s="1"/>
  <c r="S19" i="109"/>
  <c r="AC18" i="109"/>
  <c r="AA18" i="109"/>
  <c r="Y18" i="109"/>
  <c r="W18" i="109"/>
  <c r="U18" i="109"/>
  <c r="S18" i="109"/>
  <c r="AB17" i="109"/>
  <c r="AA17" i="109"/>
  <c r="Z17" i="109"/>
  <c r="Y17" i="109"/>
  <c r="X17" i="109"/>
  <c r="W17" i="109"/>
  <c r="V17" i="109"/>
  <c r="U17" i="109"/>
  <c r="T17" i="109"/>
  <c r="AD16" i="109"/>
  <c r="AC16" i="109"/>
  <c r="AB16" i="109"/>
  <c r="AA16" i="109"/>
  <c r="Z16" i="109"/>
  <c r="Y16" i="109"/>
  <c r="X16" i="109"/>
  <c r="W16" i="109"/>
  <c r="V16" i="109"/>
  <c r="U16" i="109"/>
  <c r="T16" i="109"/>
  <c r="Z15" i="109"/>
  <c r="AD14" i="109"/>
  <c r="AD17" i="109"/>
  <c r="C3" i="109"/>
  <c r="C3" i="104"/>
  <c r="C3" i="103"/>
  <c r="C3" i="105"/>
  <c r="C3" i="101"/>
  <c r="C3" i="100"/>
  <c r="C3" i="99"/>
  <c r="C3" i="98"/>
  <c r="C3" i="96"/>
  <c r="AC33" i="105"/>
  <c r="AB33" i="105"/>
  <c r="Z33" i="105"/>
  <c r="Y33" i="105"/>
  <c r="X33" i="105"/>
  <c r="W33" i="105"/>
  <c r="V33" i="105"/>
  <c r="U33" i="105"/>
  <c r="T33" i="105"/>
  <c r="AD32" i="105"/>
  <c r="AC32" i="105"/>
  <c r="AB32" i="105"/>
  <c r="AA32" i="105"/>
  <c r="Z32" i="105"/>
  <c r="Y32" i="105"/>
  <c r="X32" i="105"/>
  <c r="W32" i="105"/>
  <c r="V32" i="105"/>
  <c r="U32" i="105"/>
  <c r="T32" i="105"/>
  <c r="AD31" i="105"/>
  <c r="AC31" i="105"/>
  <c r="AB31" i="105"/>
  <c r="AA31" i="105"/>
  <c r="Z31" i="105"/>
  <c r="Y31" i="105"/>
  <c r="X31" i="105"/>
  <c r="W31" i="105"/>
  <c r="V31" i="105"/>
  <c r="U31" i="105"/>
  <c r="T31" i="105"/>
  <c r="AD30" i="105"/>
  <c r="AC30" i="105"/>
  <c r="AB30" i="105"/>
  <c r="AA30" i="105"/>
  <c r="Z30" i="105"/>
  <c r="Y30" i="105"/>
  <c r="X30" i="105"/>
  <c r="W30" i="105"/>
  <c r="V30" i="105"/>
  <c r="U30" i="105"/>
  <c r="T30" i="105"/>
  <c r="AC29" i="105"/>
  <c r="AB29" i="105"/>
  <c r="AA29" i="105"/>
  <c r="Z29" i="105"/>
  <c r="Y29" i="105"/>
  <c r="X29" i="105"/>
  <c r="W29" i="105"/>
  <c r="V29" i="105"/>
  <c r="U29" i="105"/>
  <c r="T29" i="105"/>
  <c r="AD28" i="105"/>
  <c r="AC28" i="105"/>
  <c r="AB28" i="105"/>
  <c r="AA28" i="105"/>
  <c r="Z28" i="105"/>
  <c r="Y28" i="105"/>
  <c r="X28" i="105"/>
  <c r="W28" i="105"/>
  <c r="V28" i="105"/>
  <c r="U28" i="105"/>
  <c r="T28" i="105"/>
  <c r="AD27" i="105"/>
  <c r="AC27" i="105"/>
  <c r="AB27" i="105"/>
  <c r="AA27" i="105"/>
  <c r="Z27" i="105"/>
  <c r="Y27" i="105"/>
  <c r="X27" i="105"/>
  <c r="W27" i="105"/>
  <c r="V27" i="105"/>
  <c r="U27" i="105"/>
  <c r="T27" i="105"/>
  <c r="AD26" i="105"/>
  <c r="AC26" i="105"/>
  <c r="AB26" i="105"/>
  <c r="AA26" i="105"/>
  <c r="Z26" i="105"/>
  <c r="Y26" i="105"/>
  <c r="X26" i="105"/>
  <c r="W26" i="105"/>
  <c r="V26" i="105"/>
  <c r="U26" i="105"/>
  <c r="T26" i="105"/>
  <c r="AD25" i="105"/>
  <c r="AC25" i="105"/>
  <c r="AB25" i="105"/>
  <c r="AA25" i="105"/>
  <c r="Z25" i="105"/>
  <c r="Y25" i="105"/>
  <c r="X25" i="105"/>
  <c r="W25" i="105"/>
  <c r="V25" i="105"/>
  <c r="U25" i="105"/>
  <c r="T25" i="105"/>
  <c r="AD24" i="105"/>
  <c r="AC24" i="105"/>
  <c r="AB24" i="105"/>
  <c r="AA24" i="105"/>
  <c r="Z24" i="105"/>
  <c r="X24" i="105"/>
  <c r="W24" i="105"/>
  <c r="V24" i="105"/>
  <c r="U24" i="105"/>
  <c r="T24" i="105"/>
  <c r="AD23" i="105"/>
  <c r="AC23" i="105"/>
  <c r="AB23" i="105"/>
  <c r="AA23" i="105"/>
  <c r="Z23" i="105"/>
  <c r="Y23" i="105"/>
  <c r="X23" i="105"/>
  <c r="V23" i="105"/>
  <c r="U23" i="105"/>
  <c r="AD22" i="105"/>
  <c r="AC22" i="105"/>
  <c r="AB22" i="105"/>
  <c r="AA22" i="105"/>
  <c r="Z22" i="105"/>
  <c r="Y22" i="105"/>
  <c r="X22" i="105"/>
  <c r="W22" i="105"/>
  <c r="V22" i="105"/>
  <c r="U22" i="105"/>
  <c r="T22" i="105"/>
  <c r="S22" i="105"/>
  <c r="AD21" i="105"/>
  <c r="AC21" i="105"/>
  <c r="AB21" i="105"/>
  <c r="AA21" i="105"/>
  <c r="Z21" i="105"/>
  <c r="Y21" i="105"/>
  <c r="X21" i="105"/>
  <c r="W21" i="105"/>
  <c r="V21" i="105"/>
  <c r="U21" i="105"/>
  <c r="T21" i="105"/>
  <c r="AD20" i="105"/>
  <c r="AC20" i="105"/>
  <c r="AA20" i="105"/>
  <c r="Z20" i="105"/>
  <c r="Y20" i="105"/>
  <c r="X20" i="105"/>
  <c r="W20" i="105"/>
  <c r="V20" i="105"/>
  <c r="S20" i="105"/>
  <c r="AD19" i="105"/>
  <c r="AD39" i="105" s="1"/>
  <c r="AC19" i="105"/>
  <c r="AB19" i="105"/>
  <c r="AA19" i="105"/>
  <c r="Z19" i="105"/>
  <c r="Y19" i="105"/>
  <c r="X19" i="105"/>
  <c r="X39" i="105" s="1"/>
  <c r="W19" i="105"/>
  <c r="V19" i="105"/>
  <c r="U19" i="105"/>
  <c r="T19" i="105"/>
  <c r="S19" i="105"/>
  <c r="AD18" i="105"/>
  <c r="AC18" i="105"/>
  <c r="AB18" i="105"/>
  <c r="AA18" i="105"/>
  <c r="Z18" i="105"/>
  <c r="Y18" i="105"/>
  <c r="X18" i="105"/>
  <c r="W18" i="105"/>
  <c r="V18" i="105"/>
  <c r="U18" i="105"/>
  <c r="T18" i="105"/>
  <c r="S18" i="105"/>
  <c r="AD17" i="105"/>
  <c r="AC17" i="105"/>
  <c r="AB17" i="105"/>
  <c r="AA17" i="105"/>
  <c r="Z17" i="105"/>
  <c r="Y17" i="105"/>
  <c r="X17" i="105"/>
  <c r="W17" i="105"/>
  <c r="V17" i="105"/>
  <c r="U17" i="105"/>
  <c r="T17" i="105"/>
  <c r="S17" i="105"/>
  <c r="AD16" i="105"/>
  <c r="AC16" i="105"/>
  <c r="AB16" i="105"/>
  <c r="AA16" i="105"/>
  <c r="Z16" i="105"/>
  <c r="Y16" i="105"/>
  <c r="X16" i="105"/>
  <c r="W16" i="105"/>
  <c r="V16" i="105"/>
  <c r="U16" i="105"/>
  <c r="T16" i="105"/>
  <c r="S16" i="105"/>
  <c r="AD33" i="105"/>
  <c r="X12" i="105"/>
  <c r="AB11" i="105"/>
  <c r="X11" i="105"/>
  <c r="T11" i="105"/>
  <c r="AA21" i="104"/>
  <c r="AC20" i="104"/>
  <c r="AA20" i="104"/>
  <c r="Y20" i="104"/>
  <c r="W20" i="104"/>
  <c r="U20" i="104"/>
  <c r="AA19" i="104"/>
  <c r="AC18" i="104"/>
  <c r="AA18" i="104"/>
  <c r="Y18" i="104"/>
  <c r="W18" i="104"/>
  <c r="U18" i="104"/>
  <c r="AA17" i="104"/>
  <c r="AC16" i="104"/>
  <c r="AA16" i="104"/>
  <c r="Y16" i="104"/>
  <c r="W16" i="104"/>
  <c r="U16" i="104"/>
  <c r="AA15" i="104"/>
  <c r="AD14" i="104"/>
  <c r="AC14" i="104"/>
  <c r="AB14" i="104"/>
  <c r="AA14" i="104"/>
  <c r="Z14" i="104"/>
  <c r="Y14" i="104"/>
  <c r="X14" i="104"/>
  <c r="W14" i="104"/>
  <c r="V14" i="104"/>
  <c r="U14" i="104"/>
  <c r="S14" i="104"/>
  <c r="AC13" i="104"/>
  <c r="AA13" i="104"/>
  <c r="Y13" i="104"/>
  <c r="W13" i="104"/>
  <c r="U13" i="104"/>
  <c r="AD12" i="104"/>
  <c r="Z12" i="104"/>
  <c r="V12" i="104"/>
  <c r="AD11" i="104"/>
  <c r="Z11" i="104"/>
  <c r="V11" i="104"/>
  <c r="AB16" i="103"/>
  <c r="Z16" i="103"/>
  <c r="X16" i="103"/>
  <c r="V16" i="103"/>
  <c r="T16" i="103"/>
  <c r="AD15" i="103"/>
  <c r="AB15" i="103"/>
  <c r="Z15" i="103"/>
  <c r="X15" i="103"/>
  <c r="V15" i="103"/>
  <c r="T15" i="103"/>
  <c r="AD14" i="103"/>
  <c r="AC14" i="103"/>
  <c r="AA14" i="103"/>
  <c r="Z14" i="103"/>
  <c r="Y14" i="103"/>
  <c r="W14" i="103"/>
  <c r="V14" i="103"/>
  <c r="U14" i="103"/>
  <c r="AD13" i="103"/>
  <c r="Z13" i="103"/>
  <c r="V13" i="103"/>
  <c r="AD21" i="103"/>
  <c r="AC21" i="103"/>
  <c r="AB21" i="103"/>
  <c r="AA21" i="103"/>
  <c r="Z21" i="103"/>
  <c r="Y21" i="103"/>
  <c r="X21" i="103"/>
  <c r="W21" i="103"/>
  <c r="V21" i="103"/>
  <c r="U21" i="103"/>
  <c r="T21" i="103"/>
  <c r="S21" i="103"/>
  <c r="AD20" i="103"/>
  <c r="AC20" i="103"/>
  <c r="AB20" i="103"/>
  <c r="AA20" i="103"/>
  <c r="Z20" i="103"/>
  <c r="Y20" i="103"/>
  <c r="X20" i="103"/>
  <c r="W20" i="103"/>
  <c r="V20" i="103"/>
  <c r="U20" i="103"/>
  <c r="T20" i="103"/>
  <c r="S20" i="103"/>
  <c r="AD19" i="103"/>
  <c r="AD27" i="103" s="1"/>
  <c r="AC19" i="103"/>
  <c r="AB19" i="103"/>
  <c r="AB27" i="103" s="1"/>
  <c r="AA19" i="103"/>
  <c r="AA27" i="103" s="1"/>
  <c r="Z19" i="103"/>
  <c r="Z27" i="103" s="1"/>
  <c r="Y19" i="103"/>
  <c r="Y27" i="103" s="1"/>
  <c r="X19" i="103"/>
  <c r="X27" i="103" s="1"/>
  <c r="W19" i="103"/>
  <c r="W27" i="103" s="1"/>
  <c r="V19" i="103"/>
  <c r="V27" i="103" s="1"/>
  <c r="U19" i="103"/>
  <c r="U24" i="103" s="1"/>
  <c r="T19" i="103"/>
  <c r="T27" i="103" s="1"/>
  <c r="S19" i="103"/>
  <c r="S27" i="103" s="1"/>
  <c r="AD18" i="103"/>
  <c r="AC18" i="103"/>
  <c r="AB18" i="103"/>
  <c r="AA18" i="103"/>
  <c r="Z18" i="103"/>
  <c r="Y18" i="103"/>
  <c r="X18" i="103"/>
  <c r="W18" i="103"/>
  <c r="V18" i="103"/>
  <c r="U18" i="103"/>
  <c r="T18" i="103"/>
  <c r="S18" i="103"/>
  <c r="AD12" i="103"/>
  <c r="AC12" i="103"/>
  <c r="AB12" i="103"/>
  <c r="AA12" i="103"/>
  <c r="Z12" i="103"/>
  <c r="Y12" i="103"/>
  <c r="X12" i="103"/>
  <c r="W12" i="103"/>
  <c r="V12" i="103"/>
  <c r="U12" i="103"/>
  <c r="T12" i="103"/>
  <c r="AD17" i="103"/>
  <c r="AC17" i="103"/>
  <c r="AB17" i="103"/>
  <c r="AA17" i="103"/>
  <c r="Z17" i="103"/>
  <c r="Y17" i="103"/>
  <c r="X17" i="103"/>
  <c r="W17" i="103"/>
  <c r="V17" i="103"/>
  <c r="U17" i="103"/>
  <c r="T17" i="103"/>
  <c r="S17" i="103"/>
  <c r="AD16" i="103"/>
  <c r="AD21" i="101"/>
  <c r="AC21" i="101"/>
  <c r="AB21" i="101"/>
  <c r="AA21" i="101"/>
  <c r="Z21" i="101"/>
  <c r="Y21" i="101"/>
  <c r="W21" i="101"/>
  <c r="V21" i="101"/>
  <c r="U21" i="101"/>
  <c r="T21" i="101"/>
  <c r="S21" i="101"/>
  <c r="AD20" i="101"/>
  <c r="AC20" i="101"/>
  <c r="AB20" i="101"/>
  <c r="AA20" i="101"/>
  <c r="Z20" i="101"/>
  <c r="Y20" i="101"/>
  <c r="X20" i="101"/>
  <c r="W20" i="101"/>
  <c r="V20" i="101"/>
  <c r="U20" i="101"/>
  <c r="T20" i="101"/>
  <c r="S20" i="101"/>
  <c r="AD19" i="101"/>
  <c r="AC19" i="101"/>
  <c r="AB19" i="101"/>
  <c r="AA19" i="101"/>
  <c r="Z19" i="101"/>
  <c r="Y19" i="101"/>
  <c r="X19" i="101"/>
  <c r="W19" i="101"/>
  <c r="W39" i="101" s="1"/>
  <c r="V19" i="101"/>
  <c r="V39" i="101" s="1"/>
  <c r="U19" i="101"/>
  <c r="T19" i="101"/>
  <c r="S19" i="101"/>
  <c r="S39" i="101" s="1"/>
  <c r="AD18" i="101"/>
  <c r="AC18" i="101"/>
  <c r="AB18" i="101"/>
  <c r="AA18" i="101"/>
  <c r="Z18" i="101"/>
  <c r="Y18" i="101"/>
  <c r="X18" i="101"/>
  <c r="W18" i="101"/>
  <c r="V18" i="101"/>
  <c r="U18" i="101"/>
  <c r="T18" i="101"/>
  <c r="S18" i="101"/>
  <c r="AD17" i="101"/>
  <c r="AC17" i="101"/>
  <c r="AB17" i="101"/>
  <c r="AA17" i="101"/>
  <c r="Y17" i="101"/>
  <c r="X17" i="101"/>
  <c r="W17" i="101"/>
  <c r="V17" i="101"/>
  <c r="U17" i="101"/>
  <c r="T17" i="101"/>
  <c r="AD16" i="101"/>
  <c r="AC16" i="101"/>
  <c r="AB16" i="101"/>
  <c r="AA16" i="101"/>
  <c r="Z16" i="101"/>
  <c r="Y16" i="101"/>
  <c r="X16" i="101"/>
  <c r="W16" i="101"/>
  <c r="V16" i="101"/>
  <c r="U16" i="101"/>
  <c r="T16" i="101"/>
  <c r="S16" i="101"/>
  <c r="AD15" i="101"/>
  <c r="AC15" i="101"/>
  <c r="AB15" i="101"/>
  <c r="AA15" i="101"/>
  <c r="Z15" i="101"/>
  <c r="X15" i="101"/>
  <c r="W15" i="101"/>
  <c r="V15" i="101"/>
  <c r="T15" i="101"/>
  <c r="S15" i="101"/>
  <c r="AD14" i="101"/>
  <c r="AC14" i="101"/>
  <c r="AA14" i="101"/>
  <c r="Z14" i="101"/>
  <c r="W14" i="101"/>
  <c r="U14" i="101"/>
  <c r="AD13" i="101"/>
  <c r="AD38" i="101" s="1"/>
  <c r="V13" i="101"/>
  <c r="AA21" i="100"/>
  <c r="AC20" i="100"/>
  <c r="AA20" i="100"/>
  <c r="Y20" i="100"/>
  <c r="W20" i="100"/>
  <c r="AA19" i="100"/>
  <c r="AC18" i="100"/>
  <c r="AA18" i="100"/>
  <c r="Y18" i="100"/>
  <c r="W18" i="100"/>
  <c r="U18" i="100"/>
  <c r="AA17" i="100"/>
  <c r="AC16" i="100"/>
  <c r="Y16" i="100"/>
  <c r="W16" i="100"/>
  <c r="U16" i="100"/>
  <c r="AA15" i="100"/>
  <c r="AD14" i="100"/>
  <c r="AC14" i="100"/>
  <c r="AB14" i="100"/>
  <c r="AA14" i="100"/>
  <c r="Z14" i="100"/>
  <c r="X14" i="100"/>
  <c r="W14" i="100"/>
  <c r="V14" i="100"/>
  <c r="U14" i="100"/>
  <c r="S14" i="100"/>
  <c r="AC13" i="100"/>
  <c r="AA13" i="100"/>
  <c r="W13" i="100"/>
  <c r="U13" i="100"/>
  <c r="AB12" i="100"/>
  <c r="T12" i="100"/>
  <c r="AB11" i="100"/>
  <c r="X11" i="100"/>
  <c r="T11" i="100"/>
  <c r="AD21" i="99"/>
  <c r="AC21" i="99"/>
  <c r="AB21" i="99"/>
  <c r="AA21" i="99"/>
  <c r="Z21" i="99"/>
  <c r="Y21" i="99"/>
  <c r="X21" i="99"/>
  <c r="W21" i="99"/>
  <c r="V21" i="99"/>
  <c r="U21" i="99"/>
  <c r="T21" i="99"/>
  <c r="S21" i="99"/>
  <c r="AD20" i="99"/>
  <c r="AA20" i="99"/>
  <c r="Z20" i="99"/>
  <c r="W20" i="99"/>
  <c r="V20" i="99"/>
  <c r="U20" i="99"/>
  <c r="T20" i="99"/>
  <c r="S20" i="99"/>
  <c r="AD19" i="99"/>
  <c r="AD27" i="99" s="1"/>
  <c r="AC19" i="99"/>
  <c r="AB19" i="99"/>
  <c r="AA19" i="99"/>
  <c r="AA27" i="99" s="1"/>
  <c r="Z19" i="99"/>
  <c r="Y19" i="99"/>
  <c r="X19" i="99"/>
  <c r="W19" i="99"/>
  <c r="W27" i="99" s="1"/>
  <c r="V19" i="99"/>
  <c r="V27" i="99" s="1"/>
  <c r="U19" i="99"/>
  <c r="T19" i="99"/>
  <c r="T27" i="99" s="1"/>
  <c r="S19" i="99"/>
  <c r="S27" i="99" s="1"/>
  <c r="AD18" i="99"/>
  <c r="AC18" i="99"/>
  <c r="AB18" i="99"/>
  <c r="AA18" i="99"/>
  <c r="Z18" i="99"/>
  <c r="Y18" i="99"/>
  <c r="X18" i="99"/>
  <c r="W18" i="99"/>
  <c r="V18" i="99"/>
  <c r="U18" i="99"/>
  <c r="T18" i="99"/>
  <c r="S18" i="99"/>
  <c r="AD17" i="99"/>
  <c r="AC17" i="99"/>
  <c r="AB17" i="99"/>
  <c r="AA17" i="99"/>
  <c r="Z17" i="99"/>
  <c r="Y17" i="99"/>
  <c r="X17" i="99"/>
  <c r="W17" i="99"/>
  <c r="V17" i="99"/>
  <c r="U17" i="99"/>
  <c r="T17" i="99"/>
  <c r="S17" i="99"/>
  <c r="AD16" i="99"/>
  <c r="AC16" i="99"/>
  <c r="AB16" i="99"/>
  <c r="AA16" i="99"/>
  <c r="Z16" i="99"/>
  <c r="Y16" i="99"/>
  <c r="X16" i="99"/>
  <c r="V16" i="99"/>
  <c r="U16" i="99"/>
  <c r="T16" i="99"/>
  <c r="S16" i="99"/>
  <c r="AD15" i="99"/>
  <c r="AC15" i="99"/>
  <c r="AB15" i="99"/>
  <c r="AA15" i="99"/>
  <c r="Z15" i="99"/>
  <c r="Y15" i="99"/>
  <c r="X15" i="99"/>
  <c r="W15" i="99"/>
  <c r="V15" i="99"/>
  <c r="T15" i="99"/>
  <c r="S15" i="99"/>
  <c r="AD14" i="99"/>
  <c r="AC14" i="99"/>
  <c r="AA14" i="99"/>
  <c r="Z14" i="99"/>
  <c r="Y14" i="99"/>
  <c r="W14" i="99"/>
  <c r="U14" i="99"/>
  <c r="V13" i="99"/>
  <c r="AC21" i="98"/>
  <c r="AB21" i="98"/>
  <c r="AA21" i="98"/>
  <c r="Y21" i="98"/>
  <c r="X21" i="98"/>
  <c r="W21" i="98"/>
  <c r="U21" i="98"/>
  <c r="AC20" i="98"/>
  <c r="AB20" i="98"/>
  <c r="AA20" i="98"/>
  <c r="Z20" i="98"/>
  <c r="Y20" i="98"/>
  <c r="X20" i="98"/>
  <c r="V20" i="98"/>
  <c r="U20" i="98"/>
  <c r="T20" i="98"/>
  <c r="AD19" i="98"/>
  <c r="AC19" i="98"/>
  <c r="AA19" i="98"/>
  <c r="Y19" i="98"/>
  <c r="X19" i="98"/>
  <c r="W19" i="98"/>
  <c r="V19" i="98"/>
  <c r="U19" i="98"/>
  <c r="T19" i="98"/>
  <c r="AC18" i="98"/>
  <c r="AB18" i="98"/>
  <c r="AA18" i="98"/>
  <c r="Z18" i="98"/>
  <c r="Y18" i="98"/>
  <c r="X18" i="98"/>
  <c r="W18" i="98"/>
  <c r="U18" i="98"/>
  <c r="AD17" i="98"/>
  <c r="AC17" i="98"/>
  <c r="AA17" i="98"/>
  <c r="Z17" i="98"/>
  <c r="Y17" i="98"/>
  <c r="X17" i="98"/>
  <c r="W17" i="98"/>
  <c r="V17" i="98"/>
  <c r="U17" i="98"/>
  <c r="T17" i="98"/>
  <c r="AD16" i="98"/>
  <c r="AB16" i="98"/>
  <c r="AA16" i="98"/>
  <c r="Z16" i="98"/>
  <c r="Y16" i="98"/>
  <c r="X16" i="98"/>
  <c r="W16" i="98"/>
  <c r="V16" i="98"/>
  <c r="U16" i="98"/>
  <c r="T16" i="98"/>
  <c r="AD15" i="98"/>
  <c r="AC15" i="98"/>
  <c r="AB15" i="98"/>
  <c r="AA15" i="98"/>
  <c r="Z15" i="98"/>
  <c r="Y15" i="98"/>
  <c r="X15" i="98"/>
  <c r="W15" i="98"/>
  <c r="U15" i="98"/>
  <c r="T15" i="98"/>
  <c r="AD14" i="98"/>
  <c r="AC14" i="98"/>
  <c r="AB14" i="98"/>
  <c r="AA14" i="98"/>
  <c r="Z14" i="98"/>
  <c r="Y14" i="98"/>
  <c r="X14" i="98"/>
  <c r="W14" i="98"/>
  <c r="U14" i="98"/>
  <c r="T14" i="98"/>
  <c r="AC13" i="98"/>
  <c r="AB13" i="98"/>
  <c r="AA13" i="98"/>
  <c r="Z13" i="98"/>
  <c r="Y13" i="98"/>
  <c r="X13" i="98"/>
  <c r="W13" i="98"/>
  <c r="V13" i="98"/>
  <c r="U13" i="98"/>
  <c r="T13" i="98"/>
  <c r="AD21" i="98"/>
  <c r="AC18" i="97"/>
  <c r="AA18" i="97"/>
  <c r="Z18" i="97"/>
  <c r="Y18" i="97"/>
  <c r="X18" i="97"/>
  <c r="W18" i="97"/>
  <c r="V18" i="97"/>
  <c r="U18" i="97"/>
  <c r="T18" i="97"/>
  <c r="AD17" i="97"/>
  <c r="AC17" i="97"/>
  <c r="AB17" i="97"/>
  <c r="AA17" i="97"/>
  <c r="Z17" i="97"/>
  <c r="Y17" i="97"/>
  <c r="X17" i="97"/>
  <c r="V17" i="97"/>
  <c r="T17" i="97"/>
  <c r="S17" i="97"/>
  <c r="AB16" i="97"/>
  <c r="AA16" i="97"/>
  <c r="Z16" i="97"/>
  <c r="Y16" i="97"/>
  <c r="W16" i="97"/>
  <c r="V16" i="97"/>
  <c r="U16" i="97"/>
  <c r="T16" i="97"/>
  <c r="S16" i="97"/>
  <c r="AD15" i="97"/>
  <c r="AC15" i="97"/>
  <c r="AB15" i="97"/>
  <c r="AA15" i="97"/>
  <c r="Z15" i="97"/>
  <c r="X15" i="97"/>
  <c r="W15" i="97"/>
  <c r="V15" i="97"/>
  <c r="U15" i="97"/>
  <c r="T15" i="97"/>
  <c r="S15" i="97"/>
  <c r="AD14" i="97"/>
  <c r="AC14" i="97"/>
  <c r="AB14" i="97"/>
  <c r="AA14" i="97"/>
  <c r="Z14" i="97"/>
  <c r="Y14" i="97"/>
  <c r="X14" i="97"/>
  <c r="W14" i="97"/>
  <c r="U14" i="97"/>
  <c r="T14" i="97"/>
  <c r="S14" i="97"/>
  <c r="AD13" i="97"/>
  <c r="AC13" i="97"/>
  <c r="AB13" i="97"/>
  <c r="AA13" i="97"/>
  <c r="Z13" i="97"/>
  <c r="Y13" i="97"/>
  <c r="X13" i="97"/>
  <c r="W13" i="97"/>
  <c r="U13" i="97"/>
  <c r="T13" i="97"/>
  <c r="AD21" i="97"/>
  <c r="AC21" i="97"/>
  <c r="AB21" i="97"/>
  <c r="AA21" i="97"/>
  <c r="Z21" i="97"/>
  <c r="Y21" i="97"/>
  <c r="X21" i="97"/>
  <c r="W21" i="97"/>
  <c r="V21" i="97"/>
  <c r="U21" i="97"/>
  <c r="T21" i="97"/>
  <c r="S21" i="97"/>
  <c r="AD20" i="97"/>
  <c r="AC20" i="97"/>
  <c r="AB20" i="97"/>
  <c r="AA20" i="97"/>
  <c r="Z20" i="97"/>
  <c r="Y20" i="97"/>
  <c r="X20" i="97"/>
  <c r="W20" i="97"/>
  <c r="V20" i="97"/>
  <c r="U20" i="97"/>
  <c r="T20" i="97"/>
  <c r="S20" i="97"/>
  <c r="AD19" i="97"/>
  <c r="AD27" i="97" s="1"/>
  <c r="AC19" i="97"/>
  <c r="AB19" i="97"/>
  <c r="AB27" i="97" s="1"/>
  <c r="AA19" i="97"/>
  <c r="Z19" i="97"/>
  <c r="Z27" i="97" s="1"/>
  <c r="Y19" i="97"/>
  <c r="X19" i="97"/>
  <c r="X27" i="97" s="1"/>
  <c r="W19" i="97"/>
  <c r="V19" i="97"/>
  <c r="V27" i="97" s="1"/>
  <c r="U19" i="97"/>
  <c r="T19" i="97"/>
  <c r="T27" i="97" s="1"/>
  <c r="S19" i="97"/>
  <c r="AD18" i="97"/>
  <c r="W17" i="97"/>
  <c r="AC11" i="97"/>
  <c r="AC21" i="96"/>
  <c r="AB21" i="96"/>
  <c r="AA21" i="96"/>
  <c r="Z21" i="96"/>
  <c r="X21" i="96"/>
  <c r="W21" i="96"/>
  <c r="V21" i="96"/>
  <c r="U21" i="96"/>
  <c r="T21" i="96"/>
  <c r="AD20" i="96"/>
  <c r="AC20" i="96"/>
  <c r="AB20" i="96"/>
  <c r="AA20" i="96"/>
  <c r="Z20" i="96"/>
  <c r="Y20" i="96"/>
  <c r="X20" i="96"/>
  <c r="V20" i="96"/>
  <c r="U20" i="96"/>
  <c r="T20" i="96"/>
  <c r="AD19" i="96"/>
  <c r="AC19" i="96"/>
  <c r="AB19" i="96"/>
  <c r="AA19" i="96"/>
  <c r="Z19" i="96"/>
  <c r="Y19" i="96"/>
  <c r="X19" i="96"/>
  <c r="W19" i="96"/>
  <c r="V19" i="96"/>
  <c r="U19" i="96"/>
  <c r="T19" i="96"/>
  <c r="AD18" i="96"/>
  <c r="AC18" i="96"/>
  <c r="AB18" i="96"/>
  <c r="Z18" i="96"/>
  <c r="X18" i="96"/>
  <c r="W18" i="96"/>
  <c r="V18" i="96"/>
  <c r="U18" i="96"/>
  <c r="T18" i="96"/>
  <c r="AD17" i="96"/>
  <c r="AC17" i="96"/>
  <c r="AB17" i="96"/>
  <c r="AA17" i="96"/>
  <c r="Z17" i="96"/>
  <c r="Y17" i="96"/>
  <c r="X17" i="96"/>
  <c r="V17" i="96"/>
  <c r="T17" i="96"/>
  <c r="AB16" i="96"/>
  <c r="AA16" i="96"/>
  <c r="Z16" i="96"/>
  <c r="X16" i="96"/>
  <c r="V16" i="96"/>
  <c r="U16" i="96"/>
  <c r="AD15" i="96"/>
  <c r="AC15" i="96"/>
  <c r="AB15" i="96"/>
  <c r="AA15" i="96"/>
  <c r="Z15" i="96"/>
  <c r="Y15" i="96"/>
  <c r="W15" i="96"/>
  <c r="V15" i="96"/>
  <c r="U15" i="96"/>
  <c r="T15" i="96"/>
  <c r="AD14" i="96"/>
  <c r="AB14" i="96"/>
  <c r="AA14" i="96"/>
  <c r="Z14" i="96"/>
  <c r="Y14" i="96"/>
  <c r="X14" i="96"/>
  <c r="W14" i="96"/>
  <c r="V14" i="96"/>
  <c r="T14" i="96"/>
  <c r="AD13" i="96"/>
  <c r="AC13" i="96"/>
  <c r="AA13" i="96"/>
  <c r="Z13" i="96"/>
  <c r="Y13" i="96"/>
  <c r="X13" i="96"/>
  <c r="W13" i="96"/>
  <c r="V13" i="96"/>
  <c r="U13" i="96"/>
  <c r="T13" i="96"/>
  <c r="AD21" i="96"/>
  <c r="AB21" i="95"/>
  <c r="AA21" i="95"/>
  <c r="Z21" i="95"/>
  <c r="Y21" i="95"/>
  <c r="X21" i="95"/>
  <c r="U21" i="95"/>
  <c r="T21" i="95"/>
  <c r="AD20" i="95"/>
  <c r="AB20" i="95"/>
  <c r="AA20" i="95"/>
  <c r="Z20" i="95"/>
  <c r="Y20" i="95"/>
  <c r="X20" i="95"/>
  <c r="W20" i="95"/>
  <c r="V20" i="95"/>
  <c r="T20" i="95"/>
  <c r="S20" i="95"/>
  <c r="AD19" i="95"/>
  <c r="AC19" i="95"/>
  <c r="AB19" i="95"/>
  <c r="AA19" i="95"/>
  <c r="Y19" i="95"/>
  <c r="X19" i="95"/>
  <c r="W19" i="95"/>
  <c r="U19" i="95"/>
  <c r="AD18" i="95"/>
  <c r="AB18" i="95"/>
  <c r="AA18" i="95"/>
  <c r="Y18" i="95"/>
  <c r="X18" i="95"/>
  <c r="W18" i="95"/>
  <c r="V18" i="95"/>
  <c r="U18" i="95"/>
  <c r="T18" i="95"/>
  <c r="AD17" i="95"/>
  <c r="AA17" i="95"/>
  <c r="Z17" i="95"/>
  <c r="Y17" i="95"/>
  <c r="X17" i="95"/>
  <c r="W17" i="95"/>
  <c r="V17" i="95"/>
  <c r="U17" i="95"/>
  <c r="T17" i="95"/>
  <c r="AD16" i="95"/>
  <c r="AA16" i="95"/>
  <c r="Z16" i="95"/>
  <c r="X16" i="95"/>
  <c r="W16" i="95"/>
  <c r="V16" i="95"/>
  <c r="U16" i="95"/>
  <c r="T16" i="95"/>
  <c r="AD15" i="95"/>
  <c r="AC15" i="95"/>
  <c r="AA15" i="95"/>
  <c r="Z15" i="95"/>
  <c r="Y15" i="95"/>
  <c r="X15" i="95"/>
  <c r="W15" i="95"/>
  <c r="U15" i="95"/>
  <c r="T15" i="95"/>
  <c r="AD14" i="95"/>
  <c r="AC14" i="95"/>
  <c r="AA14" i="95"/>
  <c r="Z14" i="95"/>
  <c r="Y14" i="95"/>
  <c r="X14" i="95"/>
  <c r="W14" i="95"/>
  <c r="V14" i="95"/>
  <c r="T14" i="95"/>
  <c r="AD13" i="95"/>
  <c r="AC13" i="95"/>
  <c r="AB13" i="95"/>
  <c r="AA13" i="95"/>
  <c r="W13" i="95"/>
  <c r="V13" i="95"/>
  <c r="U13" i="95"/>
  <c r="T13" i="95"/>
  <c r="AD21" i="95"/>
  <c r="AC20" i="95"/>
  <c r="T19" i="95"/>
  <c r="AE25" i="111" l="1"/>
  <c r="AF33" i="111"/>
  <c r="AE26" i="111"/>
  <c r="AF23" i="111"/>
  <c r="AE23" i="111"/>
  <c r="AF25" i="111"/>
  <c r="AF24" i="111"/>
  <c r="AF26" i="111"/>
  <c r="AE24" i="111"/>
  <c r="AF27" i="111"/>
  <c r="Z39" i="105"/>
  <c r="V39" i="105"/>
  <c r="W39" i="105"/>
  <c r="AA39" i="105"/>
  <c r="Y39" i="109"/>
  <c r="AA39" i="101"/>
  <c r="AA26" i="95"/>
  <c r="X26" i="98"/>
  <c r="Z39" i="101"/>
  <c r="AB39" i="101"/>
  <c r="AD39" i="101"/>
  <c r="W26" i="95"/>
  <c r="AD26" i="95"/>
  <c r="C3" i="108"/>
  <c r="C3" i="111"/>
  <c r="C3" i="107"/>
  <c r="X15" i="96"/>
  <c r="X23" i="96" s="1"/>
  <c r="AD16" i="97"/>
  <c r="AD23" i="97" s="1"/>
  <c r="U20" i="100"/>
  <c r="T20" i="105"/>
  <c r="T39" i="105" s="1"/>
  <c r="AC17" i="95"/>
  <c r="AB13" i="96"/>
  <c r="AB26" i="96" s="1"/>
  <c r="AB16" i="95"/>
  <c r="T18" i="98"/>
  <c r="T26" i="98" s="1"/>
  <c r="Z21" i="98"/>
  <c r="T16" i="96"/>
  <c r="T26" i="96" s="1"/>
  <c r="AB20" i="99"/>
  <c r="AB27" i="99" s="1"/>
  <c r="X21" i="101"/>
  <c r="X39" i="101" s="1"/>
  <c r="U20" i="105"/>
  <c r="U39" i="105" s="1"/>
  <c r="AA33" i="105"/>
  <c r="U22" i="109"/>
  <c r="W20" i="96"/>
  <c r="W24" i="96" s="1"/>
  <c r="V14" i="101"/>
  <c r="V38" i="101" s="1"/>
  <c r="Y13" i="95"/>
  <c r="V14" i="97"/>
  <c r="S17" i="101"/>
  <c r="T23" i="105"/>
  <c r="Z27" i="99"/>
  <c r="Y16" i="96"/>
  <c r="AC32" i="109"/>
  <c r="AC18" i="110"/>
  <c r="W21" i="95"/>
  <c r="AC21" i="95"/>
  <c r="AC24" i="95" s="1"/>
  <c r="AB17" i="98"/>
  <c r="AB23" i="98" s="1"/>
  <c r="W16" i="96"/>
  <c r="AD18" i="98"/>
  <c r="AC16" i="97"/>
  <c r="AB19" i="98"/>
  <c r="AB27" i="98" s="1"/>
  <c r="S14" i="94"/>
  <c r="S15" i="94"/>
  <c r="W15" i="94"/>
  <c r="S16" i="94"/>
  <c r="W17" i="94"/>
  <c r="W19" i="94"/>
  <c r="AA19" i="94"/>
  <c r="S20" i="94"/>
  <c r="U20" i="94"/>
  <c r="W20" i="94"/>
  <c r="Y20" i="94"/>
  <c r="AA20" i="94"/>
  <c r="AC21" i="94"/>
  <c r="AC14" i="96"/>
  <c r="W14" i="94"/>
  <c r="S17" i="94"/>
  <c r="S18" i="94"/>
  <c r="S19" i="94"/>
  <c r="AC19" i="94"/>
  <c r="S21" i="94"/>
  <c r="U21" i="94"/>
  <c r="W21" i="94"/>
  <c r="Y21" i="94"/>
  <c r="X12" i="100"/>
  <c r="S39" i="110"/>
  <c r="AA39" i="110"/>
  <c r="T12" i="110"/>
  <c r="V12" i="110"/>
  <c r="X12" i="110"/>
  <c r="Z12" i="110"/>
  <c r="AB12" i="110"/>
  <c r="AD12" i="110"/>
  <c r="U12" i="110"/>
  <c r="W12" i="110"/>
  <c r="Y12" i="110"/>
  <c r="AA12" i="110"/>
  <c r="AC12" i="110"/>
  <c r="P21" i="110"/>
  <c r="T13" i="110"/>
  <c r="V13" i="110"/>
  <c r="X13" i="110"/>
  <c r="Z13" i="110"/>
  <c r="AB13" i="110"/>
  <c r="AD13" i="110"/>
  <c r="U13" i="110"/>
  <c r="W13" i="110"/>
  <c r="Y13" i="110"/>
  <c r="AA13" i="110"/>
  <c r="AC13" i="110"/>
  <c r="P25" i="110"/>
  <c r="T14" i="110"/>
  <c r="V14" i="110"/>
  <c r="X14" i="110"/>
  <c r="Z14" i="110"/>
  <c r="AB14" i="110"/>
  <c r="AD14" i="110"/>
  <c r="U14" i="110"/>
  <c r="W14" i="110"/>
  <c r="Y14" i="110"/>
  <c r="AA14" i="110"/>
  <c r="AC14" i="110"/>
  <c r="P29" i="110"/>
  <c r="T15" i="110"/>
  <c r="V15" i="110"/>
  <c r="X15" i="110"/>
  <c r="Z15" i="110"/>
  <c r="AB15" i="110"/>
  <c r="AD15" i="110"/>
  <c r="U15" i="110"/>
  <c r="W15" i="110"/>
  <c r="Y15" i="110"/>
  <c r="AA15" i="110"/>
  <c r="AC15" i="110"/>
  <c r="P33" i="110"/>
  <c r="P45" i="110"/>
  <c r="P49" i="110"/>
  <c r="P53" i="110"/>
  <c r="P59" i="110"/>
  <c r="P63" i="110"/>
  <c r="P67" i="110"/>
  <c r="P71" i="110"/>
  <c r="P75" i="110"/>
  <c r="P79" i="110"/>
  <c r="P83" i="110"/>
  <c r="P87" i="110"/>
  <c r="P91" i="110"/>
  <c r="X20" i="99"/>
  <c r="X27" i="99" s="1"/>
  <c r="F13" i="108"/>
  <c r="J13" i="108"/>
  <c r="N13" i="108"/>
  <c r="J14" i="108"/>
  <c r="N14" i="108"/>
  <c r="F15" i="108"/>
  <c r="N15" i="108"/>
  <c r="J16" i="108"/>
  <c r="F17" i="108"/>
  <c r="N17" i="108"/>
  <c r="J18" i="108"/>
  <c r="N18" i="108"/>
  <c r="F19" i="108"/>
  <c r="N19" i="108"/>
  <c r="F20" i="108"/>
  <c r="J20" i="108"/>
  <c r="F21" i="108"/>
  <c r="AB15" i="95"/>
  <c r="U17" i="97"/>
  <c r="U26" i="97" s="1"/>
  <c r="J21" i="108"/>
  <c r="N21" i="108"/>
  <c r="J22" i="108"/>
  <c r="N22" i="108"/>
  <c r="F23" i="108"/>
  <c r="N23" i="108"/>
  <c r="J24" i="108"/>
  <c r="H46" i="108"/>
  <c r="J46" i="108"/>
  <c r="L46" i="108"/>
  <c r="N46" i="108"/>
  <c r="D47" i="108"/>
  <c r="F47" i="108"/>
  <c r="H47" i="108"/>
  <c r="J47" i="108"/>
  <c r="L47" i="108"/>
  <c r="N47" i="108"/>
  <c r="D48" i="108"/>
  <c r="F48" i="108"/>
  <c r="H48" i="108"/>
  <c r="J48" i="108"/>
  <c r="L48" i="108"/>
  <c r="N48" i="108"/>
  <c r="D49" i="108"/>
  <c r="F49" i="108"/>
  <c r="H49" i="108"/>
  <c r="J49" i="108"/>
  <c r="L49" i="108"/>
  <c r="N49" i="108"/>
  <c r="D50" i="108"/>
  <c r="F50" i="108"/>
  <c r="H50" i="108"/>
  <c r="J50" i="108"/>
  <c r="L50" i="108"/>
  <c r="N50" i="108"/>
  <c r="D51" i="108"/>
  <c r="F51" i="108"/>
  <c r="H51" i="108"/>
  <c r="J51" i="108"/>
  <c r="L51" i="108"/>
  <c r="N51" i="108"/>
  <c r="D52" i="108"/>
  <c r="F52" i="108"/>
  <c r="H52" i="108"/>
  <c r="J52" i="108"/>
  <c r="L52" i="108"/>
  <c r="N52" i="108"/>
  <c r="D53" i="108"/>
  <c r="F53" i="108"/>
  <c r="H53" i="108"/>
  <c r="J53" i="108"/>
  <c r="L53" i="108"/>
  <c r="N53" i="108"/>
  <c r="D54" i="108"/>
  <c r="F54" i="108"/>
  <c r="H54" i="108"/>
  <c r="J54" i="108"/>
  <c r="L54" i="108"/>
  <c r="N54" i="108"/>
  <c r="D55" i="108"/>
  <c r="F55" i="108"/>
  <c r="H55" i="108"/>
  <c r="J55" i="108"/>
  <c r="L55" i="108"/>
  <c r="N55" i="108"/>
  <c r="D56" i="108"/>
  <c r="F56" i="108"/>
  <c r="H56" i="108"/>
  <c r="J56" i="108"/>
  <c r="L56" i="108"/>
  <c r="N56" i="108"/>
  <c r="D57" i="108"/>
  <c r="F57" i="108"/>
  <c r="H57" i="108"/>
  <c r="J57" i="108"/>
  <c r="L57" i="108"/>
  <c r="N57" i="108"/>
  <c r="I47" i="108"/>
  <c r="M48" i="108"/>
  <c r="I51" i="108"/>
  <c r="M52" i="108"/>
  <c r="I55" i="108"/>
  <c r="M56" i="108"/>
  <c r="E10" i="108"/>
  <c r="G10" i="108"/>
  <c r="I10" i="108"/>
  <c r="K10" i="108"/>
  <c r="M10" i="108"/>
  <c r="C11" i="108"/>
  <c r="E11" i="108"/>
  <c r="G11" i="108"/>
  <c r="I11" i="108"/>
  <c r="K11" i="108"/>
  <c r="M11" i="108"/>
  <c r="C13" i="108"/>
  <c r="E13" i="108"/>
  <c r="G13" i="108"/>
  <c r="I13" i="108"/>
  <c r="K13" i="108"/>
  <c r="M13" i="108"/>
  <c r="C14" i="108"/>
  <c r="E14" i="108"/>
  <c r="G14" i="108"/>
  <c r="I14" i="108"/>
  <c r="K14" i="108"/>
  <c r="M14" i="108"/>
  <c r="C15" i="108"/>
  <c r="E15" i="108"/>
  <c r="G15" i="108"/>
  <c r="I15" i="108"/>
  <c r="K15" i="108"/>
  <c r="M15" i="108"/>
  <c r="C16" i="108"/>
  <c r="E16" i="108"/>
  <c r="G16" i="108"/>
  <c r="I16" i="108"/>
  <c r="K16" i="108"/>
  <c r="M16" i="108"/>
  <c r="C17" i="108"/>
  <c r="E17" i="108"/>
  <c r="G17" i="108"/>
  <c r="I17" i="108"/>
  <c r="K17" i="108"/>
  <c r="M17" i="108"/>
  <c r="C18" i="108"/>
  <c r="E18" i="108"/>
  <c r="G18" i="108"/>
  <c r="I18" i="108"/>
  <c r="K18" i="108"/>
  <c r="M18" i="108"/>
  <c r="C24" i="108"/>
  <c r="E24" i="108"/>
  <c r="G24" i="108"/>
  <c r="I24" i="108"/>
  <c r="K24" i="108"/>
  <c r="M24" i="108"/>
  <c r="C25" i="108"/>
  <c r="E25" i="108"/>
  <c r="G25" i="108"/>
  <c r="I25" i="108"/>
  <c r="K25" i="108"/>
  <c r="M25" i="108"/>
  <c r="E26" i="108"/>
  <c r="I26" i="108"/>
  <c r="M26" i="108"/>
  <c r="C27" i="108"/>
  <c r="E27" i="108"/>
  <c r="G27" i="108"/>
  <c r="I27" i="108"/>
  <c r="K27" i="108"/>
  <c r="M27" i="108"/>
  <c r="C28" i="108"/>
  <c r="E28" i="108"/>
  <c r="G28" i="108"/>
  <c r="I28" i="108"/>
  <c r="K28" i="108"/>
  <c r="M28" i="108"/>
  <c r="C29" i="108"/>
  <c r="E29" i="108"/>
  <c r="G29" i="108"/>
  <c r="I29" i="108"/>
  <c r="K29" i="108"/>
  <c r="M29" i="108"/>
  <c r="E30" i="108"/>
  <c r="I30" i="108"/>
  <c r="M30" i="108"/>
  <c r="C31" i="108"/>
  <c r="E31" i="108"/>
  <c r="G31" i="108"/>
  <c r="I31" i="108"/>
  <c r="K31" i="108"/>
  <c r="M31" i="108"/>
  <c r="C32" i="108"/>
  <c r="E32" i="108"/>
  <c r="G32" i="108"/>
  <c r="I32" i="108"/>
  <c r="K32" i="108"/>
  <c r="M32" i="108"/>
  <c r="C33" i="108"/>
  <c r="E33" i="108"/>
  <c r="G33" i="108"/>
  <c r="I33" i="108"/>
  <c r="K33" i="108"/>
  <c r="M33" i="108"/>
  <c r="E34" i="108"/>
  <c r="G34" i="108"/>
  <c r="I34" i="108"/>
  <c r="M34" i="108"/>
  <c r="C35" i="108"/>
  <c r="E35" i="108"/>
  <c r="G35" i="108"/>
  <c r="I35" i="108"/>
  <c r="K35" i="108"/>
  <c r="M35" i="108"/>
  <c r="C36" i="108"/>
  <c r="E36" i="108"/>
  <c r="G36" i="108"/>
  <c r="I36" i="108"/>
  <c r="P23" i="110"/>
  <c r="S13" i="110"/>
  <c r="P31" i="110"/>
  <c r="S15" i="110"/>
  <c r="K36" i="108"/>
  <c r="M36" i="108"/>
  <c r="C37" i="108"/>
  <c r="E37" i="108"/>
  <c r="G37" i="108"/>
  <c r="I37" i="108"/>
  <c r="K37" i="108"/>
  <c r="M37" i="108"/>
  <c r="E38" i="108"/>
  <c r="I38" i="108"/>
  <c r="K38" i="108"/>
  <c r="M38" i="108"/>
  <c r="C39" i="108"/>
  <c r="E39" i="108"/>
  <c r="G39" i="108"/>
  <c r="I39" i="108"/>
  <c r="K39" i="108"/>
  <c r="M39" i="108"/>
  <c r="C40" i="108"/>
  <c r="E40" i="108"/>
  <c r="G40" i="108"/>
  <c r="I40" i="108"/>
  <c r="K40" i="108"/>
  <c r="M40" i="108"/>
  <c r="C41" i="108"/>
  <c r="E41" i="108"/>
  <c r="G41" i="108"/>
  <c r="I41" i="108"/>
  <c r="K41" i="108"/>
  <c r="M41" i="108"/>
  <c r="E42" i="108"/>
  <c r="G42" i="108"/>
  <c r="I42" i="108"/>
  <c r="M42" i="108"/>
  <c r="C43" i="108"/>
  <c r="E43" i="108"/>
  <c r="G43" i="108"/>
  <c r="I43" i="108"/>
  <c r="K43" i="108"/>
  <c r="M43" i="108"/>
  <c r="C44" i="108"/>
  <c r="E44" i="108"/>
  <c r="G44" i="108"/>
  <c r="I44" i="108"/>
  <c r="K44" i="108"/>
  <c r="M44" i="108"/>
  <c r="C45" i="108"/>
  <c r="E45" i="108"/>
  <c r="G45" i="108"/>
  <c r="I45" i="108"/>
  <c r="K45" i="108"/>
  <c r="M45" i="108"/>
  <c r="E46" i="108"/>
  <c r="I46" i="108"/>
  <c r="E47" i="108"/>
  <c r="M47" i="108"/>
  <c r="I48" i="108"/>
  <c r="E49" i="108"/>
  <c r="M49" i="108"/>
  <c r="E51" i="108"/>
  <c r="M51" i="108"/>
  <c r="I52" i="108"/>
  <c r="E53" i="108"/>
  <c r="M53" i="108"/>
  <c r="E55" i="108"/>
  <c r="M55" i="108"/>
  <c r="I56" i="108"/>
  <c r="E57" i="108"/>
  <c r="M57" i="108"/>
  <c r="E48" i="108"/>
  <c r="I49" i="108"/>
  <c r="E52" i="108"/>
  <c r="I53" i="108"/>
  <c r="E56" i="108"/>
  <c r="I57" i="108"/>
  <c r="X10" i="110"/>
  <c r="P13" i="110"/>
  <c r="P15" i="110"/>
  <c r="W11" i="110"/>
  <c r="AA14" i="94"/>
  <c r="K26" i="108"/>
  <c r="AA15" i="94"/>
  <c r="K30" i="108"/>
  <c r="AA16" i="94"/>
  <c r="K34" i="108"/>
  <c r="AA18" i="94"/>
  <c r="K42" i="108"/>
  <c r="M54" i="108"/>
  <c r="M50" i="108"/>
  <c r="M46" i="108"/>
  <c r="C42" i="108"/>
  <c r="C34" i="108"/>
  <c r="C26" i="108"/>
  <c r="F10" i="108"/>
  <c r="J10" i="108"/>
  <c r="N10" i="108"/>
  <c r="D11" i="108"/>
  <c r="F11" i="108"/>
  <c r="H11" i="108"/>
  <c r="J11" i="108"/>
  <c r="L11" i="108"/>
  <c r="N11" i="108"/>
  <c r="D12" i="108"/>
  <c r="F12" i="108"/>
  <c r="J12" i="108"/>
  <c r="P19" i="110"/>
  <c r="S12" i="110"/>
  <c r="E54" i="108"/>
  <c r="E50" i="108"/>
  <c r="C46" i="108"/>
  <c r="C38" i="108"/>
  <c r="C30" i="108"/>
  <c r="C47" i="108"/>
  <c r="G47" i="108"/>
  <c r="K47" i="108"/>
  <c r="C48" i="108"/>
  <c r="G48" i="108"/>
  <c r="K48" i="108"/>
  <c r="C49" i="108"/>
  <c r="G49" i="108"/>
  <c r="K49" i="108"/>
  <c r="C51" i="108"/>
  <c r="G51" i="108"/>
  <c r="K51" i="108"/>
  <c r="C52" i="108"/>
  <c r="G52" i="108"/>
  <c r="K52" i="108"/>
  <c r="C53" i="108"/>
  <c r="G53" i="108"/>
  <c r="K53" i="108"/>
  <c r="K54" i="108"/>
  <c r="C55" i="108"/>
  <c r="G55" i="108"/>
  <c r="K55" i="108"/>
  <c r="C56" i="108"/>
  <c r="G56" i="108"/>
  <c r="K56" i="108"/>
  <c r="C57" i="108"/>
  <c r="G57" i="108"/>
  <c r="K57" i="108"/>
  <c r="N12" i="108"/>
  <c r="F14" i="108"/>
  <c r="J15" i="108"/>
  <c r="N16" i="108"/>
  <c r="F18" i="108"/>
  <c r="J19" i="108"/>
  <c r="N20" i="108"/>
  <c r="J23" i="108"/>
  <c r="N24" i="108"/>
  <c r="F24" i="108"/>
  <c r="Z13" i="109"/>
  <c r="P12" i="110"/>
  <c r="F16" i="108"/>
  <c r="J17" i="108"/>
  <c r="I54" i="108"/>
  <c r="I50" i="108"/>
  <c r="C12" i="108"/>
  <c r="E12" i="108"/>
  <c r="G12" i="108"/>
  <c r="I12" i="108"/>
  <c r="K12" i="108"/>
  <c r="M12" i="108"/>
  <c r="C19" i="108"/>
  <c r="E19" i="108"/>
  <c r="G19" i="108"/>
  <c r="I19" i="108"/>
  <c r="K19" i="108"/>
  <c r="M19" i="108"/>
  <c r="C20" i="108"/>
  <c r="E20" i="108"/>
  <c r="G20" i="108"/>
  <c r="I20" i="108"/>
  <c r="K20" i="108"/>
  <c r="M20" i="108"/>
  <c r="C21" i="108"/>
  <c r="E21" i="108"/>
  <c r="G21" i="108"/>
  <c r="I21" i="108"/>
  <c r="K21" i="108"/>
  <c r="M21" i="108"/>
  <c r="C22" i="108"/>
  <c r="E22" i="108"/>
  <c r="G22" i="108"/>
  <c r="I22" i="108"/>
  <c r="K22" i="108"/>
  <c r="M22" i="108"/>
  <c r="C23" i="108"/>
  <c r="E23" i="108"/>
  <c r="G23" i="108"/>
  <c r="I23" i="108"/>
  <c r="K23" i="108"/>
  <c r="M23" i="108"/>
  <c r="D106" i="110"/>
  <c r="L106" i="110"/>
  <c r="P27" i="110"/>
  <c r="S14" i="110"/>
  <c r="G54" i="108"/>
  <c r="C54" i="108"/>
  <c r="K50" i="108"/>
  <c r="G50" i="108"/>
  <c r="C50" i="108"/>
  <c r="K46" i="108"/>
  <c r="G46" i="108"/>
  <c r="G38" i="108"/>
  <c r="G30" i="108"/>
  <c r="G26" i="108"/>
  <c r="F22" i="108"/>
  <c r="H12" i="108"/>
  <c r="L12" i="108"/>
  <c r="D13" i="108"/>
  <c r="H13" i="108"/>
  <c r="L13" i="108"/>
  <c r="D14" i="108"/>
  <c r="H14" i="108"/>
  <c r="L14" i="108"/>
  <c r="D15" i="108"/>
  <c r="H15" i="108"/>
  <c r="L15" i="108"/>
  <c r="D16" i="108"/>
  <c r="H16" i="108"/>
  <c r="L16" i="108"/>
  <c r="D17" i="108"/>
  <c r="H17" i="108"/>
  <c r="L17" i="108"/>
  <c r="D18" i="108"/>
  <c r="H18" i="108"/>
  <c r="L18" i="108"/>
  <c r="D19" i="108"/>
  <c r="H19" i="108"/>
  <c r="L19" i="108"/>
  <c r="D20" i="108"/>
  <c r="H20" i="108"/>
  <c r="L20" i="108"/>
  <c r="D21" i="108"/>
  <c r="H21" i="108"/>
  <c r="L21" i="108"/>
  <c r="D22" i="108"/>
  <c r="H22" i="108"/>
  <c r="L22" i="108"/>
  <c r="D23" i="108"/>
  <c r="H23" i="108"/>
  <c r="L23" i="108"/>
  <c r="D24" i="108"/>
  <c r="H24" i="108"/>
  <c r="L24" i="108"/>
  <c r="D25" i="108"/>
  <c r="F25" i="108"/>
  <c r="H25" i="108"/>
  <c r="J25" i="108"/>
  <c r="L25" i="108"/>
  <c r="N25" i="108"/>
  <c r="D26" i="108"/>
  <c r="F26" i="108"/>
  <c r="H26" i="108"/>
  <c r="J26" i="108"/>
  <c r="L26" i="108"/>
  <c r="N26" i="108"/>
  <c r="D27" i="108"/>
  <c r="F27" i="108"/>
  <c r="H27" i="108"/>
  <c r="J27" i="108"/>
  <c r="L27" i="108"/>
  <c r="N27" i="108"/>
  <c r="D28" i="108"/>
  <c r="F28" i="108"/>
  <c r="H28" i="108"/>
  <c r="J28" i="108"/>
  <c r="L28" i="108"/>
  <c r="N28" i="108"/>
  <c r="D29" i="108"/>
  <c r="F29" i="108"/>
  <c r="H29" i="108"/>
  <c r="J29" i="108"/>
  <c r="L29" i="108"/>
  <c r="N29" i="108"/>
  <c r="D30" i="108"/>
  <c r="F30" i="108"/>
  <c r="H30" i="108"/>
  <c r="J30" i="108"/>
  <c r="L30" i="108"/>
  <c r="N30" i="108"/>
  <c r="D31" i="108"/>
  <c r="F31" i="108"/>
  <c r="H31" i="108"/>
  <c r="J31" i="108"/>
  <c r="L31" i="108"/>
  <c r="N31" i="108"/>
  <c r="D32" i="108"/>
  <c r="F32" i="108"/>
  <c r="H32" i="108"/>
  <c r="J32" i="108"/>
  <c r="L32" i="108"/>
  <c r="N32" i="108"/>
  <c r="D33" i="108"/>
  <c r="F33" i="108"/>
  <c r="H33" i="108"/>
  <c r="J33" i="108"/>
  <c r="L33" i="108"/>
  <c r="N33" i="108"/>
  <c r="D34" i="108"/>
  <c r="F34" i="108"/>
  <c r="H34" i="108"/>
  <c r="J34" i="108"/>
  <c r="L34" i="108"/>
  <c r="N34" i="108"/>
  <c r="D35" i="108"/>
  <c r="F35" i="108"/>
  <c r="H35" i="108"/>
  <c r="J35" i="108"/>
  <c r="L35" i="108"/>
  <c r="N35" i="108"/>
  <c r="D36" i="108"/>
  <c r="F36" i="108"/>
  <c r="H36" i="108"/>
  <c r="J36" i="108"/>
  <c r="L36" i="108"/>
  <c r="N36" i="108"/>
  <c r="D37" i="108"/>
  <c r="F37" i="108"/>
  <c r="H37" i="108"/>
  <c r="J37" i="108"/>
  <c r="L37" i="108"/>
  <c r="N37" i="108"/>
  <c r="D38" i="108"/>
  <c r="F38" i="108"/>
  <c r="H38" i="108"/>
  <c r="J38" i="108"/>
  <c r="L38" i="108"/>
  <c r="N38" i="108"/>
  <c r="D39" i="108"/>
  <c r="F39" i="108"/>
  <c r="H39" i="108"/>
  <c r="J39" i="108"/>
  <c r="L39" i="108"/>
  <c r="N39" i="108"/>
  <c r="D40" i="108"/>
  <c r="F40" i="108"/>
  <c r="H40" i="108"/>
  <c r="J40" i="108"/>
  <c r="L40" i="108"/>
  <c r="N40" i="108"/>
  <c r="D41" i="108"/>
  <c r="F41" i="108"/>
  <c r="H41" i="108"/>
  <c r="J41" i="108"/>
  <c r="L41" i="108"/>
  <c r="N41" i="108"/>
  <c r="D42" i="108"/>
  <c r="F42" i="108"/>
  <c r="H42" i="108"/>
  <c r="J42" i="108"/>
  <c r="L42" i="108"/>
  <c r="N42" i="108"/>
  <c r="D43" i="108"/>
  <c r="F43" i="108"/>
  <c r="H43" i="108"/>
  <c r="J43" i="108"/>
  <c r="L43" i="108"/>
  <c r="N43" i="108"/>
  <c r="D44" i="108"/>
  <c r="F44" i="108"/>
  <c r="H44" i="108"/>
  <c r="J44" i="108"/>
  <c r="L44" i="108"/>
  <c r="N44" i="108"/>
  <c r="D45" i="108"/>
  <c r="F45" i="108"/>
  <c r="H45" i="108"/>
  <c r="J45" i="108"/>
  <c r="L45" i="108"/>
  <c r="N45" i="108"/>
  <c r="D46" i="108"/>
  <c r="F46" i="108"/>
  <c r="V12" i="109"/>
  <c r="AD12" i="109"/>
  <c r="P14" i="110"/>
  <c r="U11" i="110"/>
  <c r="Y11" i="110"/>
  <c r="AA11" i="110"/>
  <c r="AC11" i="110"/>
  <c r="X16" i="97"/>
  <c r="X26" i="97" s="1"/>
  <c r="W23" i="105"/>
  <c r="S11" i="109"/>
  <c r="AC17" i="109"/>
  <c r="V14" i="109"/>
  <c r="W10" i="110"/>
  <c r="P11" i="110"/>
  <c r="S11" i="110"/>
  <c r="T11" i="110"/>
  <c r="V11" i="110"/>
  <c r="X11" i="110"/>
  <c r="Z11" i="110"/>
  <c r="AB11" i="110"/>
  <c r="AD11" i="110"/>
  <c r="L10" i="108"/>
  <c r="H10" i="108"/>
  <c r="D10" i="108"/>
  <c r="V13" i="109"/>
  <c r="AD13" i="109"/>
  <c r="V15" i="109"/>
  <c r="AD15" i="109"/>
  <c r="C10" i="108"/>
  <c r="AA11" i="109"/>
  <c r="Z12" i="109"/>
  <c r="Z14" i="109"/>
  <c r="S10" i="110"/>
  <c r="V18" i="110"/>
  <c r="X18" i="110"/>
  <c r="Z18" i="110"/>
  <c r="AB18" i="110"/>
  <c r="AD18" i="110"/>
  <c r="P18" i="110"/>
  <c r="W39" i="110"/>
  <c r="P20" i="110"/>
  <c r="P22" i="110"/>
  <c r="P24" i="110"/>
  <c r="P26" i="110"/>
  <c r="P28" i="110"/>
  <c r="P30" i="110"/>
  <c r="P32" i="110"/>
  <c r="P34" i="110"/>
  <c r="P35" i="110"/>
  <c r="P36" i="110"/>
  <c r="P37" i="110"/>
  <c r="P38" i="110"/>
  <c r="P39" i="110"/>
  <c r="P40" i="110"/>
  <c r="P41" i="110"/>
  <c r="P42" i="110"/>
  <c r="O44" i="110"/>
  <c r="U19" i="110"/>
  <c r="Y19" i="110"/>
  <c r="AC19" i="110"/>
  <c r="O48" i="110"/>
  <c r="U20" i="110"/>
  <c r="Y20" i="110"/>
  <c r="AC20" i="110"/>
  <c r="O52" i="110"/>
  <c r="U21" i="110"/>
  <c r="Y21" i="110"/>
  <c r="AC21" i="110"/>
  <c r="O56" i="110"/>
  <c r="O58" i="110"/>
  <c r="U22" i="110"/>
  <c r="Y22" i="110"/>
  <c r="AC22" i="110"/>
  <c r="O62" i="110"/>
  <c r="O66" i="110"/>
  <c r="U24" i="110"/>
  <c r="Y24" i="110"/>
  <c r="AC24" i="110"/>
  <c r="O70" i="110"/>
  <c r="O74" i="110"/>
  <c r="U26" i="110"/>
  <c r="Y26" i="110"/>
  <c r="AC26" i="110"/>
  <c r="O78" i="110"/>
  <c r="O82" i="110"/>
  <c r="U28" i="110"/>
  <c r="Y28" i="110"/>
  <c r="AC28" i="110"/>
  <c r="O86" i="110"/>
  <c r="O90" i="110"/>
  <c r="U30" i="110"/>
  <c r="Y30" i="110"/>
  <c r="AC30" i="110"/>
  <c r="O94" i="110"/>
  <c r="O98" i="110"/>
  <c r="U32" i="110"/>
  <c r="Y32" i="110"/>
  <c r="AC32" i="110"/>
  <c r="O102" i="110"/>
  <c r="AD13" i="99"/>
  <c r="AD26" i="99" s="1"/>
  <c r="P44" i="110"/>
  <c r="P48" i="110"/>
  <c r="V19" i="110"/>
  <c r="X19" i="110"/>
  <c r="Z19" i="110"/>
  <c r="AB19" i="110"/>
  <c r="AD19" i="110"/>
  <c r="P52" i="110"/>
  <c r="V20" i="110"/>
  <c r="X20" i="110"/>
  <c r="Z20" i="110"/>
  <c r="AB20" i="110"/>
  <c r="AD20" i="110"/>
  <c r="P56" i="110"/>
  <c r="P62" i="110"/>
  <c r="P70" i="110"/>
  <c r="P78" i="110"/>
  <c r="P86" i="110"/>
  <c r="P94" i="110"/>
  <c r="P102" i="110"/>
  <c r="S13" i="97"/>
  <c r="T12" i="109"/>
  <c r="X12" i="109"/>
  <c r="AB12" i="109"/>
  <c r="P20" i="109"/>
  <c r="T13" i="109"/>
  <c r="X13" i="109"/>
  <c r="AB13" i="109"/>
  <c r="P24" i="109"/>
  <c r="T14" i="109"/>
  <c r="X14" i="109"/>
  <c r="AB14" i="109"/>
  <c r="P28" i="109"/>
  <c r="T15" i="109"/>
  <c r="X15" i="109"/>
  <c r="AB15" i="109"/>
  <c r="P32" i="109"/>
  <c r="E106" i="110"/>
  <c r="G106" i="110"/>
  <c r="I106" i="110"/>
  <c r="K106" i="110"/>
  <c r="M106" i="110"/>
  <c r="AA10" i="110"/>
  <c r="P17" i="110"/>
  <c r="S17" i="110"/>
  <c r="S35" i="110" s="1"/>
  <c r="P43" i="110"/>
  <c r="O46" i="110"/>
  <c r="P46" i="110"/>
  <c r="P47" i="110"/>
  <c r="O50" i="110"/>
  <c r="P50" i="110"/>
  <c r="P51" i="110"/>
  <c r="O54" i="110"/>
  <c r="P54" i="110"/>
  <c r="P55" i="110"/>
  <c r="P58" i="110"/>
  <c r="P66" i="110"/>
  <c r="P74" i="110"/>
  <c r="P82" i="110"/>
  <c r="P90" i="110"/>
  <c r="P98" i="110"/>
  <c r="P57" i="110"/>
  <c r="V21" i="110"/>
  <c r="X21" i="110"/>
  <c r="Z21" i="110"/>
  <c r="AB21" i="110"/>
  <c r="AD21" i="110"/>
  <c r="O60" i="110"/>
  <c r="P60" i="110"/>
  <c r="P61" i="110"/>
  <c r="V22" i="110"/>
  <c r="X22" i="110"/>
  <c r="Z22" i="110"/>
  <c r="AB22" i="110"/>
  <c r="AD22" i="110"/>
  <c r="O64" i="110"/>
  <c r="P64" i="110"/>
  <c r="P65" i="110"/>
  <c r="V23" i="110"/>
  <c r="X23" i="110"/>
  <c r="Z23" i="110"/>
  <c r="AB23" i="110"/>
  <c r="AD23" i="110"/>
  <c r="O68" i="110"/>
  <c r="P68" i="110"/>
  <c r="P69" i="110"/>
  <c r="V24" i="110"/>
  <c r="X24" i="110"/>
  <c r="Z24" i="110"/>
  <c r="AB24" i="110"/>
  <c r="AD24" i="110"/>
  <c r="O72" i="110"/>
  <c r="P72" i="110"/>
  <c r="P73" i="110"/>
  <c r="V25" i="110"/>
  <c r="X25" i="110"/>
  <c r="Z25" i="110"/>
  <c r="AB25" i="110"/>
  <c r="AD25" i="110"/>
  <c r="O76" i="110"/>
  <c r="P76" i="110"/>
  <c r="P77" i="110"/>
  <c r="V26" i="110"/>
  <c r="X26" i="110"/>
  <c r="Z26" i="110"/>
  <c r="AB26" i="110"/>
  <c r="AD26" i="110"/>
  <c r="O80" i="110"/>
  <c r="P80" i="110"/>
  <c r="P81" i="110"/>
  <c r="V27" i="110"/>
  <c r="X27" i="110"/>
  <c r="Z27" i="110"/>
  <c r="AB27" i="110"/>
  <c r="AD27" i="110"/>
  <c r="O84" i="110"/>
  <c r="P84" i="110"/>
  <c r="P85" i="110"/>
  <c r="V28" i="110"/>
  <c r="X28" i="110"/>
  <c r="Z28" i="110"/>
  <c r="AB28" i="110"/>
  <c r="AD28" i="110"/>
  <c r="O88" i="110"/>
  <c r="P88" i="110"/>
  <c r="P89" i="110"/>
  <c r="V29" i="110"/>
  <c r="X29" i="110"/>
  <c r="Z29" i="110"/>
  <c r="AB29" i="110"/>
  <c r="AD29" i="110"/>
  <c r="O92" i="110"/>
  <c r="P92" i="110"/>
  <c r="P93" i="110"/>
  <c r="V30" i="110"/>
  <c r="X30" i="110"/>
  <c r="Z30" i="110"/>
  <c r="O96" i="110"/>
  <c r="P96" i="110"/>
  <c r="P97" i="110"/>
  <c r="O100" i="110"/>
  <c r="P100" i="110"/>
  <c r="P101" i="110"/>
  <c r="O104" i="110"/>
  <c r="P104" i="110"/>
  <c r="P105" i="110"/>
  <c r="S38" i="110"/>
  <c r="U38" i="110"/>
  <c r="W38" i="110"/>
  <c r="C106" i="110"/>
  <c r="P10" i="110"/>
  <c r="O10" i="110"/>
  <c r="U10" i="110"/>
  <c r="Y10" i="110"/>
  <c r="AC10" i="110"/>
  <c r="O11" i="110"/>
  <c r="O12" i="110"/>
  <c r="O13" i="110"/>
  <c r="O14" i="110"/>
  <c r="O15" i="110"/>
  <c r="P16" i="110"/>
  <c r="O16" i="110"/>
  <c r="O17" i="110"/>
  <c r="O18" i="110"/>
  <c r="O19" i="110"/>
  <c r="O20" i="110"/>
  <c r="O21" i="110"/>
  <c r="O22" i="110"/>
  <c r="O23" i="110"/>
  <c r="O24" i="110"/>
  <c r="O25" i="110"/>
  <c r="O26" i="110"/>
  <c r="O27" i="110"/>
  <c r="O28" i="110"/>
  <c r="O29" i="110"/>
  <c r="O30" i="110"/>
  <c r="S36" i="110"/>
  <c r="W36" i="110"/>
  <c r="AA36" i="110"/>
  <c r="H106" i="110"/>
  <c r="C106" i="109"/>
  <c r="E106" i="109"/>
  <c r="G106" i="109"/>
  <c r="I106" i="109"/>
  <c r="K106" i="109"/>
  <c r="M106" i="109"/>
  <c r="P11" i="109"/>
  <c r="W11" i="109"/>
  <c r="P18" i="109"/>
  <c r="U12" i="109"/>
  <c r="W12" i="109"/>
  <c r="Y12" i="109"/>
  <c r="AA12" i="109"/>
  <c r="AC12" i="109"/>
  <c r="P22" i="109"/>
  <c r="U13" i="109"/>
  <c r="W13" i="109"/>
  <c r="Y13" i="109"/>
  <c r="AA13" i="109"/>
  <c r="AC13" i="109"/>
  <c r="P26" i="109"/>
  <c r="U14" i="109"/>
  <c r="W14" i="109"/>
  <c r="Y14" i="109"/>
  <c r="AA14" i="109"/>
  <c r="AC14" i="109"/>
  <c r="P30" i="109"/>
  <c r="U15" i="109"/>
  <c r="W15" i="109"/>
  <c r="Y15" i="109"/>
  <c r="AA15" i="109"/>
  <c r="AC15" i="109"/>
  <c r="P34" i="109"/>
  <c r="P35" i="109"/>
  <c r="P36" i="109"/>
  <c r="P37" i="109"/>
  <c r="P38" i="109"/>
  <c r="P39" i="109"/>
  <c r="P40" i="109"/>
  <c r="P41" i="109"/>
  <c r="P42" i="109"/>
  <c r="O44" i="109"/>
  <c r="S39" i="109"/>
  <c r="AA39" i="109"/>
  <c r="O48" i="109"/>
  <c r="O52" i="109"/>
  <c r="O56" i="109"/>
  <c r="O58" i="109"/>
  <c r="O62" i="109"/>
  <c r="O66" i="109"/>
  <c r="O70" i="109"/>
  <c r="O74" i="109"/>
  <c r="O78" i="109"/>
  <c r="O82" i="109"/>
  <c r="O86" i="109"/>
  <c r="O90" i="109"/>
  <c r="O94" i="109"/>
  <c r="O98" i="109"/>
  <c r="O102" i="109"/>
  <c r="F106" i="110"/>
  <c r="J106" i="110"/>
  <c r="N106" i="110"/>
  <c r="T10" i="110"/>
  <c r="V10" i="110"/>
  <c r="Z10" i="110"/>
  <c r="AB10" i="110"/>
  <c r="AD10" i="110"/>
  <c r="T18" i="110"/>
  <c r="T19" i="110"/>
  <c r="T20" i="110"/>
  <c r="T21" i="110"/>
  <c r="T22" i="110"/>
  <c r="T23" i="110"/>
  <c r="T24" i="110"/>
  <c r="T25" i="110"/>
  <c r="T26" i="110"/>
  <c r="T27" i="110"/>
  <c r="T28" i="110"/>
  <c r="T29" i="110"/>
  <c r="T30" i="110"/>
  <c r="O31" i="110"/>
  <c r="O32" i="110"/>
  <c r="O33" i="110"/>
  <c r="O34" i="110"/>
  <c r="O35" i="110"/>
  <c r="O36" i="110"/>
  <c r="O37" i="110"/>
  <c r="O38" i="110"/>
  <c r="O39" i="110"/>
  <c r="O40" i="110"/>
  <c r="O41" i="110"/>
  <c r="O42" i="110"/>
  <c r="AB30" i="110"/>
  <c r="AD30" i="110"/>
  <c r="P95" i="110"/>
  <c r="T31" i="110"/>
  <c r="V31" i="110"/>
  <c r="X31" i="110"/>
  <c r="Z31" i="110"/>
  <c r="AB31" i="110"/>
  <c r="AD31" i="110"/>
  <c r="P99" i="110"/>
  <c r="T32" i="110"/>
  <c r="V32" i="110"/>
  <c r="X32" i="110"/>
  <c r="Z32" i="110"/>
  <c r="AB32" i="110"/>
  <c r="AD32" i="110"/>
  <c r="P103" i="110"/>
  <c r="T33" i="110"/>
  <c r="V33" i="110"/>
  <c r="X33" i="110"/>
  <c r="Z33" i="110"/>
  <c r="AB33" i="110"/>
  <c r="AD33" i="110"/>
  <c r="O43" i="110"/>
  <c r="O45" i="110"/>
  <c r="O47" i="110"/>
  <c r="O49" i="110"/>
  <c r="O51" i="110"/>
  <c r="O53" i="110"/>
  <c r="O55" i="110"/>
  <c r="O57" i="110"/>
  <c r="O59" i="110"/>
  <c r="O61" i="110"/>
  <c r="O63" i="110"/>
  <c r="O65" i="110"/>
  <c r="O67" i="110"/>
  <c r="O69" i="110"/>
  <c r="O71" i="110"/>
  <c r="O73" i="110"/>
  <c r="O75" i="110"/>
  <c r="O77" i="110"/>
  <c r="O79" i="110"/>
  <c r="O81" i="110"/>
  <c r="O83" i="110"/>
  <c r="O85" i="110"/>
  <c r="O87" i="110"/>
  <c r="O89" i="110"/>
  <c r="O91" i="110"/>
  <c r="O93" i="110"/>
  <c r="O95" i="110"/>
  <c r="O97" i="110"/>
  <c r="O99" i="110"/>
  <c r="O101" i="110"/>
  <c r="O103" i="110"/>
  <c r="O105" i="110"/>
  <c r="V19" i="95"/>
  <c r="Y14" i="101"/>
  <c r="V15" i="98"/>
  <c r="W39" i="109"/>
  <c r="X10" i="109"/>
  <c r="P12" i="109"/>
  <c r="S12" i="109"/>
  <c r="P13" i="109"/>
  <c r="S13" i="109"/>
  <c r="P14" i="109"/>
  <c r="U11" i="109"/>
  <c r="Y11" i="109"/>
  <c r="AC11" i="109"/>
  <c r="S14" i="109"/>
  <c r="P15" i="109"/>
  <c r="S15" i="109"/>
  <c r="P16" i="109"/>
  <c r="S16" i="109"/>
  <c r="T11" i="109"/>
  <c r="V11" i="109"/>
  <c r="X11" i="109"/>
  <c r="Z11" i="109"/>
  <c r="AB11" i="109"/>
  <c r="AD11" i="109"/>
  <c r="P19" i="109"/>
  <c r="P21" i="109"/>
  <c r="P23" i="109"/>
  <c r="S23" i="109"/>
  <c r="P25" i="109"/>
  <c r="S25" i="109"/>
  <c r="P27" i="109"/>
  <c r="S27" i="109"/>
  <c r="P29" i="109"/>
  <c r="S29" i="109"/>
  <c r="P31" i="109"/>
  <c r="S31" i="109"/>
  <c r="P33" i="109"/>
  <c r="S33" i="109"/>
  <c r="S17" i="109"/>
  <c r="P45" i="109"/>
  <c r="V18" i="109"/>
  <c r="X18" i="109"/>
  <c r="Z18" i="109"/>
  <c r="AB18" i="109"/>
  <c r="AD18" i="109"/>
  <c r="P49" i="109"/>
  <c r="P53" i="109"/>
  <c r="P59" i="109"/>
  <c r="P63" i="109"/>
  <c r="P67" i="109"/>
  <c r="P71" i="109"/>
  <c r="P75" i="109"/>
  <c r="P79" i="109"/>
  <c r="P83" i="109"/>
  <c r="P87" i="109"/>
  <c r="P91" i="109"/>
  <c r="P44" i="109"/>
  <c r="P48" i="109"/>
  <c r="V19" i="109"/>
  <c r="V39" i="109" s="1"/>
  <c r="X19" i="109"/>
  <c r="Z19" i="109"/>
  <c r="AB19" i="109"/>
  <c r="AD19" i="109"/>
  <c r="P52" i="109"/>
  <c r="V20" i="109"/>
  <c r="X20" i="109"/>
  <c r="Z20" i="109"/>
  <c r="AB20" i="109"/>
  <c r="AD20" i="109"/>
  <c r="P56" i="109"/>
  <c r="P62" i="109"/>
  <c r="P70" i="109"/>
  <c r="P78" i="109"/>
  <c r="P86" i="109"/>
  <c r="P94" i="109"/>
  <c r="P102" i="109"/>
  <c r="D106" i="109"/>
  <c r="L106" i="109"/>
  <c r="P17" i="109"/>
  <c r="P43" i="109"/>
  <c r="O46" i="109"/>
  <c r="P46" i="109"/>
  <c r="P47" i="109"/>
  <c r="O50" i="109"/>
  <c r="P50" i="109"/>
  <c r="P51" i="109"/>
  <c r="O54" i="109"/>
  <c r="P54" i="109"/>
  <c r="P55" i="109"/>
  <c r="P58" i="109"/>
  <c r="P66" i="109"/>
  <c r="P74" i="109"/>
  <c r="P82" i="109"/>
  <c r="P90" i="109"/>
  <c r="P98" i="109"/>
  <c r="P57" i="109"/>
  <c r="V21" i="109"/>
  <c r="X21" i="109"/>
  <c r="Z21" i="109"/>
  <c r="AB21" i="109"/>
  <c r="AD21" i="109"/>
  <c r="O60" i="109"/>
  <c r="P60" i="109"/>
  <c r="P61" i="109"/>
  <c r="V22" i="109"/>
  <c r="X22" i="109"/>
  <c r="Z22" i="109"/>
  <c r="AB22" i="109"/>
  <c r="AD22" i="109"/>
  <c r="O64" i="109"/>
  <c r="P64" i="109"/>
  <c r="P65" i="109"/>
  <c r="V23" i="109"/>
  <c r="X23" i="109"/>
  <c r="Z23" i="109"/>
  <c r="AB23" i="109"/>
  <c r="AD23" i="109"/>
  <c r="O68" i="109"/>
  <c r="P68" i="109"/>
  <c r="P69" i="109"/>
  <c r="V24" i="109"/>
  <c r="X24" i="109"/>
  <c r="Z24" i="109"/>
  <c r="AB24" i="109"/>
  <c r="AD24" i="109"/>
  <c r="O72" i="109"/>
  <c r="P72" i="109"/>
  <c r="P73" i="109"/>
  <c r="V25" i="109"/>
  <c r="X25" i="109"/>
  <c r="Z25" i="109"/>
  <c r="AB25" i="109"/>
  <c r="AD25" i="109"/>
  <c r="O76" i="109"/>
  <c r="P76" i="109"/>
  <c r="P77" i="109"/>
  <c r="V26" i="109"/>
  <c r="X26" i="109"/>
  <c r="Z26" i="109"/>
  <c r="AB26" i="109"/>
  <c r="AD26" i="109"/>
  <c r="O80" i="109"/>
  <c r="P80" i="109"/>
  <c r="P81" i="109"/>
  <c r="V27" i="109"/>
  <c r="X27" i="109"/>
  <c r="Z27" i="109"/>
  <c r="AB27" i="109"/>
  <c r="AD27" i="109"/>
  <c r="O84" i="109"/>
  <c r="P84" i="109"/>
  <c r="P85" i="109"/>
  <c r="V28" i="109"/>
  <c r="X28" i="109"/>
  <c r="Z28" i="109"/>
  <c r="AB28" i="109"/>
  <c r="AD28" i="109"/>
  <c r="O88" i="109"/>
  <c r="P88" i="109"/>
  <c r="P89" i="109"/>
  <c r="V29" i="109"/>
  <c r="X29" i="109"/>
  <c r="Z29" i="109"/>
  <c r="AB29" i="109"/>
  <c r="AD29" i="109"/>
  <c r="O92" i="109"/>
  <c r="P92" i="109"/>
  <c r="P93" i="109"/>
  <c r="V30" i="109"/>
  <c r="X30" i="109"/>
  <c r="Z30" i="109"/>
  <c r="O96" i="109"/>
  <c r="P96" i="109"/>
  <c r="P97" i="109"/>
  <c r="O100" i="109"/>
  <c r="P100" i="109"/>
  <c r="P101" i="109"/>
  <c r="O104" i="109"/>
  <c r="P104" i="109"/>
  <c r="P105" i="109"/>
  <c r="V21" i="98"/>
  <c r="V27" i="98" s="1"/>
  <c r="AD29" i="105"/>
  <c r="O10" i="109"/>
  <c r="S10" i="109"/>
  <c r="U10" i="109"/>
  <c r="W10" i="109"/>
  <c r="Y10" i="109"/>
  <c r="AA10" i="109"/>
  <c r="AC10" i="109"/>
  <c r="O11" i="109"/>
  <c r="O12" i="109"/>
  <c r="O13" i="109"/>
  <c r="O14" i="109"/>
  <c r="O15" i="109"/>
  <c r="O16" i="109"/>
  <c r="O17" i="109"/>
  <c r="O18" i="109"/>
  <c r="O19" i="109"/>
  <c r="O20" i="109"/>
  <c r="O21" i="109"/>
  <c r="O22" i="109"/>
  <c r="O23" i="109"/>
  <c r="O24" i="109"/>
  <c r="O25" i="109"/>
  <c r="O26" i="109"/>
  <c r="O27" i="109"/>
  <c r="O28" i="109"/>
  <c r="O29" i="109"/>
  <c r="O30" i="109"/>
  <c r="S36" i="109"/>
  <c r="W36" i="109"/>
  <c r="AA36" i="109"/>
  <c r="H106" i="109"/>
  <c r="F106" i="109"/>
  <c r="J106" i="109"/>
  <c r="N106" i="109"/>
  <c r="P10" i="109"/>
  <c r="T10" i="109"/>
  <c r="V10" i="109"/>
  <c r="Z10" i="109"/>
  <c r="AB10" i="109"/>
  <c r="AD10" i="109"/>
  <c r="T18" i="109"/>
  <c r="T19" i="109"/>
  <c r="T20" i="109"/>
  <c r="T21" i="109"/>
  <c r="T22" i="109"/>
  <c r="T23" i="109"/>
  <c r="T24" i="109"/>
  <c r="T25" i="109"/>
  <c r="T26" i="109"/>
  <c r="T27" i="109"/>
  <c r="T28" i="109"/>
  <c r="T29" i="109"/>
  <c r="T30" i="109"/>
  <c r="O31" i="109"/>
  <c r="O32" i="109"/>
  <c r="O33" i="109"/>
  <c r="O34" i="109"/>
  <c r="O35" i="109"/>
  <c r="O36" i="109"/>
  <c r="U36" i="109"/>
  <c r="Y36" i="109"/>
  <c r="AC36" i="109"/>
  <c r="O37" i="109"/>
  <c r="O38" i="109"/>
  <c r="O39" i="109"/>
  <c r="O40" i="109"/>
  <c r="O41" i="109"/>
  <c r="O42" i="109"/>
  <c r="AB30" i="109"/>
  <c r="AD30" i="109"/>
  <c r="P95" i="109"/>
  <c r="T31" i="109"/>
  <c r="V31" i="109"/>
  <c r="X31" i="109"/>
  <c r="Z31" i="109"/>
  <c r="AB31" i="109"/>
  <c r="AD31" i="109"/>
  <c r="P99" i="109"/>
  <c r="T32" i="109"/>
  <c r="V32" i="109"/>
  <c r="X32" i="109"/>
  <c r="Z32" i="109"/>
  <c r="AB32" i="109"/>
  <c r="AD32" i="109"/>
  <c r="P103" i="109"/>
  <c r="T33" i="109"/>
  <c r="V33" i="109"/>
  <c r="X33" i="109"/>
  <c r="Z33" i="109"/>
  <c r="AB33" i="109"/>
  <c r="AD33" i="109"/>
  <c r="O43" i="109"/>
  <c r="O45" i="109"/>
  <c r="O47" i="109"/>
  <c r="O49" i="109"/>
  <c r="O51" i="109"/>
  <c r="O53" i="109"/>
  <c r="O55" i="109"/>
  <c r="O57" i="109"/>
  <c r="O59" i="109"/>
  <c r="O61" i="109"/>
  <c r="O63" i="109"/>
  <c r="O65" i="109"/>
  <c r="O67" i="109"/>
  <c r="O69" i="109"/>
  <c r="O71" i="109"/>
  <c r="O73" i="109"/>
  <c r="O75" i="109"/>
  <c r="O77" i="109"/>
  <c r="O79" i="109"/>
  <c r="O81" i="109"/>
  <c r="O83" i="109"/>
  <c r="O85" i="109"/>
  <c r="O87" i="109"/>
  <c r="O89" i="109"/>
  <c r="O91" i="109"/>
  <c r="O93" i="109"/>
  <c r="O95" i="109"/>
  <c r="O97" i="109"/>
  <c r="O99" i="109"/>
  <c r="O101" i="109"/>
  <c r="O103" i="109"/>
  <c r="O105" i="109"/>
  <c r="V13" i="97"/>
  <c r="U15" i="99"/>
  <c r="Z17" i="101"/>
  <c r="S21" i="105"/>
  <c r="S39" i="105" s="1"/>
  <c r="Y24" i="105"/>
  <c r="U20" i="95"/>
  <c r="AB20" i="105"/>
  <c r="AB39" i="105" s="1"/>
  <c r="U13" i="94"/>
  <c r="W13" i="94"/>
  <c r="Y13" i="94"/>
  <c r="AA13" i="94"/>
  <c r="AC13" i="94"/>
  <c r="Y15" i="94"/>
  <c r="AC15" i="94"/>
  <c r="U16" i="94"/>
  <c r="Y16" i="94"/>
  <c r="AC16" i="94"/>
  <c r="U17" i="94"/>
  <c r="AC17" i="94"/>
  <c r="Y18" i="94"/>
  <c r="AC18" i="94"/>
  <c r="U19" i="94"/>
  <c r="V14" i="94"/>
  <c r="X14" i="94"/>
  <c r="Z14" i="94"/>
  <c r="AB14" i="94"/>
  <c r="AD14" i="94"/>
  <c r="AA21" i="94"/>
  <c r="T13" i="105"/>
  <c r="AB13" i="105"/>
  <c r="T14" i="105"/>
  <c r="V14" i="105"/>
  <c r="X14" i="105"/>
  <c r="Z14" i="105"/>
  <c r="AB14" i="105"/>
  <c r="AD14" i="105"/>
  <c r="W15" i="105"/>
  <c r="Y39" i="105"/>
  <c r="T12" i="105"/>
  <c r="V12" i="105"/>
  <c r="Z12" i="105"/>
  <c r="AB12" i="105"/>
  <c r="AD12" i="105"/>
  <c r="V13" i="105"/>
  <c r="X13" i="105"/>
  <c r="Z13" i="105"/>
  <c r="AD13" i="105"/>
  <c r="V11" i="105"/>
  <c r="Z11" i="105"/>
  <c r="AD11" i="105"/>
  <c r="AC39" i="105"/>
  <c r="U12" i="105"/>
  <c r="W12" i="105"/>
  <c r="Y12" i="105"/>
  <c r="AA12" i="105"/>
  <c r="AC12" i="105"/>
  <c r="P16" i="105"/>
  <c r="U11" i="105"/>
  <c r="W11" i="105"/>
  <c r="Y11" i="105"/>
  <c r="AA11" i="105"/>
  <c r="AC11" i="105"/>
  <c r="O17" i="105"/>
  <c r="O18" i="105"/>
  <c r="O19" i="105"/>
  <c r="O20" i="105"/>
  <c r="P21" i="105"/>
  <c r="P22" i="105"/>
  <c r="U13" i="105"/>
  <c r="W13" i="105"/>
  <c r="Y13" i="105"/>
  <c r="AA13" i="105"/>
  <c r="AC13" i="105"/>
  <c r="S14" i="105"/>
  <c r="U14" i="105"/>
  <c r="W14" i="105"/>
  <c r="Y14" i="105"/>
  <c r="AA14" i="105"/>
  <c r="AC14" i="105"/>
  <c r="S15" i="105"/>
  <c r="AA15" i="105"/>
  <c r="U15" i="105"/>
  <c r="Y15" i="105"/>
  <c r="AC15" i="105"/>
  <c r="P12" i="105"/>
  <c r="S12" i="105"/>
  <c r="P13" i="105"/>
  <c r="S13" i="105"/>
  <c r="S38" i="105" s="1"/>
  <c r="P14" i="105"/>
  <c r="P15" i="105"/>
  <c r="P32" i="105"/>
  <c r="P34" i="105"/>
  <c r="P35" i="105"/>
  <c r="P36" i="105"/>
  <c r="P37" i="105"/>
  <c r="P38" i="105"/>
  <c r="P39" i="105"/>
  <c r="P40" i="105"/>
  <c r="P41" i="105"/>
  <c r="P42" i="105"/>
  <c r="P43" i="105"/>
  <c r="P44" i="105"/>
  <c r="P46" i="105"/>
  <c r="P47" i="105"/>
  <c r="P48" i="105"/>
  <c r="P49" i="105"/>
  <c r="P50" i="105"/>
  <c r="P51" i="105"/>
  <c r="P52" i="105"/>
  <c r="P53" i="105"/>
  <c r="P54" i="105"/>
  <c r="P55" i="105"/>
  <c r="P56" i="105"/>
  <c r="P57" i="105"/>
  <c r="P58" i="105"/>
  <c r="P59" i="105"/>
  <c r="P60" i="105"/>
  <c r="P61" i="105"/>
  <c r="P63" i="105"/>
  <c r="P64" i="105"/>
  <c r="P65" i="105"/>
  <c r="P67" i="105"/>
  <c r="P68" i="105"/>
  <c r="P69" i="105"/>
  <c r="P71" i="105"/>
  <c r="P72" i="105"/>
  <c r="P73" i="105"/>
  <c r="P75" i="105"/>
  <c r="P76" i="105"/>
  <c r="P77" i="105"/>
  <c r="P79" i="105"/>
  <c r="P80" i="105"/>
  <c r="P81" i="105"/>
  <c r="P83" i="105"/>
  <c r="P84" i="105"/>
  <c r="P85" i="105"/>
  <c r="P87" i="105"/>
  <c r="P88" i="105"/>
  <c r="P89" i="105"/>
  <c r="P91" i="105"/>
  <c r="P92" i="105"/>
  <c r="P93" i="105"/>
  <c r="P95" i="105"/>
  <c r="P96" i="105"/>
  <c r="P97" i="105"/>
  <c r="P98" i="105"/>
  <c r="P99" i="105"/>
  <c r="P100" i="105"/>
  <c r="P101" i="105"/>
  <c r="P103" i="105"/>
  <c r="P104" i="105"/>
  <c r="P105" i="105"/>
  <c r="P62" i="105"/>
  <c r="S23" i="105"/>
  <c r="P66" i="105"/>
  <c r="S24" i="105"/>
  <c r="P70" i="105"/>
  <c r="S25" i="105"/>
  <c r="P74" i="105"/>
  <c r="S26" i="105"/>
  <c r="P78" i="105"/>
  <c r="S27" i="105"/>
  <c r="P82" i="105"/>
  <c r="S28" i="105"/>
  <c r="P86" i="105"/>
  <c r="S29" i="105"/>
  <c r="P90" i="105"/>
  <c r="S30" i="105"/>
  <c r="I106" i="105"/>
  <c r="K106" i="105"/>
  <c r="M106" i="105"/>
  <c r="P11" i="105"/>
  <c r="P23" i="105"/>
  <c r="P24" i="105"/>
  <c r="P25" i="105"/>
  <c r="P26" i="105"/>
  <c r="P27" i="105"/>
  <c r="P28" i="105"/>
  <c r="P29" i="105"/>
  <c r="P30" i="105"/>
  <c r="T15" i="105"/>
  <c r="V15" i="105"/>
  <c r="X15" i="105"/>
  <c r="Z15" i="105"/>
  <c r="AB15" i="105"/>
  <c r="AD15" i="105"/>
  <c r="S11" i="105"/>
  <c r="P94" i="105"/>
  <c r="S31" i="105"/>
  <c r="P102" i="105"/>
  <c r="S33" i="105"/>
  <c r="H106" i="105"/>
  <c r="J106" i="105"/>
  <c r="L106" i="105"/>
  <c r="N106" i="105"/>
  <c r="P17" i="105"/>
  <c r="P18" i="105"/>
  <c r="P19" i="105"/>
  <c r="P20" i="105"/>
  <c r="S32" i="105"/>
  <c r="P31" i="105"/>
  <c r="P33" i="105"/>
  <c r="D106" i="105"/>
  <c r="T10" i="105"/>
  <c r="F106" i="105"/>
  <c r="V10" i="105"/>
  <c r="C106" i="105"/>
  <c r="P10" i="105"/>
  <c r="S10" i="105"/>
  <c r="O10" i="105"/>
  <c r="E106" i="105"/>
  <c r="U10" i="105"/>
  <c r="G106" i="105"/>
  <c r="W10" i="105"/>
  <c r="Y10" i="105"/>
  <c r="AA10" i="105"/>
  <c r="AC10" i="105"/>
  <c r="O11" i="105"/>
  <c r="O12" i="105"/>
  <c r="O13" i="105"/>
  <c r="O14" i="105"/>
  <c r="O15" i="105"/>
  <c r="O16" i="105"/>
  <c r="O21" i="105"/>
  <c r="O22" i="105"/>
  <c r="O23" i="105"/>
  <c r="O24" i="105"/>
  <c r="O25" i="105"/>
  <c r="O26" i="105"/>
  <c r="O27" i="105"/>
  <c r="O28" i="105"/>
  <c r="O29" i="105"/>
  <c r="O30" i="105"/>
  <c r="O31" i="105"/>
  <c r="O32" i="105"/>
  <c r="O33" i="105"/>
  <c r="O34" i="105"/>
  <c r="O35" i="105"/>
  <c r="O36" i="105"/>
  <c r="W36" i="105"/>
  <c r="Y36" i="105"/>
  <c r="AA36" i="105"/>
  <c r="AC36" i="105"/>
  <c r="O37" i="105"/>
  <c r="O38" i="105"/>
  <c r="O39" i="105"/>
  <c r="O40" i="105"/>
  <c r="O41" i="105"/>
  <c r="O42" i="105"/>
  <c r="O43" i="105"/>
  <c r="O44" i="105"/>
  <c r="O46" i="105"/>
  <c r="O47" i="105"/>
  <c r="O48" i="105"/>
  <c r="O49" i="105"/>
  <c r="O50" i="105"/>
  <c r="O51" i="105"/>
  <c r="O52" i="105"/>
  <c r="O53" i="105"/>
  <c r="O54" i="105"/>
  <c r="O55" i="105"/>
  <c r="O56" i="105"/>
  <c r="O57" i="105"/>
  <c r="O58" i="105"/>
  <c r="O59" i="105"/>
  <c r="O60" i="105"/>
  <c r="O61" i="105"/>
  <c r="O62" i="105"/>
  <c r="O63" i="105"/>
  <c r="O64" i="105"/>
  <c r="O65" i="105"/>
  <c r="O66" i="105"/>
  <c r="O67" i="105"/>
  <c r="O68" i="105"/>
  <c r="O69" i="105"/>
  <c r="O70" i="105"/>
  <c r="O71" i="105"/>
  <c r="O72" i="105"/>
  <c r="O73" i="105"/>
  <c r="O74" i="105"/>
  <c r="O75" i="105"/>
  <c r="O76" i="105"/>
  <c r="O77" i="105"/>
  <c r="O78" i="105"/>
  <c r="O79" i="105"/>
  <c r="O80" i="105"/>
  <c r="O81" i="105"/>
  <c r="O82" i="105"/>
  <c r="O83" i="105"/>
  <c r="O84" i="105"/>
  <c r="X10" i="105"/>
  <c r="Z10" i="105"/>
  <c r="AB10" i="105"/>
  <c r="AD10" i="105"/>
  <c r="T36" i="105"/>
  <c r="V36" i="105"/>
  <c r="X36" i="105"/>
  <c r="Z36" i="105"/>
  <c r="AD36" i="105"/>
  <c r="O85" i="105"/>
  <c r="O86" i="105"/>
  <c r="O87" i="105"/>
  <c r="O88" i="105"/>
  <c r="O89" i="105"/>
  <c r="O90" i="105"/>
  <c r="O91" i="105"/>
  <c r="O92" i="105"/>
  <c r="O93" i="105"/>
  <c r="O94" i="105"/>
  <c r="O95" i="105"/>
  <c r="O96" i="105"/>
  <c r="O97" i="105"/>
  <c r="O98" i="105"/>
  <c r="O99" i="105"/>
  <c r="O100" i="105"/>
  <c r="O101" i="105"/>
  <c r="O102" i="105"/>
  <c r="O103" i="105"/>
  <c r="O104" i="105"/>
  <c r="O105" i="105"/>
  <c r="D106" i="101"/>
  <c r="F106" i="101"/>
  <c r="H106" i="101"/>
  <c r="J106" i="101"/>
  <c r="L106" i="101"/>
  <c r="N106" i="101"/>
  <c r="M106" i="101"/>
  <c r="K106" i="101"/>
  <c r="I106" i="101"/>
  <c r="G106" i="101"/>
  <c r="E106" i="101"/>
  <c r="C106" i="101"/>
  <c r="U17" i="96"/>
  <c r="V18" i="98"/>
  <c r="AC16" i="96"/>
  <c r="U18" i="94"/>
  <c r="AC16" i="95"/>
  <c r="AB18" i="97"/>
  <c r="AB26" i="97" s="1"/>
  <c r="AC20" i="99"/>
  <c r="AC24" i="99" s="1"/>
  <c r="AD20" i="98"/>
  <c r="AD27" i="98" s="1"/>
  <c r="U14" i="95"/>
  <c r="U26" i="95" s="1"/>
  <c r="T39" i="101"/>
  <c r="AC18" i="95"/>
  <c r="W16" i="99"/>
  <c r="Y20" i="99"/>
  <c r="Y27" i="99" s="1"/>
  <c r="AC16" i="98"/>
  <c r="AC23" i="98" s="1"/>
  <c r="AD13" i="98"/>
  <c r="U14" i="96"/>
  <c r="AC32" i="101"/>
  <c r="AA32" i="101"/>
  <c r="Y32" i="101"/>
  <c r="W32" i="101"/>
  <c r="U32" i="101"/>
  <c r="AC30" i="101"/>
  <c r="AA30" i="101"/>
  <c r="Y30" i="101"/>
  <c r="W30" i="101"/>
  <c r="U30" i="101"/>
  <c r="AC28" i="101"/>
  <c r="AA28" i="101"/>
  <c r="Y28" i="101"/>
  <c r="W28" i="101"/>
  <c r="U28" i="101"/>
  <c r="AC26" i="101"/>
  <c r="AA26" i="101"/>
  <c r="Y26" i="101"/>
  <c r="W26" i="101"/>
  <c r="U26" i="101"/>
  <c r="AC24" i="101"/>
  <c r="AA24" i="101"/>
  <c r="Y24" i="101"/>
  <c r="W24" i="101"/>
  <c r="U24" i="101"/>
  <c r="AC22" i="101"/>
  <c r="AA22" i="101"/>
  <c r="Y22" i="101"/>
  <c r="W22" i="101"/>
  <c r="U22" i="101"/>
  <c r="AD33" i="101"/>
  <c r="AB33" i="101"/>
  <c r="Z33" i="101"/>
  <c r="X33" i="101"/>
  <c r="V33" i="101"/>
  <c r="T33" i="101"/>
  <c r="AD31" i="101"/>
  <c r="AB31" i="101"/>
  <c r="Z31" i="101"/>
  <c r="X31" i="101"/>
  <c r="V31" i="101"/>
  <c r="T31" i="101"/>
  <c r="AD29" i="101"/>
  <c r="AB29" i="101"/>
  <c r="Z29" i="101"/>
  <c r="X29" i="101"/>
  <c r="V29" i="101"/>
  <c r="T29" i="101"/>
  <c r="AD27" i="101"/>
  <c r="AB27" i="101"/>
  <c r="Z27" i="101"/>
  <c r="X27" i="101"/>
  <c r="V27" i="101"/>
  <c r="T27" i="101"/>
  <c r="AD25" i="101"/>
  <c r="AB25" i="101"/>
  <c r="Z25" i="101"/>
  <c r="X25" i="101"/>
  <c r="V25" i="101"/>
  <c r="T25" i="101"/>
  <c r="AD23" i="101"/>
  <c r="AC33" i="101"/>
  <c r="AA33" i="101"/>
  <c r="Y33" i="101"/>
  <c r="W33" i="101"/>
  <c r="U33" i="101"/>
  <c r="AC31" i="101"/>
  <c r="AA31" i="101"/>
  <c r="Y31" i="101"/>
  <c r="W31" i="101"/>
  <c r="U31" i="101"/>
  <c r="AC29" i="101"/>
  <c r="AA29" i="101"/>
  <c r="Y29" i="101"/>
  <c r="W29" i="101"/>
  <c r="U29" i="101"/>
  <c r="AC27" i="101"/>
  <c r="AA27" i="101"/>
  <c r="Y27" i="101"/>
  <c r="W27" i="101"/>
  <c r="U27" i="101"/>
  <c r="AC25" i="101"/>
  <c r="AA25" i="101"/>
  <c r="Y25" i="101"/>
  <c r="W25" i="101"/>
  <c r="U25" i="101"/>
  <c r="AC23" i="101"/>
  <c r="AA23" i="101"/>
  <c r="Y23" i="101"/>
  <c r="W23" i="101"/>
  <c r="U23" i="101"/>
  <c r="AD32" i="101"/>
  <c r="AB32" i="101"/>
  <c r="Z32" i="101"/>
  <c r="X32" i="101"/>
  <c r="V32" i="101"/>
  <c r="T32" i="101"/>
  <c r="AD30" i="101"/>
  <c r="AB30" i="101"/>
  <c r="Z30" i="101"/>
  <c r="X30" i="101"/>
  <c r="V30" i="101"/>
  <c r="T30" i="101"/>
  <c r="AD28" i="101"/>
  <c r="AB28" i="101"/>
  <c r="Z28" i="101"/>
  <c r="X28" i="101"/>
  <c r="V28" i="101"/>
  <c r="T28" i="101"/>
  <c r="AD26" i="101"/>
  <c r="AB26" i="101"/>
  <c r="Z26" i="101"/>
  <c r="X26" i="101"/>
  <c r="V26" i="101"/>
  <c r="T26" i="101"/>
  <c r="AD24" i="101"/>
  <c r="AB24" i="101"/>
  <c r="Z24" i="101"/>
  <c r="X24" i="101"/>
  <c r="V24" i="101"/>
  <c r="T24" i="101"/>
  <c r="AB23" i="101"/>
  <c r="Z23" i="101"/>
  <c r="X23" i="101"/>
  <c r="V23" i="101"/>
  <c r="T23" i="101"/>
  <c r="AD22" i="101"/>
  <c r="AB22" i="101"/>
  <c r="Z22" i="101"/>
  <c r="X22" i="101"/>
  <c r="V22" i="101"/>
  <c r="T22" i="101"/>
  <c r="S33" i="101"/>
  <c r="S32" i="101"/>
  <c r="S31" i="101"/>
  <c r="S30" i="101"/>
  <c r="S29" i="101"/>
  <c r="S28" i="101"/>
  <c r="S27" i="101"/>
  <c r="S26" i="101"/>
  <c r="S25" i="101"/>
  <c r="S24" i="101"/>
  <c r="AB17" i="95"/>
  <c r="S22" i="101"/>
  <c r="S23" i="101"/>
  <c r="Z19" i="95"/>
  <c r="Z27" i="95" s="1"/>
  <c r="V14" i="98"/>
  <c r="AA16" i="100"/>
  <c r="AA26" i="100" s="1"/>
  <c r="Z13" i="95"/>
  <c r="V14" i="99"/>
  <c r="V26" i="99" s="1"/>
  <c r="T21" i="98"/>
  <c r="T27" i="98" s="1"/>
  <c r="AB14" i="95"/>
  <c r="U15" i="101"/>
  <c r="P105" i="101"/>
  <c r="Y17" i="94"/>
  <c r="P77" i="101"/>
  <c r="P22" i="104"/>
  <c r="P23" i="104"/>
  <c r="P24" i="104"/>
  <c r="O30" i="104"/>
  <c r="O34" i="104"/>
  <c r="O38" i="104"/>
  <c r="O42" i="104"/>
  <c r="O46" i="104"/>
  <c r="O50" i="104"/>
  <c r="O54" i="104"/>
  <c r="P69" i="101"/>
  <c r="P91" i="101"/>
  <c r="U15" i="94"/>
  <c r="W17" i="96"/>
  <c r="Z19" i="98"/>
  <c r="AC24" i="103"/>
  <c r="P81" i="101"/>
  <c r="P63" i="101"/>
  <c r="P97" i="101"/>
  <c r="P73" i="101"/>
  <c r="Y19" i="94"/>
  <c r="P95" i="101"/>
  <c r="P79" i="101"/>
  <c r="P71" i="101"/>
  <c r="P59" i="101"/>
  <c r="P101" i="101"/>
  <c r="P88" i="101"/>
  <c r="P83" i="101"/>
  <c r="P75" i="101"/>
  <c r="P67" i="101"/>
  <c r="Y14" i="100"/>
  <c r="P99" i="101"/>
  <c r="P93" i="101"/>
  <c r="P85" i="101"/>
  <c r="P65" i="101"/>
  <c r="P103" i="101"/>
  <c r="P61" i="101"/>
  <c r="O104" i="101"/>
  <c r="O102" i="101"/>
  <c r="O100" i="101"/>
  <c r="O98" i="101"/>
  <c r="O96" i="101"/>
  <c r="O94" i="101"/>
  <c r="O92" i="101"/>
  <c r="O89" i="101"/>
  <c r="O86" i="101"/>
  <c r="O84" i="101"/>
  <c r="O82" i="101"/>
  <c r="O80" i="101"/>
  <c r="O78" i="101"/>
  <c r="O76" i="101"/>
  <c r="O74" i="101"/>
  <c r="O72" i="101"/>
  <c r="O70" i="101"/>
  <c r="O68" i="101"/>
  <c r="O66" i="101"/>
  <c r="O64" i="101"/>
  <c r="O62" i="101"/>
  <c r="O60" i="101"/>
  <c r="O58" i="101"/>
  <c r="O105" i="101"/>
  <c r="P104" i="101"/>
  <c r="O103" i="101"/>
  <c r="P102" i="101"/>
  <c r="AF33" i="101" s="1"/>
  <c r="O101" i="101"/>
  <c r="P100" i="101"/>
  <c r="O99" i="101"/>
  <c r="P98" i="101"/>
  <c r="AF32" i="101" s="1"/>
  <c r="O97" i="101"/>
  <c r="P96" i="101"/>
  <c r="O95" i="101"/>
  <c r="P94" i="101"/>
  <c r="O93" i="101"/>
  <c r="P92" i="101"/>
  <c r="O91" i="101"/>
  <c r="P90" i="101"/>
  <c r="O90" i="101"/>
  <c r="P89" i="101"/>
  <c r="O88" i="101"/>
  <c r="P87" i="101"/>
  <c r="O87" i="101"/>
  <c r="P86" i="101"/>
  <c r="O85" i="101"/>
  <c r="P84" i="101"/>
  <c r="O83" i="101"/>
  <c r="P82" i="101"/>
  <c r="O81" i="101"/>
  <c r="P80" i="101"/>
  <c r="O79" i="101"/>
  <c r="P78" i="101"/>
  <c r="O77" i="101"/>
  <c r="P76" i="101"/>
  <c r="O75" i="101"/>
  <c r="P74" i="101"/>
  <c r="O73" i="101"/>
  <c r="P72" i="101"/>
  <c r="O71" i="101"/>
  <c r="P70" i="101"/>
  <c r="O69" i="101"/>
  <c r="P68" i="101"/>
  <c r="O67" i="101"/>
  <c r="P66" i="101"/>
  <c r="O65" i="101"/>
  <c r="P64" i="101"/>
  <c r="O63" i="101"/>
  <c r="P62" i="101"/>
  <c r="O61" i="101"/>
  <c r="P60" i="101"/>
  <c r="O59" i="101"/>
  <c r="P58" i="101"/>
  <c r="Y18" i="96"/>
  <c r="AC14" i="94"/>
  <c r="Y13" i="100"/>
  <c r="Y15" i="97"/>
  <c r="Y23" i="97" s="1"/>
  <c r="Y16" i="95"/>
  <c r="AA18" i="96"/>
  <c r="AA23" i="96" s="1"/>
  <c r="W20" i="98"/>
  <c r="W24" i="98" s="1"/>
  <c r="AD16" i="96"/>
  <c r="AD23" i="96" s="1"/>
  <c r="Z18" i="95"/>
  <c r="Z26" i="95" s="1"/>
  <c r="Y14" i="94"/>
  <c r="Y21" i="96"/>
  <c r="Y24" i="96" s="1"/>
  <c r="Y15" i="101"/>
  <c r="AA17" i="94"/>
  <c r="V21" i="95"/>
  <c r="X13" i="95"/>
  <c r="X23" i="95" s="1"/>
  <c r="W16" i="94"/>
  <c r="AC20" i="94"/>
  <c r="V15" i="95"/>
  <c r="V26" i="95" s="1"/>
  <c r="U14" i="94"/>
  <c r="P17" i="104"/>
  <c r="S17" i="104"/>
  <c r="V11" i="103"/>
  <c r="AD12" i="101"/>
  <c r="AD11" i="103"/>
  <c r="T11" i="104"/>
  <c r="X11" i="104"/>
  <c r="AB11" i="104"/>
  <c r="U12" i="101"/>
  <c r="W12" i="101"/>
  <c r="Y12" i="101"/>
  <c r="AA12" i="101"/>
  <c r="AC12" i="101"/>
  <c r="V26" i="103"/>
  <c r="AD26" i="103"/>
  <c r="T10" i="104"/>
  <c r="F58" i="104"/>
  <c r="X10" i="104"/>
  <c r="J58" i="104"/>
  <c r="AB10" i="104"/>
  <c r="N58" i="104"/>
  <c r="P14" i="104"/>
  <c r="U11" i="104"/>
  <c r="W11" i="104"/>
  <c r="Y11" i="104"/>
  <c r="AA11" i="104"/>
  <c r="AC11" i="104"/>
  <c r="P18" i="104"/>
  <c r="U12" i="104"/>
  <c r="W12" i="104"/>
  <c r="Y12" i="104"/>
  <c r="AA12" i="104"/>
  <c r="AC12" i="104"/>
  <c r="T12" i="104"/>
  <c r="X12" i="104"/>
  <c r="AB12" i="104"/>
  <c r="P21" i="104"/>
  <c r="S21" i="104"/>
  <c r="V11" i="101"/>
  <c r="T11" i="103"/>
  <c r="X11" i="103"/>
  <c r="Z11" i="103"/>
  <c r="AB11" i="103"/>
  <c r="S13" i="104"/>
  <c r="S15" i="104"/>
  <c r="S19" i="104"/>
  <c r="AC36" i="101"/>
  <c r="Y24" i="103"/>
  <c r="AC27" i="103"/>
  <c r="T14" i="103"/>
  <c r="X14" i="103"/>
  <c r="AB14" i="103"/>
  <c r="W15" i="104"/>
  <c r="W17" i="104"/>
  <c r="W19" i="104"/>
  <c r="W21" i="104"/>
  <c r="W18" i="94"/>
  <c r="D58" i="103"/>
  <c r="F58" i="103"/>
  <c r="H58" i="103"/>
  <c r="J58" i="103"/>
  <c r="L58" i="103"/>
  <c r="N58" i="103"/>
  <c r="Z26" i="103"/>
  <c r="U11" i="103"/>
  <c r="W11" i="103"/>
  <c r="Y11" i="103"/>
  <c r="AA11" i="103"/>
  <c r="AC11" i="103"/>
  <c r="T13" i="103"/>
  <c r="T26" i="103" s="1"/>
  <c r="X13" i="103"/>
  <c r="X23" i="103" s="1"/>
  <c r="AB13" i="103"/>
  <c r="AB26" i="103" s="1"/>
  <c r="P25" i="103"/>
  <c r="P26" i="103"/>
  <c r="P27" i="103"/>
  <c r="U27" i="103"/>
  <c r="P11" i="104"/>
  <c r="W10" i="104"/>
  <c r="S11" i="104"/>
  <c r="P12" i="104"/>
  <c r="S12" i="104"/>
  <c r="P13" i="104"/>
  <c r="P15" i="104"/>
  <c r="P16" i="104"/>
  <c r="P19" i="104"/>
  <c r="P20" i="104"/>
  <c r="X26" i="103"/>
  <c r="AA26" i="104"/>
  <c r="P34" i="104"/>
  <c r="P42" i="104"/>
  <c r="P50" i="104"/>
  <c r="V11" i="99"/>
  <c r="T12" i="99"/>
  <c r="V12" i="99"/>
  <c r="X12" i="99"/>
  <c r="Z12" i="99"/>
  <c r="AB12" i="99"/>
  <c r="AD12" i="99"/>
  <c r="T12" i="101"/>
  <c r="V12" i="101"/>
  <c r="X12" i="101"/>
  <c r="Z12" i="101"/>
  <c r="AB12" i="101"/>
  <c r="E58" i="103"/>
  <c r="G58" i="103"/>
  <c r="I58" i="103"/>
  <c r="K58" i="103"/>
  <c r="M58" i="103"/>
  <c r="P11" i="103"/>
  <c r="P12" i="103"/>
  <c r="P13" i="103"/>
  <c r="P14" i="103"/>
  <c r="P15" i="103"/>
  <c r="P16" i="103"/>
  <c r="P17" i="103"/>
  <c r="P18" i="103"/>
  <c r="P19" i="103"/>
  <c r="P20" i="103"/>
  <c r="P21" i="103"/>
  <c r="P22" i="103"/>
  <c r="U13" i="103"/>
  <c r="W13" i="103"/>
  <c r="Y13" i="103"/>
  <c r="AA13" i="103"/>
  <c r="AC13" i="103"/>
  <c r="P23" i="103"/>
  <c r="P24" i="103"/>
  <c r="P28" i="103"/>
  <c r="P29" i="103"/>
  <c r="P30" i="103"/>
  <c r="P31" i="103"/>
  <c r="U15" i="103"/>
  <c r="W15" i="103"/>
  <c r="Y15" i="103"/>
  <c r="AA15" i="103"/>
  <c r="AC15" i="103"/>
  <c r="P32" i="103"/>
  <c r="P33" i="103"/>
  <c r="P34" i="103"/>
  <c r="P35" i="103"/>
  <c r="U16" i="103"/>
  <c r="W16" i="103"/>
  <c r="Y16" i="103"/>
  <c r="AA16" i="103"/>
  <c r="S10" i="104"/>
  <c r="S16" i="104"/>
  <c r="S18" i="104"/>
  <c r="S20" i="104"/>
  <c r="U15" i="104"/>
  <c r="Y15" i="104"/>
  <c r="AC15" i="104"/>
  <c r="P30" i="104"/>
  <c r="U17" i="104"/>
  <c r="Y17" i="104"/>
  <c r="AC17" i="104"/>
  <c r="P38" i="104"/>
  <c r="U19" i="104"/>
  <c r="Y19" i="104"/>
  <c r="AC19" i="104"/>
  <c r="P46" i="104"/>
  <c r="U21" i="104"/>
  <c r="Y21" i="104"/>
  <c r="AC21" i="104"/>
  <c r="P54" i="104"/>
  <c r="AC16" i="103"/>
  <c r="P36" i="103"/>
  <c r="P37" i="103"/>
  <c r="P39" i="103"/>
  <c r="P40" i="103"/>
  <c r="P41" i="103"/>
  <c r="P42" i="103"/>
  <c r="P43" i="103"/>
  <c r="P44" i="103"/>
  <c r="P45" i="103"/>
  <c r="P46" i="103"/>
  <c r="P47" i="103"/>
  <c r="P48" i="103"/>
  <c r="P49" i="103"/>
  <c r="P50" i="103"/>
  <c r="P51" i="103"/>
  <c r="P52" i="103"/>
  <c r="P53" i="103"/>
  <c r="P54" i="103"/>
  <c r="P55" i="103"/>
  <c r="P56" i="103"/>
  <c r="P57" i="103"/>
  <c r="E58" i="104"/>
  <c r="G58" i="104"/>
  <c r="I58" i="104"/>
  <c r="K58" i="104"/>
  <c r="M58" i="104"/>
  <c r="AA10" i="104"/>
  <c r="V13" i="104"/>
  <c r="X13" i="104"/>
  <c r="Z13" i="104"/>
  <c r="AB13" i="104"/>
  <c r="AD13" i="104"/>
  <c r="P27" i="104"/>
  <c r="P28" i="104"/>
  <c r="P29" i="104"/>
  <c r="O32" i="104"/>
  <c r="P32" i="104"/>
  <c r="P33" i="104"/>
  <c r="O36" i="104"/>
  <c r="P36" i="104"/>
  <c r="P37" i="104"/>
  <c r="O40" i="104"/>
  <c r="P40" i="104"/>
  <c r="P41" i="104"/>
  <c r="O44" i="104"/>
  <c r="P44" i="104"/>
  <c r="P45" i="104"/>
  <c r="O48" i="104"/>
  <c r="P48" i="104"/>
  <c r="P49" i="104"/>
  <c r="O52" i="104"/>
  <c r="P52" i="104"/>
  <c r="P53" i="104"/>
  <c r="O56" i="104"/>
  <c r="P56" i="104"/>
  <c r="P57" i="104"/>
  <c r="P10" i="103"/>
  <c r="C58" i="103"/>
  <c r="O10" i="103"/>
  <c r="U10" i="103"/>
  <c r="Y10" i="103"/>
  <c r="AC10" i="103"/>
  <c r="O11" i="103"/>
  <c r="O12" i="103"/>
  <c r="O13" i="103"/>
  <c r="O14" i="103"/>
  <c r="O15" i="103"/>
  <c r="O16" i="103"/>
  <c r="O17" i="103"/>
  <c r="O18" i="103"/>
  <c r="O19" i="103"/>
  <c r="O20" i="103"/>
  <c r="O21" i="103"/>
  <c r="O22" i="103"/>
  <c r="O23" i="103"/>
  <c r="O24" i="103"/>
  <c r="O25" i="103"/>
  <c r="O26" i="103"/>
  <c r="O27" i="103"/>
  <c r="O28" i="103"/>
  <c r="O29" i="103"/>
  <c r="O31" i="103"/>
  <c r="O33" i="103"/>
  <c r="O35" i="103"/>
  <c r="O37" i="103"/>
  <c r="T11" i="101"/>
  <c r="X11" i="101"/>
  <c r="Z11" i="101"/>
  <c r="AB11" i="101"/>
  <c r="AD11" i="101"/>
  <c r="Y39" i="101"/>
  <c r="Y36" i="101"/>
  <c r="S10" i="103"/>
  <c r="W10" i="103"/>
  <c r="AA10" i="103"/>
  <c r="S11" i="103"/>
  <c r="S12" i="103"/>
  <c r="S13" i="103"/>
  <c r="S14" i="103"/>
  <c r="S15" i="103"/>
  <c r="S16" i="103"/>
  <c r="S24" i="103"/>
  <c r="W24" i="103"/>
  <c r="AA24" i="103"/>
  <c r="O30" i="103"/>
  <c r="O32" i="103"/>
  <c r="O34" i="103"/>
  <c r="O36" i="103"/>
  <c r="P38" i="103"/>
  <c r="O38" i="103"/>
  <c r="O39" i="103"/>
  <c r="O40" i="103"/>
  <c r="O41" i="103"/>
  <c r="O42" i="103"/>
  <c r="O43" i="103"/>
  <c r="O44" i="103"/>
  <c r="O45" i="103"/>
  <c r="O46" i="103"/>
  <c r="O47" i="103"/>
  <c r="O48" i="103"/>
  <c r="O49" i="103"/>
  <c r="O50" i="103"/>
  <c r="O51" i="103"/>
  <c r="O52" i="103"/>
  <c r="O53" i="103"/>
  <c r="O54" i="103"/>
  <c r="O55" i="103"/>
  <c r="O56" i="103"/>
  <c r="O57" i="103"/>
  <c r="AA27" i="104"/>
  <c r="AA24" i="104"/>
  <c r="AA23" i="104"/>
  <c r="P25" i="104"/>
  <c r="T13" i="104"/>
  <c r="P26" i="104"/>
  <c r="T14" i="104"/>
  <c r="H58" i="104"/>
  <c r="Z13" i="101"/>
  <c r="T10" i="103"/>
  <c r="V10" i="103"/>
  <c r="X10" i="103"/>
  <c r="Z10" i="103"/>
  <c r="AB10" i="103"/>
  <c r="AD10" i="103"/>
  <c r="V23" i="103"/>
  <c r="Z23" i="103"/>
  <c r="AD23" i="103"/>
  <c r="T24" i="103"/>
  <c r="V24" i="103"/>
  <c r="X24" i="103"/>
  <c r="Z24" i="103"/>
  <c r="AB24" i="103"/>
  <c r="AD24" i="103"/>
  <c r="C58" i="104"/>
  <c r="P10" i="104"/>
  <c r="O10" i="104"/>
  <c r="U10" i="104"/>
  <c r="Y10" i="104"/>
  <c r="AC10" i="104"/>
  <c r="O11" i="104"/>
  <c r="O12" i="104"/>
  <c r="O13" i="104"/>
  <c r="O14" i="104"/>
  <c r="O15" i="104"/>
  <c r="O16" i="104"/>
  <c r="O17" i="104"/>
  <c r="O18" i="104"/>
  <c r="O19" i="104"/>
  <c r="O20" i="104"/>
  <c r="O21" i="104"/>
  <c r="O22" i="104"/>
  <c r="O23" i="104"/>
  <c r="O24" i="104"/>
  <c r="P31" i="104"/>
  <c r="T15" i="104"/>
  <c r="V15" i="104"/>
  <c r="X15" i="104"/>
  <c r="Z15" i="104"/>
  <c r="AB15" i="104"/>
  <c r="AD15" i="104"/>
  <c r="P35" i="104"/>
  <c r="T16" i="104"/>
  <c r="V16" i="104"/>
  <c r="X16" i="104"/>
  <c r="Z16" i="104"/>
  <c r="AB16" i="104"/>
  <c r="AD16" i="104"/>
  <c r="P39" i="104"/>
  <c r="T17" i="104"/>
  <c r="V17" i="104"/>
  <c r="X17" i="104"/>
  <c r="Z17" i="104"/>
  <c r="AB17" i="104"/>
  <c r="AD17" i="104"/>
  <c r="P43" i="104"/>
  <c r="T18" i="104"/>
  <c r="V18" i="104"/>
  <c r="X18" i="104"/>
  <c r="Z18" i="104"/>
  <c r="AB18" i="104"/>
  <c r="AD18" i="104"/>
  <c r="P47" i="104"/>
  <c r="T19" i="104"/>
  <c r="V19" i="104"/>
  <c r="X19" i="104"/>
  <c r="Z19" i="104"/>
  <c r="AB19" i="104"/>
  <c r="AD19" i="104"/>
  <c r="P51" i="104"/>
  <c r="T20" i="104"/>
  <c r="V20" i="104"/>
  <c r="X20" i="104"/>
  <c r="Z20" i="104"/>
  <c r="AB20" i="104"/>
  <c r="AD20" i="104"/>
  <c r="P55" i="104"/>
  <c r="T21" i="104"/>
  <c r="V21" i="104"/>
  <c r="X21" i="104"/>
  <c r="Z21" i="104"/>
  <c r="AB21" i="104"/>
  <c r="AD21" i="104"/>
  <c r="D58" i="104"/>
  <c r="L58" i="104"/>
  <c r="V10" i="104"/>
  <c r="Z10" i="104"/>
  <c r="AD10" i="104"/>
  <c r="O25" i="104"/>
  <c r="O26" i="104"/>
  <c r="O27" i="104"/>
  <c r="O28" i="104"/>
  <c r="O29" i="104"/>
  <c r="O31" i="104"/>
  <c r="O33" i="104"/>
  <c r="O35" i="104"/>
  <c r="O37" i="104"/>
  <c r="O39" i="104"/>
  <c r="O41" i="104"/>
  <c r="O43" i="104"/>
  <c r="O45" i="104"/>
  <c r="O47" i="104"/>
  <c r="O49" i="104"/>
  <c r="O51" i="104"/>
  <c r="O53" i="104"/>
  <c r="O55" i="104"/>
  <c r="O57" i="104"/>
  <c r="AB12" i="98"/>
  <c r="U36" i="101"/>
  <c r="U39" i="101"/>
  <c r="AC39" i="101"/>
  <c r="T14" i="101"/>
  <c r="X14" i="101"/>
  <c r="AB14" i="101"/>
  <c r="U11" i="101"/>
  <c r="W11" i="101"/>
  <c r="Y11" i="101"/>
  <c r="AA11" i="101"/>
  <c r="AC11" i="101"/>
  <c r="T13" i="101"/>
  <c r="X13" i="101"/>
  <c r="AB13" i="101"/>
  <c r="P25" i="101"/>
  <c r="P26" i="101"/>
  <c r="P27" i="101"/>
  <c r="AA12" i="97"/>
  <c r="T12" i="98"/>
  <c r="P21" i="100"/>
  <c r="P23" i="100"/>
  <c r="P24" i="100"/>
  <c r="O34" i="100"/>
  <c r="O42" i="100"/>
  <c r="O50" i="100"/>
  <c r="O54" i="100"/>
  <c r="P11" i="101"/>
  <c r="P12" i="101"/>
  <c r="P13" i="101"/>
  <c r="P14" i="101"/>
  <c r="P15" i="101"/>
  <c r="P16" i="101"/>
  <c r="P17" i="101"/>
  <c r="P18" i="101"/>
  <c r="P19" i="101"/>
  <c r="P20" i="101"/>
  <c r="P21" i="101"/>
  <c r="P22" i="101"/>
  <c r="U13" i="101"/>
  <c r="W13" i="101"/>
  <c r="W35" i="101" s="1"/>
  <c r="Y13" i="101"/>
  <c r="AA13" i="101"/>
  <c r="AA35" i="101" s="1"/>
  <c r="AC13" i="101"/>
  <c r="AC35" i="101" s="1"/>
  <c r="P23" i="101"/>
  <c r="P24" i="101"/>
  <c r="P28" i="101"/>
  <c r="P29" i="101"/>
  <c r="P31" i="101"/>
  <c r="P32" i="101"/>
  <c r="P33" i="101"/>
  <c r="P34" i="101"/>
  <c r="P35" i="101"/>
  <c r="P37" i="101"/>
  <c r="P38" i="101"/>
  <c r="P39" i="101"/>
  <c r="P40" i="101"/>
  <c r="P41" i="101"/>
  <c r="P42" i="101"/>
  <c r="P43" i="101"/>
  <c r="P44" i="101"/>
  <c r="P45" i="101"/>
  <c r="P46" i="101"/>
  <c r="P47" i="101"/>
  <c r="P48" i="101"/>
  <c r="P49" i="101"/>
  <c r="P50" i="101"/>
  <c r="P51" i="101"/>
  <c r="P52" i="101"/>
  <c r="P53" i="101"/>
  <c r="P54" i="101"/>
  <c r="P55" i="101"/>
  <c r="P56" i="101"/>
  <c r="P57" i="101"/>
  <c r="AC11" i="95"/>
  <c r="O38" i="100"/>
  <c r="S17" i="100"/>
  <c r="P10" i="101"/>
  <c r="O10" i="101"/>
  <c r="U10" i="101"/>
  <c r="Y10" i="101"/>
  <c r="AC10" i="101"/>
  <c r="O11" i="101"/>
  <c r="O12" i="101"/>
  <c r="O13" i="101"/>
  <c r="O14" i="101"/>
  <c r="O15" i="101"/>
  <c r="O16" i="101"/>
  <c r="O17" i="101"/>
  <c r="O18" i="101"/>
  <c r="O19" i="101"/>
  <c r="O20" i="101"/>
  <c r="O21" i="101"/>
  <c r="O22" i="101"/>
  <c r="O23" i="101"/>
  <c r="O24" i="101"/>
  <c r="O25" i="101"/>
  <c r="O26" i="101"/>
  <c r="O27" i="101"/>
  <c r="O28" i="101"/>
  <c r="O29" i="101"/>
  <c r="U11" i="97"/>
  <c r="S10" i="101"/>
  <c r="W10" i="101"/>
  <c r="AA10" i="101"/>
  <c r="S11" i="101"/>
  <c r="S12" i="101"/>
  <c r="S13" i="101"/>
  <c r="S14" i="101"/>
  <c r="S36" i="101"/>
  <c r="W36" i="101"/>
  <c r="AA36" i="101"/>
  <c r="P30" i="101"/>
  <c r="O30" i="101"/>
  <c r="O31" i="101"/>
  <c r="O32" i="101"/>
  <c r="O33" i="101"/>
  <c r="O34" i="101"/>
  <c r="O35" i="101"/>
  <c r="O36" i="101"/>
  <c r="O37" i="101"/>
  <c r="O38" i="101"/>
  <c r="O39" i="101"/>
  <c r="O40" i="101"/>
  <c r="O41" i="101"/>
  <c r="O42" i="101"/>
  <c r="O43" i="101"/>
  <c r="O44" i="101"/>
  <c r="O45" i="101"/>
  <c r="O46" i="101"/>
  <c r="O47" i="101"/>
  <c r="O48" i="101"/>
  <c r="O49" i="101"/>
  <c r="O50" i="101"/>
  <c r="O51" i="101"/>
  <c r="O52" i="101"/>
  <c r="O53" i="101"/>
  <c r="O54" i="101"/>
  <c r="O55" i="101"/>
  <c r="O56" i="101"/>
  <c r="O57" i="101"/>
  <c r="U11" i="96"/>
  <c r="W11" i="96"/>
  <c r="Y11" i="96"/>
  <c r="AA11" i="96"/>
  <c r="AC11" i="96"/>
  <c r="Y11" i="97"/>
  <c r="T11" i="99"/>
  <c r="X11" i="99"/>
  <c r="Z11" i="99"/>
  <c r="AB11" i="99"/>
  <c r="AD11" i="99"/>
  <c r="U12" i="99"/>
  <c r="W12" i="99"/>
  <c r="Y12" i="99"/>
  <c r="AA12" i="99"/>
  <c r="AC12" i="99"/>
  <c r="P17" i="100"/>
  <c r="T10" i="101"/>
  <c r="V10" i="101"/>
  <c r="X10" i="101"/>
  <c r="Z10" i="101"/>
  <c r="AB10" i="101"/>
  <c r="AD10" i="101"/>
  <c r="AD35" i="101"/>
  <c r="T36" i="101"/>
  <c r="V36" i="101"/>
  <c r="X36" i="101"/>
  <c r="Z36" i="101"/>
  <c r="AB36" i="101"/>
  <c r="AD36" i="101"/>
  <c r="V27" i="96"/>
  <c r="S11" i="97"/>
  <c r="W11" i="97"/>
  <c r="AA11" i="97"/>
  <c r="S12" i="97"/>
  <c r="U12" i="97"/>
  <c r="W12" i="97"/>
  <c r="Y12" i="97"/>
  <c r="AC12" i="97"/>
  <c r="Z13" i="99"/>
  <c r="Z26" i="99" s="1"/>
  <c r="T10" i="100"/>
  <c r="T22" i="100" s="1"/>
  <c r="X10" i="100"/>
  <c r="AB10" i="100"/>
  <c r="AB22" i="100" s="1"/>
  <c r="V11" i="100"/>
  <c r="Z11" i="100"/>
  <c r="AD11" i="100"/>
  <c r="U12" i="100"/>
  <c r="W12" i="100"/>
  <c r="Y12" i="100"/>
  <c r="AA12" i="100"/>
  <c r="AC12" i="100"/>
  <c r="V12" i="100"/>
  <c r="Z12" i="100"/>
  <c r="AD12" i="100"/>
  <c r="P22" i="100"/>
  <c r="S13" i="100"/>
  <c r="O30" i="100"/>
  <c r="S15" i="100"/>
  <c r="W15" i="100"/>
  <c r="W17" i="100"/>
  <c r="O46" i="100"/>
  <c r="S19" i="100"/>
  <c r="W19" i="100"/>
  <c r="W21" i="100"/>
  <c r="U11" i="95"/>
  <c r="Y11" i="95"/>
  <c r="P13" i="96"/>
  <c r="P20" i="96"/>
  <c r="P22" i="96"/>
  <c r="P23" i="96"/>
  <c r="P24" i="96"/>
  <c r="O25" i="96"/>
  <c r="O26" i="96"/>
  <c r="O27" i="96"/>
  <c r="O28" i="96"/>
  <c r="O29" i="96"/>
  <c r="O31" i="96"/>
  <c r="O32" i="96"/>
  <c r="O33" i="96"/>
  <c r="O34" i="96"/>
  <c r="O35" i="96"/>
  <c r="O36" i="96"/>
  <c r="O37" i="96"/>
  <c r="O39" i="96"/>
  <c r="O40" i="96"/>
  <c r="O41" i="96"/>
  <c r="O43" i="96"/>
  <c r="O44" i="96"/>
  <c r="O45" i="96"/>
  <c r="O47" i="96"/>
  <c r="O48" i="96"/>
  <c r="O49" i="96"/>
  <c r="O50" i="96"/>
  <c r="O51" i="96"/>
  <c r="O52" i="96"/>
  <c r="O53" i="96"/>
  <c r="O55" i="96"/>
  <c r="O56" i="96"/>
  <c r="O57" i="96"/>
  <c r="C58" i="97"/>
  <c r="E58" i="97"/>
  <c r="G58" i="97"/>
  <c r="I58" i="97"/>
  <c r="K58" i="97"/>
  <c r="M58" i="97"/>
  <c r="O11" i="97"/>
  <c r="O12" i="97"/>
  <c r="O13" i="97"/>
  <c r="T11" i="97"/>
  <c r="V11" i="97"/>
  <c r="X11" i="97"/>
  <c r="Z11" i="97"/>
  <c r="AB11" i="97"/>
  <c r="AD11" i="97"/>
  <c r="O16" i="97"/>
  <c r="O17" i="97"/>
  <c r="X11" i="98"/>
  <c r="V12" i="98"/>
  <c r="X12" i="98"/>
  <c r="Z12" i="98"/>
  <c r="AD12" i="98"/>
  <c r="D58" i="99"/>
  <c r="F58" i="99"/>
  <c r="H58" i="99"/>
  <c r="J58" i="99"/>
  <c r="L58" i="99"/>
  <c r="N58" i="99"/>
  <c r="U24" i="99"/>
  <c r="U27" i="99"/>
  <c r="T14" i="99"/>
  <c r="X14" i="99"/>
  <c r="AB14" i="99"/>
  <c r="F58" i="100"/>
  <c r="J58" i="100"/>
  <c r="N58" i="100"/>
  <c r="P14" i="100"/>
  <c r="S11" i="100"/>
  <c r="U11" i="100"/>
  <c r="W11" i="100"/>
  <c r="Y11" i="100"/>
  <c r="AA11" i="100"/>
  <c r="AC11" i="100"/>
  <c r="P18" i="100"/>
  <c r="S12" i="100"/>
  <c r="S21" i="100"/>
  <c r="U11" i="99"/>
  <c r="W11" i="99"/>
  <c r="Y11" i="99"/>
  <c r="AA11" i="99"/>
  <c r="AC11" i="99"/>
  <c r="T13" i="99"/>
  <c r="X13" i="99"/>
  <c r="AB13" i="99"/>
  <c r="P25" i="99"/>
  <c r="P26" i="99"/>
  <c r="P27" i="99"/>
  <c r="P11" i="100"/>
  <c r="W10" i="100"/>
  <c r="P12" i="100"/>
  <c r="P13" i="100"/>
  <c r="P15" i="100"/>
  <c r="P16" i="100"/>
  <c r="P19" i="100"/>
  <c r="P20" i="100"/>
  <c r="P34" i="100"/>
  <c r="P42" i="100"/>
  <c r="P50" i="100"/>
  <c r="O14" i="97"/>
  <c r="O15" i="97"/>
  <c r="P20" i="98"/>
  <c r="P23" i="98"/>
  <c r="P24" i="98"/>
  <c r="O25" i="98"/>
  <c r="O27" i="98"/>
  <c r="O28" i="98"/>
  <c r="O29" i="98"/>
  <c r="O30" i="98"/>
  <c r="O31" i="98"/>
  <c r="O32" i="98"/>
  <c r="O33" i="98"/>
  <c r="O35" i="98"/>
  <c r="O36" i="98"/>
  <c r="O37" i="98"/>
  <c r="O38" i="98"/>
  <c r="O39" i="98"/>
  <c r="O40" i="98"/>
  <c r="O41" i="98"/>
  <c r="O43" i="98"/>
  <c r="O44" i="98"/>
  <c r="O45" i="98"/>
  <c r="O47" i="98"/>
  <c r="O48" i="98"/>
  <c r="O49" i="98"/>
  <c r="O50" i="98"/>
  <c r="O51" i="98"/>
  <c r="O52" i="98"/>
  <c r="O53" i="98"/>
  <c r="O55" i="98"/>
  <c r="O56" i="98"/>
  <c r="O57" i="98"/>
  <c r="E58" i="99"/>
  <c r="G58" i="99"/>
  <c r="I58" i="99"/>
  <c r="K58" i="99"/>
  <c r="M58" i="99"/>
  <c r="P11" i="99"/>
  <c r="P12" i="99"/>
  <c r="P13" i="99"/>
  <c r="P14" i="99"/>
  <c r="P15" i="99"/>
  <c r="P16" i="99"/>
  <c r="P17" i="99"/>
  <c r="P18" i="99"/>
  <c r="P19" i="99"/>
  <c r="P20" i="99"/>
  <c r="P21" i="99"/>
  <c r="P22" i="99"/>
  <c r="U13" i="99"/>
  <c r="W13" i="99"/>
  <c r="Y13" i="99"/>
  <c r="Y26" i="99" s="1"/>
  <c r="AA13" i="99"/>
  <c r="AA26" i="99" s="1"/>
  <c r="AC13" i="99"/>
  <c r="AC23" i="99" s="1"/>
  <c r="P23" i="99"/>
  <c r="P24" i="99"/>
  <c r="P28" i="99"/>
  <c r="P29" i="99"/>
  <c r="P30" i="99"/>
  <c r="P31" i="99"/>
  <c r="P32" i="99"/>
  <c r="P33" i="99"/>
  <c r="P34" i="99"/>
  <c r="P35" i="99"/>
  <c r="S10" i="100"/>
  <c r="S16" i="100"/>
  <c r="S18" i="100"/>
  <c r="S20" i="100"/>
  <c r="U15" i="100"/>
  <c r="Y15" i="100"/>
  <c r="AC15" i="100"/>
  <c r="P30" i="100"/>
  <c r="U17" i="100"/>
  <c r="Y17" i="100"/>
  <c r="AC17" i="100"/>
  <c r="P38" i="100"/>
  <c r="U19" i="100"/>
  <c r="Y19" i="100"/>
  <c r="AC19" i="100"/>
  <c r="P46" i="100"/>
  <c r="U21" i="100"/>
  <c r="Y21" i="100"/>
  <c r="AC21" i="100"/>
  <c r="P54" i="100"/>
  <c r="P36" i="99"/>
  <c r="P37" i="99"/>
  <c r="P38" i="99"/>
  <c r="P39" i="99"/>
  <c r="P40" i="99"/>
  <c r="P41" i="99"/>
  <c r="P42" i="99"/>
  <c r="P43" i="99"/>
  <c r="P44" i="99"/>
  <c r="P45" i="99"/>
  <c r="P46" i="99"/>
  <c r="P47" i="99"/>
  <c r="P48" i="99"/>
  <c r="P49" i="99"/>
  <c r="P50" i="99"/>
  <c r="P51" i="99"/>
  <c r="P52" i="99"/>
  <c r="P53" i="99"/>
  <c r="P54" i="99"/>
  <c r="P55" i="99"/>
  <c r="P56" i="99"/>
  <c r="P57" i="99"/>
  <c r="E58" i="100"/>
  <c r="G58" i="100"/>
  <c r="I58" i="100"/>
  <c r="K58" i="100"/>
  <c r="M58" i="100"/>
  <c r="AA10" i="100"/>
  <c r="V13" i="100"/>
  <c r="X13" i="100"/>
  <c r="Z13" i="100"/>
  <c r="AB13" i="100"/>
  <c r="AD13" i="100"/>
  <c r="P27" i="100"/>
  <c r="P28" i="100"/>
  <c r="P29" i="100"/>
  <c r="O32" i="100"/>
  <c r="P32" i="100"/>
  <c r="P33" i="100"/>
  <c r="O36" i="100"/>
  <c r="P36" i="100"/>
  <c r="P37" i="100"/>
  <c r="O40" i="100"/>
  <c r="P40" i="100"/>
  <c r="P41" i="100"/>
  <c r="O44" i="100"/>
  <c r="P44" i="100"/>
  <c r="P45" i="100"/>
  <c r="O48" i="100"/>
  <c r="P48" i="100"/>
  <c r="P49" i="100"/>
  <c r="O52" i="100"/>
  <c r="P52" i="100"/>
  <c r="P53" i="100"/>
  <c r="O56" i="100"/>
  <c r="P56" i="100"/>
  <c r="P57" i="100"/>
  <c r="P10" i="99"/>
  <c r="C58" i="99"/>
  <c r="O10" i="99"/>
  <c r="U10" i="99"/>
  <c r="Y10" i="99"/>
  <c r="AC10" i="99"/>
  <c r="O11" i="99"/>
  <c r="O12" i="99"/>
  <c r="O13" i="99"/>
  <c r="O14" i="99"/>
  <c r="O15" i="99"/>
  <c r="O16" i="99"/>
  <c r="O17" i="99"/>
  <c r="O18" i="99"/>
  <c r="O19" i="99"/>
  <c r="O20" i="99"/>
  <c r="O21" i="99"/>
  <c r="O22" i="99"/>
  <c r="O23" i="99"/>
  <c r="O24" i="99"/>
  <c r="O25" i="99"/>
  <c r="O26" i="99"/>
  <c r="O27" i="99"/>
  <c r="S10" i="99"/>
  <c r="W10" i="99"/>
  <c r="AA10" i="99"/>
  <c r="S11" i="99"/>
  <c r="S12" i="99"/>
  <c r="S13" i="99"/>
  <c r="S14" i="99"/>
  <c r="S24" i="99"/>
  <c r="W24" i="99"/>
  <c r="AA24" i="99"/>
  <c r="O28" i="99"/>
  <c r="O29" i="99"/>
  <c r="O30" i="99"/>
  <c r="O31" i="99"/>
  <c r="O32" i="99"/>
  <c r="O33" i="99"/>
  <c r="O34" i="99"/>
  <c r="O35" i="99"/>
  <c r="O36" i="99"/>
  <c r="O37" i="99"/>
  <c r="O38" i="99"/>
  <c r="O39" i="99"/>
  <c r="O40" i="99"/>
  <c r="O41" i="99"/>
  <c r="O42" i="99"/>
  <c r="O43" i="99"/>
  <c r="O44" i="99"/>
  <c r="O45" i="99"/>
  <c r="O46" i="99"/>
  <c r="O47" i="99"/>
  <c r="O48" i="99"/>
  <c r="O49" i="99"/>
  <c r="O50" i="99"/>
  <c r="O51" i="99"/>
  <c r="O52" i="99"/>
  <c r="O53" i="99"/>
  <c r="O54" i="99"/>
  <c r="O55" i="99"/>
  <c r="O56" i="99"/>
  <c r="O57" i="99"/>
  <c r="AA27" i="100"/>
  <c r="AA24" i="100"/>
  <c r="P25" i="100"/>
  <c r="T13" i="100"/>
  <c r="P26" i="100"/>
  <c r="T14" i="100"/>
  <c r="H58" i="100"/>
  <c r="P45" i="97"/>
  <c r="P46" i="97"/>
  <c r="P47" i="97"/>
  <c r="P48" i="97"/>
  <c r="T11" i="98"/>
  <c r="V11" i="98"/>
  <c r="Z11" i="98"/>
  <c r="AB11" i="98"/>
  <c r="AD11" i="98"/>
  <c r="T10" i="99"/>
  <c r="V10" i="99"/>
  <c r="X10" i="99"/>
  <c r="Z10" i="99"/>
  <c r="AB10" i="99"/>
  <c r="AD10" i="99"/>
  <c r="T24" i="99"/>
  <c r="V24" i="99"/>
  <c r="Z24" i="99"/>
  <c r="AD24" i="99"/>
  <c r="C58" i="100"/>
  <c r="P10" i="100"/>
  <c r="O10" i="100"/>
  <c r="U10" i="100"/>
  <c r="Y10" i="100"/>
  <c r="AC10" i="100"/>
  <c r="O11" i="100"/>
  <c r="O12" i="100"/>
  <c r="O13" i="100"/>
  <c r="O14" i="100"/>
  <c r="O15" i="100"/>
  <c r="O16" i="100"/>
  <c r="O17" i="100"/>
  <c r="O18" i="100"/>
  <c r="O19" i="100"/>
  <c r="O20" i="100"/>
  <c r="O21" i="100"/>
  <c r="O22" i="100"/>
  <c r="O23" i="100"/>
  <c r="O24" i="100"/>
  <c r="P31" i="100"/>
  <c r="T15" i="100"/>
  <c r="V15" i="100"/>
  <c r="X15" i="100"/>
  <c r="Z15" i="100"/>
  <c r="AB15" i="100"/>
  <c r="AD15" i="100"/>
  <c r="P35" i="100"/>
  <c r="T16" i="100"/>
  <c r="V16" i="100"/>
  <c r="X16" i="100"/>
  <c r="Z16" i="100"/>
  <c r="AB16" i="100"/>
  <c r="AD16" i="100"/>
  <c r="P39" i="100"/>
  <c r="T17" i="100"/>
  <c r="V17" i="100"/>
  <c r="X17" i="100"/>
  <c r="Z17" i="100"/>
  <c r="AB17" i="100"/>
  <c r="AD17" i="100"/>
  <c r="P43" i="100"/>
  <c r="T18" i="100"/>
  <c r="V18" i="100"/>
  <c r="X18" i="100"/>
  <c r="Z18" i="100"/>
  <c r="AB18" i="100"/>
  <c r="AD18" i="100"/>
  <c r="P47" i="100"/>
  <c r="T19" i="100"/>
  <c r="V19" i="100"/>
  <c r="X19" i="100"/>
  <c r="Z19" i="100"/>
  <c r="AB19" i="100"/>
  <c r="AD19" i="100"/>
  <c r="P51" i="100"/>
  <c r="T20" i="100"/>
  <c r="V20" i="100"/>
  <c r="X20" i="100"/>
  <c r="Z20" i="100"/>
  <c r="AB20" i="100"/>
  <c r="AD20" i="100"/>
  <c r="P55" i="100"/>
  <c r="T21" i="100"/>
  <c r="V21" i="100"/>
  <c r="X21" i="100"/>
  <c r="Z21" i="100"/>
  <c r="AB21" i="100"/>
  <c r="AD21" i="100"/>
  <c r="D58" i="100"/>
  <c r="L58" i="100"/>
  <c r="V10" i="100"/>
  <c r="Z10" i="100"/>
  <c r="AD10" i="100"/>
  <c r="O25" i="100"/>
  <c r="O26" i="100"/>
  <c r="O27" i="100"/>
  <c r="O28" i="100"/>
  <c r="O29" i="100"/>
  <c r="O31" i="100"/>
  <c r="O33" i="100"/>
  <c r="O35" i="100"/>
  <c r="O37" i="100"/>
  <c r="O39" i="100"/>
  <c r="O41" i="100"/>
  <c r="O43" i="100"/>
  <c r="O45" i="100"/>
  <c r="O47" i="100"/>
  <c r="O49" i="100"/>
  <c r="O51" i="100"/>
  <c r="O53" i="100"/>
  <c r="O55" i="100"/>
  <c r="O57" i="100"/>
  <c r="O46" i="98"/>
  <c r="S19" i="98"/>
  <c r="T12" i="97"/>
  <c r="V12" i="97"/>
  <c r="X12" i="97"/>
  <c r="Z12" i="97"/>
  <c r="AB12" i="97"/>
  <c r="AD12" i="97"/>
  <c r="U11" i="98"/>
  <c r="W11" i="98"/>
  <c r="Y11" i="98"/>
  <c r="AA11" i="98"/>
  <c r="AC11" i="98"/>
  <c r="S15" i="98"/>
  <c r="V12" i="94"/>
  <c r="S11" i="95"/>
  <c r="W11" i="95"/>
  <c r="AA11" i="95"/>
  <c r="Z12" i="95"/>
  <c r="O20" i="97"/>
  <c r="O22" i="97"/>
  <c r="O23" i="97"/>
  <c r="O24" i="97"/>
  <c r="O25" i="97"/>
  <c r="O26" i="97"/>
  <c r="O27" i="97"/>
  <c r="O28" i="97"/>
  <c r="O29" i="97"/>
  <c r="O30" i="97"/>
  <c r="O31" i="97"/>
  <c r="O32" i="97"/>
  <c r="O33" i="97"/>
  <c r="O34" i="97"/>
  <c r="O35" i="97"/>
  <c r="O37" i="97"/>
  <c r="O38" i="97"/>
  <c r="O39" i="97"/>
  <c r="O40" i="97"/>
  <c r="O41" i="97"/>
  <c r="O42" i="97"/>
  <c r="O43" i="97"/>
  <c r="O44" i="97"/>
  <c r="P17" i="98"/>
  <c r="U12" i="98"/>
  <c r="W12" i="98"/>
  <c r="Y12" i="98"/>
  <c r="AA12" i="98"/>
  <c r="AC12" i="98"/>
  <c r="W26" i="97"/>
  <c r="AA26" i="97"/>
  <c r="P15" i="98"/>
  <c r="S11" i="98"/>
  <c r="P19" i="98"/>
  <c r="S12" i="98"/>
  <c r="U27" i="98"/>
  <c r="P22" i="98"/>
  <c r="S13" i="98"/>
  <c r="U26" i="98"/>
  <c r="W26" i="98"/>
  <c r="Y26" i="98"/>
  <c r="AA26" i="98"/>
  <c r="O26" i="98"/>
  <c r="S14" i="98"/>
  <c r="O34" i="98"/>
  <c r="S16" i="98"/>
  <c r="O42" i="98"/>
  <c r="S18" i="98"/>
  <c r="O54" i="98"/>
  <c r="S21" i="98"/>
  <c r="T11" i="95"/>
  <c r="V11" i="95"/>
  <c r="X11" i="95"/>
  <c r="Z11" i="95"/>
  <c r="AB11" i="95"/>
  <c r="AD11" i="95"/>
  <c r="D58" i="97"/>
  <c r="F58" i="97"/>
  <c r="H58" i="97"/>
  <c r="J58" i="97"/>
  <c r="L58" i="97"/>
  <c r="N58" i="97"/>
  <c r="T26" i="97"/>
  <c r="Z26" i="97"/>
  <c r="AD26" i="97"/>
  <c r="O18" i="97"/>
  <c r="S18" i="97"/>
  <c r="O19" i="97"/>
  <c r="S27" i="97"/>
  <c r="U27" i="97"/>
  <c r="W27" i="97"/>
  <c r="Y27" i="97"/>
  <c r="AA27" i="97"/>
  <c r="AC27" i="97"/>
  <c r="O21" i="97"/>
  <c r="P40" i="97"/>
  <c r="P41" i="97"/>
  <c r="P42" i="97"/>
  <c r="P43" i="97"/>
  <c r="P44" i="97"/>
  <c r="D58" i="98"/>
  <c r="F58" i="98"/>
  <c r="H58" i="98"/>
  <c r="J58" i="98"/>
  <c r="L58" i="98"/>
  <c r="N58" i="98"/>
  <c r="Z26" i="98"/>
  <c r="S17" i="98"/>
  <c r="S20" i="98"/>
  <c r="O45" i="97"/>
  <c r="O46" i="97"/>
  <c r="O47" i="97"/>
  <c r="O48" i="97"/>
  <c r="O49" i="97"/>
  <c r="O50" i="97"/>
  <c r="O51" i="97"/>
  <c r="O52" i="97"/>
  <c r="O53" i="97"/>
  <c r="O54" i="97"/>
  <c r="O55" i="97"/>
  <c r="O56" i="97"/>
  <c r="O57" i="97"/>
  <c r="C58" i="98"/>
  <c r="E58" i="98"/>
  <c r="G58" i="98"/>
  <c r="I58" i="98"/>
  <c r="K58" i="98"/>
  <c r="M58" i="98"/>
  <c r="P11" i="98"/>
  <c r="P12" i="98"/>
  <c r="P13" i="98"/>
  <c r="P14" i="98"/>
  <c r="P16" i="98"/>
  <c r="P18" i="98"/>
  <c r="P21" i="98"/>
  <c r="P43" i="98"/>
  <c r="P44" i="98"/>
  <c r="P45" i="98"/>
  <c r="P46" i="98"/>
  <c r="P47" i="98"/>
  <c r="P48" i="98"/>
  <c r="P49" i="98"/>
  <c r="P50" i="98"/>
  <c r="P51" i="98"/>
  <c r="P52" i="98"/>
  <c r="Z11" i="94"/>
  <c r="AD12" i="94"/>
  <c r="V12" i="95"/>
  <c r="AD12" i="95"/>
  <c r="T11" i="96"/>
  <c r="V11" i="96"/>
  <c r="X11" i="96"/>
  <c r="Z11" i="96"/>
  <c r="AB11" i="96"/>
  <c r="AD11" i="96"/>
  <c r="P10" i="97"/>
  <c r="T10" i="97"/>
  <c r="V10" i="97"/>
  <c r="X10" i="97"/>
  <c r="Z10" i="97"/>
  <c r="AB10" i="97"/>
  <c r="AD10" i="97"/>
  <c r="P11" i="97"/>
  <c r="P12" i="97"/>
  <c r="P13" i="97"/>
  <c r="P14" i="97"/>
  <c r="P15" i="97"/>
  <c r="P16" i="97"/>
  <c r="P17" i="97"/>
  <c r="P18" i="97"/>
  <c r="P19" i="97"/>
  <c r="P20" i="97"/>
  <c r="P21" i="97"/>
  <c r="P22" i="97"/>
  <c r="P23" i="97"/>
  <c r="T23" i="97"/>
  <c r="Z23" i="97"/>
  <c r="P24" i="97"/>
  <c r="T24" i="97"/>
  <c r="V24" i="97"/>
  <c r="X24" i="97"/>
  <c r="Z24" i="97"/>
  <c r="AB24" i="97"/>
  <c r="AD24" i="97"/>
  <c r="P25" i="97"/>
  <c r="P26" i="97"/>
  <c r="P27" i="97"/>
  <c r="P28" i="97"/>
  <c r="P29" i="97"/>
  <c r="P30" i="97"/>
  <c r="P31" i="97"/>
  <c r="P32" i="97"/>
  <c r="P33" i="97"/>
  <c r="P34" i="97"/>
  <c r="P35" i="97"/>
  <c r="S12" i="96"/>
  <c r="W12" i="96"/>
  <c r="AA12" i="96"/>
  <c r="O10" i="97"/>
  <c r="S10" i="97"/>
  <c r="U10" i="97"/>
  <c r="W10" i="97"/>
  <c r="Y10" i="97"/>
  <c r="AA10" i="97"/>
  <c r="AC10" i="97"/>
  <c r="W23" i="97"/>
  <c r="AA23" i="97"/>
  <c r="S24" i="97"/>
  <c r="U24" i="97"/>
  <c r="W24" i="97"/>
  <c r="Y24" i="97"/>
  <c r="AA24" i="97"/>
  <c r="AC24" i="97"/>
  <c r="O36" i="97"/>
  <c r="P36" i="97"/>
  <c r="P37" i="97"/>
  <c r="P38" i="97"/>
  <c r="P39" i="97"/>
  <c r="P49" i="97"/>
  <c r="P50" i="97"/>
  <c r="P51" i="97"/>
  <c r="P52" i="97"/>
  <c r="P53" i="97"/>
  <c r="P54" i="97"/>
  <c r="P55" i="97"/>
  <c r="P56" i="97"/>
  <c r="P57" i="97"/>
  <c r="O10" i="98"/>
  <c r="S10" i="98"/>
  <c r="U10" i="98"/>
  <c r="W10" i="98"/>
  <c r="Y10" i="98"/>
  <c r="AA10" i="98"/>
  <c r="AC10" i="98"/>
  <c r="O11" i="98"/>
  <c r="O12" i="98"/>
  <c r="O13" i="98"/>
  <c r="O14" i="98"/>
  <c r="O15" i="98"/>
  <c r="O16" i="98"/>
  <c r="O17" i="98"/>
  <c r="O18" i="98"/>
  <c r="O19" i="98"/>
  <c r="Y27" i="98"/>
  <c r="Y24" i="98"/>
  <c r="AA27" i="98"/>
  <c r="AA24" i="98"/>
  <c r="AC27" i="98"/>
  <c r="AC24" i="98"/>
  <c r="O20" i="98"/>
  <c r="O21" i="98"/>
  <c r="O22" i="98"/>
  <c r="O23" i="98"/>
  <c r="U23" i="98"/>
  <c r="W23" i="98"/>
  <c r="Y23" i="98"/>
  <c r="AA23" i="98"/>
  <c r="O24" i="98"/>
  <c r="U24" i="98"/>
  <c r="P10" i="98"/>
  <c r="T10" i="98"/>
  <c r="V10" i="98"/>
  <c r="X10" i="98"/>
  <c r="Z10" i="98"/>
  <c r="AB10" i="98"/>
  <c r="AD10" i="98"/>
  <c r="X27" i="98"/>
  <c r="X24" i="98"/>
  <c r="X23" i="98"/>
  <c r="Z23" i="98"/>
  <c r="P25" i="98"/>
  <c r="P26" i="98"/>
  <c r="P27" i="98"/>
  <c r="P28" i="98"/>
  <c r="P29" i="98"/>
  <c r="P30" i="98"/>
  <c r="P31" i="98"/>
  <c r="P32" i="98"/>
  <c r="P33" i="98"/>
  <c r="P34" i="98"/>
  <c r="P35" i="98"/>
  <c r="P36" i="98"/>
  <c r="P37" i="98"/>
  <c r="P38" i="98"/>
  <c r="P39" i="98"/>
  <c r="P40" i="98"/>
  <c r="P41" i="98"/>
  <c r="P42" i="98"/>
  <c r="P53" i="98"/>
  <c r="P54" i="98"/>
  <c r="P55" i="98"/>
  <c r="P56" i="98"/>
  <c r="P57" i="98"/>
  <c r="O42" i="96"/>
  <c r="S18" i="96"/>
  <c r="T11" i="94"/>
  <c r="V11" i="94"/>
  <c r="X11" i="94"/>
  <c r="AB11" i="94"/>
  <c r="AD11" i="94"/>
  <c r="T12" i="94"/>
  <c r="X12" i="94"/>
  <c r="Z12" i="94"/>
  <c r="AB12" i="94"/>
  <c r="N58" i="95"/>
  <c r="T26" i="95"/>
  <c r="AD27" i="95"/>
  <c r="S13" i="96"/>
  <c r="P14" i="96"/>
  <c r="S11" i="96"/>
  <c r="S14" i="96"/>
  <c r="T12" i="95"/>
  <c r="X12" i="95"/>
  <c r="AB12" i="95"/>
  <c r="P21" i="95"/>
  <c r="P22" i="95"/>
  <c r="P23" i="95"/>
  <c r="P24" i="95"/>
  <c r="P25" i="95"/>
  <c r="P26" i="95"/>
  <c r="P27" i="95"/>
  <c r="P28" i="95"/>
  <c r="P29" i="95"/>
  <c r="P30" i="95"/>
  <c r="P31" i="95"/>
  <c r="P32" i="95"/>
  <c r="P33" i="95"/>
  <c r="P34" i="95"/>
  <c r="P35" i="95"/>
  <c r="O37" i="95"/>
  <c r="O39" i="95"/>
  <c r="O40" i="95"/>
  <c r="O41" i="95"/>
  <c r="O42" i="95"/>
  <c r="O43" i="95"/>
  <c r="O44" i="95"/>
  <c r="O45" i="95"/>
  <c r="O47" i="95"/>
  <c r="O48" i="95"/>
  <c r="O49" i="95"/>
  <c r="O50" i="95"/>
  <c r="O51" i="95"/>
  <c r="O52" i="95"/>
  <c r="O53" i="95"/>
  <c r="O54" i="95"/>
  <c r="O55" i="95"/>
  <c r="O56" i="95"/>
  <c r="O57" i="95"/>
  <c r="C58" i="96"/>
  <c r="E58" i="96"/>
  <c r="G58" i="96"/>
  <c r="I58" i="96"/>
  <c r="K58" i="96"/>
  <c r="M58" i="96"/>
  <c r="P11" i="96"/>
  <c r="S10" i="94"/>
  <c r="W10" i="94"/>
  <c r="P18" i="95"/>
  <c r="T27" i="95"/>
  <c r="X27" i="95"/>
  <c r="AB27" i="95"/>
  <c r="P20" i="95"/>
  <c r="U12" i="95"/>
  <c r="W12" i="95"/>
  <c r="Y12" i="95"/>
  <c r="AA12" i="95"/>
  <c r="AC12" i="95"/>
  <c r="P12" i="96"/>
  <c r="P16" i="96"/>
  <c r="P18" i="96"/>
  <c r="U12" i="96"/>
  <c r="Y12" i="96"/>
  <c r="AC12" i="96"/>
  <c r="T12" i="96"/>
  <c r="V12" i="96"/>
  <c r="X12" i="96"/>
  <c r="Z12" i="96"/>
  <c r="AB12" i="96"/>
  <c r="AD12" i="96"/>
  <c r="O38" i="95"/>
  <c r="S17" i="95"/>
  <c r="O46" i="95"/>
  <c r="S19" i="95"/>
  <c r="Y27" i="95"/>
  <c r="AA27" i="95"/>
  <c r="O30" i="96"/>
  <c r="S15" i="96"/>
  <c r="O38" i="96"/>
  <c r="S17" i="96"/>
  <c r="O46" i="96"/>
  <c r="S19" i="96"/>
  <c r="U27" i="96"/>
  <c r="O54" i="96"/>
  <c r="S21" i="96"/>
  <c r="P14" i="94"/>
  <c r="U11" i="94"/>
  <c r="W11" i="94"/>
  <c r="Y11" i="94"/>
  <c r="AA11" i="94"/>
  <c r="AC11" i="94"/>
  <c r="P16" i="94"/>
  <c r="P18" i="94"/>
  <c r="U12" i="94"/>
  <c r="W12" i="94"/>
  <c r="Y12" i="94"/>
  <c r="AA12" i="94"/>
  <c r="AC12" i="94"/>
  <c r="P20" i="94"/>
  <c r="P22" i="94"/>
  <c r="P23" i="94"/>
  <c r="P24" i="94"/>
  <c r="O30" i="94"/>
  <c r="O34" i="94"/>
  <c r="O38" i="94"/>
  <c r="O42" i="94"/>
  <c r="O46" i="94"/>
  <c r="O50" i="94"/>
  <c r="O54" i="94"/>
  <c r="C58" i="95"/>
  <c r="P11" i="95"/>
  <c r="P12" i="95"/>
  <c r="S12" i="95"/>
  <c r="P13" i="95"/>
  <c r="S13" i="95"/>
  <c r="P14" i="95"/>
  <c r="S14" i="95"/>
  <c r="P15" i="95"/>
  <c r="S15" i="95"/>
  <c r="P16" i="95"/>
  <c r="S16" i="95"/>
  <c r="S18" i="95"/>
  <c r="S21" i="95"/>
  <c r="S16" i="96"/>
  <c r="T27" i="96"/>
  <c r="S20" i="96"/>
  <c r="P17" i="95"/>
  <c r="P19" i="95"/>
  <c r="P49" i="95"/>
  <c r="P50" i="95"/>
  <c r="P51" i="95"/>
  <c r="P52" i="95"/>
  <c r="P53" i="95"/>
  <c r="P54" i="95"/>
  <c r="P55" i="95"/>
  <c r="P56" i="95"/>
  <c r="P57" i="95"/>
  <c r="D58" i="96"/>
  <c r="F58" i="96"/>
  <c r="H58" i="96"/>
  <c r="J58" i="96"/>
  <c r="L58" i="96"/>
  <c r="N58" i="96"/>
  <c r="V26" i="96"/>
  <c r="X26" i="96"/>
  <c r="Z26" i="96"/>
  <c r="P15" i="96"/>
  <c r="P17" i="96"/>
  <c r="P19" i="96"/>
  <c r="P21" i="96"/>
  <c r="O10" i="95"/>
  <c r="S10" i="95"/>
  <c r="U10" i="95"/>
  <c r="W10" i="95"/>
  <c r="Y10" i="95"/>
  <c r="AA10" i="95"/>
  <c r="AC10" i="95"/>
  <c r="O11" i="95"/>
  <c r="O12" i="95"/>
  <c r="O13" i="95"/>
  <c r="O14" i="95"/>
  <c r="O15" i="95"/>
  <c r="O16" i="95"/>
  <c r="O17" i="95"/>
  <c r="O18" i="95"/>
  <c r="O19" i="95"/>
  <c r="O20" i="95"/>
  <c r="O21" i="95"/>
  <c r="O22" i="95"/>
  <c r="O23" i="95"/>
  <c r="W23" i="95"/>
  <c r="AA23" i="95"/>
  <c r="O24" i="95"/>
  <c r="Y24" i="95"/>
  <c r="AA24" i="95"/>
  <c r="O25" i="95"/>
  <c r="O26" i="95"/>
  <c r="O27" i="95"/>
  <c r="O28" i="95"/>
  <c r="O29" i="95"/>
  <c r="O30" i="95"/>
  <c r="O31" i="95"/>
  <c r="O32" i="95"/>
  <c r="O33" i="95"/>
  <c r="O34" i="95"/>
  <c r="O35" i="95"/>
  <c r="O36" i="95"/>
  <c r="P36" i="95"/>
  <c r="T10" i="94"/>
  <c r="F58" i="94"/>
  <c r="X10" i="94"/>
  <c r="J58" i="94"/>
  <c r="AB10" i="94"/>
  <c r="N58" i="94"/>
  <c r="P11" i="94"/>
  <c r="S11" i="94"/>
  <c r="P12" i="94"/>
  <c r="S12" i="94"/>
  <c r="P13" i="94"/>
  <c r="S13" i="94"/>
  <c r="P15" i="94"/>
  <c r="P17" i="94"/>
  <c r="P19" i="94"/>
  <c r="P21" i="94"/>
  <c r="P10" i="95"/>
  <c r="T10" i="95"/>
  <c r="V10" i="95"/>
  <c r="X10" i="95"/>
  <c r="Z10" i="95"/>
  <c r="AB10" i="95"/>
  <c r="AD10" i="95"/>
  <c r="T23" i="95"/>
  <c r="AD23" i="95"/>
  <c r="T24" i="95"/>
  <c r="X24" i="95"/>
  <c r="AB24" i="95"/>
  <c r="AD24" i="95"/>
  <c r="P37" i="95"/>
  <c r="P38" i="95"/>
  <c r="P39" i="95"/>
  <c r="P40" i="95"/>
  <c r="P41" i="95"/>
  <c r="P42" i="95"/>
  <c r="P43" i="95"/>
  <c r="P44" i="95"/>
  <c r="P45" i="95"/>
  <c r="P46" i="95"/>
  <c r="P47" i="95"/>
  <c r="P48" i="95"/>
  <c r="O10" i="96"/>
  <c r="S10" i="96"/>
  <c r="U10" i="96"/>
  <c r="W10" i="96"/>
  <c r="Y10" i="96"/>
  <c r="AA10" i="96"/>
  <c r="AC10" i="96"/>
  <c r="O11" i="96"/>
  <c r="O12" i="96"/>
  <c r="O13" i="96"/>
  <c r="O14" i="96"/>
  <c r="O15" i="96"/>
  <c r="O16" i="96"/>
  <c r="O17" i="96"/>
  <c r="O18" i="96"/>
  <c r="O19" i="96"/>
  <c r="AA27" i="96"/>
  <c r="AA24" i="96"/>
  <c r="AC27" i="96"/>
  <c r="AC24" i="96"/>
  <c r="O20" i="96"/>
  <c r="O21" i="96"/>
  <c r="O22" i="96"/>
  <c r="O23" i="96"/>
  <c r="O24" i="96"/>
  <c r="U24" i="96"/>
  <c r="P10" i="96"/>
  <c r="T10" i="96"/>
  <c r="V10" i="96"/>
  <c r="X10" i="96"/>
  <c r="Z10" i="96"/>
  <c r="AB10" i="96"/>
  <c r="AD10" i="96"/>
  <c r="X27" i="96"/>
  <c r="X24" i="96"/>
  <c r="Z27" i="96"/>
  <c r="Z24" i="96"/>
  <c r="AB27" i="96"/>
  <c r="AB24" i="96"/>
  <c r="AD27" i="96"/>
  <c r="AD24" i="96"/>
  <c r="V23" i="96"/>
  <c r="Z23" i="96"/>
  <c r="T24" i="96"/>
  <c r="V24" i="96"/>
  <c r="P25" i="96"/>
  <c r="P26" i="96"/>
  <c r="P27" i="96"/>
  <c r="P28" i="96"/>
  <c r="P29" i="96"/>
  <c r="P30" i="96"/>
  <c r="P31" i="96"/>
  <c r="P32" i="96"/>
  <c r="P33" i="96"/>
  <c r="P34" i="96"/>
  <c r="P35" i="96"/>
  <c r="P36" i="96"/>
  <c r="P37" i="96"/>
  <c r="P38" i="96"/>
  <c r="P39" i="96"/>
  <c r="P40" i="96"/>
  <c r="P41" i="96"/>
  <c r="P42" i="96"/>
  <c r="P43" i="96"/>
  <c r="P44" i="96"/>
  <c r="P45" i="96"/>
  <c r="P46" i="96"/>
  <c r="P47" i="96"/>
  <c r="P48" i="96"/>
  <c r="P49" i="96"/>
  <c r="P50" i="96"/>
  <c r="P51" i="96"/>
  <c r="P52" i="96"/>
  <c r="P53" i="96"/>
  <c r="P54" i="96"/>
  <c r="P55" i="96"/>
  <c r="P56" i="96"/>
  <c r="P57" i="96"/>
  <c r="P30" i="94"/>
  <c r="P34" i="94"/>
  <c r="P38" i="94"/>
  <c r="P42" i="94"/>
  <c r="P46" i="94"/>
  <c r="P50" i="94"/>
  <c r="P54" i="94"/>
  <c r="E58" i="94"/>
  <c r="G58" i="94"/>
  <c r="I58" i="94"/>
  <c r="K58" i="94"/>
  <c r="M58" i="94"/>
  <c r="AA10" i="94"/>
  <c r="V13" i="94"/>
  <c r="X13" i="94"/>
  <c r="Z13" i="94"/>
  <c r="AB13" i="94"/>
  <c r="AD13" i="94"/>
  <c r="P27" i="94"/>
  <c r="P28" i="94"/>
  <c r="P29" i="94"/>
  <c r="O32" i="94"/>
  <c r="P32" i="94"/>
  <c r="P33" i="94"/>
  <c r="O36" i="94"/>
  <c r="P36" i="94"/>
  <c r="P37" i="94"/>
  <c r="O40" i="94"/>
  <c r="P40" i="94"/>
  <c r="P41" i="94"/>
  <c r="O44" i="94"/>
  <c r="P44" i="94"/>
  <c r="P45" i="94"/>
  <c r="O48" i="94"/>
  <c r="P48" i="94"/>
  <c r="P49" i="94"/>
  <c r="O52" i="94"/>
  <c r="P52" i="94"/>
  <c r="P53" i="94"/>
  <c r="O56" i="94"/>
  <c r="P56" i="94"/>
  <c r="P57" i="94"/>
  <c r="P25" i="94"/>
  <c r="T13" i="94"/>
  <c r="P26" i="94"/>
  <c r="T14" i="94"/>
  <c r="H58" i="94"/>
  <c r="C58" i="94"/>
  <c r="P10" i="94"/>
  <c r="O10" i="94"/>
  <c r="U10" i="94"/>
  <c r="Y10" i="94"/>
  <c r="AC10" i="94"/>
  <c r="O11" i="94"/>
  <c r="O12" i="94"/>
  <c r="O13" i="94"/>
  <c r="O14" i="94"/>
  <c r="O15" i="94"/>
  <c r="O16" i="94"/>
  <c r="O17" i="94"/>
  <c r="O18" i="94"/>
  <c r="O19" i="94"/>
  <c r="O20" i="94"/>
  <c r="O21" i="94"/>
  <c r="O22" i="94"/>
  <c r="O23" i="94"/>
  <c r="O24" i="94"/>
  <c r="P31" i="94"/>
  <c r="T15" i="94"/>
  <c r="V15" i="94"/>
  <c r="X15" i="94"/>
  <c r="Z15" i="94"/>
  <c r="AB15" i="94"/>
  <c r="AD15" i="94"/>
  <c r="P35" i="94"/>
  <c r="T16" i="94"/>
  <c r="V16" i="94"/>
  <c r="X16" i="94"/>
  <c r="Z16" i="94"/>
  <c r="AB16" i="94"/>
  <c r="AD16" i="94"/>
  <c r="P39" i="94"/>
  <c r="T17" i="94"/>
  <c r="V17" i="94"/>
  <c r="X17" i="94"/>
  <c r="Z17" i="94"/>
  <c r="AB17" i="94"/>
  <c r="AD17" i="94"/>
  <c r="P43" i="94"/>
  <c r="T18" i="94"/>
  <c r="V18" i="94"/>
  <c r="X18" i="94"/>
  <c r="Z18" i="94"/>
  <c r="AB18" i="94"/>
  <c r="AD18" i="94"/>
  <c r="P47" i="94"/>
  <c r="T19" i="94"/>
  <c r="V19" i="94"/>
  <c r="X19" i="94"/>
  <c r="Z19" i="94"/>
  <c r="AB19" i="94"/>
  <c r="AD19" i="94"/>
  <c r="P51" i="94"/>
  <c r="T20" i="94"/>
  <c r="V20" i="94"/>
  <c r="X20" i="94"/>
  <c r="Z20" i="94"/>
  <c r="AB20" i="94"/>
  <c r="AD20" i="94"/>
  <c r="P55" i="94"/>
  <c r="T21" i="94"/>
  <c r="V21" i="94"/>
  <c r="X21" i="94"/>
  <c r="Z21" i="94"/>
  <c r="AB21" i="94"/>
  <c r="AD21" i="94"/>
  <c r="D58" i="94"/>
  <c r="L58" i="94"/>
  <c r="V10" i="94"/>
  <c r="Z10" i="94"/>
  <c r="AD10" i="94"/>
  <c r="O25" i="94"/>
  <c r="O26" i="94"/>
  <c r="O27" i="94"/>
  <c r="O28" i="94"/>
  <c r="O29" i="94"/>
  <c r="O31" i="94"/>
  <c r="O33" i="94"/>
  <c r="O35" i="94"/>
  <c r="O37" i="94"/>
  <c r="O39" i="94"/>
  <c r="O41" i="94"/>
  <c r="O43" i="94"/>
  <c r="O45" i="94"/>
  <c r="O47" i="94"/>
  <c r="O49" i="94"/>
  <c r="O51" i="94"/>
  <c r="O53" i="94"/>
  <c r="O55" i="94"/>
  <c r="O57" i="94"/>
  <c r="C11" i="107"/>
  <c r="D11" i="107"/>
  <c r="E11" i="107"/>
  <c r="F11" i="107"/>
  <c r="G11" i="107"/>
  <c r="H11" i="107"/>
  <c r="I11" i="107"/>
  <c r="J11" i="107"/>
  <c r="K11" i="107"/>
  <c r="L11" i="107"/>
  <c r="M11" i="107"/>
  <c r="N11" i="107"/>
  <c r="C12" i="107"/>
  <c r="D12" i="107"/>
  <c r="E12" i="107"/>
  <c r="F12" i="107"/>
  <c r="G12" i="107"/>
  <c r="H12" i="107"/>
  <c r="I12" i="107"/>
  <c r="J12" i="107"/>
  <c r="K12" i="107"/>
  <c r="L12" i="107"/>
  <c r="M12" i="107"/>
  <c r="N12" i="107"/>
  <c r="C13" i="107"/>
  <c r="D13" i="107"/>
  <c r="E13" i="107"/>
  <c r="F13" i="107"/>
  <c r="G13" i="107"/>
  <c r="H13" i="107"/>
  <c r="I13" i="107"/>
  <c r="J13" i="107"/>
  <c r="K13" i="107"/>
  <c r="L13" i="107"/>
  <c r="M13" i="107"/>
  <c r="N13" i="107"/>
  <c r="C14" i="107"/>
  <c r="D14" i="107"/>
  <c r="E14" i="107"/>
  <c r="F14" i="107"/>
  <c r="G14" i="107"/>
  <c r="H14" i="107"/>
  <c r="I14" i="107"/>
  <c r="J14" i="107"/>
  <c r="K14" i="107"/>
  <c r="L14" i="107"/>
  <c r="M14" i="107"/>
  <c r="N14" i="107"/>
  <c r="C15" i="107"/>
  <c r="D15" i="107"/>
  <c r="E15" i="107"/>
  <c r="F15" i="107"/>
  <c r="G15" i="107"/>
  <c r="H15" i="107"/>
  <c r="I15" i="107"/>
  <c r="J15" i="107"/>
  <c r="K15" i="107"/>
  <c r="L15" i="107"/>
  <c r="M15" i="107"/>
  <c r="N15" i="107"/>
  <c r="C16" i="107"/>
  <c r="D16" i="107"/>
  <c r="E16" i="107"/>
  <c r="F16" i="107"/>
  <c r="G16" i="107"/>
  <c r="H16" i="107"/>
  <c r="I16" i="107"/>
  <c r="J16" i="107"/>
  <c r="K16" i="107"/>
  <c r="L16" i="107"/>
  <c r="M16" i="107"/>
  <c r="N16" i="107"/>
  <c r="C17" i="107"/>
  <c r="D17" i="107"/>
  <c r="E17" i="107"/>
  <c r="F17" i="107"/>
  <c r="G17" i="107"/>
  <c r="H17" i="107"/>
  <c r="I17" i="107"/>
  <c r="J17" i="107"/>
  <c r="K17" i="107"/>
  <c r="L17" i="107"/>
  <c r="M17" i="107"/>
  <c r="N17" i="107"/>
  <c r="C18" i="107"/>
  <c r="D18" i="107"/>
  <c r="E18" i="107"/>
  <c r="F18" i="107"/>
  <c r="G18" i="107"/>
  <c r="H18" i="107"/>
  <c r="I18" i="107"/>
  <c r="J18" i="107"/>
  <c r="K18" i="107"/>
  <c r="L18" i="107"/>
  <c r="M18" i="107"/>
  <c r="N18" i="107"/>
  <c r="C19" i="107"/>
  <c r="D19" i="107"/>
  <c r="E19" i="107"/>
  <c r="F19" i="107"/>
  <c r="G19" i="107"/>
  <c r="H19" i="107"/>
  <c r="I19" i="107"/>
  <c r="J19" i="107"/>
  <c r="K19" i="107"/>
  <c r="L19" i="107"/>
  <c r="M19" i="107"/>
  <c r="N19" i="107"/>
  <c r="C20" i="107"/>
  <c r="D20" i="107"/>
  <c r="E20" i="107"/>
  <c r="F20" i="107"/>
  <c r="G20" i="107"/>
  <c r="H20" i="107"/>
  <c r="I20" i="107"/>
  <c r="J20" i="107"/>
  <c r="K20" i="107"/>
  <c r="L20" i="107"/>
  <c r="M20" i="107"/>
  <c r="N20" i="107"/>
  <c r="C21" i="107"/>
  <c r="D21" i="107"/>
  <c r="E21" i="107"/>
  <c r="F21" i="107"/>
  <c r="G21" i="107"/>
  <c r="H21" i="107"/>
  <c r="I21" i="107"/>
  <c r="J21" i="107"/>
  <c r="K21" i="107"/>
  <c r="L21" i="107"/>
  <c r="M21" i="107"/>
  <c r="N21" i="107"/>
  <c r="C22" i="107"/>
  <c r="D22" i="107"/>
  <c r="E22" i="107"/>
  <c r="F22" i="107"/>
  <c r="G22" i="107"/>
  <c r="H22" i="107"/>
  <c r="I22" i="107"/>
  <c r="J22" i="107"/>
  <c r="K22" i="107"/>
  <c r="L22" i="107"/>
  <c r="M22" i="107"/>
  <c r="N22" i="107"/>
  <c r="C23" i="107"/>
  <c r="D23" i="107"/>
  <c r="E23" i="107"/>
  <c r="F23" i="107"/>
  <c r="G23" i="107"/>
  <c r="H23" i="107"/>
  <c r="I23" i="107"/>
  <c r="J23" i="107"/>
  <c r="K23" i="107"/>
  <c r="L23" i="107"/>
  <c r="M23" i="107"/>
  <c r="N23" i="107"/>
  <c r="C24" i="107"/>
  <c r="D24" i="107"/>
  <c r="E24" i="107"/>
  <c r="F24" i="107"/>
  <c r="G24" i="107"/>
  <c r="H24" i="107"/>
  <c r="I24" i="107"/>
  <c r="J24" i="107"/>
  <c r="K24" i="107"/>
  <c r="L24" i="107"/>
  <c r="M24" i="107"/>
  <c r="N24" i="107"/>
  <c r="C25" i="107"/>
  <c r="D25" i="107"/>
  <c r="E25" i="107"/>
  <c r="F25" i="107"/>
  <c r="G25" i="107"/>
  <c r="H25" i="107"/>
  <c r="I25" i="107"/>
  <c r="J25" i="107"/>
  <c r="K25" i="107"/>
  <c r="L25" i="107"/>
  <c r="M25" i="107"/>
  <c r="N25" i="107"/>
  <c r="C26" i="107"/>
  <c r="D26" i="107"/>
  <c r="E26" i="107"/>
  <c r="F26" i="107"/>
  <c r="G26" i="107"/>
  <c r="H26" i="107"/>
  <c r="I26" i="107"/>
  <c r="J26" i="107"/>
  <c r="K26" i="107"/>
  <c r="L26" i="107"/>
  <c r="M26" i="107"/>
  <c r="N26" i="107"/>
  <c r="C27" i="107"/>
  <c r="D27" i="107"/>
  <c r="E27" i="107"/>
  <c r="F27" i="107"/>
  <c r="G27" i="107"/>
  <c r="H27" i="107"/>
  <c r="I27" i="107"/>
  <c r="J27" i="107"/>
  <c r="K27" i="107"/>
  <c r="L27" i="107"/>
  <c r="M27" i="107"/>
  <c r="N27" i="107"/>
  <c r="C28" i="107"/>
  <c r="D28" i="107"/>
  <c r="E28" i="107"/>
  <c r="F28" i="107"/>
  <c r="G28" i="107"/>
  <c r="H28" i="107"/>
  <c r="I28" i="107"/>
  <c r="J28" i="107"/>
  <c r="K28" i="107"/>
  <c r="L28" i="107"/>
  <c r="M28" i="107"/>
  <c r="N28" i="107"/>
  <c r="C29" i="107"/>
  <c r="D29" i="107"/>
  <c r="E29" i="107"/>
  <c r="F29" i="107"/>
  <c r="G29" i="107"/>
  <c r="H29" i="107"/>
  <c r="I29" i="107"/>
  <c r="J29" i="107"/>
  <c r="K29" i="107"/>
  <c r="L29" i="107"/>
  <c r="M29" i="107"/>
  <c r="N29" i="107"/>
  <c r="C30" i="107"/>
  <c r="D30" i="107"/>
  <c r="E30" i="107"/>
  <c r="F30" i="107"/>
  <c r="G30" i="107"/>
  <c r="H30" i="107"/>
  <c r="I30" i="107"/>
  <c r="J30" i="107"/>
  <c r="K30" i="107"/>
  <c r="L30" i="107"/>
  <c r="M30" i="107"/>
  <c r="N30" i="107"/>
  <c r="C31" i="107"/>
  <c r="D31" i="107"/>
  <c r="E31" i="107"/>
  <c r="F31" i="107"/>
  <c r="G31" i="107"/>
  <c r="H31" i="107"/>
  <c r="I31" i="107"/>
  <c r="J31" i="107"/>
  <c r="K31" i="107"/>
  <c r="L31" i="107"/>
  <c r="M31" i="107"/>
  <c r="N31" i="107"/>
  <c r="C32" i="107"/>
  <c r="D32" i="107"/>
  <c r="E32" i="107"/>
  <c r="F32" i="107"/>
  <c r="G32" i="107"/>
  <c r="H32" i="107"/>
  <c r="I32" i="107"/>
  <c r="J32" i="107"/>
  <c r="K32" i="107"/>
  <c r="L32" i="107"/>
  <c r="M32" i="107"/>
  <c r="N32" i="107"/>
  <c r="C33" i="107"/>
  <c r="D33" i="107"/>
  <c r="E33" i="107"/>
  <c r="F33" i="107"/>
  <c r="G33" i="107"/>
  <c r="H33" i="107"/>
  <c r="I33" i="107"/>
  <c r="J33" i="107"/>
  <c r="K33" i="107"/>
  <c r="L33" i="107"/>
  <c r="M33" i="107"/>
  <c r="N33" i="107"/>
  <c r="C34" i="107"/>
  <c r="D34" i="107"/>
  <c r="E34" i="107"/>
  <c r="F34" i="107"/>
  <c r="G34" i="107"/>
  <c r="H34" i="107"/>
  <c r="I34" i="107"/>
  <c r="J34" i="107"/>
  <c r="K34" i="107"/>
  <c r="L34" i="107"/>
  <c r="M34" i="107"/>
  <c r="N34" i="107"/>
  <c r="C35" i="107"/>
  <c r="D35" i="107"/>
  <c r="E35" i="107"/>
  <c r="F35" i="107"/>
  <c r="G35" i="107"/>
  <c r="H35" i="107"/>
  <c r="I35" i="107"/>
  <c r="J35" i="107"/>
  <c r="K35" i="107"/>
  <c r="L35" i="107"/>
  <c r="M35" i="107"/>
  <c r="N35" i="107"/>
  <c r="C36" i="107"/>
  <c r="D36" i="107"/>
  <c r="E36" i="107"/>
  <c r="F36" i="107"/>
  <c r="G36" i="107"/>
  <c r="H36" i="107"/>
  <c r="I36" i="107"/>
  <c r="J36" i="107"/>
  <c r="K36" i="107"/>
  <c r="L36" i="107"/>
  <c r="M36" i="107"/>
  <c r="N36" i="107"/>
  <c r="C37" i="107"/>
  <c r="D37" i="107"/>
  <c r="E37" i="107"/>
  <c r="F37" i="107"/>
  <c r="G37" i="107"/>
  <c r="H37" i="107"/>
  <c r="I37" i="107"/>
  <c r="J37" i="107"/>
  <c r="K37" i="107"/>
  <c r="L37" i="107"/>
  <c r="M37" i="107"/>
  <c r="N37" i="107"/>
  <c r="C38" i="107"/>
  <c r="D38" i="107"/>
  <c r="E38" i="107"/>
  <c r="F38" i="107"/>
  <c r="G38" i="107"/>
  <c r="H38" i="107"/>
  <c r="I38" i="107"/>
  <c r="J38" i="107"/>
  <c r="K38" i="107"/>
  <c r="L38" i="107"/>
  <c r="M38" i="107"/>
  <c r="N38" i="107"/>
  <c r="C39" i="107"/>
  <c r="D39" i="107"/>
  <c r="E39" i="107"/>
  <c r="F39" i="107"/>
  <c r="G39" i="107"/>
  <c r="H39" i="107"/>
  <c r="I39" i="107"/>
  <c r="J39" i="107"/>
  <c r="K39" i="107"/>
  <c r="L39" i="107"/>
  <c r="M39" i="107"/>
  <c r="N39" i="107"/>
  <c r="C40" i="107"/>
  <c r="D40" i="107"/>
  <c r="E40" i="107"/>
  <c r="F40" i="107"/>
  <c r="G40" i="107"/>
  <c r="H40" i="107"/>
  <c r="I40" i="107"/>
  <c r="J40" i="107"/>
  <c r="K40" i="107"/>
  <c r="L40" i="107"/>
  <c r="M40" i="107"/>
  <c r="N40" i="107"/>
  <c r="C41" i="107"/>
  <c r="D41" i="107"/>
  <c r="E41" i="107"/>
  <c r="F41" i="107"/>
  <c r="G41" i="107"/>
  <c r="H41" i="107"/>
  <c r="I41" i="107"/>
  <c r="J41" i="107"/>
  <c r="K41" i="107"/>
  <c r="L41" i="107"/>
  <c r="M41" i="107"/>
  <c r="N41" i="107"/>
  <c r="C42" i="107"/>
  <c r="D42" i="107"/>
  <c r="E42" i="107"/>
  <c r="F42" i="107"/>
  <c r="G42" i="107"/>
  <c r="H42" i="107"/>
  <c r="I42" i="107"/>
  <c r="J42" i="107"/>
  <c r="K42" i="107"/>
  <c r="L42" i="107"/>
  <c r="M42" i="107"/>
  <c r="N42" i="107"/>
  <c r="C43" i="107"/>
  <c r="D43" i="107"/>
  <c r="E43" i="107"/>
  <c r="F43" i="107"/>
  <c r="G43" i="107"/>
  <c r="H43" i="107"/>
  <c r="I43" i="107"/>
  <c r="J43" i="107"/>
  <c r="K43" i="107"/>
  <c r="L43" i="107"/>
  <c r="M43" i="107"/>
  <c r="N43" i="107"/>
  <c r="C44" i="107"/>
  <c r="D44" i="107"/>
  <c r="E44" i="107"/>
  <c r="F44" i="107"/>
  <c r="G44" i="107"/>
  <c r="H44" i="107"/>
  <c r="I44" i="107"/>
  <c r="J44" i="107"/>
  <c r="K44" i="107"/>
  <c r="L44" i="107"/>
  <c r="M44" i="107"/>
  <c r="N44" i="107"/>
  <c r="C45" i="107"/>
  <c r="D45" i="107"/>
  <c r="E45" i="107"/>
  <c r="F45" i="107"/>
  <c r="G45" i="107"/>
  <c r="H45" i="107"/>
  <c r="I45" i="107"/>
  <c r="J45" i="107"/>
  <c r="K45" i="107"/>
  <c r="L45" i="107"/>
  <c r="M45" i="107"/>
  <c r="N45" i="107"/>
  <c r="C46" i="107"/>
  <c r="D46" i="107"/>
  <c r="E46" i="107"/>
  <c r="F46" i="107"/>
  <c r="G46" i="107"/>
  <c r="H46" i="107"/>
  <c r="I46" i="107"/>
  <c r="J46" i="107"/>
  <c r="K46" i="107"/>
  <c r="L46" i="107"/>
  <c r="M46" i="107"/>
  <c r="N46" i="107"/>
  <c r="C47" i="107"/>
  <c r="D47" i="107"/>
  <c r="E47" i="107"/>
  <c r="F47" i="107"/>
  <c r="G47" i="107"/>
  <c r="H47" i="107"/>
  <c r="I47" i="107"/>
  <c r="J47" i="107"/>
  <c r="K47" i="107"/>
  <c r="L47" i="107"/>
  <c r="M47" i="107"/>
  <c r="N47" i="107"/>
  <c r="C48" i="107"/>
  <c r="D48" i="107"/>
  <c r="E48" i="107"/>
  <c r="F48" i="107"/>
  <c r="G48" i="107"/>
  <c r="H48" i="107"/>
  <c r="I48" i="107"/>
  <c r="J48" i="107"/>
  <c r="K48" i="107"/>
  <c r="L48" i="107"/>
  <c r="M48" i="107"/>
  <c r="N48" i="107"/>
  <c r="C49" i="107"/>
  <c r="D49" i="107"/>
  <c r="E49" i="107"/>
  <c r="F49" i="107"/>
  <c r="G49" i="107"/>
  <c r="H49" i="107"/>
  <c r="I49" i="107"/>
  <c r="J49" i="107"/>
  <c r="K49" i="107"/>
  <c r="L49" i="107"/>
  <c r="M49" i="107"/>
  <c r="N49" i="107"/>
  <c r="C50" i="107"/>
  <c r="D50" i="107"/>
  <c r="E50" i="107"/>
  <c r="F50" i="107"/>
  <c r="G50" i="107"/>
  <c r="H50" i="107"/>
  <c r="I50" i="107"/>
  <c r="J50" i="107"/>
  <c r="K50" i="107"/>
  <c r="L50" i="107"/>
  <c r="M50" i="107"/>
  <c r="N50" i="107"/>
  <c r="C51" i="107"/>
  <c r="D51" i="107"/>
  <c r="E51" i="107"/>
  <c r="F51" i="107"/>
  <c r="G51" i="107"/>
  <c r="H51" i="107"/>
  <c r="I51" i="107"/>
  <c r="J51" i="107"/>
  <c r="K51" i="107"/>
  <c r="L51" i="107"/>
  <c r="M51" i="107"/>
  <c r="N51" i="107"/>
  <c r="C52" i="107"/>
  <c r="D52" i="107"/>
  <c r="E52" i="107"/>
  <c r="F52" i="107"/>
  <c r="G52" i="107"/>
  <c r="H52" i="107"/>
  <c r="I52" i="107"/>
  <c r="J52" i="107"/>
  <c r="K52" i="107"/>
  <c r="L52" i="107"/>
  <c r="M52" i="107"/>
  <c r="N52" i="107"/>
  <c r="C53" i="107"/>
  <c r="D53" i="107"/>
  <c r="E53" i="107"/>
  <c r="F53" i="107"/>
  <c r="G53" i="107"/>
  <c r="H53" i="107"/>
  <c r="I53" i="107"/>
  <c r="J53" i="107"/>
  <c r="K53" i="107"/>
  <c r="L53" i="107"/>
  <c r="M53" i="107"/>
  <c r="N53" i="107"/>
  <c r="C54" i="107"/>
  <c r="D54" i="107"/>
  <c r="E54" i="107"/>
  <c r="F54" i="107"/>
  <c r="G54" i="107"/>
  <c r="H54" i="107"/>
  <c r="I54" i="107"/>
  <c r="J54" i="107"/>
  <c r="K54" i="107"/>
  <c r="L54" i="107"/>
  <c r="M54" i="107"/>
  <c r="N54" i="107"/>
  <c r="C55" i="107"/>
  <c r="D55" i="107"/>
  <c r="E55" i="107"/>
  <c r="F55" i="107"/>
  <c r="G55" i="107"/>
  <c r="H55" i="107"/>
  <c r="I55" i="107"/>
  <c r="J55" i="107"/>
  <c r="K55" i="107"/>
  <c r="L55" i="107"/>
  <c r="M55" i="107"/>
  <c r="N55" i="107"/>
  <c r="C56" i="107"/>
  <c r="D56" i="107"/>
  <c r="E56" i="107"/>
  <c r="F56" i="107"/>
  <c r="G56" i="107"/>
  <c r="H56" i="107"/>
  <c r="I56" i="107"/>
  <c r="J56" i="107"/>
  <c r="K56" i="107"/>
  <c r="L56" i="107"/>
  <c r="M56" i="107"/>
  <c r="N56" i="107"/>
  <c r="C57" i="107"/>
  <c r="D57" i="107"/>
  <c r="E57" i="107"/>
  <c r="F57" i="107"/>
  <c r="G57" i="107"/>
  <c r="H57" i="107"/>
  <c r="I57" i="107"/>
  <c r="J57" i="107"/>
  <c r="K57" i="107"/>
  <c r="L57" i="107"/>
  <c r="M57" i="107"/>
  <c r="N57" i="107"/>
  <c r="D10" i="107"/>
  <c r="E10" i="107"/>
  <c r="F10" i="107"/>
  <c r="G10" i="107"/>
  <c r="H10" i="107"/>
  <c r="I10" i="107"/>
  <c r="J10" i="107"/>
  <c r="K10" i="107"/>
  <c r="L10" i="107"/>
  <c r="M10" i="107"/>
  <c r="N10" i="107"/>
  <c r="C10" i="107"/>
  <c r="U38" i="109" l="1"/>
  <c r="AB26" i="98"/>
  <c r="AF25" i="101"/>
  <c r="AF28" i="101"/>
  <c r="Y38" i="105"/>
  <c r="AB23" i="96"/>
  <c r="AC26" i="95"/>
  <c r="T23" i="96"/>
  <c r="W27" i="96"/>
  <c r="T23" i="98"/>
  <c r="Z24" i="98"/>
  <c r="V35" i="101"/>
  <c r="U36" i="105"/>
  <c r="Y26" i="95"/>
  <c r="AB24" i="99"/>
  <c r="V26" i="97"/>
  <c r="Y26" i="96"/>
  <c r="U27" i="94"/>
  <c r="AC27" i="95"/>
  <c r="AD23" i="98"/>
  <c r="AB39" i="109"/>
  <c r="S24" i="94"/>
  <c r="W27" i="95"/>
  <c r="W24" i="95"/>
  <c r="AB24" i="98"/>
  <c r="W26" i="96"/>
  <c r="AC26" i="97"/>
  <c r="AC23" i="97"/>
  <c r="AC24" i="94"/>
  <c r="Y24" i="94"/>
  <c r="S27" i="94"/>
  <c r="AA38" i="110"/>
  <c r="W24" i="94"/>
  <c r="W27" i="94"/>
  <c r="S26" i="94"/>
  <c r="U23" i="97"/>
  <c r="AA27" i="94"/>
  <c r="U27" i="95"/>
  <c r="U24" i="95"/>
  <c r="X22" i="100"/>
  <c r="AC26" i="96"/>
  <c r="AA35" i="110"/>
  <c r="W35" i="110"/>
  <c r="Z39" i="110"/>
  <c r="AD38" i="110"/>
  <c r="Z38" i="110"/>
  <c r="V38" i="110"/>
  <c r="X37" i="110"/>
  <c r="AD36" i="110"/>
  <c r="V36" i="110"/>
  <c r="AC35" i="109"/>
  <c r="AC38" i="110"/>
  <c r="T38" i="110"/>
  <c r="AC36" i="110"/>
  <c r="Y35" i="110"/>
  <c r="AC35" i="110"/>
  <c r="U35" i="110"/>
  <c r="U26" i="99"/>
  <c r="Y38" i="110"/>
  <c r="X36" i="110"/>
  <c r="X24" i="99"/>
  <c r="U23" i="99"/>
  <c r="S36" i="105"/>
  <c r="T38" i="109"/>
  <c r="AD38" i="109"/>
  <c r="Z38" i="109"/>
  <c r="Z35" i="110"/>
  <c r="AB38" i="110"/>
  <c r="X35" i="110"/>
  <c r="AB36" i="110"/>
  <c r="X34" i="110"/>
  <c r="W37" i="110"/>
  <c r="AA35" i="109"/>
  <c r="U36" i="110"/>
  <c r="V35" i="109"/>
  <c r="S41" i="110"/>
  <c r="AF32" i="110"/>
  <c r="S35" i="109"/>
  <c r="V24" i="98"/>
  <c r="X23" i="97"/>
  <c r="AD23" i="99"/>
  <c r="AB38" i="109"/>
  <c r="AD35" i="110"/>
  <c r="V35" i="110"/>
  <c r="AA40" i="110"/>
  <c r="Y36" i="110"/>
  <c r="S37" i="110"/>
  <c r="W40" i="110"/>
  <c r="AD36" i="109"/>
  <c r="Z39" i="109"/>
  <c r="S26" i="97"/>
  <c r="AF33" i="110"/>
  <c r="AF31" i="110"/>
  <c r="AB35" i="110"/>
  <c r="X38" i="110"/>
  <c r="AA41" i="110"/>
  <c r="AA42" i="110" s="1"/>
  <c r="W41" i="110"/>
  <c r="AF12" i="109"/>
  <c r="AE33" i="110"/>
  <c r="AE32" i="110"/>
  <c r="AE31" i="110"/>
  <c r="AE30" i="110"/>
  <c r="AE29" i="110"/>
  <c r="AE28" i="110"/>
  <c r="AE27" i="110"/>
  <c r="AE26" i="110"/>
  <c r="AE25" i="110"/>
  <c r="AE24" i="110"/>
  <c r="AE23" i="110"/>
  <c r="AE22" i="110"/>
  <c r="AE21" i="110"/>
  <c r="AE20" i="110"/>
  <c r="AE19" i="110"/>
  <c r="AA37" i="110"/>
  <c r="AD39" i="109"/>
  <c r="Z36" i="109"/>
  <c r="V36" i="109"/>
  <c r="AC38" i="109"/>
  <c r="U35" i="109"/>
  <c r="AD39" i="110"/>
  <c r="Z36" i="110"/>
  <c r="V39" i="110"/>
  <c r="S40" i="110"/>
  <c r="S42" i="110" s="1"/>
  <c r="V38" i="109"/>
  <c r="X35" i="109"/>
  <c r="AA34" i="110"/>
  <c r="W34" i="110"/>
  <c r="S34" i="110"/>
  <c r="AF30" i="110"/>
  <c r="AB39" i="110"/>
  <c r="X40" i="110"/>
  <c r="AF15" i="110"/>
  <c r="AF14" i="110"/>
  <c r="AF13" i="110"/>
  <c r="Z35" i="109"/>
  <c r="AD35" i="109"/>
  <c r="X34" i="109"/>
  <c r="T35" i="110"/>
  <c r="Y38" i="109"/>
  <c r="AC39" i="110"/>
  <c r="U39" i="110"/>
  <c r="AF17" i="110"/>
  <c r="AF16" i="110"/>
  <c r="Z38" i="101"/>
  <c r="Y35" i="109"/>
  <c r="X39" i="110"/>
  <c r="AF11" i="110"/>
  <c r="Y39" i="110"/>
  <c r="AF12" i="110"/>
  <c r="AA38" i="109"/>
  <c r="W38" i="109"/>
  <c r="AF29" i="110"/>
  <c r="AF28" i="110"/>
  <c r="AF27" i="110"/>
  <c r="AF26" i="110"/>
  <c r="AF25" i="110"/>
  <c r="AF24" i="110"/>
  <c r="AF23" i="110"/>
  <c r="AF22" i="110"/>
  <c r="AF18" i="110"/>
  <c r="AF30" i="109"/>
  <c r="X39" i="109"/>
  <c r="X37" i="109"/>
  <c r="X41" i="110"/>
  <c r="AF21" i="110"/>
  <c r="AF20" i="110"/>
  <c r="AF19" i="110"/>
  <c r="AF15" i="109"/>
  <c r="AF14" i="109"/>
  <c r="AF13" i="109"/>
  <c r="AE18" i="110"/>
  <c r="AE17" i="110"/>
  <c r="T39" i="110"/>
  <c r="T36" i="110"/>
  <c r="AD41" i="110"/>
  <c r="AD40" i="110"/>
  <c r="AD37" i="110"/>
  <c r="AD34" i="110"/>
  <c r="Z41" i="110"/>
  <c r="Z40" i="110"/>
  <c r="Z37" i="110"/>
  <c r="Z34" i="110"/>
  <c r="AF17" i="109"/>
  <c r="AF16" i="109"/>
  <c r="AE11" i="110"/>
  <c r="Y41" i="110"/>
  <c r="Y40" i="110"/>
  <c r="Y37" i="110"/>
  <c r="Y34" i="110"/>
  <c r="O106" i="110"/>
  <c r="J108" i="110" s="1"/>
  <c r="AE10" i="110"/>
  <c r="AF10" i="110"/>
  <c r="P106" i="110"/>
  <c r="N107" i="110" s="1"/>
  <c r="T41" i="110"/>
  <c r="T40" i="110"/>
  <c r="T37" i="110"/>
  <c r="T34" i="110"/>
  <c r="AC27" i="99"/>
  <c r="W38" i="101"/>
  <c r="U35" i="101"/>
  <c r="V27" i="95"/>
  <c r="AE33" i="109"/>
  <c r="AE32" i="109"/>
  <c r="AE31" i="109"/>
  <c r="AE30" i="109"/>
  <c r="AE29" i="109"/>
  <c r="AF32" i="109"/>
  <c r="AB35" i="109"/>
  <c r="W35" i="109"/>
  <c r="AF11" i="109"/>
  <c r="S38" i="109"/>
  <c r="AE16" i="110"/>
  <c r="AB41" i="110"/>
  <c r="AB40" i="110"/>
  <c r="AB37" i="110"/>
  <c r="AB34" i="110"/>
  <c r="V41" i="110"/>
  <c r="V40" i="110"/>
  <c r="V37" i="110"/>
  <c r="V34" i="110"/>
  <c r="AE15" i="110"/>
  <c r="AE14" i="110"/>
  <c r="AE13" i="110"/>
  <c r="AE12" i="110"/>
  <c r="AC41" i="110"/>
  <c r="AC40" i="110"/>
  <c r="AC37" i="110"/>
  <c r="AC34" i="110"/>
  <c r="U41" i="110"/>
  <c r="U40" i="110"/>
  <c r="U37" i="110"/>
  <c r="U34" i="110"/>
  <c r="AB36" i="109"/>
  <c r="X36" i="109"/>
  <c r="X40" i="109"/>
  <c r="V23" i="97"/>
  <c r="AD38" i="105"/>
  <c r="AF33" i="109"/>
  <c r="AF31" i="109"/>
  <c r="X38" i="109"/>
  <c r="X41" i="109"/>
  <c r="X42" i="109" s="1"/>
  <c r="T35" i="109"/>
  <c r="AF29" i="109"/>
  <c r="AF28" i="109"/>
  <c r="AF27" i="109"/>
  <c r="AF26" i="109"/>
  <c r="AF25" i="109"/>
  <c r="AF24" i="109"/>
  <c r="AF23" i="109"/>
  <c r="AF22" i="109"/>
  <c r="AF18" i="109"/>
  <c r="AF21" i="109"/>
  <c r="AF20" i="109"/>
  <c r="AF19" i="109"/>
  <c r="T39" i="109"/>
  <c r="T36" i="109"/>
  <c r="AD41" i="109"/>
  <c r="AD40" i="109"/>
  <c r="AD37" i="109"/>
  <c r="AD34" i="109"/>
  <c r="Z41" i="109"/>
  <c r="Z40" i="109"/>
  <c r="Z37" i="109"/>
  <c r="Z34" i="109"/>
  <c r="T41" i="109"/>
  <c r="T40" i="109"/>
  <c r="T37" i="109"/>
  <c r="T34" i="109"/>
  <c r="AE15" i="109"/>
  <c r="AE14" i="109"/>
  <c r="AE13" i="109"/>
  <c r="AE12" i="109"/>
  <c r="AE11" i="109"/>
  <c r="AC41" i="109"/>
  <c r="AC40" i="109"/>
  <c r="AC37" i="109"/>
  <c r="AC34" i="109"/>
  <c r="Y41" i="109"/>
  <c r="Y40" i="109"/>
  <c r="Y37" i="109"/>
  <c r="Y34" i="109"/>
  <c r="U41" i="109"/>
  <c r="U40" i="109"/>
  <c r="U37" i="109"/>
  <c r="U34" i="109"/>
  <c r="O106" i="109"/>
  <c r="AE10" i="109"/>
  <c r="AE28" i="109"/>
  <c r="AE27" i="109"/>
  <c r="AE26" i="109"/>
  <c r="AE25" i="109"/>
  <c r="AE24" i="109"/>
  <c r="AE23" i="109"/>
  <c r="AE22" i="109"/>
  <c r="AE21" i="109"/>
  <c r="AE20" i="109"/>
  <c r="AE19" i="109"/>
  <c r="AE18" i="109"/>
  <c r="AE17" i="109"/>
  <c r="AE16" i="109"/>
  <c r="AB41" i="109"/>
  <c r="AB40" i="109"/>
  <c r="AB37" i="109"/>
  <c r="AB34" i="109"/>
  <c r="V41" i="109"/>
  <c r="V40" i="109"/>
  <c r="V37" i="109"/>
  <c r="V34" i="109"/>
  <c r="AF10" i="109"/>
  <c r="P106" i="109"/>
  <c r="J107" i="109" s="1"/>
  <c r="AA41" i="109"/>
  <c r="AA40" i="109"/>
  <c r="AA37" i="109"/>
  <c r="AA34" i="109"/>
  <c r="W41" i="109"/>
  <c r="W40" i="109"/>
  <c r="W37" i="109"/>
  <c r="W34" i="109"/>
  <c r="S41" i="109"/>
  <c r="S40" i="109"/>
  <c r="S37" i="109"/>
  <c r="S34" i="109"/>
  <c r="AA24" i="94"/>
  <c r="AC23" i="96"/>
  <c r="AB36" i="105"/>
  <c r="P16" i="108"/>
  <c r="O56" i="108"/>
  <c r="O11" i="108"/>
  <c r="O57" i="108"/>
  <c r="P40" i="108"/>
  <c r="O35" i="108"/>
  <c r="O10" i="108"/>
  <c r="AA26" i="94"/>
  <c r="P29" i="108"/>
  <c r="O16" i="108"/>
  <c r="P49" i="108"/>
  <c r="P22" i="108"/>
  <c r="O49" i="108"/>
  <c r="P43" i="108"/>
  <c r="O28" i="108"/>
  <c r="O36" i="108"/>
  <c r="O20" i="108"/>
  <c r="P57" i="108"/>
  <c r="P55" i="108"/>
  <c r="P52" i="108"/>
  <c r="P35" i="108"/>
  <c r="P21" i="108"/>
  <c r="O13" i="108"/>
  <c r="P12" i="108"/>
  <c r="O53" i="108"/>
  <c r="O48" i="108"/>
  <c r="P46" i="108"/>
  <c r="O38" i="108"/>
  <c r="P45" i="108"/>
  <c r="P38" i="108"/>
  <c r="P32" i="108"/>
  <c r="O30" i="108"/>
  <c r="O31" i="108"/>
  <c r="P24" i="108"/>
  <c r="P17" i="108"/>
  <c r="O14" i="108"/>
  <c r="O43" i="108"/>
  <c r="P56" i="108"/>
  <c r="O55" i="108"/>
  <c r="P53" i="108"/>
  <c r="P51" i="108"/>
  <c r="P48" i="108"/>
  <c r="O39" i="108"/>
  <c r="P37" i="108"/>
  <c r="P27" i="108"/>
  <c r="P13" i="108"/>
  <c r="O12" i="108"/>
  <c r="P11" i="108"/>
  <c r="P10" i="108"/>
  <c r="O52" i="108"/>
  <c r="P47" i="108"/>
  <c r="P26" i="108"/>
  <c r="U24" i="94"/>
  <c r="AC26" i="94"/>
  <c r="O51" i="108"/>
  <c r="O47" i="108"/>
  <c r="O26" i="108"/>
  <c r="O22" i="108"/>
  <c r="O18" i="108"/>
  <c r="P54" i="108"/>
  <c r="O50" i="108"/>
  <c r="O44" i="108"/>
  <c r="O46" i="108"/>
  <c r="O45" i="108"/>
  <c r="P41" i="108"/>
  <c r="P39" i="108"/>
  <c r="O37" i="108"/>
  <c r="O32" i="108"/>
  <c r="P30" i="108"/>
  <c r="P28" i="108"/>
  <c r="P25" i="108"/>
  <c r="P23" i="108"/>
  <c r="O21" i="108"/>
  <c r="P19" i="108"/>
  <c r="P44" i="108"/>
  <c r="O40" i="108"/>
  <c r="P36" i="108"/>
  <c r="P33" i="108"/>
  <c r="P31" i="108"/>
  <c r="O29" i="108"/>
  <c r="O27" i="108"/>
  <c r="O24" i="108"/>
  <c r="P20" i="108"/>
  <c r="O17" i="108"/>
  <c r="P15" i="108"/>
  <c r="P14" i="108"/>
  <c r="O41" i="108"/>
  <c r="O33" i="108"/>
  <c r="O25" i="108"/>
  <c r="O23" i="108"/>
  <c r="O19" i="108"/>
  <c r="O15" i="108"/>
  <c r="P50" i="108"/>
  <c r="P42" i="108"/>
  <c r="P34" i="108"/>
  <c r="O54" i="108"/>
  <c r="O42" i="108"/>
  <c r="O34" i="108"/>
  <c r="P18" i="108"/>
  <c r="Z38" i="105"/>
  <c r="V38" i="105"/>
  <c r="X38" i="105"/>
  <c r="O57" i="107"/>
  <c r="AC35" i="105"/>
  <c r="U38" i="105"/>
  <c r="O37" i="107"/>
  <c r="P36" i="107"/>
  <c r="P35" i="107"/>
  <c r="O32" i="107"/>
  <c r="P31" i="107"/>
  <c r="P28" i="107"/>
  <c r="O25" i="107"/>
  <c r="O19" i="107"/>
  <c r="P18" i="107"/>
  <c r="O17" i="107"/>
  <c r="O15" i="107"/>
  <c r="P14" i="107"/>
  <c r="P33" i="107"/>
  <c r="O33" i="107"/>
  <c r="O29" i="107"/>
  <c r="O27" i="107"/>
  <c r="P24" i="107"/>
  <c r="P22" i="107"/>
  <c r="O22" i="107"/>
  <c r="O20" i="107"/>
  <c r="O13" i="107"/>
  <c r="O11" i="107"/>
  <c r="P57" i="107"/>
  <c r="P56" i="107"/>
  <c r="O56" i="107"/>
  <c r="P55" i="107"/>
  <c r="O55" i="107"/>
  <c r="P54" i="107"/>
  <c r="O54" i="107"/>
  <c r="P53" i="107"/>
  <c r="O53" i="107"/>
  <c r="O52" i="107"/>
  <c r="P52" i="107"/>
  <c r="O51" i="107"/>
  <c r="P51" i="107"/>
  <c r="O50" i="107"/>
  <c r="P50" i="107"/>
  <c r="P49" i="107"/>
  <c r="O49" i="107"/>
  <c r="P48" i="107"/>
  <c r="O48" i="107"/>
  <c r="P47" i="107"/>
  <c r="O47" i="107"/>
  <c r="O46" i="107"/>
  <c r="P46" i="107"/>
  <c r="P45" i="107"/>
  <c r="O45" i="107"/>
  <c r="O44" i="107"/>
  <c r="P44" i="107"/>
  <c r="O43" i="107"/>
  <c r="P43" i="107"/>
  <c r="O42" i="107"/>
  <c r="P42" i="107"/>
  <c r="P41" i="107"/>
  <c r="O41" i="107"/>
  <c r="P40" i="107"/>
  <c r="P39" i="107"/>
  <c r="O38" i="107"/>
  <c r="P37" i="107"/>
  <c r="O36" i="107"/>
  <c r="O35" i="107"/>
  <c r="O34" i="107"/>
  <c r="P32" i="107"/>
  <c r="O31" i="107"/>
  <c r="P29" i="107"/>
  <c r="O28" i="107"/>
  <c r="P27" i="107"/>
  <c r="P25" i="107"/>
  <c r="O24" i="107"/>
  <c r="P23" i="107"/>
  <c r="P21" i="107"/>
  <c r="P17" i="107"/>
  <c r="O40" i="107"/>
  <c r="P20" i="107"/>
  <c r="P19" i="107"/>
  <c r="P16" i="107"/>
  <c r="P15" i="107"/>
  <c r="P13" i="107"/>
  <c r="P12" i="107"/>
  <c r="P11" i="107"/>
  <c r="O39" i="107"/>
  <c r="O26" i="107"/>
  <c r="O23" i="107"/>
  <c r="O21" i="107"/>
  <c r="O18" i="107"/>
  <c r="O16" i="107"/>
  <c r="O14" i="107"/>
  <c r="O12" i="107"/>
  <c r="P26" i="107"/>
  <c r="P38" i="107"/>
  <c r="P30" i="107"/>
  <c r="P34" i="107"/>
  <c r="O30" i="107"/>
  <c r="AB38" i="105"/>
  <c r="T38" i="105"/>
  <c r="P10" i="107"/>
  <c r="O10" i="107"/>
  <c r="X35" i="105"/>
  <c r="AC23" i="95"/>
  <c r="U23" i="96"/>
  <c r="AA35" i="105"/>
  <c r="AD26" i="98"/>
  <c r="U35" i="105"/>
  <c r="AB35" i="105"/>
  <c r="T35" i="105"/>
  <c r="AE12" i="105"/>
  <c r="AF33" i="105"/>
  <c r="AF31" i="105"/>
  <c r="AF13" i="105"/>
  <c r="AC38" i="105"/>
  <c r="AA38" i="105"/>
  <c r="W38" i="105"/>
  <c r="W35" i="105"/>
  <c r="S35" i="105"/>
  <c r="AF11" i="105"/>
  <c r="AF32" i="105"/>
  <c r="Y35" i="105"/>
  <c r="AF15" i="105"/>
  <c r="AF30" i="105"/>
  <c r="AF29" i="105"/>
  <c r="AF28" i="105"/>
  <c r="AF27" i="105"/>
  <c r="AF26" i="105"/>
  <c r="AF25" i="105"/>
  <c r="AF24" i="105"/>
  <c r="AF23" i="105"/>
  <c r="AF22" i="105"/>
  <c r="AF21" i="105"/>
  <c r="AF20" i="105"/>
  <c r="AF19" i="105"/>
  <c r="AF18" i="105"/>
  <c r="AF17" i="105"/>
  <c r="AF16" i="105"/>
  <c r="AF14" i="105"/>
  <c r="AD35" i="105"/>
  <c r="Z35" i="105"/>
  <c r="V35" i="105"/>
  <c r="AF12" i="105"/>
  <c r="AD41" i="105"/>
  <c r="AD40" i="105"/>
  <c r="AD37" i="105"/>
  <c r="AD34" i="105"/>
  <c r="Z41" i="105"/>
  <c r="Z40" i="105"/>
  <c r="Z37" i="105"/>
  <c r="Z34" i="105"/>
  <c r="AE28" i="105"/>
  <c r="AE27" i="105"/>
  <c r="AE26" i="105"/>
  <c r="AE25" i="105"/>
  <c r="AE24" i="105"/>
  <c r="AE23" i="105"/>
  <c r="AE22" i="105"/>
  <c r="AE21" i="105"/>
  <c r="AE20" i="105"/>
  <c r="AE19" i="105"/>
  <c r="AE18" i="105"/>
  <c r="AE17" i="105"/>
  <c r="AE16" i="105"/>
  <c r="AE15" i="105"/>
  <c r="AE14" i="105"/>
  <c r="AE13" i="105"/>
  <c r="AE11" i="105"/>
  <c r="AC41" i="105"/>
  <c r="AC40" i="105"/>
  <c r="AC37" i="105"/>
  <c r="AC34" i="105"/>
  <c r="Y41" i="105"/>
  <c r="Y40" i="105"/>
  <c r="Y37" i="105"/>
  <c r="Y34" i="105"/>
  <c r="W41" i="105"/>
  <c r="W40" i="105"/>
  <c r="W37" i="105"/>
  <c r="W34" i="105"/>
  <c r="U41" i="105"/>
  <c r="U40" i="105"/>
  <c r="U37" i="105"/>
  <c r="U34" i="105"/>
  <c r="O106" i="105"/>
  <c r="G108" i="105" s="1"/>
  <c r="AE10" i="105"/>
  <c r="P106" i="105"/>
  <c r="G107" i="105" s="1"/>
  <c r="AF10" i="105"/>
  <c r="V41" i="105"/>
  <c r="V40" i="105"/>
  <c r="V37" i="105"/>
  <c r="V34" i="105"/>
  <c r="T41" i="105"/>
  <c r="T40" i="105"/>
  <c r="T37" i="105"/>
  <c r="T34" i="105"/>
  <c r="AE33" i="105"/>
  <c r="AE32" i="105"/>
  <c r="AE31" i="105"/>
  <c r="AE30" i="105"/>
  <c r="AE29" i="105"/>
  <c r="AB41" i="105"/>
  <c r="AB40" i="105"/>
  <c r="AB37" i="105"/>
  <c r="AB34" i="105"/>
  <c r="X41" i="105"/>
  <c r="X40" i="105"/>
  <c r="X37" i="105"/>
  <c r="X34" i="105"/>
  <c r="AA41" i="105"/>
  <c r="AA40" i="105"/>
  <c r="AA37" i="105"/>
  <c r="AA34" i="105"/>
  <c r="S41" i="105"/>
  <c r="S40" i="105"/>
  <c r="S37" i="105"/>
  <c r="S34" i="105"/>
  <c r="AD24" i="98"/>
  <c r="AC26" i="98"/>
  <c r="AA23" i="100"/>
  <c r="O106" i="101"/>
  <c r="C108" i="101" s="1"/>
  <c r="Y24" i="99"/>
  <c r="P106" i="101"/>
  <c r="U26" i="96"/>
  <c r="AB23" i="97"/>
  <c r="W26" i="99"/>
  <c r="U26" i="94"/>
  <c r="V26" i="98"/>
  <c r="U23" i="95"/>
  <c r="V41" i="101"/>
  <c r="AB41" i="101"/>
  <c r="X41" i="101"/>
  <c r="T41" i="101"/>
  <c r="W41" i="101"/>
  <c r="AC41" i="101"/>
  <c r="U41" i="101"/>
  <c r="AD41" i="101"/>
  <c r="Z41" i="101"/>
  <c r="AA41" i="101"/>
  <c r="Y41" i="101"/>
  <c r="S41" i="101"/>
  <c r="AE30" i="101"/>
  <c r="AE31" i="101"/>
  <c r="AE32" i="101"/>
  <c r="AE33" i="101"/>
  <c r="AF22" i="101"/>
  <c r="AF23" i="101"/>
  <c r="AF24" i="101"/>
  <c r="AF26" i="101"/>
  <c r="AF27" i="101"/>
  <c r="AF29" i="101"/>
  <c r="AF30" i="101"/>
  <c r="AF31" i="101"/>
  <c r="AE22" i="101"/>
  <c r="AE23" i="101"/>
  <c r="AE24" i="101"/>
  <c r="AE25" i="101"/>
  <c r="AE26" i="101"/>
  <c r="AE27" i="101"/>
  <c r="AE28" i="101"/>
  <c r="AE29" i="101"/>
  <c r="AB23" i="95"/>
  <c r="Y24" i="100"/>
  <c r="AB26" i="95"/>
  <c r="Z24" i="95"/>
  <c r="V23" i="99"/>
  <c r="V23" i="98"/>
  <c r="Z27" i="98"/>
  <c r="T24" i="98"/>
  <c r="Y27" i="94"/>
  <c r="Y23" i="96"/>
  <c r="Y26" i="94"/>
  <c r="Y23" i="95"/>
  <c r="AF13" i="104"/>
  <c r="W23" i="96"/>
  <c r="AA26" i="96"/>
  <c r="Y26" i="97"/>
  <c r="AD26" i="96"/>
  <c r="AC23" i="94"/>
  <c r="W27" i="98"/>
  <c r="V24" i="95"/>
  <c r="Y27" i="96"/>
  <c r="Z23" i="95"/>
  <c r="AC27" i="94"/>
  <c r="AA23" i="94"/>
  <c r="X26" i="95"/>
  <c r="X38" i="101"/>
  <c r="Y23" i="94"/>
  <c r="Y38" i="101"/>
  <c r="W26" i="94"/>
  <c r="X35" i="101"/>
  <c r="AB38" i="101"/>
  <c r="T38" i="101"/>
  <c r="AB35" i="101"/>
  <c r="T35" i="101"/>
  <c r="U23" i="94"/>
  <c r="AC24" i="104"/>
  <c r="W28" i="104"/>
  <c r="V23" i="95"/>
  <c r="W23" i="104"/>
  <c r="X25" i="104"/>
  <c r="S24" i="104"/>
  <c r="AB25" i="104"/>
  <c r="W23" i="94"/>
  <c r="U24" i="104"/>
  <c r="AC23" i="104"/>
  <c r="S25" i="104"/>
  <c r="AA26" i="103"/>
  <c r="Y26" i="103"/>
  <c r="W25" i="104"/>
  <c r="W27" i="104"/>
  <c r="W26" i="104"/>
  <c r="AC27" i="104"/>
  <c r="U23" i="104"/>
  <c r="AF16" i="103"/>
  <c r="AC26" i="103"/>
  <c r="U26" i="103"/>
  <c r="AF12" i="104"/>
  <c r="AA28" i="104"/>
  <c r="AF11" i="104"/>
  <c r="AB22" i="104"/>
  <c r="T22" i="104"/>
  <c r="AB23" i="103"/>
  <c r="T23" i="103"/>
  <c r="W24" i="104"/>
  <c r="X22" i="104"/>
  <c r="AA38" i="101"/>
  <c r="T25" i="104"/>
  <c r="W22" i="104"/>
  <c r="S28" i="104"/>
  <c r="AA25" i="104"/>
  <c r="S27" i="104"/>
  <c r="Y27" i="104"/>
  <c r="W26" i="103"/>
  <c r="AC38" i="101"/>
  <c r="Y35" i="101"/>
  <c r="U38" i="101"/>
  <c r="AF18" i="104"/>
  <c r="AA22" i="104"/>
  <c r="S22" i="104"/>
  <c r="AC26" i="104"/>
  <c r="U26" i="104"/>
  <c r="Y23" i="103"/>
  <c r="U23" i="103"/>
  <c r="AF14" i="103"/>
  <c r="S26" i="104"/>
  <c r="AC23" i="103"/>
  <c r="AF15" i="103"/>
  <c r="AA23" i="103"/>
  <c r="W23" i="103"/>
  <c r="AF20" i="104"/>
  <c r="AF16" i="104"/>
  <c r="Y23" i="100"/>
  <c r="AE15" i="103"/>
  <c r="AF21" i="104"/>
  <c r="AF19" i="104"/>
  <c r="Y24" i="104"/>
  <c r="AF17" i="104"/>
  <c r="AF15" i="104"/>
  <c r="Y26" i="104"/>
  <c r="AD23" i="104"/>
  <c r="Z26" i="104"/>
  <c r="V23" i="104"/>
  <c r="Z23" i="104"/>
  <c r="AF13" i="103"/>
  <c r="AF12" i="103"/>
  <c r="AF11" i="103"/>
  <c r="W28" i="100"/>
  <c r="AB26" i="99"/>
  <c r="T26" i="99"/>
  <c r="AF13" i="100"/>
  <c r="Z35" i="101"/>
  <c r="AB23" i="104"/>
  <c r="X26" i="104"/>
  <c r="T28" i="104"/>
  <c r="Y23" i="104"/>
  <c r="AF14" i="104"/>
  <c r="AD26" i="104"/>
  <c r="V26" i="104"/>
  <c r="S23" i="104"/>
  <c r="AF17" i="103"/>
  <c r="AF21" i="103"/>
  <c r="AF20" i="103"/>
  <c r="AF19" i="103"/>
  <c r="AF18" i="103"/>
  <c r="U27" i="104"/>
  <c r="Z28" i="104"/>
  <c r="Z25" i="104"/>
  <c r="Z22" i="104"/>
  <c r="AB27" i="104"/>
  <c r="AB24" i="104"/>
  <c r="X27" i="104"/>
  <c r="X24" i="104"/>
  <c r="T24" i="104"/>
  <c r="T27" i="104"/>
  <c r="AE13" i="104"/>
  <c r="Y28" i="104"/>
  <c r="Y25" i="104"/>
  <c r="Y22" i="104"/>
  <c r="O58" i="104"/>
  <c r="L60" i="104" s="1"/>
  <c r="AE10" i="104"/>
  <c r="AF10" i="104"/>
  <c r="P58" i="104"/>
  <c r="L59" i="104" s="1"/>
  <c r="AD28" i="103"/>
  <c r="AD25" i="103"/>
  <c r="AD22" i="103"/>
  <c r="Z28" i="103"/>
  <c r="Z25" i="103"/>
  <c r="Z22" i="103"/>
  <c r="V28" i="103"/>
  <c r="V25" i="103"/>
  <c r="V22" i="103"/>
  <c r="X28" i="104"/>
  <c r="X23" i="104"/>
  <c r="AE21" i="103"/>
  <c r="AE20" i="103"/>
  <c r="AE19" i="103"/>
  <c r="AE18" i="103"/>
  <c r="AE17" i="103"/>
  <c r="S26" i="103"/>
  <c r="S23" i="103"/>
  <c r="W28" i="103"/>
  <c r="W25" i="103"/>
  <c r="W22" i="103"/>
  <c r="Y28" i="103"/>
  <c r="Y25" i="103"/>
  <c r="Y22" i="103"/>
  <c r="O58" i="103"/>
  <c r="C60" i="103" s="1"/>
  <c r="AE10" i="103"/>
  <c r="AC26" i="99"/>
  <c r="AE21" i="104"/>
  <c r="AE20" i="104"/>
  <c r="AE19" i="104"/>
  <c r="AE18" i="104"/>
  <c r="AE17" i="104"/>
  <c r="AE16" i="104"/>
  <c r="AE15" i="104"/>
  <c r="AE14" i="104"/>
  <c r="AD28" i="104"/>
  <c r="AD25" i="104"/>
  <c r="AD22" i="104"/>
  <c r="V28" i="104"/>
  <c r="V25" i="104"/>
  <c r="V22" i="104"/>
  <c r="AD27" i="104"/>
  <c r="AD24" i="104"/>
  <c r="Z27" i="104"/>
  <c r="Z24" i="104"/>
  <c r="V27" i="104"/>
  <c r="V24" i="104"/>
  <c r="AB28" i="104"/>
  <c r="AB26" i="104"/>
  <c r="AE12" i="104"/>
  <c r="AE11" i="104"/>
  <c r="AC28" i="104"/>
  <c r="AC25" i="104"/>
  <c r="AC22" i="104"/>
  <c r="U28" i="104"/>
  <c r="U25" i="104"/>
  <c r="U22" i="104"/>
  <c r="AB28" i="103"/>
  <c r="AB25" i="103"/>
  <c r="AB22" i="103"/>
  <c r="X28" i="103"/>
  <c r="X25" i="103"/>
  <c r="X22" i="103"/>
  <c r="T28" i="103"/>
  <c r="T25" i="103"/>
  <c r="T22" i="103"/>
  <c r="T23" i="104"/>
  <c r="T26" i="104"/>
  <c r="AE16" i="103"/>
  <c r="AA28" i="103"/>
  <c r="AA25" i="103"/>
  <c r="AA22" i="103"/>
  <c r="S28" i="103"/>
  <c r="S25" i="103"/>
  <c r="S22" i="103"/>
  <c r="AE14" i="103"/>
  <c r="AE13" i="103"/>
  <c r="AE12" i="103"/>
  <c r="AE11" i="103"/>
  <c r="AC28" i="103"/>
  <c r="AC25" i="103"/>
  <c r="AC22" i="103"/>
  <c r="U28" i="103"/>
  <c r="U25" i="103"/>
  <c r="U22" i="103"/>
  <c r="P58" i="103"/>
  <c r="AF10" i="103"/>
  <c r="AC24" i="100"/>
  <c r="U24" i="100"/>
  <c r="AC23" i="100"/>
  <c r="U23" i="100"/>
  <c r="T25" i="100"/>
  <c r="AB23" i="99"/>
  <c r="T23" i="99"/>
  <c r="AA22" i="100"/>
  <c r="X26" i="99"/>
  <c r="W27" i="100"/>
  <c r="AF15" i="101"/>
  <c r="AF14" i="101"/>
  <c r="AF13" i="101"/>
  <c r="AF12" i="101"/>
  <c r="AF11" i="101"/>
  <c r="X23" i="99"/>
  <c r="X25" i="100"/>
  <c r="AA25" i="100"/>
  <c r="S24" i="100"/>
  <c r="AF21" i="101"/>
  <c r="AF20" i="101"/>
  <c r="AF19" i="101"/>
  <c r="AF18" i="101"/>
  <c r="AF17" i="101"/>
  <c r="AF16" i="101"/>
  <c r="AB40" i="101"/>
  <c r="AB37" i="101"/>
  <c r="AB34" i="101"/>
  <c r="X40" i="101"/>
  <c r="X37" i="101"/>
  <c r="X34" i="101"/>
  <c r="T40" i="101"/>
  <c r="T37" i="101"/>
  <c r="T34" i="101"/>
  <c r="AE21" i="101"/>
  <c r="AE20" i="101"/>
  <c r="AE19" i="101"/>
  <c r="AE18" i="101"/>
  <c r="AE17" i="101"/>
  <c r="AE16" i="101"/>
  <c r="AE15" i="101"/>
  <c r="S38" i="101"/>
  <c r="S35" i="101"/>
  <c r="W40" i="101"/>
  <c r="W37" i="101"/>
  <c r="W34" i="101"/>
  <c r="AE14" i="101"/>
  <c r="AE13" i="101"/>
  <c r="AE12" i="101"/>
  <c r="AE11" i="101"/>
  <c r="AC40" i="101"/>
  <c r="AC37" i="101"/>
  <c r="AC34" i="101"/>
  <c r="U40" i="101"/>
  <c r="U37" i="101"/>
  <c r="U34" i="101"/>
  <c r="AF10" i="101"/>
  <c r="S23" i="98"/>
  <c r="Z23" i="99"/>
  <c r="Y23" i="99"/>
  <c r="S22" i="100"/>
  <c r="W26" i="100"/>
  <c r="AD40" i="101"/>
  <c r="AD37" i="101"/>
  <c r="AD34" i="101"/>
  <c r="Z40" i="101"/>
  <c r="Z37" i="101"/>
  <c r="Z34" i="101"/>
  <c r="V40" i="101"/>
  <c r="V37" i="101"/>
  <c r="V34" i="101"/>
  <c r="AA40" i="101"/>
  <c r="AA37" i="101"/>
  <c r="AA34" i="101"/>
  <c r="S40" i="101"/>
  <c r="S37" i="101"/>
  <c r="S34" i="101"/>
  <c r="Y40" i="101"/>
  <c r="Y37" i="101"/>
  <c r="Y34" i="101"/>
  <c r="AE10" i="101"/>
  <c r="AE12" i="97"/>
  <c r="Y27" i="100"/>
  <c r="Y26" i="100"/>
  <c r="AF13" i="96"/>
  <c r="AE19" i="96"/>
  <c r="AE17" i="96"/>
  <c r="AE15" i="96"/>
  <c r="S23" i="96"/>
  <c r="T25" i="94"/>
  <c r="AE18" i="96"/>
  <c r="S23" i="97"/>
  <c r="AB25" i="100"/>
  <c r="W23" i="100"/>
  <c r="AA28" i="100"/>
  <c r="AA23" i="99"/>
  <c r="W23" i="99"/>
  <c r="AF12" i="100"/>
  <c r="W25" i="100"/>
  <c r="S28" i="100"/>
  <c r="AF11" i="100"/>
  <c r="W24" i="100"/>
  <c r="S23" i="100"/>
  <c r="X25" i="94"/>
  <c r="S26" i="100"/>
  <c r="AE16" i="96"/>
  <c r="AE21" i="96"/>
  <c r="AF11" i="98"/>
  <c r="AE18" i="97"/>
  <c r="AE19" i="98"/>
  <c r="AE21" i="100"/>
  <c r="AE20" i="100"/>
  <c r="AE19" i="100"/>
  <c r="AE18" i="100"/>
  <c r="AE17" i="100"/>
  <c r="AE16" i="100"/>
  <c r="AE15" i="100"/>
  <c r="AF20" i="100"/>
  <c r="AF18" i="100"/>
  <c r="AF16" i="100"/>
  <c r="AB23" i="100"/>
  <c r="W22" i="100"/>
  <c r="AC27" i="100"/>
  <c r="AC26" i="100"/>
  <c r="U26" i="100"/>
  <c r="S27" i="100"/>
  <c r="S25" i="100"/>
  <c r="AF14" i="99"/>
  <c r="AE20" i="96"/>
  <c r="AE14" i="96"/>
  <c r="S23" i="95"/>
  <c r="S25" i="94"/>
  <c r="X23" i="100"/>
  <c r="AB28" i="100"/>
  <c r="AF21" i="99"/>
  <c r="AF20" i="99"/>
  <c r="AF19" i="99"/>
  <c r="AF18" i="99"/>
  <c r="AF17" i="99"/>
  <c r="U27" i="100"/>
  <c r="AF16" i="99"/>
  <c r="AF15" i="99"/>
  <c r="AF13" i="99"/>
  <c r="AF12" i="99"/>
  <c r="AF11" i="99"/>
  <c r="AE15" i="98"/>
  <c r="AF13" i="94"/>
  <c r="S23" i="94"/>
  <c r="X22" i="94"/>
  <c r="AE21" i="98"/>
  <c r="AE18" i="98"/>
  <c r="AE16" i="98"/>
  <c r="AE14" i="98"/>
  <c r="AF21" i="100"/>
  <c r="AF19" i="100"/>
  <c r="AF17" i="100"/>
  <c r="AD26" i="100"/>
  <c r="Z23" i="100"/>
  <c r="V26" i="100"/>
  <c r="AF15" i="100"/>
  <c r="AB26" i="100"/>
  <c r="X26" i="100"/>
  <c r="AF14" i="100"/>
  <c r="AE20" i="98"/>
  <c r="AE24" i="98" s="1"/>
  <c r="AE17" i="98"/>
  <c r="AE11" i="97"/>
  <c r="AE14" i="100"/>
  <c r="AD28" i="100"/>
  <c r="AD25" i="100"/>
  <c r="AD22" i="100"/>
  <c r="V28" i="100"/>
  <c r="V25" i="100"/>
  <c r="V22" i="100"/>
  <c r="AD27" i="100"/>
  <c r="AD24" i="100"/>
  <c r="Z27" i="100"/>
  <c r="Z24" i="100"/>
  <c r="V27" i="100"/>
  <c r="V24" i="100"/>
  <c r="AE12" i="100"/>
  <c r="AE11" i="100"/>
  <c r="AC28" i="100"/>
  <c r="AC25" i="100"/>
  <c r="AC22" i="100"/>
  <c r="U28" i="100"/>
  <c r="U25" i="100"/>
  <c r="U22" i="100"/>
  <c r="AB28" i="99"/>
  <c r="AB25" i="99"/>
  <c r="AB22" i="99"/>
  <c r="X28" i="99"/>
  <c r="X25" i="99"/>
  <c r="X22" i="99"/>
  <c r="T28" i="99"/>
  <c r="T25" i="99"/>
  <c r="T22" i="99"/>
  <c r="AD23" i="100"/>
  <c r="Z26" i="100"/>
  <c r="V23" i="100"/>
  <c r="T23" i="100"/>
  <c r="T26" i="100"/>
  <c r="S26" i="99"/>
  <c r="S23" i="99"/>
  <c r="W28" i="99"/>
  <c r="W25" i="99"/>
  <c r="W22" i="99"/>
  <c r="Y28" i="99"/>
  <c r="Y25" i="99"/>
  <c r="Y22" i="99"/>
  <c r="O58" i="99"/>
  <c r="C60" i="99" s="1"/>
  <c r="AE10" i="99"/>
  <c r="AA25" i="94"/>
  <c r="AF12" i="95"/>
  <c r="S24" i="96"/>
  <c r="S26" i="96"/>
  <c r="AF20" i="98"/>
  <c r="AF13" i="98"/>
  <c r="AF19" i="97"/>
  <c r="AE16" i="97"/>
  <c r="Z28" i="100"/>
  <c r="Z25" i="100"/>
  <c r="Z22" i="100"/>
  <c r="AB27" i="100"/>
  <c r="AB24" i="100"/>
  <c r="X27" i="100"/>
  <c r="X24" i="100"/>
  <c r="T24" i="100"/>
  <c r="T27" i="100"/>
  <c r="T28" i="100"/>
  <c r="AE13" i="100"/>
  <c r="Y28" i="100"/>
  <c r="Y25" i="100"/>
  <c r="Y22" i="100"/>
  <c r="O58" i="100"/>
  <c r="AE10" i="100"/>
  <c r="AF10" i="100"/>
  <c r="P58" i="100"/>
  <c r="H59" i="100" s="1"/>
  <c r="AD28" i="99"/>
  <c r="AD25" i="99"/>
  <c r="AD22" i="99"/>
  <c r="Z28" i="99"/>
  <c r="Z25" i="99"/>
  <c r="Z22" i="99"/>
  <c r="V28" i="99"/>
  <c r="V25" i="99"/>
  <c r="V22" i="99"/>
  <c r="X28" i="100"/>
  <c r="AE21" i="99"/>
  <c r="AE20" i="99"/>
  <c r="AE19" i="99"/>
  <c r="AE18" i="99"/>
  <c r="AE17" i="99"/>
  <c r="AE16" i="99"/>
  <c r="AE15" i="99"/>
  <c r="AA28" i="99"/>
  <c r="AA25" i="99"/>
  <c r="AA22" i="99"/>
  <c r="S28" i="99"/>
  <c r="S25" i="99"/>
  <c r="S22" i="99"/>
  <c r="AE14" i="99"/>
  <c r="AE13" i="99"/>
  <c r="AE12" i="99"/>
  <c r="AE11" i="99"/>
  <c r="AC28" i="99"/>
  <c r="AC25" i="99"/>
  <c r="AC22" i="99"/>
  <c r="U28" i="99"/>
  <c r="U25" i="99"/>
  <c r="U22" i="99"/>
  <c r="P58" i="99"/>
  <c r="AF10" i="99"/>
  <c r="AF12" i="98"/>
  <c r="S24" i="98"/>
  <c r="AE17" i="97"/>
  <c r="AE15" i="97"/>
  <c r="AE14" i="97"/>
  <c r="AE13" i="97"/>
  <c r="AF18" i="97"/>
  <c r="S27" i="98"/>
  <c r="AB22" i="94"/>
  <c r="T22" i="94"/>
  <c r="AF18" i="98"/>
  <c r="AF19" i="98"/>
  <c r="AE21" i="97"/>
  <c r="AE20" i="97"/>
  <c r="AE19" i="97"/>
  <c r="S26" i="98"/>
  <c r="AF21" i="98"/>
  <c r="AF17" i="98"/>
  <c r="AF16" i="98"/>
  <c r="AF15" i="98"/>
  <c r="AF14" i="98"/>
  <c r="AD28" i="98"/>
  <c r="AD25" i="98"/>
  <c r="AD22" i="98"/>
  <c r="Z28" i="98"/>
  <c r="Z25" i="98"/>
  <c r="Z22" i="98"/>
  <c r="V28" i="98"/>
  <c r="V25" i="98"/>
  <c r="V22" i="98"/>
  <c r="P58" i="98"/>
  <c r="AF10" i="98"/>
  <c r="AA28" i="98"/>
  <c r="AA25" i="98"/>
  <c r="AA22" i="98"/>
  <c r="W28" i="98"/>
  <c r="W25" i="98"/>
  <c r="W22" i="98"/>
  <c r="S28" i="98"/>
  <c r="S25" i="98"/>
  <c r="S22" i="98"/>
  <c r="AF21" i="97"/>
  <c r="AF20" i="97"/>
  <c r="AC28" i="97"/>
  <c r="AC25" i="97"/>
  <c r="AC22" i="97"/>
  <c r="Y28" i="97"/>
  <c r="Y25" i="97"/>
  <c r="Y22" i="97"/>
  <c r="U28" i="97"/>
  <c r="U25" i="97"/>
  <c r="U22" i="97"/>
  <c r="O58" i="97"/>
  <c r="AE10" i="97"/>
  <c r="AB28" i="97"/>
  <c r="AB25" i="97"/>
  <c r="AB22" i="97"/>
  <c r="X28" i="97"/>
  <c r="X25" i="97"/>
  <c r="X22" i="97"/>
  <c r="T28" i="97"/>
  <c r="T25" i="97"/>
  <c r="T22" i="97"/>
  <c r="AF12" i="96"/>
  <c r="W25" i="94"/>
  <c r="AB28" i="98"/>
  <c r="AB25" i="98"/>
  <c r="AB22" i="98"/>
  <c r="X28" i="98"/>
  <c r="X25" i="98"/>
  <c r="X22" i="98"/>
  <c r="T28" i="98"/>
  <c r="T25" i="98"/>
  <c r="T22" i="98"/>
  <c r="AE13" i="98"/>
  <c r="AE12" i="98"/>
  <c r="AE11" i="98"/>
  <c r="AC28" i="98"/>
  <c r="AC25" i="98"/>
  <c r="AC22" i="98"/>
  <c r="Y28" i="98"/>
  <c r="Y25" i="98"/>
  <c r="Y22" i="98"/>
  <c r="U28" i="98"/>
  <c r="U25" i="98"/>
  <c r="U22" i="98"/>
  <c r="O58" i="98"/>
  <c r="AE10" i="98"/>
  <c r="AF17" i="97"/>
  <c r="AA28" i="97"/>
  <c r="AA25" i="97"/>
  <c r="AA22" i="97"/>
  <c r="W28" i="97"/>
  <c r="W25" i="97"/>
  <c r="W22" i="97"/>
  <c r="S28" i="97"/>
  <c r="S25" i="97"/>
  <c r="S22" i="97"/>
  <c r="AF16" i="97"/>
  <c r="AF15" i="97"/>
  <c r="AF14" i="97"/>
  <c r="AF13" i="97"/>
  <c r="AF12" i="97"/>
  <c r="AF11" i="97"/>
  <c r="AD28" i="97"/>
  <c r="AD25" i="97"/>
  <c r="AD22" i="97"/>
  <c r="Z28" i="97"/>
  <c r="Z25" i="97"/>
  <c r="Z22" i="97"/>
  <c r="V28" i="97"/>
  <c r="V25" i="97"/>
  <c r="V22" i="97"/>
  <c r="P58" i="97"/>
  <c r="AF10" i="97"/>
  <c r="AE21" i="95"/>
  <c r="AE20" i="95"/>
  <c r="AB25" i="94"/>
  <c r="W22" i="94"/>
  <c r="AF11" i="94"/>
  <c r="W28" i="94"/>
  <c r="AE19" i="95"/>
  <c r="AE17" i="95"/>
  <c r="AE18" i="95"/>
  <c r="AF15" i="95"/>
  <c r="AF14" i="95"/>
  <c r="AF13" i="95"/>
  <c r="AF11" i="96"/>
  <c r="S27" i="95"/>
  <c r="S28" i="94"/>
  <c r="AA28" i="94"/>
  <c r="AF12" i="94"/>
  <c r="AF16" i="95"/>
  <c r="AF21" i="95"/>
  <c r="AF20" i="95"/>
  <c r="S26" i="95"/>
  <c r="AF20" i="94"/>
  <c r="AF18" i="94"/>
  <c r="AF16" i="94"/>
  <c r="AF14" i="94"/>
  <c r="AA22" i="94"/>
  <c r="S22" i="94"/>
  <c r="S24" i="95"/>
  <c r="AF11" i="95"/>
  <c r="S27" i="96"/>
  <c r="AF21" i="96"/>
  <c r="AF20" i="96"/>
  <c r="AF19" i="96"/>
  <c r="AF18" i="96"/>
  <c r="AF17" i="96"/>
  <c r="AF16" i="96"/>
  <c r="AF15" i="96"/>
  <c r="AF14" i="96"/>
  <c r="AD28" i="96"/>
  <c r="AD25" i="96"/>
  <c r="AD22" i="96"/>
  <c r="Z28" i="96"/>
  <c r="Z25" i="96"/>
  <c r="Z22" i="96"/>
  <c r="V28" i="96"/>
  <c r="V25" i="96"/>
  <c r="V22" i="96"/>
  <c r="P58" i="96"/>
  <c r="AF10" i="96"/>
  <c r="AA28" i="96"/>
  <c r="AA25" i="96"/>
  <c r="AA22" i="96"/>
  <c r="W28" i="96"/>
  <c r="W25" i="96"/>
  <c r="W22" i="96"/>
  <c r="S28" i="96"/>
  <c r="S25" i="96"/>
  <c r="S22" i="96"/>
  <c r="AB28" i="95"/>
  <c r="AB25" i="95"/>
  <c r="AB22" i="95"/>
  <c r="X28" i="95"/>
  <c r="X25" i="95"/>
  <c r="X22" i="95"/>
  <c r="T28" i="95"/>
  <c r="T25" i="95"/>
  <c r="T22" i="95"/>
  <c r="AE13" i="95"/>
  <c r="AE12" i="95"/>
  <c r="AE11" i="95"/>
  <c r="AC28" i="95"/>
  <c r="AC25" i="95"/>
  <c r="AC22" i="95"/>
  <c r="Y28" i="95"/>
  <c r="Y25" i="95"/>
  <c r="Y22" i="95"/>
  <c r="U28" i="95"/>
  <c r="U25" i="95"/>
  <c r="U22" i="95"/>
  <c r="O58" i="95"/>
  <c r="AE10" i="95"/>
  <c r="AB28" i="96"/>
  <c r="AB25" i="96"/>
  <c r="AB22" i="96"/>
  <c r="X28" i="96"/>
  <c r="X25" i="96"/>
  <c r="X22" i="96"/>
  <c r="T28" i="96"/>
  <c r="T25" i="96"/>
  <c r="T22" i="96"/>
  <c r="AE13" i="96"/>
  <c r="AE12" i="96"/>
  <c r="AE11" i="96"/>
  <c r="AC28" i="96"/>
  <c r="AC25" i="96"/>
  <c r="AC22" i="96"/>
  <c r="Y28" i="96"/>
  <c r="Y25" i="96"/>
  <c r="Y22" i="96"/>
  <c r="U28" i="96"/>
  <c r="U25" i="96"/>
  <c r="U22" i="96"/>
  <c r="O58" i="96"/>
  <c r="AE10" i="96"/>
  <c r="AF19" i="95"/>
  <c r="AF18" i="95"/>
  <c r="AF17" i="95"/>
  <c r="AD28" i="95"/>
  <c r="AD25" i="95"/>
  <c r="AD22" i="95"/>
  <c r="Z28" i="95"/>
  <c r="Z25" i="95"/>
  <c r="Z22" i="95"/>
  <c r="V28" i="95"/>
  <c r="V25" i="95"/>
  <c r="V22" i="95"/>
  <c r="P58" i="95"/>
  <c r="AF10" i="95"/>
  <c r="AE16" i="95"/>
  <c r="AE15" i="95"/>
  <c r="AE14" i="95"/>
  <c r="AA28" i="95"/>
  <c r="AA25" i="95"/>
  <c r="AA22" i="95"/>
  <c r="W28" i="95"/>
  <c r="W25" i="95"/>
  <c r="W22" i="95"/>
  <c r="S28" i="95"/>
  <c r="S25" i="95"/>
  <c r="S22" i="95"/>
  <c r="AB23" i="94"/>
  <c r="X26" i="94"/>
  <c r="AB28" i="94"/>
  <c r="X28" i="94"/>
  <c r="X23" i="94"/>
  <c r="AF21" i="94"/>
  <c r="AF19" i="94"/>
  <c r="AF17" i="94"/>
  <c r="AD23" i="94"/>
  <c r="Z26" i="94"/>
  <c r="V23" i="94"/>
  <c r="AF15" i="94"/>
  <c r="AB26" i="94"/>
  <c r="T28" i="94"/>
  <c r="Z28" i="94"/>
  <c r="Z25" i="94"/>
  <c r="Z22" i="94"/>
  <c r="AD27" i="94"/>
  <c r="AD24" i="94"/>
  <c r="Z27" i="94"/>
  <c r="Z24" i="94"/>
  <c r="V27" i="94"/>
  <c r="V24" i="94"/>
  <c r="AE12" i="94"/>
  <c r="AE11" i="94"/>
  <c r="AC28" i="94"/>
  <c r="AC25" i="94"/>
  <c r="AC22" i="94"/>
  <c r="U28" i="94"/>
  <c r="U25" i="94"/>
  <c r="U22" i="94"/>
  <c r="AD26" i="94"/>
  <c r="Z23" i="94"/>
  <c r="V26" i="94"/>
  <c r="AE21" i="94"/>
  <c r="AE20" i="94"/>
  <c r="AE19" i="94"/>
  <c r="AE18" i="94"/>
  <c r="AE17" i="94"/>
  <c r="AE16" i="94"/>
  <c r="AE15" i="94"/>
  <c r="AE14" i="94"/>
  <c r="AD28" i="94"/>
  <c r="AD25" i="94"/>
  <c r="AD22" i="94"/>
  <c r="V28" i="94"/>
  <c r="V25" i="94"/>
  <c r="V22" i="94"/>
  <c r="AB27" i="94"/>
  <c r="AB24" i="94"/>
  <c r="X27" i="94"/>
  <c r="X24" i="94"/>
  <c r="T24" i="94"/>
  <c r="T27" i="94"/>
  <c r="AE13" i="94"/>
  <c r="Y28" i="94"/>
  <c r="Y25" i="94"/>
  <c r="Y22" i="94"/>
  <c r="O58" i="94"/>
  <c r="C60" i="94" s="1"/>
  <c r="AE10" i="94"/>
  <c r="AF10" i="94"/>
  <c r="P58" i="94"/>
  <c r="H59" i="94" s="1"/>
  <c r="T23" i="94"/>
  <c r="T26" i="94"/>
  <c r="Z21" i="93"/>
  <c r="AD20" i="93"/>
  <c r="V20" i="93"/>
  <c r="Z19" i="93"/>
  <c r="AD18" i="93"/>
  <c r="V18" i="93"/>
  <c r="Z17" i="93"/>
  <c r="AD16" i="93"/>
  <c r="V16" i="93"/>
  <c r="Z15" i="93"/>
  <c r="AD14" i="93"/>
  <c r="V14" i="93"/>
  <c r="Z13" i="93"/>
  <c r="AD12" i="93"/>
  <c r="V12" i="93"/>
  <c r="Z11" i="93"/>
  <c r="AD21" i="93"/>
  <c r="V21" i="93"/>
  <c r="Z20" i="93"/>
  <c r="AD19" i="93"/>
  <c r="V19" i="93"/>
  <c r="Z18" i="93"/>
  <c r="AD17" i="93"/>
  <c r="V17" i="93"/>
  <c r="Z16" i="93"/>
  <c r="AD15" i="93"/>
  <c r="V15" i="93"/>
  <c r="Z14" i="93"/>
  <c r="AD13" i="93"/>
  <c r="V13" i="93"/>
  <c r="Z12" i="93"/>
  <c r="AD11" i="93"/>
  <c r="V11" i="93"/>
  <c r="AB21" i="93"/>
  <c r="X21" i="93"/>
  <c r="T21" i="93"/>
  <c r="AB20" i="93"/>
  <c r="X20" i="93"/>
  <c r="T20" i="93"/>
  <c r="AB19" i="93"/>
  <c r="X19" i="93"/>
  <c r="T19" i="93"/>
  <c r="AB18" i="93"/>
  <c r="X18" i="93"/>
  <c r="T18" i="93"/>
  <c r="AB17" i="93"/>
  <c r="X17" i="93"/>
  <c r="T17" i="93"/>
  <c r="AB16" i="93"/>
  <c r="X16" i="93"/>
  <c r="T16" i="93"/>
  <c r="AB15" i="93"/>
  <c r="X15" i="93"/>
  <c r="T15" i="93"/>
  <c r="AB14" i="93"/>
  <c r="X14" i="93"/>
  <c r="T14" i="93"/>
  <c r="AB13" i="93"/>
  <c r="X13" i="93"/>
  <c r="T13" i="93"/>
  <c r="AB12" i="93"/>
  <c r="X12" i="93"/>
  <c r="T12" i="93"/>
  <c r="AB11" i="93"/>
  <c r="X11" i="93"/>
  <c r="T11" i="93"/>
  <c r="AC21" i="93"/>
  <c r="AA21" i="93"/>
  <c r="Y21" i="93"/>
  <c r="W21" i="93"/>
  <c r="U21" i="93"/>
  <c r="S21" i="93"/>
  <c r="AC20" i="93"/>
  <c r="AA20" i="93"/>
  <c r="Y20" i="93"/>
  <c r="W20" i="93"/>
  <c r="U20" i="93"/>
  <c r="S20" i="93"/>
  <c r="AC19" i="93"/>
  <c r="AA19" i="93"/>
  <c r="Y19" i="93"/>
  <c r="W19" i="93"/>
  <c r="U19" i="93"/>
  <c r="S19" i="93"/>
  <c r="AC18" i="93"/>
  <c r="AA18" i="93"/>
  <c r="Y18" i="93"/>
  <c r="W18" i="93"/>
  <c r="U18" i="93"/>
  <c r="S18" i="93"/>
  <c r="AC17" i="93"/>
  <c r="AA17" i="93"/>
  <c r="Y17" i="93"/>
  <c r="W17" i="93"/>
  <c r="U17" i="93"/>
  <c r="S17" i="93"/>
  <c r="AC16" i="93"/>
  <c r="AA16" i="93"/>
  <c r="Y16" i="93"/>
  <c r="W16" i="93"/>
  <c r="U16" i="93"/>
  <c r="S16" i="93"/>
  <c r="AC15" i="93"/>
  <c r="AA15" i="93"/>
  <c r="Y15" i="93"/>
  <c r="W15" i="93"/>
  <c r="U15" i="93"/>
  <c r="S15" i="93"/>
  <c r="AC14" i="93"/>
  <c r="AA14" i="93"/>
  <c r="Y14" i="93"/>
  <c r="W14" i="93"/>
  <c r="U14" i="93"/>
  <c r="S14" i="93"/>
  <c r="AC13" i="93"/>
  <c r="AA13" i="93"/>
  <c r="Y13" i="93"/>
  <c r="W13" i="93"/>
  <c r="U13" i="93"/>
  <c r="S13" i="93"/>
  <c r="AC12" i="93"/>
  <c r="AA12" i="93"/>
  <c r="Y12" i="93"/>
  <c r="W12" i="93"/>
  <c r="U12" i="93"/>
  <c r="S12" i="93"/>
  <c r="AC11" i="93"/>
  <c r="AA11" i="93"/>
  <c r="Y11" i="93"/>
  <c r="W11" i="93"/>
  <c r="U11" i="93"/>
  <c r="S11" i="93"/>
  <c r="S10" i="93"/>
  <c r="AC10" i="93"/>
  <c r="AA10" i="93"/>
  <c r="Y10" i="93"/>
  <c r="W10" i="93"/>
  <c r="U10" i="93"/>
  <c r="AD10" i="93"/>
  <c r="AB10" i="93"/>
  <c r="Z10" i="93"/>
  <c r="X10" i="93"/>
  <c r="V10" i="93"/>
  <c r="V22" i="93" s="1"/>
  <c r="T10" i="93"/>
  <c r="P34" i="93"/>
  <c r="P50" i="93"/>
  <c r="P18" i="93"/>
  <c r="N58" i="93"/>
  <c r="P42" i="93"/>
  <c r="P26" i="93"/>
  <c r="P56" i="93"/>
  <c r="P46" i="93"/>
  <c r="P38" i="93"/>
  <c r="P30" i="93"/>
  <c r="P22" i="93"/>
  <c r="P14" i="93"/>
  <c r="F58" i="93"/>
  <c r="P10" i="93"/>
  <c r="P52" i="93"/>
  <c r="P48" i="93"/>
  <c r="P44" i="93"/>
  <c r="P40" i="93"/>
  <c r="P36" i="93"/>
  <c r="P32" i="93"/>
  <c r="P28" i="93"/>
  <c r="P24" i="93"/>
  <c r="P23" i="93"/>
  <c r="P20" i="93"/>
  <c r="P16" i="93"/>
  <c r="P12" i="93"/>
  <c r="P54" i="93"/>
  <c r="P51" i="93"/>
  <c r="P49" i="93"/>
  <c r="P35" i="93"/>
  <c r="P33" i="93"/>
  <c r="P31" i="93"/>
  <c r="P21" i="93"/>
  <c r="P19" i="93"/>
  <c r="P17" i="93"/>
  <c r="P15" i="93"/>
  <c r="P13" i="93"/>
  <c r="P11" i="93"/>
  <c r="P47" i="93"/>
  <c r="P45" i="93"/>
  <c r="P43" i="93"/>
  <c r="P41" i="93"/>
  <c r="P39" i="93"/>
  <c r="P37" i="93"/>
  <c r="P29" i="93"/>
  <c r="P27" i="93"/>
  <c r="P25" i="93"/>
  <c r="K58" i="93"/>
  <c r="G58" i="93"/>
  <c r="P57" i="93"/>
  <c r="P55" i="93"/>
  <c r="H58" i="93"/>
  <c r="D58" i="93"/>
  <c r="L58" i="93"/>
  <c r="P53" i="93"/>
  <c r="J58" i="93"/>
  <c r="E58" i="93"/>
  <c r="I58" i="93"/>
  <c r="O27" i="93"/>
  <c r="O29" i="93"/>
  <c r="O31" i="93"/>
  <c r="O33" i="93"/>
  <c r="O35" i="93"/>
  <c r="O37" i="93"/>
  <c r="O39" i="93"/>
  <c r="O41" i="93"/>
  <c r="O43" i="93"/>
  <c r="O45" i="93"/>
  <c r="O47" i="93"/>
  <c r="O49" i="93"/>
  <c r="O51" i="93"/>
  <c r="O53" i="93"/>
  <c r="O55" i="93"/>
  <c r="O57" i="93"/>
  <c r="M58" i="93"/>
  <c r="O10" i="93"/>
  <c r="O11" i="93"/>
  <c r="O12" i="93"/>
  <c r="O13" i="93"/>
  <c r="O14" i="93"/>
  <c r="O15" i="93"/>
  <c r="O16" i="93"/>
  <c r="O17" i="93"/>
  <c r="O18" i="93"/>
  <c r="O19" i="93"/>
  <c r="O20" i="93"/>
  <c r="O21" i="93"/>
  <c r="O22" i="93"/>
  <c r="O23" i="93"/>
  <c r="O24" i="93"/>
  <c r="O25" i="93"/>
  <c r="O26" i="93"/>
  <c r="O28" i="93"/>
  <c r="O30" i="93"/>
  <c r="O32" i="93"/>
  <c r="O34" i="93"/>
  <c r="O36" i="93"/>
  <c r="O38" i="93"/>
  <c r="O40" i="93"/>
  <c r="O42" i="93"/>
  <c r="O44" i="93"/>
  <c r="O46" i="93"/>
  <c r="O48" i="93"/>
  <c r="O50" i="93"/>
  <c r="O52" i="93"/>
  <c r="O54" i="93"/>
  <c r="O56" i="93"/>
  <c r="C58" i="93"/>
  <c r="O47" i="111" l="1"/>
  <c r="O52" i="111"/>
  <c r="O12" i="111"/>
  <c r="P26" i="111"/>
  <c r="P46" i="111"/>
  <c r="P10" i="111"/>
  <c r="O22" i="111"/>
  <c r="P31" i="111"/>
  <c r="O34" i="111"/>
  <c r="P17" i="111"/>
  <c r="O21" i="111"/>
  <c r="O37" i="111"/>
  <c r="P41" i="111"/>
  <c r="O42" i="111"/>
  <c r="AE18" i="111" s="1"/>
  <c r="P53" i="111"/>
  <c r="P13" i="111"/>
  <c r="O14" i="111"/>
  <c r="O15" i="111"/>
  <c r="O17" i="111"/>
  <c r="O19" i="111"/>
  <c r="P20" i="111"/>
  <c r="P25" i="111"/>
  <c r="O26" i="111"/>
  <c r="P28" i="111"/>
  <c r="P30" i="111"/>
  <c r="O32" i="111"/>
  <c r="P33" i="111"/>
  <c r="P38" i="111"/>
  <c r="P39" i="111"/>
  <c r="O40" i="111"/>
  <c r="P44" i="111"/>
  <c r="P47" i="111"/>
  <c r="P50" i="111"/>
  <c r="P51" i="111"/>
  <c r="P54" i="111"/>
  <c r="O55" i="111"/>
  <c r="P23" i="111"/>
  <c r="O23" i="111"/>
  <c r="O43" i="111"/>
  <c r="O49" i="111"/>
  <c r="P49" i="111"/>
  <c r="P56" i="111"/>
  <c r="O10" i="111"/>
  <c r="C108" i="110"/>
  <c r="P15" i="111"/>
  <c r="O28" i="111"/>
  <c r="O35" i="111"/>
  <c r="O25" i="111"/>
  <c r="O44" i="111"/>
  <c r="O54" i="111"/>
  <c r="P36" i="111"/>
  <c r="O57" i="111"/>
  <c r="O11" i="111"/>
  <c r="O13" i="111"/>
  <c r="O16" i="111"/>
  <c r="O20" i="111"/>
  <c r="P21" i="111"/>
  <c r="P24" i="111"/>
  <c r="P29" i="111"/>
  <c r="O30" i="111"/>
  <c r="O33" i="111"/>
  <c r="P34" i="111"/>
  <c r="AF16" i="111" s="1"/>
  <c r="P35" i="111"/>
  <c r="O36" i="111"/>
  <c r="P37" i="111"/>
  <c r="O38" i="111"/>
  <c r="O41" i="111"/>
  <c r="P42" i="111"/>
  <c r="P45" i="111"/>
  <c r="O46" i="111"/>
  <c r="AE19" i="111" s="1"/>
  <c r="O48" i="111"/>
  <c r="O50" i="111"/>
  <c r="O51" i="111"/>
  <c r="O53" i="111"/>
  <c r="P55" i="111"/>
  <c r="O56" i="111"/>
  <c r="P57" i="111"/>
  <c r="P14" i="111"/>
  <c r="AF11" i="111" s="1"/>
  <c r="P16" i="111"/>
  <c r="O18" i="111"/>
  <c r="AE12" i="111" s="1"/>
  <c r="O27" i="111"/>
  <c r="O29" i="111"/>
  <c r="O39" i="111"/>
  <c r="P48" i="111"/>
  <c r="P52" i="111"/>
  <c r="P12" i="111"/>
  <c r="P19" i="111"/>
  <c r="O24" i="111"/>
  <c r="O31" i="111"/>
  <c r="O45" i="111"/>
  <c r="P11" i="111"/>
  <c r="P18" i="111"/>
  <c r="AF12" i="111" s="1"/>
  <c r="P22" i="111"/>
  <c r="P27" i="111"/>
  <c r="P32" i="111"/>
  <c r="P40" i="111"/>
  <c r="P43" i="111"/>
  <c r="F108" i="110"/>
  <c r="H108" i="110"/>
  <c r="N108" i="110"/>
  <c r="AE39" i="110"/>
  <c r="W42" i="110"/>
  <c r="AE36" i="110"/>
  <c r="F107" i="110"/>
  <c r="C107" i="110"/>
  <c r="H107" i="110"/>
  <c r="T42" i="110"/>
  <c r="Y42" i="110"/>
  <c r="X42" i="110"/>
  <c r="AF36" i="110"/>
  <c r="AF39" i="110"/>
  <c r="AF35" i="110"/>
  <c r="AF38" i="110"/>
  <c r="U42" i="110"/>
  <c r="AC42" i="110"/>
  <c r="AE38" i="110"/>
  <c r="AE35" i="110"/>
  <c r="V42" i="110"/>
  <c r="AB42" i="110"/>
  <c r="M107" i="110"/>
  <c r="D107" i="110"/>
  <c r="L107" i="110"/>
  <c r="E107" i="110"/>
  <c r="G107" i="110"/>
  <c r="I107" i="110"/>
  <c r="K107" i="110"/>
  <c r="AE41" i="110"/>
  <c r="AE40" i="110"/>
  <c r="AE37" i="110"/>
  <c r="AE34" i="110"/>
  <c r="Z42" i="110"/>
  <c r="AD42" i="110"/>
  <c r="AF41" i="110"/>
  <c r="AF40" i="110"/>
  <c r="AF37" i="110"/>
  <c r="AF34" i="110"/>
  <c r="D108" i="110"/>
  <c r="L108" i="110"/>
  <c r="E108" i="110"/>
  <c r="G108" i="110"/>
  <c r="I108" i="110"/>
  <c r="K108" i="110"/>
  <c r="J107" i="110"/>
  <c r="H107" i="109"/>
  <c r="U42" i="109"/>
  <c r="Y42" i="109"/>
  <c r="AC42" i="109"/>
  <c r="AF39" i="109"/>
  <c r="AF36" i="109"/>
  <c r="AF38" i="109"/>
  <c r="AF35" i="109"/>
  <c r="M107" i="109"/>
  <c r="D107" i="109"/>
  <c r="L107" i="109"/>
  <c r="C107" i="109"/>
  <c r="E107" i="109"/>
  <c r="G107" i="109"/>
  <c r="I107" i="109"/>
  <c r="K107" i="109"/>
  <c r="D108" i="109"/>
  <c r="L108" i="109"/>
  <c r="C108" i="109"/>
  <c r="E108" i="109"/>
  <c r="G108" i="109"/>
  <c r="I108" i="109"/>
  <c r="K108" i="109"/>
  <c r="F108" i="109"/>
  <c r="N107" i="109"/>
  <c r="S42" i="109"/>
  <c r="W42" i="109"/>
  <c r="AA42" i="109"/>
  <c r="H108" i="109"/>
  <c r="J108" i="109"/>
  <c r="AF41" i="109"/>
  <c r="AF40" i="109"/>
  <c r="AF37" i="109"/>
  <c r="AF34" i="109"/>
  <c r="V42" i="109"/>
  <c r="AB42" i="109"/>
  <c r="AE39" i="109"/>
  <c r="AE36" i="109"/>
  <c r="AE41" i="109"/>
  <c r="AE40" i="109"/>
  <c r="AE37" i="109"/>
  <c r="AE34" i="109"/>
  <c r="AE38" i="109"/>
  <c r="AE35" i="109"/>
  <c r="F107" i="109"/>
  <c r="N108" i="109"/>
  <c r="T42" i="109"/>
  <c r="Z42" i="109"/>
  <c r="AD42" i="109"/>
  <c r="H108" i="108"/>
  <c r="C107" i="107"/>
  <c r="F107" i="105"/>
  <c r="H107" i="108"/>
  <c r="E107" i="105"/>
  <c r="D107" i="105"/>
  <c r="C107" i="105"/>
  <c r="AF35" i="105"/>
  <c r="H108" i="107"/>
  <c r="D108" i="105"/>
  <c r="F108" i="105"/>
  <c r="C108" i="105"/>
  <c r="E108" i="105"/>
  <c r="AF38" i="105"/>
  <c r="T42" i="105"/>
  <c r="V42" i="105"/>
  <c r="U42" i="105"/>
  <c r="W42" i="105"/>
  <c r="Y42" i="105"/>
  <c r="AC42" i="105"/>
  <c r="AF39" i="105"/>
  <c r="AF36" i="105"/>
  <c r="M107" i="105"/>
  <c r="N107" i="105"/>
  <c r="I107" i="105"/>
  <c r="K107" i="105"/>
  <c r="H107" i="105"/>
  <c r="J107" i="105"/>
  <c r="L107" i="105"/>
  <c r="I108" i="105"/>
  <c r="K108" i="105"/>
  <c r="H108" i="105"/>
  <c r="J108" i="105"/>
  <c r="L108" i="105"/>
  <c r="N108" i="105"/>
  <c r="AE38" i="105"/>
  <c r="AE35" i="105"/>
  <c r="AE39" i="105"/>
  <c r="AE36" i="105"/>
  <c r="S42" i="105"/>
  <c r="AA42" i="105"/>
  <c r="X42" i="105"/>
  <c r="AB42" i="105"/>
  <c r="AF41" i="105"/>
  <c r="AF40" i="105"/>
  <c r="AF37" i="105"/>
  <c r="AF34" i="105"/>
  <c r="AE41" i="105"/>
  <c r="AE40" i="105"/>
  <c r="AE37" i="105"/>
  <c r="AE34" i="105"/>
  <c r="Z42" i="105"/>
  <c r="AD42" i="105"/>
  <c r="Z42" i="101"/>
  <c r="U42" i="101"/>
  <c r="W42" i="101"/>
  <c r="X42" i="101"/>
  <c r="Y42" i="101"/>
  <c r="V42" i="101"/>
  <c r="AA42" i="101"/>
  <c r="AD42" i="101"/>
  <c r="AC42" i="101"/>
  <c r="T42" i="101"/>
  <c r="AB42" i="101"/>
  <c r="S42" i="101"/>
  <c r="AF41" i="101"/>
  <c r="AE41" i="101"/>
  <c r="AF23" i="104"/>
  <c r="AF27" i="104"/>
  <c r="H60" i="104"/>
  <c r="C60" i="104"/>
  <c r="AF26" i="104"/>
  <c r="AF24" i="104"/>
  <c r="H59" i="104"/>
  <c r="AF26" i="103"/>
  <c r="AF23" i="103"/>
  <c r="H60" i="94"/>
  <c r="C59" i="104"/>
  <c r="AF27" i="103"/>
  <c r="AF24" i="103"/>
  <c r="M59" i="103"/>
  <c r="D59" i="103"/>
  <c r="H59" i="103"/>
  <c r="L59" i="103"/>
  <c r="E59" i="103"/>
  <c r="G59" i="103"/>
  <c r="I59" i="103"/>
  <c r="K59" i="103"/>
  <c r="F59" i="103"/>
  <c r="J59" i="103"/>
  <c r="N59" i="103"/>
  <c r="AE27" i="104"/>
  <c r="AE24" i="104"/>
  <c r="E60" i="103"/>
  <c r="G60" i="103"/>
  <c r="I60" i="103"/>
  <c r="K60" i="103"/>
  <c r="F60" i="103"/>
  <c r="J60" i="103"/>
  <c r="N60" i="103"/>
  <c r="D60" i="103"/>
  <c r="H60" i="103"/>
  <c r="L60" i="103"/>
  <c r="AF22" i="104"/>
  <c r="AF28" i="104"/>
  <c r="AF25" i="104"/>
  <c r="F60" i="104"/>
  <c r="E60" i="104"/>
  <c r="G60" i="104"/>
  <c r="I60" i="104"/>
  <c r="K60" i="104"/>
  <c r="J60" i="104"/>
  <c r="N60" i="104"/>
  <c r="AE26" i="104"/>
  <c r="AE23" i="104"/>
  <c r="D60" i="104"/>
  <c r="AF35" i="101"/>
  <c r="AF28" i="103"/>
  <c r="AF25" i="103"/>
  <c r="AF22" i="103"/>
  <c r="AE26" i="103"/>
  <c r="AE23" i="103"/>
  <c r="C59" i="103"/>
  <c r="AE28" i="103"/>
  <c r="AE25" i="103"/>
  <c r="AE22" i="103"/>
  <c r="AE27" i="103"/>
  <c r="AE24" i="103"/>
  <c r="F59" i="104"/>
  <c r="M59" i="104"/>
  <c r="J59" i="104"/>
  <c r="E59" i="104"/>
  <c r="G59" i="104"/>
  <c r="I59" i="104"/>
  <c r="K59" i="104"/>
  <c r="N59" i="104"/>
  <c r="AE28" i="104"/>
  <c r="AE25" i="104"/>
  <c r="AE22" i="104"/>
  <c r="D59" i="104"/>
  <c r="AF24" i="100"/>
  <c r="AE27" i="96"/>
  <c r="AF36" i="101"/>
  <c r="AF39" i="101"/>
  <c r="AF38" i="101"/>
  <c r="F108" i="101"/>
  <c r="J108" i="101"/>
  <c r="N108" i="101"/>
  <c r="E108" i="101"/>
  <c r="G108" i="101"/>
  <c r="I108" i="101"/>
  <c r="K108" i="101"/>
  <c r="D108" i="101"/>
  <c r="H108" i="101"/>
  <c r="L108" i="101"/>
  <c r="E107" i="101"/>
  <c r="G107" i="101"/>
  <c r="I107" i="101"/>
  <c r="K107" i="101"/>
  <c r="D107" i="101"/>
  <c r="H107" i="101"/>
  <c r="L107" i="101"/>
  <c r="M107" i="101"/>
  <c r="F107" i="101"/>
  <c r="J107" i="101"/>
  <c r="N107" i="101"/>
  <c r="AE39" i="101"/>
  <c r="AE36" i="101"/>
  <c r="AF23" i="100"/>
  <c r="AE24" i="96"/>
  <c r="AE27" i="100"/>
  <c r="C107" i="101"/>
  <c r="AE40" i="101"/>
  <c r="AE37" i="101"/>
  <c r="AE34" i="101"/>
  <c r="AF40" i="101"/>
  <c r="AF37" i="101"/>
  <c r="AF34" i="101"/>
  <c r="AE38" i="101"/>
  <c r="AE35" i="101"/>
  <c r="AE26" i="97"/>
  <c r="AF27" i="97"/>
  <c r="AE24" i="100"/>
  <c r="AF26" i="100"/>
  <c r="AF27" i="100"/>
  <c r="AF23" i="99"/>
  <c r="AF26" i="99"/>
  <c r="AF24" i="99"/>
  <c r="AF27" i="99"/>
  <c r="AE23" i="97"/>
  <c r="D59" i="100"/>
  <c r="AE27" i="98"/>
  <c r="AF28" i="99"/>
  <c r="AF25" i="99"/>
  <c r="AF22" i="99"/>
  <c r="AE26" i="99"/>
  <c r="AE23" i="99"/>
  <c r="AE27" i="99"/>
  <c r="AE24" i="99"/>
  <c r="AF22" i="100"/>
  <c r="AF28" i="100"/>
  <c r="AF25" i="100"/>
  <c r="N60" i="100"/>
  <c r="J60" i="100"/>
  <c r="F60" i="100"/>
  <c r="E60" i="100"/>
  <c r="G60" i="100"/>
  <c r="I60" i="100"/>
  <c r="K60" i="100"/>
  <c r="AE26" i="100"/>
  <c r="AE23" i="100"/>
  <c r="E60" i="99"/>
  <c r="G60" i="99"/>
  <c r="I60" i="99"/>
  <c r="K60" i="99"/>
  <c r="F60" i="99"/>
  <c r="J60" i="99"/>
  <c r="N60" i="99"/>
  <c r="D60" i="99"/>
  <c r="H60" i="99"/>
  <c r="L60" i="99"/>
  <c r="C60" i="100"/>
  <c r="L60" i="100"/>
  <c r="M59" i="99"/>
  <c r="D59" i="99"/>
  <c r="H59" i="99"/>
  <c r="L59" i="99"/>
  <c r="E59" i="99"/>
  <c r="G59" i="99"/>
  <c r="I59" i="99"/>
  <c r="K59" i="99"/>
  <c r="F59" i="99"/>
  <c r="J59" i="99"/>
  <c r="N59" i="99"/>
  <c r="F59" i="100"/>
  <c r="J59" i="100"/>
  <c r="E59" i="100"/>
  <c r="G59" i="100"/>
  <c r="I59" i="100"/>
  <c r="K59" i="100"/>
  <c r="N59" i="100"/>
  <c r="M59" i="100"/>
  <c r="AE28" i="100"/>
  <c r="AE25" i="100"/>
  <c r="AE22" i="100"/>
  <c r="D60" i="100"/>
  <c r="C59" i="99"/>
  <c r="AE28" i="99"/>
  <c r="AE25" i="99"/>
  <c r="AE22" i="99"/>
  <c r="H60" i="100"/>
  <c r="C59" i="100"/>
  <c r="L59" i="100"/>
  <c r="AF24" i="97"/>
  <c r="AF23" i="98"/>
  <c r="AF27" i="98"/>
  <c r="AE27" i="97"/>
  <c r="AE24" i="97"/>
  <c r="AF28" i="97"/>
  <c r="AF25" i="97"/>
  <c r="AF22" i="97"/>
  <c r="C60" i="98"/>
  <c r="E60" i="98"/>
  <c r="G60" i="98"/>
  <c r="I60" i="98"/>
  <c r="K60" i="98"/>
  <c r="D60" i="98"/>
  <c r="F60" i="98"/>
  <c r="H60" i="98"/>
  <c r="J60" i="98"/>
  <c r="L60" i="98"/>
  <c r="N60" i="98"/>
  <c r="AE26" i="98"/>
  <c r="AE23" i="98"/>
  <c r="AE28" i="97"/>
  <c r="AE25" i="97"/>
  <c r="AE22" i="97"/>
  <c r="AF28" i="98"/>
  <c r="AF25" i="98"/>
  <c r="AF22" i="98"/>
  <c r="AF26" i="98"/>
  <c r="M59" i="97"/>
  <c r="D59" i="97"/>
  <c r="F59" i="97"/>
  <c r="H59" i="97"/>
  <c r="J59" i="97"/>
  <c r="L59" i="97"/>
  <c r="N59" i="97"/>
  <c r="C59" i="97"/>
  <c r="E59" i="97"/>
  <c r="G59" i="97"/>
  <c r="I59" i="97"/>
  <c r="K59" i="97"/>
  <c r="AF26" i="97"/>
  <c r="AF23" i="97"/>
  <c r="AE28" i="98"/>
  <c r="AE25" i="98"/>
  <c r="AE22" i="98"/>
  <c r="D60" i="97"/>
  <c r="F60" i="97"/>
  <c r="H60" i="97"/>
  <c r="J60" i="97"/>
  <c r="L60" i="97"/>
  <c r="N60" i="97"/>
  <c r="C60" i="97"/>
  <c r="E60" i="97"/>
  <c r="G60" i="97"/>
  <c r="I60" i="97"/>
  <c r="K60" i="97"/>
  <c r="C59" i="98"/>
  <c r="E59" i="98"/>
  <c r="G59" i="98"/>
  <c r="I59" i="98"/>
  <c r="K59" i="98"/>
  <c r="D59" i="98"/>
  <c r="F59" i="98"/>
  <c r="H59" i="98"/>
  <c r="J59" i="98"/>
  <c r="L59" i="98"/>
  <c r="N59" i="98"/>
  <c r="M59" i="98"/>
  <c r="AF24" i="98"/>
  <c r="AE27" i="95"/>
  <c r="AE24" i="95"/>
  <c r="AF23" i="94"/>
  <c r="AF27" i="94"/>
  <c r="AF26" i="96"/>
  <c r="AF24" i="94"/>
  <c r="AF26" i="94"/>
  <c r="AF26" i="95"/>
  <c r="AF28" i="95"/>
  <c r="AF25" i="95"/>
  <c r="AF22" i="95"/>
  <c r="AE28" i="96"/>
  <c r="AE25" i="96"/>
  <c r="AE22" i="96"/>
  <c r="C60" i="95"/>
  <c r="N60" i="95"/>
  <c r="AE26" i="95"/>
  <c r="AE23" i="95"/>
  <c r="C59" i="96"/>
  <c r="E59" i="96"/>
  <c r="G59" i="96"/>
  <c r="I59" i="96"/>
  <c r="K59" i="96"/>
  <c r="D59" i="96"/>
  <c r="F59" i="96"/>
  <c r="H59" i="96"/>
  <c r="J59" i="96"/>
  <c r="L59" i="96"/>
  <c r="N59" i="96"/>
  <c r="M59" i="96"/>
  <c r="AF23" i="95"/>
  <c r="AF23" i="96"/>
  <c r="L60" i="94"/>
  <c r="C59" i="95"/>
  <c r="N59" i="95"/>
  <c r="AF27" i="95"/>
  <c r="AF24" i="95"/>
  <c r="C60" i="96"/>
  <c r="E60" i="96"/>
  <c r="G60" i="96"/>
  <c r="I60" i="96"/>
  <c r="K60" i="96"/>
  <c r="D60" i="96"/>
  <c r="F60" i="96"/>
  <c r="H60" i="96"/>
  <c r="J60" i="96"/>
  <c r="L60" i="96"/>
  <c r="N60" i="96"/>
  <c r="AE26" i="96"/>
  <c r="AE23" i="96"/>
  <c r="AE28" i="95"/>
  <c r="AE25" i="95"/>
  <c r="AE22" i="95"/>
  <c r="AF28" i="96"/>
  <c r="AF25" i="96"/>
  <c r="AF22" i="96"/>
  <c r="AF27" i="96"/>
  <c r="AF24" i="96"/>
  <c r="E59" i="94"/>
  <c r="G59" i="94"/>
  <c r="I59" i="94"/>
  <c r="K59" i="94"/>
  <c r="F59" i="94"/>
  <c r="J59" i="94"/>
  <c r="N59" i="94"/>
  <c r="M59" i="94"/>
  <c r="AE28" i="94"/>
  <c r="AE25" i="94"/>
  <c r="AE22" i="94"/>
  <c r="D59" i="94"/>
  <c r="AF22" i="94"/>
  <c r="AF28" i="94"/>
  <c r="AF25" i="94"/>
  <c r="F60" i="94"/>
  <c r="J60" i="94"/>
  <c r="N60" i="94"/>
  <c r="E60" i="94"/>
  <c r="G60" i="94"/>
  <c r="I60" i="94"/>
  <c r="K60" i="94"/>
  <c r="AE26" i="94"/>
  <c r="AE23" i="94"/>
  <c r="D60" i="94"/>
  <c r="AE27" i="94"/>
  <c r="AE24" i="94"/>
  <c r="C59" i="94"/>
  <c r="L59" i="94"/>
  <c r="T22" i="93"/>
  <c r="X22" i="93"/>
  <c r="AB22" i="93"/>
  <c r="U22" i="93"/>
  <c r="Y22" i="93"/>
  <c r="AC22" i="93"/>
  <c r="Z24" i="93"/>
  <c r="W26" i="93"/>
  <c r="W23" i="93"/>
  <c r="AA26" i="93"/>
  <c r="AA23" i="93"/>
  <c r="W27" i="93"/>
  <c r="W24" i="93"/>
  <c r="AA27" i="93"/>
  <c r="AA24" i="93"/>
  <c r="T26" i="93"/>
  <c r="T23" i="93"/>
  <c r="AB26" i="93"/>
  <c r="AB23" i="93"/>
  <c r="T27" i="93"/>
  <c r="T24" i="93"/>
  <c r="AB27" i="93"/>
  <c r="AB24" i="93"/>
  <c r="V26" i="93"/>
  <c r="V23" i="93"/>
  <c r="AD27" i="93"/>
  <c r="AD24" i="93"/>
  <c r="Z22" i="93"/>
  <c r="AD22" i="93"/>
  <c r="W22" i="93"/>
  <c r="AA22" i="93"/>
  <c r="U26" i="93"/>
  <c r="U23" i="93"/>
  <c r="Y26" i="93"/>
  <c r="Y23" i="93"/>
  <c r="AC26" i="93"/>
  <c r="AC23" i="93"/>
  <c r="U27" i="93"/>
  <c r="U24" i="93"/>
  <c r="Y27" i="93"/>
  <c r="Y24" i="93"/>
  <c r="AC27" i="93"/>
  <c r="AC24" i="93"/>
  <c r="X23" i="93"/>
  <c r="X24" i="93"/>
  <c r="AD23" i="93"/>
  <c r="V24" i="93"/>
  <c r="Z23" i="93"/>
  <c r="S27" i="93"/>
  <c r="S24" i="93"/>
  <c r="S26" i="93"/>
  <c r="S23" i="93"/>
  <c r="S22" i="93"/>
  <c r="Z27" i="93"/>
  <c r="T28" i="93"/>
  <c r="T25" i="93"/>
  <c r="X28" i="93"/>
  <c r="X25" i="93"/>
  <c r="AB28" i="93"/>
  <c r="AB25" i="93"/>
  <c r="U28" i="93"/>
  <c r="U25" i="93"/>
  <c r="Y28" i="93"/>
  <c r="Y25" i="93"/>
  <c r="AC28" i="93"/>
  <c r="AC25" i="93"/>
  <c r="V28" i="93"/>
  <c r="V25" i="93"/>
  <c r="Z28" i="93"/>
  <c r="Z25" i="93"/>
  <c r="AD28" i="93"/>
  <c r="AD25" i="93"/>
  <c r="W28" i="93"/>
  <c r="W25" i="93"/>
  <c r="AA28" i="93"/>
  <c r="AA25" i="93"/>
  <c r="S28" i="93"/>
  <c r="S25" i="93"/>
  <c r="X26" i="93"/>
  <c r="X27" i="93"/>
  <c r="AD26" i="93"/>
  <c r="V27" i="93"/>
  <c r="Z26" i="93"/>
  <c r="AF10" i="93"/>
  <c r="AF16" i="93"/>
  <c r="AF18" i="93"/>
  <c r="AF14" i="93"/>
  <c r="AF20" i="93"/>
  <c r="AF13" i="93"/>
  <c r="AF11" i="93"/>
  <c r="AF12" i="93"/>
  <c r="AF15" i="93"/>
  <c r="AF17" i="93"/>
  <c r="AF19" i="93"/>
  <c r="P58" i="93"/>
  <c r="G59" i="93" s="1"/>
  <c r="AF21" i="93"/>
  <c r="AE20" i="93"/>
  <c r="AE18" i="93"/>
  <c r="AE16" i="93"/>
  <c r="AE14" i="93"/>
  <c r="AE12" i="93"/>
  <c r="AE11" i="93"/>
  <c r="O58" i="93"/>
  <c r="C60" i="93" s="1"/>
  <c r="AE10" i="93"/>
  <c r="AE21" i="93"/>
  <c r="AE19" i="93"/>
  <c r="AE17" i="93"/>
  <c r="AE15" i="93"/>
  <c r="AE13" i="93"/>
  <c r="AE20" i="111" l="1"/>
  <c r="AE14" i="111"/>
  <c r="AE13" i="111"/>
  <c r="AF10" i="111"/>
  <c r="AF37" i="111" s="1"/>
  <c r="AF13" i="111"/>
  <c r="AF19" i="111"/>
  <c r="AF18" i="111"/>
  <c r="AE15" i="111"/>
  <c r="AF17" i="111"/>
  <c r="AF14" i="111"/>
  <c r="AE10" i="111"/>
  <c r="AF21" i="111"/>
  <c r="AE17" i="111"/>
  <c r="AE21" i="111"/>
  <c r="AE40" i="111" s="1"/>
  <c r="AF20" i="111"/>
  <c r="AF15" i="111"/>
  <c r="AE11" i="111"/>
  <c r="AE16" i="111"/>
  <c r="AE34" i="111"/>
  <c r="AE37" i="111"/>
  <c r="AF34" i="111"/>
  <c r="M107" i="107"/>
  <c r="F108" i="107"/>
  <c r="J107" i="108"/>
  <c r="AF42" i="110"/>
  <c r="AE42" i="110"/>
  <c r="AE42" i="109"/>
  <c r="AF42" i="109"/>
  <c r="K107" i="107"/>
  <c r="C108" i="107"/>
  <c r="L107" i="108"/>
  <c r="G107" i="108"/>
  <c r="L107" i="107"/>
  <c r="G108" i="108"/>
  <c r="F108" i="108"/>
  <c r="C108" i="108"/>
  <c r="K108" i="108"/>
  <c r="N108" i="108"/>
  <c r="K108" i="107"/>
  <c r="L108" i="108"/>
  <c r="D108" i="108"/>
  <c r="I108" i="108"/>
  <c r="E108" i="108"/>
  <c r="J108" i="108"/>
  <c r="D107" i="107"/>
  <c r="G107" i="107"/>
  <c r="J107" i="107"/>
  <c r="N108" i="107"/>
  <c r="G108" i="107"/>
  <c r="D107" i="108"/>
  <c r="M107" i="108"/>
  <c r="K107" i="108"/>
  <c r="L108" i="107"/>
  <c r="F107" i="107"/>
  <c r="I107" i="107"/>
  <c r="E107" i="107"/>
  <c r="N107" i="107"/>
  <c r="C107" i="108"/>
  <c r="N107" i="108"/>
  <c r="F107" i="108"/>
  <c r="I107" i="108"/>
  <c r="E107" i="108"/>
  <c r="H107" i="107"/>
  <c r="D108" i="107"/>
  <c r="J108" i="107"/>
  <c r="I108" i="107"/>
  <c r="E108" i="107"/>
  <c r="AE42" i="105"/>
  <c r="AF42" i="105"/>
  <c r="AE42" i="101"/>
  <c r="AF42" i="101"/>
  <c r="M59" i="93"/>
  <c r="N60" i="93"/>
  <c r="G60" i="93"/>
  <c r="E60" i="93"/>
  <c r="H60" i="93"/>
  <c r="J60" i="93"/>
  <c r="F60" i="93"/>
  <c r="D60" i="93"/>
  <c r="K60" i="93"/>
  <c r="L60" i="93"/>
  <c r="I60" i="93"/>
  <c r="AE24" i="93"/>
  <c r="AE22" i="93"/>
  <c r="AF23" i="93"/>
  <c r="AE23" i="93"/>
  <c r="AF24" i="93"/>
  <c r="AF22" i="93"/>
  <c r="AE26" i="93"/>
  <c r="AF27" i="93"/>
  <c r="AF28" i="93"/>
  <c r="AF25" i="93"/>
  <c r="AE27" i="93"/>
  <c r="AE28" i="93"/>
  <c r="AE25" i="93"/>
  <c r="AF26" i="93"/>
  <c r="D59" i="93"/>
  <c r="C59" i="93"/>
  <c r="L59" i="93"/>
  <c r="F59" i="93"/>
  <c r="J59" i="93"/>
  <c r="E59" i="93"/>
  <c r="H59" i="93"/>
  <c r="K59" i="93"/>
  <c r="N59" i="93"/>
  <c r="I59" i="93"/>
  <c r="P58" i="111"/>
  <c r="P106" i="111" s="1"/>
  <c r="C106" i="111"/>
  <c r="S22" i="111"/>
  <c r="S41" i="111" s="1"/>
  <c r="S42" i="111" s="1"/>
  <c r="O58" i="111"/>
  <c r="O106" i="111" s="1"/>
  <c r="AF38" i="111" l="1"/>
  <c r="AF35" i="111"/>
  <c r="AE36" i="111"/>
  <c r="AE39" i="111"/>
  <c r="AF39" i="111"/>
  <c r="AF36" i="111"/>
  <c r="AE38" i="111"/>
  <c r="AE35" i="111"/>
  <c r="AF40" i="111"/>
  <c r="AF22" i="111"/>
  <c r="AF41" i="111" s="1"/>
  <c r="AF42" i="111" s="1"/>
  <c r="C107" i="111"/>
  <c r="L107" i="111"/>
  <c r="D107" i="111"/>
  <c r="G107" i="111"/>
  <c r="H107" i="111"/>
  <c r="E107" i="111"/>
  <c r="I107" i="111"/>
  <c r="F107" i="111"/>
  <c r="N107" i="111"/>
  <c r="J107" i="111"/>
  <c r="M107" i="111"/>
  <c r="K107" i="111"/>
  <c r="E108" i="111"/>
  <c r="I108" i="111"/>
  <c r="F108" i="111"/>
  <c r="G108" i="111"/>
  <c r="D108" i="111"/>
  <c r="N108" i="111"/>
  <c r="L108" i="111"/>
  <c r="K108" i="111"/>
  <c r="H108" i="111"/>
  <c r="J108" i="111"/>
  <c r="C108" i="111"/>
  <c r="AE22" i="111"/>
  <c r="AE41" i="111" s="1"/>
  <c r="AE42" i="111" s="1"/>
</calcChain>
</file>

<file path=xl/sharedStrings.xml><?xml version="1.0" encoding="utf-8"?>
<sst xmlns="http://schemas.openxmlformats.org/spreadsheetml/2006/main" count="2342" uniqueCount="189">
  <si>
    <t>Time / Veh Type</t>
  </si>
  <si>
    <t xml:space="preserve">  Location</t>
  </si>
  <si>
    <t xml:space="preserve">  Dir. To</t>
  </si>
  <si>
    <t>Date</t>
  </si>
  <si>
    <t>Dir. From</t>
  </si>
  <si>
    <t>Surveyor</t>
  </si>
  <si>
    <t>0700-0800</t>
  </si>
  <si>
    <t>0800-0900</t>
  </si>
  <si>
    <t>0900-1000</t>
  </si>
  <si>
    <t>1000-1100</t>
  </si>
  <si>
    <t>1100-1200</t>
  </si>
  <si>
    <t>1200-1300</t>
  </si>
  <si>
    <t>1300-1400</t>
  </si>
  <si>
    <t>1400-1500</t>
  </si>
  <si>
    <t>1500-1600</t>
  </si>
  <si>
    <t>1600-1700</t>
  </si>
  <si>
    <t>1700-1800</t>
  </si>
  <si>
    <t>12 Hours</t>
  </si>
  <si>
    <t>Totals</t>
  </si>
  <si>
    <t>Time</t>
  </si>
  <si>
    <t>1800-1900</t>
  </si>
  <si>
    <t>Supervisor</t>
  </si>
  <si>
    <t>Total All</t>
  </si>
  <si>
    <t>Consultancy services for Preparation of Expressway Development Master Plan (EDMP) for Uganda</t>
  </si>
  <si>
    <t>1. Car</t>
  </si>
  <si>
    <t>2. Station Wagon</t>
  </si>
  <si>
    <t>3. Pickups</t>
  </si>
  <si>
    <t>4. Minibus, matatu</t>
  </si>
  <si>
    <t xml:space="preserve">5. Medium bus </t>
  </si>
  <si>
    <t>6. Large Bus</t>
  </si>
  <si>
    <t xml:space="preserve">7. Light Truck </t>
  </si>
  <si>
    <t xml:space="preserve">8. Medium Truck </t>
  </si>
  <si>
    <t xml:space="preserve">9. Heavy truck </t>
  </si>
  <si>
    <t xml:space="preserve">10. Truck Trailer </t>
  </si>
  <si>
    <t>11. Motorcycles</t>
  </si>
  <si>
    <t>12. Tractors, Graders</t>
  </si>
  <si>
    <t>Total Excl M/Cycles</t>
  </si>
  <si>
    <t>07.00 - 07.15</t>
  </si>
  <si>
    <t>07.15 - 07.30</t>
  </si>
  <si>
    <t>07.30 - 07.45</t>
  </si>
  <si>
    <t>07.45 - 08.00</t>
  </si>
  <si>
    <t>08.00 - 08.15</t>
  </si>
  <si>
    <t>08.15 - 08.30</t>
  </si>
  <si>
    <t>08.30 - 08.45</t>
  </si>
  <si>
    <t>08.45 - 9.00</t>
  </si>
  <si>
    <t>09.00 - 09.15</t>
  </si>
  <si>
    <t>09.15 - 09.30</t>
  </si>
  <si>
    <t>09.30 - 09.45</t>
  </si>
  <si>
    <t>09.45 - 10.00</t>
  </si>
  <si>
    <t>10.00 - 10.15</t>
  </si>
  <si>
    <t>10.15 - 10.30</t>
  </si>
  <si>
    <t>10.30 - 10.45</t>
  </si>
  <si>
    <t>10.45 - 11.00</t>
  </si>
  <si>
    <t>11.00 - 11.15</t>
  </si>
  <si>
    <t>11.15 - 11.30</t>
  </si>
  <si>
    <t>11.30 - 11.45</t>
  </si>
  <si>
    <t>11.45 - 12.00</t>
  </si>
  <si>
    <t>12.00 - 12.15</t>
  </si>
  <si>
    <t>12.15 - 12.30</t>
  </si>
  <si>
    <t>12.30 - 12.45</t>
  </si>
  <si>
    <t>12.45 - 13.00</t>
  </si>
  <si>
    <t>13.00 - 13.15</t>
  </si>
  <si>
    <t>13.15 - 13.30</t>
  </si>
  <si>
    <t>13.30 - 13.45</t>
  </si>
  <si>
    <t>13.45 - 14.00</t>
  </si>
  <si>
    <t>14.00 - 14.15</t>
  </si>
  <si>
    <t>14.15 - 14.30</t>
  </si>
  <si>
    <t>14.30 - 14.45</t>
  </si>
  <si>
    <t>14.45 - 15.00</t>
  </si>
  <si>
    <t>15.00 - 15.15</t>
  </si>
  <si>
    <t>15.15 - 15.30</t>
  </si>
  <si>
    <t>15.30 - 15.45</t>
  </si>
  <si>
    <t>15.45 - 16.00</t>
  </si>
  <si>
    <t>16.00 - 16.15</t>
  </si>
  <si>
    <t>16.15 -16.30</t>
  </si>
  <si>
    <t>16.30 -16.45</t>
  </si>
  <si>
    <t>16.45 -17.00</t>
  </si>
  <si>
    <t>17.00 -17.15</t>
  </si>
  <si>
    <t>17.15 -17.30</t>
  </si>
  <si>
    <t>17.30 -17.45</t>
  </si>
  <si>
    <t>17.45 -18.00</t>
  </si>
  <si>
    <t>18.00 - 18.15</t>
  </si>
  <si>
    <t>18.15 - 18.30</t>
  </si>
  <si>
    <t>18.30 - 18.45</t>
  </si>
  <si>
    <t>18.45 - 19.00</t>
  </si>
  <si>
    <t>AM Period</t>
  </si>
  <si>
    <t>IP Period</t>
  </si>
  <si>
    <t>PM Period</t>
  </si>
  <si>
    <t>SUMMARY TRAFFIC VOLUMES</t>
  </si>
  <si>
    <t>Total Excl M/ Cycles</t>
  </si>
  <si>
    <t>AM Peak Hr</t>
  </si>
  <si>
    <t>IP Peak Hr</t>
  </si>
  <si>
    <t>PM Peak Hr</t>
  </si>
  <si>
    <t>%ges + MCs</t>
  </si>
  <si>
    <t>%ges w/o MCs</t>
  </si>
  <si>
    <t>MANUAL CLASSIFIED COUNT (MCC)</t>
  </si>
  <si>
    <t>ROAD NAME:</t>
  </si>
  <si>
    <t>12. Tractors</t>
  </si>
  <si>
    <t>11. Motor cycles</t>
  </si>
  <si>
    <t>19.00 - 19.15</t>
  </si>
  <si>
    <t>19.15 - 19.30</t>
  </si>
  <si>
    <t>19.30 - 19.45</t>
  </si>
  <si>
    <t>19.45 - 20.00</t>
  </si>
  <si>
    <t>21.00 - 21.15</t>
  </si>
  <si>
    <t>21.15 - 21.30</t>
  </si>
  <si>
    <t>21.30 - 21.45</t>
  </si>
  <si>
    <t>21.45 - 22.00</t>
  </si>
  <si>
    <t>20.00 - 20.15</t>
  </si>
  <si>
    <t>20.15 - 20.30</t>
  </si>
  <si>
    <t>20.30 - 20.45</t>
  </si>
  <si>
    <t>22.00 - 22.15</t>
  </si>
  <si>
    <t>22.15 - 22.30</t>
  </si>
  <si>
    <t>22.30 - 22.45</t>
  </si>
  <si>
    <t>22.45 - 23.00</t>
  </si>
  <si>
    <t>23.00 - 23.15</t>
  </si>
  <si>
    <t>23.15 - 23.30</t>
  </si>
  <si>
    <t>23.30 - 23.45</t>
  </si>
  <si>
    <t>23.45 - 00.00</t>
  </si>
  <si>
    <t>00.00 - 00.15</t>
  </si>
  <si>
    <t>00.15 - 00.30</t>
  </si>
  <si>
    <t>00.30 - 00.45</t>
  </si>
  <si>
    <t>00.45 - 01.00</t>
  </si>
  <si>
    <t>01.00 - 01.15</t>
  </si>
  <si>
    <t>01.15 - 01.30</t>
  </si>
  <si>
    <t>01.30 - 01.45</t>
  </si>
  <si>
    <t>01.45 - 02.00</t>
  </si>
  <si>
    <t>02.00 - 02.15</t>
  </si>
  <si>
    <t>02.15 - 02.30</t>
  </si>
  <si>
    <t>02.30 - 02.45</t>
  </si>
  <si>
    <t>02.45 - 03.00</t>
  </si>
  <si>
    <t>03.00 - 03.15</t>
  </si>
  <si>
    <t>03.15 - 03.30</t>
  </si>
  <si>
    <t>03.30 - 03.45</t>
  </si>
  <si>
    <t>03.45 - 04.00</t>
  </si>
  <si>
    <t>04.00 - 04.15</t>
  </si>
  <si>
    <t>04.15 - 04.30</t>
  </si>
  <si>
    <t>04.30 - 04.45</t>
  </si>
  <si>
    <t>04.45 - 05.00</t>
  </si>
  <si>
    <t>05.00 - 05.15</t>
  </si>
  <si>
    <t>05.15 - 05.30</t>
  </si>
  <si>
    <t>05.30 - 05.45</t>
  </si>
  <si>
    <t>05.45 - 06.00</t>
  </si>
  <si>
    <t>06.00 - 06.15</t>
  </si>
  <si>
    <t>06.15 - 06.30</t>
  </si>
  <si>
    <t>06.30 - 06.45</t>
  </si>
  <si>
    <t>06.45 - 07.00</t>
  </si>
  <si>
    <t>1900-2000</t>
  </si>
  <si>
    <t>2000-2100</t>
  </si>
  <si>
    <t>2100-2200</t>
  </si>
  <si>
    <t>2200-2300</t>
  </si>
  <si>
    <t>2300-0000</t>
  </si>
  <si>
    <t>0000-0100</t>
  </si>
  <si>
    <t>0100-0200</t>
  </si>
  <si>
    <t>0200-0300</t>
  </si>
  <si>
    <t>0300-0400</t>
  </si>
  <si>
    <t>0400-0500</t>
  </si>
  <si>
    <t>0500-0600</t>
  </si>
  <si>
    <t>0600-0700</t>
  </si>
  <si>
    <t>20.45 - 21.00</t>
  </si>
  <si>
    <t>24 Hrs/ADT</t>
  </si>
  <si>
    <t>NEF</t>
  </si>
  <si>
    <t>BOTH DIRECTIONS</t>
  </si>
  <si>
    <t>23.07.19</t>
  </si>
  <si>
    <t>24.07.19</t>
  </si>
  <si>
    <t>25.07.19</t>
  </si>
  <si>
    <t>26.07.19</t>
  </si>
  <si>
    <t>27.07.19</t>
  </si>
  <si>
    <t>28.07.19</t>
  </si>
  <si>
    <t>AVERAGE WEEK</t>
  </si>
  <si>
    <t>BWAISE</t>
  </si>
  <si>
    <t>SAHSEN PLAZA</t>
  </si>
  <si>
    <t>RUTH</t>
  </si>
  <si>
    <t>SALIMAH</t>
  </si>
  <si>
    <t>ANTHONY</t>
  </si>
  <si>
    <t>Bwaise</t>
  </si>
  <si>
    <t>MAKARERE</t>
  </si>
  <si>
    <t>PREMIUM DESIGN LTD</t>
  </si>
  <si>
    <t>OMASET</t>
  </si>
  <si>
    <t>9*</t>
  </si>
  <si>
    <t>MCC-C1-STNO21 SIR APOLLO ROAD</t>
  </si>
  <si>
    <t>MAKERERE</t>
  </si>
  <si>
    <t>OKELLO PETER</t>
  </si>
  <si>
    <t>Makerere</t>
  </si>
  <si>
    <t>MCC - C1 - STN021- SIR APOLLO ROAD</t>
  </si>
  <si>
    <t>SIR APOLLO KAGGWA ROAD</t>
  </si>
  <si>
    <t>PREMIUM DESIGN</t>
  </si>
  <si>
    <t>OMASET SEROME</t>
  </si>
  <si>
    <t>OMASET JEROME</t>
  </si>
  <si>
    <t>24 Hours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</si>
</sst>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_-* #,##0_-;\-* #,##0_-;_-* &quot;-&quot;_-;_-@_-"/>
    <numFmt numFmtId="165" formatCode="0.0%"/>
    <numFmt numFmtId="166" formatCode="0.000"/>
  </numFmts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name val="Arial"/>
      <family val="2"/>
    </font>
    <font>
      <sz val="11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0"/>
      <color theme="1"/>
      <name val="Calibri"/>
      <family val="2"/>
      <scheme val="minor"/>
    </font>
    <font>
      <b/>
      <sz val="12"/>
      <color theme="1"/>
      <name val="Arial"/>
      <family val="2"/>
    </font>
    <font>
      <i/>
      <sz val="11"/>
      <color theme="1"/>
      <name val="Calibri"/>
      <family val="2"/>
      <scheme val="minor"/>
    </font>
    <font>
      <b/>
      <sz val="14"/>
      <name val="Arial"/>
      <family val="2"/>
    </font>
    <font>
      <b/>
      <sz val="16"/>
      <name val="Arial"/>
      <family val="2"/>
    </font>
    <font>
      <sz val="8"/>
      <name val="Calibri"/>
      <family val="2"/>
      <scheme val="minor"/>
    </font>
    <font>
      <b/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9FCD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3">
    <xf numFmtId="0" fontId="0" fillId="0" borderId="0"/>
    <xf numFmtId="9" fontId="3" fillId="0" borderId="0" applyFont="0" applyFill="0" applyBorder="0" applyAlignment="0" applyProtection="0"/>
    <xf numFmtId="164" fontId="3" fillId="0" borderId="0" applyFont="0" applyFill="0" applyBorder="0" applyAlignment="0" applyProtection="0"/>
  </cellStyleXfs>
  <cellXfs count="76">
    <xf numFmtId="0" fontId="0" fillId="0" borderId="0" xfId="0"/>
    <xf numFmtId="0" fontId="0" fillId="0" borderId="1" xfId="0" applyBorder="1"/>
    <xf numFmtId="0" fontId="1" fillId="0" borderId="0" xfId="0" applyFont="1"/>
    <xf numFmtId="0" fontId="0" fillId="0" borderId="0" xfId="0" applyBorder="1"/>
    <xf numFmtId="0" fontId="1" fillId="0" borderId="0" xfId="0" applyFont="1" applyAlignment="1"/>
    <xf numFmtId="0" fontId="1" fillId="0" borderId="1" xfId="0" applyFont="1" applyBorder="1"/>
    <xf numFmtId="9" fontId="0" fillId="0" borderId="0" xfId="1" applyFont="1"/>
    <xf numFmtId="0" fontId="0" fillId="0" borderId="0" xfId="0" applyFont="1" applyFill="1"/>
    <xf numFmtId="0" fontId="0" fillId="0" borderId="0" xfId="0" applyFont="1" applyFill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0" xfId="0" applyFont="1"/>
    <xf numFmtId="1" fontId="0" fillId="0" borderId="1" xfId="0" applyNumberFormat="1" applyFill="1" applyBorder="1" applyAlignment="1">
      <alignment horizontal="center"/>
    </xf>
    <xf numFmtId="1" fontId="1" fillId="0" borderId="1" xfId="0" applyNumberFormat="1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165" fontId="0" fillId="0" borderId="0" xfId="0" applyNumberFormat="1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7" fillId="0" borderId="1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8" fillId="0" borderId="5" xfId="0" applyFont="1" applyFill="1" applyBorder="1" applyAlignment="1">
      <alignment horizontal="left" vertical="center"/>
    </xf>
    <xf numFmtId="0" fontId="9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wrapText="1"/>
    </xf>
    <xf numFmtId="0" fontId="1" fillId="0" borderId="1" xfId="0" applyFont="1" applyBorder="1" applyAlignment="1">
      <alignment wrapText="1"/>
    </xf>
    <xf numFmtId="0" fontId="9" fillId="3" borderId="4" xfId="0" applyFont="1" applyFill="1" applyBorder="1" applyAlignment="1">
      <alignment horizontal="center" vertical="center" wrapText="1"/>
    </xf>
    <xf numFmtId="1" fontId="0" fillId="3" borderId="1" xfId="0" applyNumberFormat="1" applyFill="1" applyBorder="1" applyAlignment="1">
      <alignment horizontal="center"/>
    </xf>
    <xf numFmtId="1" fontId="1" fillId="3" borderId="1" xfId="0" applyNumberFormat="1" applyFont="1" applyFill="1" applyBorder="1" applyAlignment="1">
      <alignment horizontal="center"/>
    </xf>
    <xf numFmtId="0" fontId="0" fillId="0" borderId="5" xfId="0" applyFont="1" applyFill="1" applyBorder="1"/>
    <xf numFmtId="1" fontId="0" fillId="0" borderId="4" xfId="0" applyNumberForma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0" fontId="0" fillId="0" borderId="4" xfId="0" applyBorder="1"/>
    <xf numFmtId="0" fontId="1" fillId="0" borderId="8" xfId="0" applyFont="1" applyBorder="1" applyAlignment="1">
      <alignment wrapText="1"/>
    </xf>
    <xf numFmtId="0" fontId="11" fillId="0" borderId="9" xfId="0" applyFont="1" applyFill="1" applyBorder="1"/>
    <xf numFmtId="1" fontId="11" fillId="0" borderId="9" xfId="0" applyNumberFormat="1" applyFont="1" applyFill="1" applyBorder="1" applyAlignment="1">
      <alignment horizontal="center"/>
    </xf>
    <xf numFmtId="1" fontId="11" fillId="3" borderId="1" xfId="0" applyNumberFormat="1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8" fillId="0" borderId="7" xfId="0" applyFont="1" applyFill="1" applyBorder="1" applyAlignment="1">
      <alignment horizontal="center" vertical="center"/>
    </xf>
    <xf numFmtId="165" fontId="1" fillId="0" borderId="4" xfId="1" applyNumberFormat="1" applyFont="1" applyBorder="1" applyAlignment="1">
      <alignment horizontal="center"/>
    </xf>
    <xf numFmtId="10" fontId="1" fillId="0" borderId="9" xfId="1" applyNumberFormat="1" applyFont="1" applyBorder="1"/>
    <xf numFmtId="0" fontId="7" fillId="0" borderId="1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166" fontId="1" fillId="0" borderId="1" xfId="0" applyNumberFormat="1" applyFont="1" applyBorder="1" applyAlignment="1">
      <alignment horizontal="center"/>
    </xf>
    <xf numFmtId="1" fontId="0" fillId="0" borderId="1" xfId="0" applyNumberFormat="1" applyFill="1" applyBorder="1" applyAlignment="1">
      <alignment horizontal="center" vertical="center"/>
    </xf>
    <xf numFmtId="1" fontId="0" fillId="4" borderId="1" xfId="0" applyNumberFormat="1" applyFill="1" applyBorder="1" applyAlignment="1">
      <alignment horizontal="center" vertical="center"/>
    </xf>
    <xf numFmtId="14" fontId="0" fillId="0" borderId="4" xfId="0" applyNumberFormat="1" applyBorder="1"/>
    <xf numFmtId="0" fontId="8" fillId="0" borderId="5" xfId="0" applyFont="1" applyBorder="1" applyAlignment="1">
      <alignment horizontal="left" vertical="center"/>
    </xf>
    <xf numFmtId="0" fontId="11" fillId="0" borderId="9" xfId="0" applyFont="1" applyBorder="1"/>
    <xf numFmtId="1" fontId="11" fillId="0" borderId="9" xfId="0" applyNumberFormat="1" applyFont="1" applyBorder="1" applyAlignment="1">
      <alignment horizontal="center"/>
    </xf>
    <xf numFmtId="164" fontId="1" fillId="0" borderId="8" xfId="2" applyFont="1" applyBorder="1" applyAlignment="1">
      <alignment horizontal="center"/>
    </xf>
    <xf numFmtId="164" fontId="1" fillId="0" borderId="1" xfId="2" applyFont="1" applyBorder="1" applyAlignment="1">
      <alignment horizontal="center"/>
    </xf>
    <xf numFmtId="164" fontId="1" fillId="3" borderId="1" xfId="2" applyFont="1" applyFill="1" applyBorder="1" applyAlignment="1">
      <alignment horizontal="center"/>
    </xf>
    <xf numFmtId="166" fontId="1" fillId="3" borderId="1" xfId="0" applyNumberFormat="1" applyFont="1" applyFill="1" applyBorder="1" applyAlignment="1">
      <alignment horizontal="center"/>
    </xf>
    <xf numFmtId="2" fontId="1" fillId="0" borderId="1" xfId="0" applyNumberFormat="1" applyFont="1" applyBorder="1" applyAlignment="1">
      <alignment horizontal="center"/>
    </xf>
    <xf numFmtId="2" fontId="1" fillId="3" borderId="1" xfId="0" applyNumberFormat="1" applyFont="1" applyFill="1" applyBorder="1" applyAlignment="1">
      <alignment horizontal="center"/>
    </xf>
    <xf numFmtId="0" fontId="8" fillId="2" borderId="2" xfId="0" applyFont="1" applyFill="1" applyBorder="1" applyAlignment="1">
      <alignment horizontal="left" vertical="center" wrapText="1"/>
    </xf>
    <xf numFmtId="0" fontId="8" fillId="2" borderId="3" xfId="0" applyFont="1" applyFill="1" applyBorder="1" applyAlignment="1">
      <alignment horizontal="left" vertical="center" wrapText="1"/>
    </xf>
    <xf numFmtId="0" fontId="10" fillId="0" borderId="6" xfId="0" applyFont="1" applyFill="1" applyBorder="1" applyAlignment="1">
      <alignment horizontal="center"/>
    </xf>
    <xf numFmtId="0" fontId="13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8" fillId="0" borderId="2" xfId="0" applyFont="1" applyFill="1" applyBorder="1" applyAlignment="1">
      <alignment horizontal="left" vertical="center" wrapText="1"/>
    </xf>
    <xf numFmtId="0" fontId="8" fillId="0" borderId="3" xfId="0" applyFont="1" applyFill="1" applyBorder="1" applyAlignment="1">
      <alignment horizontal="left" vertical="center" wrapText="1"/>
    </xf>
    <xf numFmtId="0" fontId="8" fillId="0" borderId="2" xfId="0" applyFont="1" applyBorder="1" applyAlignment="1">
      <alignment horizontal="left" vertical="center" wrapText="1"/>
    </xf>
    <xf numFmtId="0" fontId="8" fillId="0" borderId="3" xfId="0" applyFont="1" applyBorder="1" applyAlignment="1">
      <alignment horizontal="left" vertical="center" wrapText="1"/>
    </xf>
    <xf numFmtId="0" fontId="2" fillId="0" borderId="9" xfId="0" applyFont="1" applyFill="1" applyBorder="1" applyAlignment="1">
      <alignment horizontal="center"/>
    </xf>
    <xf numFmtId="0" fontId="1" fillId="0" borderId="2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5" fillId="0" borderId="2" xfId="0" applyFont="1" applyBorder="1" applyAlignment="1">
      <alignment horizontal="left" vertical="center" wrapText="1"/>
    </xf>
    <xf numFmtId="0" fontId="15" fillId="0" borderId="3" xfId="0" applyFont="1" applyBorder="1" applyAlignment="1">
      <alignment horizontal="left" vertical="center" wrapText="1"/>
    </xf>
  </cellXfs>
  <cellStyles count="3">
    <cellStyle name="Comma [0]" xfId="2" builtinId="6"/>
    <cellStyle name="Normal" xfId="0" builtinId="0"/>
    <cellStyle name="Percent" xfId="1" builtinId="5"/>
  </cellStyles>
  <dxfs count="0"/>
  <tableStyles count="0" defaultTableStyle="TableStyleMedium9" defaultPivotStyle="PivotStyleLight16"/>
  <colors>
    <mruColors>
      <color rgb="FFF9FCD2"/>
      <color rgb="FFF0F2D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60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6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'22.07 Bwaise-Makerere'!$AE$9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'22.07 Bwaise-Makerere'!$R$10:$R$21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'22.07 Bwaise-Makerere'!$AE$10:$AE$21</c:f>
              <c:numCache>
                <c:formatCode>0</c:formatCode>
                <c:ptCount val="12"/>
                <c:pt idx="0">
                  <c:v>534</c:v>
                </c:pt>
                <c:pt idx="1">
                  <c:v>816</c:v>
                </c:pt>
                <c:pt idx="2">
                  <c:v>525</c:v>
                </c:pt>
                <c:pt idx="3">
                  <c:v>674</c:v>
                </c:pt>
                <c:pt idx="4">
                  <c:v>538</c:v>
                </c:pt>
                <c:pt idx="5">
                  <c:v>368</c:v>
                </c:pt>
                <c:pt idx="6">
                  <c:v>436</c:v>
                </c:pt>
                <c:pt idx="7">
                  <c:v>442</c:v>
                </c:pt>
                <c:pt idx="8">
                  <c:v>445</c:v>
                </c:pt>
                <c:pt idx="9">
                  <c:v>465</c:v>
                </c:pt>
                <c:pt idx="10">
                  <c:v>467</c:v>
                </c:pt>
                <c:pt idx="11">
                  <c:v>320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2E1-4581-8355-9A9D08B6A3D4}"/>
            </c:ext>
          </c:extLst>
        </c:ser>
        <c:ser>
          <c:idx val="1"/>
          <c:order val="1"/>
          <c:tx>
            <c:strRef>
              <c:f>'22.07 Bwaise-Makerere'!$AF$9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'22.07 Bwaise-Makerere'!$R$10:$R$21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'22.07 Bwaise-Makerere'!$AF$10:$AF$21</c:f>
              <c:numCache>
                <c:formatCode>0</c:formatCode>
                <c:ptCount val="12"/>
                <c:pt idx="0">
                  <c:v>929</c:v>
                </c:pt>
                <c:pt idx="1">
                  <c:v>1610</c:v>
                </c:pt>
                <c:pt idx="2">
                  <c:v>1045</c:v>
                </c:pt>
                <c:pt idx="3">
                  <c:v>1254</c:v>
                </c:pt>
                <c:pt idx="4">
                  <c:v>1023</c:v>
                </c:pt>
                <c:pt idx="5">
                  <c:v>744</c:v>
                </c:pt>
                <c:pt idx="6">
                  <c:v>901</c:v>
                </c:pt>
                <c:pt idx="7">
                  <c:v>794</c:v>
                </c:pt>
                <c:pt idx="8">
                  <c:v>682</c:v>
                </c:pt>
                <c:pt idx="9">
                  <c:v>1025</c:v>
                </c:pt>
                <c:pt idx="10">
                  <c:v>1036</c:v>
                </c:pt>
                <c:pt idx="11">
                  <c:v>870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A2E1-4581-8355-9A9D08B6A3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948288"/>
        <c:axId val="85949824"/>
      </c:lineChart>
      <c:catAx>
        <c:axId val="85948288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5949824"/>
        <c:crosses val="autoZero"/>
        <c:auto val="1"/>
        <c:lblAlgn val="ctr"/>
        <c:lblOffset val="100"/>
        <c:noMultiLvlLbl val="0"/>
      </c:catAx>
      <c:valAx>
        <c:axId val="8594982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59482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966C-49DF-A540-BEECCA775C9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966C-49DF-A540-BEECCA775C9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966C-49DF-A540-BEECCA775C9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966C-49DF-A540-BEECCA775C9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966C-49DF-A540-BEECCA775C95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966C-49DF-A540-BEECCA775C95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966C-49DF-A540-BEECCA775C95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966C-49DF-A540-BEECCA775C95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966C-49DF-A540-BEECCA775C95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966C-49DF-A540-BEECCA775C95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966C-49DF-A540-BEECCA775C95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966C-49DF-A540-BEECCA775C95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966C-49DF-A540-BEECCA775C9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'22.07 Bwaise-Makerere'!$C$9:$N$9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'22.07 Bwaise-Makerere'!$C$59:$N$59</c:f>
              <c:numCache>
                <c:formatCode>0.0%</c:formatCode>
                <c:ptCount val="12"/>
                <c:pt idx="0">
                  <c:v>0.19852262234533702</c:v>
                </c:pt>
                <c:pt idx="1">
                  <c:v>6.1109712079241166E-2</c:v>
                </c:pt>
                <c:pt idx="2">
                  <c:v>2.7449005288340468E-2</c:v>
                </c:pt>
                <c:pt idx="3">
                  <c:v>0.16696046335935533</c:v>
                </c:pt>
                <c:pt idx="4">
                  <c:v>3.6095022244606732E-3</c:v>
                </c:pt>
                <c:pt idx="5">
                  <c:v>4.2810375220347519E-3</c:v>
                </c:pt>
                <c:pt idx="6">
                  <c:v>2.9547553093259463E-2</c:v>
                </c:pt>
                <c:pt idx="7">
                  <c:v>8.4781331318727442E-3</c:v>
                </c:pt>
                <c:pt idx="8">
                  <c:v>4.6168051708217915E-3</c:v>
                </c:pt>
                <c:pt idx="9">
                  <c:v>1.5109544195416771E-3</c:v>
                </c:pt>
                <c:pt idx="10">
                  <c:v>0.49383026945353814</c:v>
                </c:pt>
                <c:pt idx="11">
                  <c:v>8.3941912196759848E-5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966C-49DF-A540-BEECCA775C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EE16-490A-B833-4EE796B330D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EE16-490A-B833-4EE796B330D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EE16-490A-B833-4EE796B330D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EE16-490A-B833-4EE796B330D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EE16-490A-B833-4EE796B330D7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EE16-490A-B833-4EE796B330D7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EE16-490A-B833-4EE796B330D7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EE16-490A-B833-4EE796B330D7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EE16-490A-B833-4EE796B330D7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EE16-490A-B833-4EE796B330D7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EE16-490A-B833-4EE796B330D7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EE16-490A-B833-4EE796B330D7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EE16-490A-B833-4EE796B330D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'22.07 Bwaise-Makerere'!$C$9:$N$9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'22.07 Bwaise-Makerere'!$C$60:$N$60</c:f>
              <c:numCache>
                <c:formatCode>0.00%</c:formatCode>
                <c:ptCount val="12"/>
                <c:pt idx="0">
                  <c:v>0.39220563847429518</c:v>
                </c:pt>
                <c:pt idx="1">
                  <c:v>0.12072968490878938</c:v>
                </c:pt>
                <c:pt idx="2">
                  <c:v>5.4228855721393035E-2</c:v>
                </c:pt>
                <c:pt idx="3">
                  <c:v>0.32985074626865674</c:v>
                </c:pt>
                <c:pt idx="4">
                  <c:v>7.1310116086235487E-3</c:v>
                </c:pt>
                <c:pt idx="5">
                  <c:v>8.4577114427860697E-3</c:v>
                </c:pt>
                <c:pt idx="6">
                  <c:v>5.8374792703150914E-2</c:v>
                </c:pt>
                <c:pt idx="7">
                  <c:v>1.6749585406301823E-2</c:v>
                </c:pt>
                <c:pt idx="8">
                  <c:v>9.1210613598673301E-3</c:v>
                </c:pt>
                <c:pt idx="9">
                  <c:v>2.9850746268656717E-3</c:v>
                </c:pt>
                <c:pt idx="11">
                  <c:v>1.6583747927031509E-4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EE16-490A-B833-4EE796B330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'22.07 MAKERERE-BWAISE'!$AE$9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'22.07 MAKERERE-BWAISE'!$R$10:$R$21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'22.07 MAKERERE-BWAISE'!$AE$10:$AE$21</c:f>
              <c:numCache>
                <c:formatCode>0</c:formatCode>
                <c:ptCount val="12"/>
                <c:pt idx="0">
                  <c:v>329</c:v>
                </c:pt>
                <c:pt idx="1">
                  <c:v>423</c:v>
                </c:pt>
                <c:pt idx="2">
                  <c:v>347</c:v>
                </c:pt>
                <c:pt idx="3">
                  <c:v>416</c:v>
                </c:pt>
                <c:pt idx="4">
                  <c:v>395</c:v>
                </c:pt>
                <c:pt idx="5">
                  <c:v>326</c:v>
                </c:pt>
                <c:pt idx="6">
                  <c:v>477</c:v>
                </c:pt>
                <c:pt idx="7">
                  <c:v>419</c:v>
                </c:pt>
                <c:pt idx="8">
                  <c:v>380</c:v>
                </c:pt>
                <c:pt idx="9">
                  <c:v>487</c:v>
                </c:pt>
                <c:pt idx="10">
                  <c:v>546</c:v>
                </c:pt>
                <c:pt idx="11">
                  <c:v>529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89C-45BB-88A7-B65865997A3E}"/>
            </c:ext>
          </c:extLst>
        </c:ser>
        <c:ser>
          <c:idx val="1"/>
          <c:order val="1"/>
          <c:tx>
            <c:strRef>
              <c:f>'22.07 MAKERERE-BWAISE'!$AF$9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'22.07 MAKERERE-BWAISE'!$R$10:$R$21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'22.07 MAKERERE-BWAISE'!$AF$10:$AF$21</c:f>
              <c:numCache>
                <c:formatCode>0</c:formatCode>
                <c:ptCount val="12"/>
                <c:pt idx="0">
                  <c:v>1009</c:v>
                </c:pt>
                <c:pt idx="1">
                  <c:v>2188</c:v>
                </c:pt>
                <c:pt idx="2">
                  <c:v>881</c:v>
                </c:pt>
                <c:pt idx="3">
                  <c:v>1240</c:v>
                </c:pt>
                <c:pt idx="4">
                  <c:v>1031</c:v>
                </c:pt>
                <c:pt idx="5">
                  <c:v>784</c:v>
                </c:pt>
                <c:pt idx="6">
                  <c:v>1040</c:v>
                </c:pt>
                <c:pt idx="7">
                  <c:v>843</c:v>
                </c:pt>
                <c:pt idx="8">
                  <c:v>614</c:v>
                </c:pt>
                <c:pt idx="9">
                  <c:v>952</c:v>
                </c:pt>
                <c:pt idx="10">
                  <c:v>996</c:v>
                </c:pt>
                <c:pt idx="11">
                  <c:v>940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A89C-45BB-88A7-B65865997A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6568320"/>
        <c:axId val="86590592"/>
      </c:lineChart>
      <c:catAx>
        <c:axId val="86568320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6590592"/>
        <c:crosses val="autoZero"/>
        <c:auto val="1"/>
        <c:lblAlgn val="ctr"/>
        <c:lblOffset val="100"/>
        <c:noMultiLvlLbl val="0"/>
      </c:catAx>
      <c:valAx>
        <c:axId val="8659059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6568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E8B9-4D32-9FA4-C5B7B71D021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E8B9-4D32-9FA4-C5B7B71D021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E8B9-4D32-9FA4-C5B7B71D021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E8B9-4D32-9FA4-C5B7B71D021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E8B9-4D32-9FA4-C5B7B71D021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E8B9-4D32-9FA4-C5B7B71D021F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E8B9-4D32-9FA4-C5B7B71D021F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E8B9-4D32-9FA4-C5B7B71D021F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E8B9-4D32-9FA4-C5B7B71D021F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E8B9-4D32-9FA4-C5B7B71D021F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E8B9-4D32-9FA4-C5B7B71D021F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E8B9-4D32-9FA4-C5B7B71D021F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E8B9-4D32-9FA4-C5B7B71D021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'22.07 MAKERERE-BWAISE'!$C$9:$N$9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'22.07 MAKERERE-BWAISE'!$C$59:$N$59</c:f>
              <c:numCache>
                <c:formatCode>0.0%</c:formatCode>
                <c:ptCount val="12"/>
                <c:pt idx="0">
                  <c:v>0.14834638121105609</c:v>
                </c:pt>
                <c:pt idx="1">
                  <c:v>3.4030995366671993E-2</c:v>
                </c:pt>
                <c:pt idx="2">
                  <c:v>2.4524684454385683E-2</c:v>
                </c:pt>
                <c:pt idx="3">
                  <c:v>0.15785269212334238</c:v>
                </c:pt>
                <c:pt idx="4">
                  <c:v>5.1126378015657449E-3</c:v>
                </c:pt>
                <c:pt idx="5">
                  <c:v>5.272407732864675E-3</c:v>
                </c:pt>
                <c:pt idx="6">
                  <c:v>1.9412046652819939E-2</c:v>
                </c:pt>
                <c:pt idx="7">
                  <c:v>7.269531874101294E-3</c:v>
                </c:pt>
                <c:pt idx="8">
                  <c:v>2.4764339351334079E-3</c:v>
                </c:pt>
                <c:pt idx="9">
                  <c:v>9.5861958779357723E-4</c:v>
                </c:pt>
                <c:pt idx="10">
                  <c:v>0.5946636842946158</c:v>
                </c:pt>
                <c:pt idx="11">
                  <c:v>7.9884965649464765E-5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E8B9-4D32-9FA4-C5B7B71D02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843"/>
          <c:y val="2.296022663732372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'22.07 MAKERERE-BWAISE'!$S$9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'22.07 MAKERERE-BWAISE'!$R$10:$R$21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'22.07 MAKERERE-BWAISE'!$S$10:$S$21</c:f>
              <c:numCache>
                <c:formatCode>0</c:formatCode>
                <c:ptCount val="12"/>
                <c:pt idx="0">
                  <c:v>128</c:v>
                </c:pt>
                <c:pt idx="1">
                  <c:v>130</c:v>
                </c:pt>
                <c:pt idx="2">
                  <c:v>87</c:v>
                </c:pt>
                <c:pt idx="3">
                  <c:v>108</c:v>
                </c:pt>
                <c:pt idx="4">
                  <c:v>135</c:v>
                </c:pt>
                <c:pt idx="5">
                  <c:v>122</c:v>
                </c:pt>
                <c:pt idx="6">
                  <c:v>141</c:v>
                </c:pt>
                <c:pt idx="7">
                  <c:v>153</c:v>
                </c:pt>
                <c:pt idx="8">
                  <c:v>180</c:v>
                </c:pt>
                <c:pt idx="9">
                  <c:v>202</c:v>
                </c:pt>
                <c:pt idx="10">
                  <c:v>250</c:v>
                </c:pt>
                <c:pt idx="11">
                  <c:v>221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651-40BE-9A1E-5B6943FE144C}"/>
            </c:ext>
          </c:extLst>
        </c:ser>
        <c:ser>
          <c:idx val="1"/>
          <c:order val="1"/>
          <c:tx>
            <c:strRef>
              <c:f>'22.07 MAKERERE-BWAISE'!$T$9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'22.07 MAKERERE-BWAISE'!$R$10:$R$21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'22.07 MAKERERE-BWAISE'!$T$10:$T$21</c:f>
              <c:numCache>
                <c:formatCode>0</c:formatCode>
                <c:ptCount val="12"/>
                <c:pt idx="0">
                  <c:v>25</c:v>
                </c:pt>
                <c:pt idx="1">
                  <c:v>21</c:v>
                </c:pt>
                <c:pt idx="2">
                  <c:v>27</c:v>
                </c:pt>
                <c:pt idx="3">
                  <c:v>36</c:v>
                </c:pt>
                <c:pt idx="4">
                  <c:v>22</c:v>
                </c:pt>
                <c:pt idx="5">
                  <c:v>29</c:v>
                </c:pt>
                <c:pt idx="6">
                  <c:v>29</c:v>
                </c:pt>
                <c:pt idx="7">
                  <c:v>53</c:v>
                </c:pt>
                <c:pt idx="8">
                  <c:v>30</c:v>
                </c:pt>
                <c:pt idx="9">
                  <c:v>56</c:v>
                </c:pt>
                <c:pt idx="10">
                  <c:v>57</c:v>
                </c:pt>
                <c:pt idx="11">
                  <c:v>41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4651-40BE-9A1E-5B6943FE144C}"/>
            </c:ext>
          </c:extLst>
        </c:ser>
        <c:ser>
          <c:idx val="2"/>
          <c:order val="2"/>
          <c:tx>
            <c:strRef>
              <c:f>'22.07 MAKERERE-BWAISE'!$U$9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'22.07 MAKERERE-BWAISE'!$U$10:$U$21</c:f>
              <c:numCache>
                <c:formatCode>0</c:formatCode>
                <c:ptCount val="12"/>
                <c:pt idx="0">
                  <c:v>11</c:v>
                </c:pt>
                <c:pt idx="1">
                  <c:v>7</c:v>
                </c:pt>
                <c:pt idx="2">
                  <c:v>8</c:v>
                </c:pt>
                <c:pt idx="3">
                  <c:v>13</c:v>
                </c:pt>
                <c:pt idx="4">
                  <c:v>15</c:v>
                </c:pt>
                <c:pt idx="5">
                  <c:v>21</c:v>
                </c:pt>
                <c:pt idx="6">
                  <c:v>21</c:v>
                </c:pt>
                <c:pt idx="7">
                  <c:v>51</c:v>
                </c:pt>
                <c:pt idx="8">
                  <c:v>26</c:v>
                </c:pt>
                <c:pt idx="9">
                  <c:v>29</c:v>
                </c:pt>
                <c:pt idx="10">
                  <c:v>29</c:v>
                </c:pt>
                <c:pt idx="11">
                  <c:v>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651-40BE-9A1E-5B6943FE144C}"/>
            </c:ext>
          </c:extLst>
        </c:ser>
        <c:ser>
          <c:idx val="3"/>
          <c:order val="3"/>
          <c:tx>
            <c:strRef>
              <c:f>'22.07 MAKERERE-BWAISE'!$V$9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'22.07 MAKERERE-BWAISE'!$V$10:$V$21</c:f>
              <c:numCache>
                <c:formatCode>0</c:formatCode>
                <c:ptCount val="12"/>
                <c:pt idx="0">
                  <c:v>142</c:v>
                </c:pt>
                <c:pt idx="1">
                  <c:v>232</c:v>
                </c:pt>
                <c:pt idx="2">
                  <c:v>202</c:v>
                </c:pt>
                <c:pt idx="3">
                  <c:v>216</c:v>
                </c:pt>
                <c:pt idx="4">
                  <c:v>180</c:v>
                </c:pt>
                <c:pt idx="5">
                  <c:v>124</c:v>
                </c:pt>
                <c:pt idx="6">
                  <c:v>178</c:v>
                </c:pt>
                <c:pt idx="7">
                  <c:v>127</c:v>
                </c:pt>
                <c:pt idx="8">
                  <c:v>108</c:v>
                </c:pt>
                <c:pt idx="9">
                  <c:v>160</c:v>
                </c:pt>
                <c:pt idx="10">
                  <c:v>169</c:v>
                </c:pt>
                <c:pt idx="11">
                  <c:v>138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651-40BE-9A1E-5B6943FE144C}"/>
            </c:ext>
          </c:extLst>
        </c:ser>
        <c:ser>
          <c:idx val="4"/>
          <c:order val="4"/>
          <c:tx>
            <c:strRef>
              <c:f>'22.07 MAKERERE-BWAISE'!$W$9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'22.07 MAKERERE-BWAISE'!$W$10:$W$21</c:f>
              <c:numCache>
                <c:formatCode>0</c:formatCode>
                <c:ptCount val="12"/>
                <c:pt idx="0">
                  <c:v>2</c:v>
                </c:pt>
                <c:pt idx="1">
                  <c:v>4</c:v>
                </c:pt>
                <c:pt idx="2">
                  <c:v>5</c:v>
                </c:pt>
                <c:pt idx="3">
                  <c:v>3</c:v>
                </c:pt>
                <c:pt idx="4">
                  <c:v>2</c:v>
                </c:pt>
                <c:pt idx="5">
                  <c:v>10</c:v>
                </c:pt>
                <c:pt idx="6">
                  <c:v>1</c:v>
                </c:pt>
                <c:pt idx="7">
                  <c:v>3</c:v>
                </c:pt>
                <c:pt idx="8">
                  <c:v>1</c:v>
                </c:pt>
                <c:pt idx="9">
                  <c:v>2</c:v>
                </c:pt>
                <c:pt idx="10">
                  <c:v>1</c:v>
                </c:pt>
                <c:pt idx="11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651-40BE-9A1E-5B6943FE144C}"/>
            </c:ext>
          </c:extLst>
        </c:ser>
        <c:ser>
          <c:idx val="5"/>
          <c:order val="5"/>
          <c:tx>
            <c:strRef>
              <c:f>'22.07 MAKERERE-BWAISE'!$X$9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'22.07 MAKERERE-BWAISE'!$X$10:$X$21</c:f>
              <c:numCache>
                <c:formatCode>0</c:formatCode>
                <c:ptCount val="12"/>
                <c:pt idx="0">
                  <c:v>2</c:v>
                </c:pt>
                <c:pt idx="1">
                  <c:v>2</c:v>
                </c:pt>
                <c:pt idx="2">
                  <c:v>5</c:v>
                </c:pt>
                <c:pt idx="3">
                  <c:v>7</c:v>
                </c:pt>
                <c:pt idx="4">
                  <c:v>18</c:v>
                </c:pt>
                <c:pt idx="5">
                  <c:v>7</c:v>
                </c:pt>
                <c:pt idx="6">
                  <c:v>1</c:v>
                </c:pt>
                <c:pt idx="7">
                  <c:v>10</c:v>
                </c:pt>
                <c:pt idx="8">
                  <c:v>3</c:v>
                </c:pt>
                <c:pt idx="9">
                  <c:v>2</c:v>
                </c:pt>
                <c:pt idx="10">
                  <c:v>0</c:v>
                </c:pt>
                <c:pt idx="11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651-40BE-9A1E-5B6943FE144C}"/>
            </c:ext>
          </c:extLst>
        </c:ser>
        <c:ser>
          <c:idx val="6"/>
          <c:order val="6"/>
          <c:tx>
            <c:strRef>
              <c:f>'22.07 MAKERERE-BWAISE'!$Y$9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'22.07 MAKERERE-BWAISE'!$Y$10:$Y$21</c:f>
              <c:numCache>
                <c:formatCode>0</c:formatCode>
                <c:ptCount val="12"/>
                <c:pt idx="0">
                  <c:v>11</c:v>
                </c:pt>
                <c:pt idx="1">
                  <c:v>15</c:v>
                </c:pt>
                <c:pt idx="2">
                  <c:v>9</c:v>
                </c:pt>
                <c:pt idx="3">
                  <c:v>14</c:v>
                </c:pt>
                <c:pt idx="4">
                  <c:v>7</c:v>
                </c:pt>
                <c:pt idx="5">
                  <c:v>8</c:v>
                </c:pt>
                <c:pt idx="6">
                  <c:v>89</c:v>
                </c:pt>
                <c:pt idx="7">
                  <c:v>13</c:v>
                </c:pt>
                <c:pt idx="8">
                  <c:v>17</c:v>
                </c:pt>
                <c:pt idx="9">
                  <c:v>22</c:v>
                </c:pt>
                <c:pt idx="10">
                  <c:v>29</c:v>
                </c:pt>
                <c:pt idx="11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651-40BE-9A1E-5B6943FE144C}"/>
            </c:ext>
          </c:extLst>
        </c:ser>
        <c:ser>
          <c:idx val="7"/>
          <c:order val="7"/>
          <c:tx>
            <c:strRef>
              <c:f>'22.07 MAKERERE-BWAISE'!$Z$9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'22.07 MAKERERE-BWAISE'!$Z$10:$Z$21</c:f>
              <c:numCache>
                <c:formatCode>0</c:formatCode>
                <c:ptCount val="12"/>
                <c:pt idx="0">
                  <c:v>4</c:v>
                </c:pt>
                <c:pt idx="1">
                  <c:v>6</c:v>
                </c:pt>
                <c:pt idx="2">
                  <c:v>1</c:v>
                </c:pt>
                <c:pt idx="3">
                  <c:v>14</c:v>
                </c:pt>
                <c:pt idx="4">
                  <c:v>14</c:v>
                </c:pt>
                <c:pt idx="5">
                  <c:v>2</c:v>
                </c:pt>
                <c:pt idx="6">
                  <c:v>11</c:v>
                </c:pt>
                <c:pt idx="7">
                  <c:v>5</c:v>
                </c:pt>
                <c:pt idx="8">
                  <c:v>11</c:v>
                </c:pt>
                <c:pt idx="9">
                  <c:v>12</c:v>
                </c:pt>
                <c:pt idx="10">
                  <c:v>9</c:v>
                </c:pt>
                <c:pt idx="1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4651-40BE-9A1E-5B6943FE144C}"/>
            </c:ext>
          </c:extLst>
        </c:ser>
        <c:ser>
          <c:idx val="8"/>
          <c:order val="8"/>
          <c:tx>
            <c:strRef>
              <c:f>'22.07 MAKERERE-BWAISE'!$AA$9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'22.07 MAKERERE-BWAISE'!$AA$10:$AA$21</c:f>
              <c:numCache>
                <c:formatCode>0</c:formatCode>
                <c:ptCount val="12"/>
                <c:pt idx="0">
                  <c:v>4</c:v>
                </c:pt>
                <c:pt idx="1">
                  <c:v>3</c:v>
                </c:pt>
                <c:pt idx="2">
                  <c:v>2</c:v>
                </c:pt>
                <c:pt idx="3">
                  <c:v>1</c:v>
                </c:pt>
                <c:pt idx="4">
                  <c:v>2</c:v>
                </c:pt>
                <c:pt idx="5">
                  <c:v>3</c:v>
                </c:pt>
                <c:pt idx="6">
                  <c:v>6</c:v>
                </c:pt>
                <c:pt idx="7">
                  <c:v>3</c:v>
                </c:pt>
                <c:pt idx="8">
                  <c:v>3</c:v>
                </c:pt>
                <c:pt idx="9">
                  <c:v>1</c:v>
                </c:pt>
                <c:pt idx="10">
                  <c:v>2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4651-40BE-9A1E-5B6943FE144C}"/>
            </c:ext>
          </c:extLst>
        </c:ser>
        <c:ser>
          <c:idx val="9"/>
          <c:order val="9"/>
          <c:tx>
            <c:strRef>
              <c:f>'22.07 MAKERERE-BWAISE'!$AB$9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'22.07 MAKERERE-BWAISE'!$AB$10:$AB$21</c:f>
              <c:numCache>
                <c:formatCode>0</c:formatCode>
                <c:ptCount val="12"/>
                <c:pt idx="0">
                  <c:v>0</c:v>
                </c:pt>
                <c:pt idx="1">
                  <c:v>3</c:v>
                </c:pt>
                <c:pt idx="2">
                  <c:v>1</c:v>
                </c:pt>
                <c:pt idx="3">
                  <c:v>4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1</c:v>
                </c:pt>
                <c:pt idx="10">
                  <c:v>0</c:v>
                </c:pt>
                <c:pt idx="1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4651-40BE-9A1E-5B6943FE144C}"/>
            </c:ext>
          </c:extLst>
        </c:ser>
        <c:ser>
          <c:idx val="10"/>
          <c:order val="10"/>
          <c:tx>
            <c:strRef>
              <c:f>'22.07 MAKERERE-BWAISE'!$AC$9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'22.07 MAKERERE-BWAISE'!$AC$10:$AC$21</c:f>
              <c:numCache>
                <c:formatCode>0</c:formatCode>
                <c:ptCount val="12"/>
                <c:pt idx="0">
                  <c:v>680</c:v>
                </c:pt>
                <c:pt idx="1">
                  <c:v>1765</c:v>
                </c:pt>
                <c:pt idx="2">
                  <c:v>534</c:v>
                </c:pt>
                <c:pt idx="3">
                  <c:v>824</c:v>
                </c:pt>
                <c:pt idx="4">
                  <c:v>636</c:v>
                </c:pt>
                <c:pt idx="5">
                  <c:v>458</c:v>
                </c:pt>
                <c:pt idx="6">
                  <c:v>563</c:v>
                </c:pt>
                <c:pt idx="7">
                  <c:v>424</c:v>
                </c:pt>
                <c:pt idx="8">
                  <c:v>234</c:v>
                </c:pt>
                <c:pt idx="9">
                  <c:v>465</c:v>
                </c:pt>
                <c:pt idx="10">
                  <c:v>450</c:v>
                </c:pt>
                <c:pt idx="11">
                  <c:v>411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4651-40BE-9A1E-5B6943FE144C}"/>
            </c:ext>
          </c:extLst>
        </c:ser>
        <c:ser>
          <c:idx val="11"/>
          <c:order val="11"/>
          <c:tx>
            <c:strRef>
              <c:f>'22.07 MAKERERE-BWAISE'!$AD$9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'22.07 MAKERERE-BWAISE'!$AD$10:$AD$21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4651-40BE-9A1E-5B6943FE14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6705664"/>
        <c:axId val="86707200"/>
      </c:lineChart>
      <c:catAx>
        <c:axId val="867056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6707200"/>
        <c:crosses val="autoZero"/>
        <c:auto val="1"/>
        <c:lblAlgn val="ctr"/>
        <c:lblOffset val="100"/>
        <c:noMultiLvlLbl val="0"/>
      </c:catAx>
      <c:valAx>
        <c:axId val="86707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67056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4F2F-4319-A1B1-A94A163849D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4F2F-4319-A1B1-A94A163849D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4F2F-4319-A1B1-A94A163849D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4F2F-4319-A1B1-A94A163849D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4F2F-4319-A1B1-A94A163849D9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4F2F-4319-A1B1-A94A163849D9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4F2F-4319-A1B1-A94A163849D9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4F2F-4319-A1B1-A94A163849D9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4F2F-4319-A1B1-A94A163849D9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4F2F-4319-A1B1-A94A163849D9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4F2F-4319-A1B1-A94A163849D9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4F2F-4319-A1B1-A94A163849D9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4F2F-4319-A1B1-A94A163849D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'22.07 MAKERERE-BWAISE'!$C$9:$N$9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'22.07 MAKERERE-BWAISE'!$C$60:$N$60</c:f>
              <c:numCache>
                <c:formatCode>0.00%</c:formatCode>
                <c:ptCount val="12"/>
                <c:pt idx="0">
                  <c:v>0.36598344501379582</c:v>
                </c:pt>
                <c:pt idx="1">
                  <c:v>8.395743003547497E-2</c:v>
                </c:pt>
                <c:pt idx="2">
                  <c:v>6.0504532912889236E-2</c:v>
                </c:pt>
                <c:pt idx="3">
                  <c:v>0.38943634213638156</c:v>
                </c:pt>
                <c:pt idx="4">
                  <c:v>1.2613322822230981E-2</c:v>
                </c:pt>
                <c:pt idx="5">
                  <c:v>1.3007489160425699E-2</c:v>
                </c:pt>
                <c:pt idx="6">
                  <c:v>4.7891210090658255E-2</c:v>
                </c:pt>
                <c:pt idx="7">
                  <c:v>1.7934568387859676E-2</c:v>
                </c:pt>
                <c:pt idx="8">
                  <c:v>6.1095782420181313E-3</c:v>
                </c:pt>
                <c:pt idx="9">
                  <c:v>2.3649980291683089E-3</c:v>
                </c:pt>
                <c:pt idx="11">
                  <c:v>1.9708316909735908E-4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4F2F-4319-A1B1-A94A163849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'23.07 BWAISE-MAKERERE'!$AE$9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'23.07 BWAISE-MAKERERE'!$R$10:$R$21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'23.07 BWAISE-MAKERERE'!$AE$10:$AE$21</c:f>
              <c:numCache>
                <c:formatCode>0</c:formatCode>
                <c:ptCount val="12"/>
                <c:pt idx="0">
                  <c:v>678</c:v>
                </c:pt>
                <c:pt idx="1">
                  <c:v>662</c:v>
                </c:pt>
                <c:pt idx="2">
                  <c:v>612</c:v>
                </c:pt>
                <c:pt idx="3">
                  <c:v>638</c:v>
                </c:pt>
                <c:pt idx="4">
                  <c:v>467</c:v>
                </c:pt>
                <c:pt idx="5">
                  <c:v>610</c:v>
                </c:pt>
                <c:pt idx="6">
                  <c:v>519</c:v>
                </c:pt>
                <c:pt idx="7">
                  <c:v>448</c:v>
                </c:pt>
                <c:pt idx="8">
                  <c:v>454</c:v>
                </c:pt>
                <c:pt idx="9">
                  <c:v>493</c:v>
                </c:pt>
                <c:pt idx="10">
                  <c:v>471</c:v>
                </c:pt>
                <c:pt idx="11">
                  <c:v>292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6D6-4B77-8026-30DBF41B753F}"/>
            </c:ext>
          </c:extLst>
        </c:ser>
        <c:ser>
          <c:idx val="1"/>
          <c:order val="1"/>
          <c:tx>
            <c:strRef>
              <c:f>'23.07 BWAISE-MAKERERE'!$AF$9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'23.07 BWAISE-MAKERERE'!$R$10:$R$21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'23.07 BWAISE-MAKERERE'!$AF$10:$AF$21</c:f>
              <c:numCache>
                <c:formatCode>0</c:formatCode>
                <c:ptCount val="12"/>
                <c:pt idx="0">
                  <c:v>1663</c:v>
                </c:pt>
                <c:pt idx="1">
                  <c:v>1762</c:v>
                </c:pt>
                <c:pt idx="2">
                  <c:v>1617</c:v>
                </c:pt>
                <c:pt idx="3">
                  <c:v>1434</c:v>
                </c:pt>
                <c:pt idx="4">
                  <c:v>1056</c:v>
                </c:pt>
                <c:pt idx="5">
                  <c:v>1351</c:v>
                </c:pt>
                <c:pt idx="6">
                  <c:v>956</c:v>
                </c:pt>
                <c:pt idx="7">
                  <c:v>945</c:v>
                </c:pt>
                <c:pt idx="8">
                  <c:v>968</c:v>
                </c:pt>
                <c:pt idx="9">
                  <c:v>1006</c:v>
                </c:pt>
                <c:pt idx="10">
                  <c:v>1044</c:v>
                </c:pt>
                <c:pt idx="11">
                  <c:v>790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56D6-4B77-8026-30DBF41B75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9203456"/>
        <c:axId val="89204992"/>
      </c:lineChart>
      <c:catAx>
        <c:axId val="89203456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9204992"/>
        <c:crosses val="autoZero"/>
        <c:auto val="1"/>
        <c:lblAlgn val="ctr"/>
        <c:lblOffset val="100"/>
        <c:noMultiLvlLbl val="0"/>
      </c:catAx>
      <c:valAx>
        <c:axId val="8920499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92034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F5BA-447C-A3CB-236E1F2B31F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F5BA-447C-A3CB-236E1F2B31F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F5BA-447C-A3CB-236E1F2B31F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F5BA-447C-A3CB-236E1F2B31F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F5BA-447C-A3CB-236E1F2B31F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F5BA-447C-A3CB-236E1F2B31F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F5BA-447C-A3CB-236E1F2B31F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F5BA-447C-A3CB-236E1F2B31F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F5BA-447C-A3CB-236E1F2B31F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F5BA-447C-A3CB-236E1F2B31F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F5BA-447C-A3CB-236E1F2B31F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F5BA-447C-A3CB-236E1F2B31F3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F5BA-447C-A3CB-236E1F2B31F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'23.07 BWAISE-MAKERERE'!$C$9:$N$9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'23.07 BWAISE-MAKERERE'!$C$59:$N$59</c:f>
              <c:numCache>
                <c:formatCode>0.0%</c:formatCode>
                <c:ptCount val="12"/>
                <c:pt idx="0">
                  <c:v>0.16721491228070176</c:v>
                </c:pt>
                <c:pt idx="11">
                  <c:v>6.8530701754385961E-5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F5BA-447C-A3CB-236E1F2B3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843"/>
          <c:y val="2.296022663732372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'23.07 BWAISE-MAKERERE'!$S$9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'23.07 BWAISE-MAKERERE'!$R$10:$R$21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'23.07 BWAISE-MAKERERE'!$S$10:$S$21</c:f>
              <c:numCache>
                <c:formatCode>0</c:formatCode>
                <c:ptCount val="12"/>
                <c:pt idx="0">
                  <c:v>277</c:v>
                </c:pt>
                <c:pt idx="1">
                  <c:v>252</c:v>
                </c:pt>
                <c:pt idx="2">
                  <c:v>262</c:v>
                </c:pt>
                <c:pt idx="3">
                  <c:v>261</c:v>
                </c:pt>
                <c:pt idx="4">
                  <c:v>183</c:v>
                </c:pt>
                <c:pt idx="5">
                  <c:v>223</c:v>
                </c:pt>
                <c:pt idx="6">
                  <c:v>194</c:v>
                </c:pt>
                <c:pt idx="7">
                  <c:v>144</c:v>
                </c:pt>
                <c:pt idx="8">
                  <c:v>171</c:v>
                </c:pt>
                <c:pt idx="9">
                  <c:v>199</c:v>
                </c:pt>
                <c:pt idx="10">
                  <c:v>173</c:v>
                </c:pt>
                <c:pt idx="11">
                  <c:v>101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6D54-447E-B68D-E1368766DED9}"/>
            </c:ext>
          </c:extLst>
        </c:ser>
        <c:ser>
          <c:idx val="1"/>
          <c:order val="1"/>
          <c:tx>
            <c:strRef>
              <c:f>'23.07 BWAISE-MAKERERE'!$T$9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'23.07 BWAISE-MAKERERE'!$R$10:$R$21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'23.07 BWAISE-MAKERERE'!$T$10:$T$21</c:f>
              <c:numCache>
                <c:formatCode>0</c:formatCode>
                <c:ptCount val="12"/>
                <c:pt idx="0">
                  <c:v>94</c:v>
                </c:pt>
                <c:pt idx="1">
                  <c:v>71</c:v>
                </c:pt>
                <c:pt idx="2">
                  <c:v>67</c:v>
                </c:pt>
                <c:pt idx="3">
                  <c:v>82</c:v>
                </c:pt>
                <c:pt idx="4">
                  <c:v>74</c:v>
                </c:pt>
                <c:pt idx="5">
                  <c:v>56</c:v>
                </c:pt>
                <c:pt idx="6">
                  <c:v>68</c:v>
                </c:pt>
                <c:pt idx="7">
                  <c:v>67</c:v>
                </c:pt>
                <c:pt idx="8">
                  <c:v>58</c:v>
                </c:pt>
                <c:pt idx="9">
                  <c:v>73</c:v>
                </c:pt>
                <c:pt idx="10">
                  <c:v>58</c:v>
                </c:pt>
                <c:pt idx="11">
                  <c:v>35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6D54-447E-B68D-E1368766DED9}"/>
            </c:ext>
          </c:extLst>
        </c:ser>
        <c:ser>
          <c:idx val="2"/>
          <c:order val="2"/>
          <c:tx>
            <c:strRef>
              <c:f>'23.07 BWAISE-MAKERERE'!$U$9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'23.07 BWAISE-MAKERERE'!$U$10:$U$21</c:f>
              <c:numCache>
                <c:formatCode>0</c:formatCode>
                <c:ptCount val="12"/>
                <c:pt idx="0">
                  <c:v>20</c:v>
                </c:pt>
                <c:pt idx="1">
                  <c:v>26</c:v>
                </c:pt>
                <c:pt idx="2">
                  <c:v>19</c:v>
                </c:pt>
                <c:pt idx="3">
                  <c:v>28</c:v>
                </c:pt>
                <c:pt idx="4">
                  <c:v>19</c:v>
                </c:pt>
                <c:pt idx="5">
                  <c:v>90</c:v>
                </c:pt>
                <c:pt idx="6">
                  <c:v>20</c:v>
                </c:pt>
                <c:pt idx="7">
                  <c:v>23</c:v>
                </c:pt>
                <c:pt idx="8">
                  <c:v>27</c:v>
                </c:pt>
                <c:pt idx="9">
                  <c:v>29</c:v>
                </c:pt>
                <c:pt idx="10">
                  <c:v>24</c:v>
                </c:pt>
                <c:pt idx="11">
                  <c:v>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D54-447E-B68D-E1368766DED9}"/>
            </c:ext>
          </c:extLst>
        </c:ser>
        <c:ser>
          <c:idx val="3"/>
          <c:order val="3"/>
          <c:tx>
            <c:strRef>
              <c:f>'23.07 BWAISE-MAKERERE'!$V$9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'23.07 BWAISE-MAKERERE'!$V$10:$V$21</c:f>
              <c:numCache>
                <c:formatCode>0</c:formatCode>
                <c:ptCount val="12"/>
                <c:pt idx="0">
                  <c:v>259</c:v>
                </c:pt>
                <c:pt idx="1">
                  <c:v>266</c:v>
                </c:pt>
                <c:pt idx="2">
                  <c:v>202</c:v>
                </c:pt>
                <c:pt idx="3">
                  <c:v>196</c:v>
                </c:pt>
                <c:pt idx="4">
                  <c:v>144</c:v>
                </c:pt>
                <c:pt idx="5">
                  <c:v>160</c:v>
                </c:pt>
                <c:pt idx="6">
                  <c:v>144</c:v>
                </c:pt>
                <c:pt idx="7">
                  <c:v>127</c:v>
                </c:pt>
                <c:pt idx="8">
                  <c:v>136</c:v>
                </c:pt>
                <c:pt idx="9">
                  <c:v>128</c:v>
                </c:pt>
                <c:pt idx="10">
                  <c:v>157</c:v>
                </c:pt>
                <c:pt idx="11">
                  <c:v>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D54-447E-B68D-E1368766DED9}"/>
            </c:ext>
          </c:extLst>
        </c:ser>
        <c:ser>
          <c:idx val="4"/>
          <c:order val="4"/>
          <c:tx>
            <c:strRef>
              <c:f>'23.07 BWAISE-MAKERERE'!$W$9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'23.07 BWAISE-MAKERERE'!$W$10:$W$21</c:f>
              <c:numCache>
                <c:formatCode>0</c:formatCode>
                <c:ptCount val="12"/>
                <c:pt idx="0">
                  <c:v>8</c:v>
                </c:pt>
                <c:pt idx="1">
                  <c:v>9</c:v>
                </c:pt>
                <c:pt idx="2">
                  <c:v>3</c:v>
                </c:pt>
                <c:pt idx="3">
                  <c:v>6</c:v>
                </c:pt>
                <c:pt idx="4">
                  <c:v>4</c:v>
                </c:pt>
                <c:pt idx="5">
                  <c:v>8</c:v>
                </c:pt>
                <c:pt idx="6">
                  <c:v>2</c:v>
                </c:pt>
                <c:pt idx="7">
                  <c:v>5</c:v>
                </c:pt>
                <c:pt idx="8">
                  <c:v>0</c:v>
                </c:pt>
                <c:pt idx="9">
                  <c:v>3</c:v>
                </c:pt>
                <c:pt idx="10">
                  <c:v>3</c:v>
                </c:pt>
                <c:pt idx="11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D54-447E-B68D-E1368766DED9}"/>
            </c:ext>
          </c:extLst>
        </c:ser>
        <c:ser>
          <c:idx val="5"/>
          <c:order val="5"/>
          <c:tx>
            <c:strRef>
              <c:f>'23.07 BWAISE-MAKERERE'!$X$9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'23.07 BWAISE-MAKERERE'!$X$10:$X$21</c:f>
              <c:numCache>
                <c:formatCode>0</c:formatCode>
                <c:ptCount val="12"/>
                <c:pt idx="0">
                  <c:v>0</c:v>
                </c:pt>
                <c:pt idx="1">
                  <c:v>3</c:v>
                </c:pt>
                <c:pt idx="2">
                  <c:v>5</c:v>
                </c:pt>
                <c:pt idx="3">
                  <c:v>2</c:v>
                </c:pt>
                <c:pt idx="4">
                  <c:v>1</c:v>
                </c:pt>
                <c:pt idx="5">
                  <c:v>2</c:v>
                </c:pt>
                <c:pt idx="6">
                  <c:v>9</c:v>
                </c:pt>
                <c:pt idx="7">
                  <c:v>7</c:v>
                </c:pt>
                <c:pt idx="8">
                  <c:v>5</c:v>
                </c:pt>
                <c:pt idx="9">
                  <c:v>2</c:v>
                </c:pt>
                <c:pt idx="10">
                  <c:v>1</c:v>
                </c:pt>
                <c:pt idx="11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D54-447E-B68D-E1368766DED9}"/>
            </c:ext>
          </c:extLst>
        </c:ser>
        <c:ser>
          <c:idx val="6"/>
          <c:order val="6"/>
          <c:tx>
            <c:strRef>
              <c:f>'23.07 BWAISE-MAKERERE'!$Y$9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'23.07 BWAISE-MAKERERE'!$Y$10:$Y$21</c:f>
              <c:numCache>
                <c:formatCode>0</c:formatCode>
                <c:ptCount val="12"/>
                <c:pt idx="0">
                  <c:v>10</c:v>
                </c:pt>
                <c:pt idx="1">
                  <c:v>16</c:v>
                </c:pt>
                <c:pt idx="2">
                  <c:v>31</c:v>
                </c:pt>
                <c:pt idx="3">
                  <c:v>30</c:v>
                </c:pt>
                <c:pt idx="4">
                  <c:v>20</c:v>
                </c:pt>
                <c:pt idx="5">
                  <c:v>36</c:v>
                </c:pt>
                <c:pt idx="6">
                  <c:v>54</c:v>
                </c:pt>
                <c:pt idx="7">
                  <c:v>49</c:v>
                </c:pt>
                <c:pt idx="8">
                  <c:v>34</c:v>
                </c:pt>
                <c:pt idx="9">
                  <c:v>37</c:v>
                </c:pt>
                <c:pt idx="10">
                  <c:v>33</c:v>
                </c:pt>
                <c:pt idx="11">
                  <c:v>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D54-447E-B68D-E1368766DED9}"/>
            </c:ext>
          </c:extLst>
        </c:ser>
        <c:ser>
          <c:idx val="7"/>
          <c:order val="7"/>
          <c:tx>
            <c:strRef>
              <c:f>'23.07 BWAISE-MAKERERE'!$Z$9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'23.07 BWAISE-MAKERERE'!$Z$10:$Z$21</c:f>
              <c:numCache>
                <c:formatCode>0</c:formatCode>
                <c:ptCount val="12"/>
                <c:pt idx="0">
                  <c:v>4</c:v>
                </c:pt>
                <c:pt idx="1">
                  <c:v>5</c:v>
                </c:pt>
                <c:pt idx="2">
                  <c:v>9</c:v>
                </c:pt>
                <c:pt idx="3">
                  <c:v>18</c:v>
                </c:pt>
                <c:pt idx="4">
                  <c:v>9</c:v>
                </c:pt>
                <c:pt idx="5">
                  <c:v>20</c:v>
                </c:pt>
                <c:pt idx="6">
                  <c:v>14</c:v>
                </c:pt>
                <c:pt idx="7">
                  <c:v>16</c:v>
                </c:pt>
                <c:pt idx="8">
                  <c:v>14</c:v>
                </c:pt>
                <c:pt idx="9">
                  <c:v>15</c:v>
                </c:pt>
                <c:pt idx="10">
                  <c:v>12</c:v>
                </c:pt>
                <c:pt idx="11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6D54-447E-B68D-E1368766DED9}"/>
            </c:ext>
          </c:extLst>
        </c:ser>
        <c:ser>
          <c:idx val="8"/>
          <c:order val="8"/>
          <c:tx>
            <c:strRef>
              <c:f>'23.07 BWAISE-MAKERERE'!$AA$9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'23.07 BWAISE-MAKERERE'!$AA$10:$AA$21</c:f>
              <c:numCache>
                <c:formatCode>0</c:formatCode>
                <c:ptCount val="12"/>
                <c:pt idx="0">
                  <c:v>3</c:v>
                </c:pt>
                <c:pt idx="1">
                  <c:v>10</c:v>
                </c:pt>
                <c:pt idx="2">
                  <c:v>10</c:v>
                </c:pt>
                <c:pt idx="3">
                  <c:v>13</c:v>
                </c:pt>
                <c:pt idx="4">
                  <c:v>7</c:v>
                </c:pt>
                <c:pt idx="5">
                  <c:v>12</c:v>
                </c:pt>
                <c:pt idx="6">
                  <c:v>10</c:v>
                </c:pt>
                <c:pt idx="7">
                  <c:v>5</c:v>
                </c:pt>
                <c:pt idx="8">
                  <c:v>6</c:v>
                </c:pt>
                <c:pt idx="9">
                  <c:v>7</c:v>
                </c:pt>
                <c:pt idx="10">
                  <c:v>8</c:v>
                </c:pt>
                <c:pt idx="11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6D54-447E-B68D-E1368766DED9}"/>
            </c:ext>
          </c:extLst>
        </c:ser>
        <c:ser>
          <c:idx val="9"/>
          <c:order val="9"/>
          <c:tx>
            <c:strRef>
              <c:f>'23.07 BWAISE-MAKERERE'!$AB$9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'23.07 BWAISE-MAKERERE'!$AB$10:$AB$21</c:f>
              <c:numCache>
                <c:formatCode>0</c:formatCode>
                <c:ptCount val="12"/>
                <c:pt idx="0">
                  <c:v>3</c:v>
                </c:pt>
                <c:pt idx="1">
                  <c:v>4</c:v>
                </c:pt>
                <c:pt idx="2">
                  <c:v>4</c:v>
                </c:pt>
                <c:pt idx="3">
                  <c:v>2</c:v>
                </c:pt>
                <c:pt idx="4">
                  <c:v>5</c:v>
                </c:pt>
                <c:pt idx="5">
                  <c:v>3</c:v>
                </c:pt>
                <c:pt idx="6">
                  <c:v>4</c:v>
                </c:pt>
                <c:pt idx="7">
                  <c:v>5</c:v>
                </c:pt>
                <c:pt idx="8">
                  <c:v>3</c:v>
                </c:pt>
                <c:pt idx="9">
                  <c:v>0</c:v>
                </c:pt>
                <c:pt idx="10">
                  <c:v>2</c:v>
                </c:pt>
                <c:pt idx="11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6D54-447E-B68D-E1368766DED9}"/>
            </c:ext>
          </c:extLst>
        </c:ser>
        <c:ser>
          <c:idx val="10"/>
          <c:order val="10"/>
          <c:tx>
            <c:strRef>
              <c:f>'23.07 BWAISE-MAKERERE'!$AC$9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'23.07 BWAISE-MAKERERE'!$AC$10:$AC$21</c:f>
              <c:numCache>
                <c:formatCode>0</c:formatCode>
                <c:ptCount val="12"/>
                <c:pt idx="0">
                  <c:v>985</c:v>
                </c:pt>
                <c:pt idx="1">
                  <c:v>1100</c:v>
                </c:pt>
                <c:pt idx="2">
                  <c:v>1005</c:v>
                </c:pt>
                <c:pt idx="3">
                  <c:v>796</c:v>
                </c:pt>
                <c:pt idx="4">
                  <c:v>589</c:v>
                </c:pt>
                <c:pt idx="5">
                  <c:v>741</c:v>
                </c:pt>
                <c:pt idx="6">
                  <c:v>437</c:v>
                </c:pt>
                <c:pt idx="7">
                  <c:v>497</c:v>
                </c:pt>
                <c:pt idx="8">
                  <c:v>514</c:v>
                </c:pt>
                <c:pt idx="9">
                  <c:v>513</c:v>
                </c:pt>
                <c:pt idx="10">
                  <c:v>573</c:v>
                </c:pt>
                <c:pt idx="11">
                  <c:v>498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6D54-447E-B68D-E1368766DED9}"/>
            </c:ext>
          </c:extLst>
        </c:ser>
        <c:ser>
          <c:idx val="11"/>
          <c:order val="11"/>
          <c:tx>
            <c:strRef>
              <c:f>'23.07 BWAISE-MAKERERE'!$AD$9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'23.07 BWAISE-MAKERERE'!$AD$10:$AD$21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6D54-447E-B68D-E1368766DE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9287296"/>
        <c:axId val="89297280"/>
      </c:lineChart>
      <c:catAx>
        <c:axId val="892872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9297280"/>
        <c:crosses val="autoZero"/>
        <c:auto val="1"/>
        <c:lblAlgn val="ctr"/>
        <c:lblOffset val="100"/>
        <c:noMultiLvlLbl val="0"/>
      </c:catAx>
      <c:valAx>
        <c:axId val="89297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9287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CB73-46DF-8DE2-8B27C2F90D1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CB73-46DF-8DE2-8B27C2F90D1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CB73-46DF-8DE2-8B27C2F90D1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CB73-46DF-8DE2-8B27C2F90D1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CB73-46DF-8DE2-8B27C2F90D1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CB73-46DF-8DE2-8B27C2F90D1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CB73-46DF-8DE2-8B27C2F90D1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CB73-46DF-8DE2-8B27C2F90D10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CB73-46DF-8DE2-8B27C2F90D10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CB73-46DF-8DE2-8B27C2F90D10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CB73-46DF-8DE2-8B27C2F90D10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CB73-46DF-8DE2-8B27C2F90D10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CB73-46DF-8DE2-8B27C2F90D1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'23.07 BWAISE-MAKERERE'!$C$9:$N$9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'23.07 BWAISE-MAKERERE'!$C$60:$N$60</c:f>
              <c:numCache>
                <c:formatCode>0.00%</c:formatCode>
                <c:ptCount val="12"/>
                <c:pt idx="0">
                  <c:v>0.38461538461538464</c:v>
                </c:pt>
                <c:pt idx="11">
                  <c:v>1.5762925598991173E-4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CB73-46DF-8DE2-8B27C2F90D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'23.07 Makerere-Bwaise'!$AE$9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'23.07 Makerere-Bwaise'!$R$10:$R$21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'23.07 Makerere-Bwaise'!$AE$10:$AE$21</c:f>
              <c:numCache>
                <c:formatCode>0</c:formatCode>
                <c:ptCount val="12"/>
                <c:pt idx="0">
                  <c:v>333</c:v>
                </c:pt>
                <c:pt idx="1">
                  <c:v>364</c:v>
                </c:pt>
                <c:pt idx="2">
                  <c:v>929</c:v>
                </c:pt>
                <c:pt idx="3">
                  <c:v>344</c:v>
                </c:pt>
                <c:pt idx="4">
                  <c:v>395</c:v>
                </c:pt>
                <c:pt idx="5">
                  <c:v>416</c:v>
                </c:pt>
                <c:pt idx="6">
                  <c:v>371</c:v>
                </c:pt>
                <c:pt idx="7">
                  <c:v>434</c:v>
                </c:pt>
                <c:pt idx="8">
                  <c:v>481</c:v>
                </c:pt>
                <c:pt idx="9">
                  <c:v>503</c:v>
                </c:pt>
                <c:pt idx="10">
                  <c:v>547</c:v>
                </c:pt>
                <c:pt idx="11">
                  <c:v>436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7D5F-499C-8247-FFF3D6EFDA44}"/>
            </c:ext>
          </c:extLst>
        </c:ser>
        <c:ser>
          <c:idx val="1"/>
          <c:order val="1"/>
          <c:tx>
            <c:strRef>
              <c:f>'23.07 Makerere-Bwaise'!$AF$9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'23.07 Makerere-Bwaise'!$R$10:$R$21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'23.07 Makerere-Bwaise'!$AF$10:$AF$21</c:f>
              <c:numCache>
                <c:formatCode>0</c:formatCode>
                <c:ptCount val="12"/>
                <c:pt idx="0">
                  <c:v>842</c:v>
                </c:pt>
                <c:pt idx="1">
                  <c:v>1117</c:v>
                </c:pt>
                <c:pt idx="2">
                  <c:v>1669</c:v>
                </c:pt>
                <c:pt idx="3">
                  <c:v>1030</c:v>
                </c:pt>
                <c:pt idx="4">
                  <c:v>937</c:v>
                </c:pt>
                <c:pt idx="5">
                  <c:v>973</c:v>
                </c:pt>
                <c:pt idx="6">
                  <c:v>883</c:v>
                </c:pt>
                <c:pt idx="7">
                  <c:v>876</c:v>
                </c:pt>
                <c:pt idx="8">
                  <c:v>940</c:v>
                </c:pt>
                <c:pt idx="9">
                  <c:v>1028</c:v>
                </c:pt>
                <c:pt idx="10">
                  <c:v>1018</c:v>
                </c:pt>
                <c:pt idx="11">
                  <c:v>891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7D5F-499C-8247-FFF3D6EFDA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0888832"/>
        <c:axId val="110890368"/>
      </c:lineChart>
      <c:catAx>
        <c:axId val="110888832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0890368"/>
        <c:crosses val="autoZero"/>
        <c:auto val="1"/>
        <c:lblAlgn val="ctr"/>
        <c:lblOffset val="100"/>
        <c:noMultiLvlLbl val="0"/>
      </c:catAx>
      <c:valAx>
        <c:axId val="11089036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08888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CAD9-43D2-B994-F66788B4CE1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CAD9-43D2-B994-F66788B4CE1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CAD9-43D2-B994-F66788B4CE1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CAD9-43D2-B994-F66788B4CE1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CAD9-43D2-B994-F66788B4CE12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CAD9-43D2-B994-F66788B4CE12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CAD9-43D2-B994-F66788B4CE12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CAD9-43D2-B994-F66788B4CE12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CAD9-43D2-B994-F66788B4CE12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CAD9-43D2-B994-F66788B4CE12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CAD9-43D2-B994-F66788B4CE12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CAD9-43D2-B994-F66788B4CE12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CAD9-43D2-B994-F66788B4CE1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'23.07 Makerere-Bwaise'!$C$9:$N$9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'23.07 Makerere-Bwaise'!$C$59:$N$59</c:f>
              <c:numCache>
                <c:formatCode>0.0%</c:formatCode>
                <c:ptCount val="12"/>
                <c:pt idx="0">
                  <c:v>0.15462143559488692</c:v>
                </c:pt>
                <c:pt idx="1">
                  <c:v>3.4742707309078989E-2</c:v>
                </c:pt>
                <c:pt idx="2">
                  <c:v>1.6551950180268764E-2</c:v>
                </c:pt>
                <c:pt idx="3">
                  <c:v>0.19608325139298591</c:v>
                </c:pt>
                <c:pt idx="4">
                  <c:v>8.9314978695509677E-3</c:v>
                </c:pt>
                <c:pt idx="5">
                  <c:v>7.1288102261553585E-3</c:v>
                </c:pt>
                <c:pt idx="6">
                  <c:v>1.1963290724352671E-2</c:v>
                </c:pt>
                <c:pt idx="7">
                  <c:v>1.8436578171091445E-2</c:v>
                </c:pt>
                <c:pt idx="8">
                  <c:v>4.0150770239265818E-3</c:v>
                </c:pt>
                <c:pt idx="9">
                  <c:v>2.4582104228121925E-3</c:v>
                </c:pt>
                <c:pt idx="10">
                  <c:v>0.54498525073746318</c:v>
                </c:pt>
                <c:pt idx="11">
                  <c:v>8.1940347427073091E-5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CAD9-43D2-B994-F66788B4CE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843"/>
          <c:y val="2.296022663732372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'23.07 Makerere-Bwaise'!$S$9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'23.07 Makerere-Bwaise'!$R$10:$R$21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'23.07 Makerere-Bwaise'!$S$10:$S$21</c:f>
              <c:numCache>
                <c:formatCode>0</c:formatCode>
                <c:ptCount val="12"/>
                <c:pt idx="0">
                  <c:v>115</c:v>
                </c:pt>
                <c:pt idx="1">
                  <c:v>109</c:v>
                </c:pt>
                <c:pt idx="2">
                  <c:v>115</c:v>
                </c:pt>
                <c:pt idx="3">
                  <c:v>105</c:v>
                </c:pt>
                <c:pt idx="4">
                  <c:v>125</c:v>
                </c:pt>
                <c:pt idx="5">
                  <c:v>145</c:v>
                </c:pt>
                <c:pt idx="6">
                  <c:v>137</c:v>
                </c:pt>
                <c:pt idx="7">
                  <c:v>149</c:v>
                </c:pt>
                <c:pt idx="8">
                  <c:v>185</c:v>
                </c:pt>
                <c:pt idx="9">
                  <c:v>218</c:v>
                </c:pt>
                <c:pt idx="10">
                  <c:v>281</c:v>
                </c:pt>
                <c:pt idx="11">
                  <c:v>203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232-4340-AED5-CD3F6DAF145D}"/>
            </c:ext>
          </c:extLst>
        </c:ser>
        <c:ser>
          <c:idx val="1"/>
          <c:order val="1"/>
          <c:tx>
            <c:strRef>
              <c:f>'23.07 Makerere-Bwaise'!$T$9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'23.07 Makerere-Bwaise'!$R$10:$R$21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'23.07 Makerere-Bwaise'!$T$10:$T$21</c:f>
              <c:numCache>
                <c:formatCode>0</c:formatCode>
                <c:ptCount val="12"/>
                <c:pt idx="0">
                  <c:v>20</c:v>
                </c:pt>
                <c:pt idx="1">
                  <c:v>25</c:v>
                </c:pt>
                <c:pt idx="2">
                  <c:v>20</c:v>
                </c:pt>
                <c:pt idx="3">
                  <c:v>21</c:v>
                </c:pt>
                <c:pt idx="4">
                  <c:v>35</c:v>
                </c:pt>
                <c:pt idx="5">
                  <c:v>40</c:v>
                </c:pt>
                <c:pt idx="6">
                  <c:v>33</c:v>
                </c:pt>
                <c:pt idx="7">
                  <c:v>28</c:v>
                </c:pt>
                <c:pt idx="8">
                  <c:v>56</c:v>
                </c:pt>
                <c:pt idx="9">
                  <c:v>57</c:v>
                </c:pt>
                <c:pt idx="10">
                  <c:v>57</c:v>
                </c:pt>
                <c:pt idx="11">
                  <c:v>32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5232-4340-AED5-CD3F6DAF145D}"/>
            </c:ext>
          </c:extLst>
        </c:ser>
        <c:ser>
          <c:idx val="2"/>
          <c:order val="2"/>
          <c:tx>
            <c:strRef>
              <c:f>'23.07 Makerere-Bwaise'!$U$9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'23.07 Makerere-Bwaise'!$U$10:$U$21</c:f>
              <c:numCache>
                <c:formatCode>0</c:formatCode>
                <c:ptCount val="12"/>
                <c:pt idx="0">
                  <c:v>10</c:v>
                </c:pt>
                <c:pt idx="1">
                  <c:v>9</c:v>
                </c:pt>
                <c:pt idx="2">
                  <c:v>14</c:v>
                </c:pt>
                <c:pt idx="3">
                  <c:v>18</c:v>
                </c:pt>
                <c:pt idx="4">
                  <c:v>17</c:v>
                </c:pt>
                <c:pt idx="5">
                  <c:v>20</c:v>
                </c:pt>
                <c:pt idx="6">
                  <c:v>14</c:v>
                </c:pt>
                <c:pt idx="7">
                  <c:v>21</c:v>
                </c:pt>
                <c:pt idx="8">
                  <c:v>24</c:v>
                </c:pt>
                <c:pt idx="9">
                  <c:v>17</c:v>
                </c:pt>
                <c:pt idx="10">
                  <c:v>21</c:v>
                </c:pt>
                <c:pt idx="11">
                  <c:v>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232-4340-AED5-CD3F6DAF145D}"/>
            </c:ext>
          </c:extLst>
        </c:ser>
        <c:ser>
          <c:idx val="3"/>
          <c:order val="3"/>
          <c:tx>
            <c:strRef>
              <c:f>'23.07 Makerere-Bwaise'!$V$9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'23.07 Makerere-Bwaise'!$V$10:$V$21</c:f>
              <c:numCache>
                <c:formatCode>0</c:formatCode>
                <c:ptCount val="12"/>
                <c:pt idx="0">
                  <c:v>155</c:v>
                </c:pt>
                <c:pt idx="1">
                  <c:v>136</c:v>
                </c:pt>
                <c:pt idx="2">
                  <c:v>714</c:v>
                </c:pt>
                <c:pt idx="3">
                  <c:v>165</c:v>
                </c:pt>
                <c:pt idx="4">
                  <c:v>168</c:v>
                </c:pt>
                <c:pt idx="5">
                  <c:v>162</c:v>
                </c:pt>
                <c:pt idx="6">
                  <c:v>134</c:v>
                </c:pt>
                <c:pt idx="7">
                  <c:v>137</c:v>
                </c:pt>
                <c:pt idx="8">
                  <c:v>152</c:v>
                </c:pt>
                <c:pt idx="9">
                  <c:v>168</c:v>
                </c:pt>
                <c:pt idx="10">
                  <c:v>142</c:v>
                </c:pt>
                <c:pt idx="11">
                  <c:v>160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232-4340-AED5-CD3F6DAF145D}"/>
            </c:ext>
          </c:extLst>
        </c:ser>
        <c:ser>
          <c:idx val="4"/>
          <c:order val="4"/>
          <c:tx>
            <c:strRef>
              <c:f>'23.07 Makerere-Bwaise'!$W$9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'23.07 Makerere-Bwaise'!$W$10:$W$21</c:f>
              <c:numCache>
                <c:formatCode>0</c:formatCode>
                <c:ptCount val="12"/>
                <c:pt idx="0">
                  <c:v>8</c:v>
                </c:pt>
                <c:pt idx="1">
                  <c:v>4</c:v>
                </c:pt>
                <c:pt idx="2">
                  <c:v>36</c:v>
                </c:pt>
                <c:pt idx="3">
                  <c:v>1</c:v>
                </c:pt>
                <c:pt idx="4">
                  <c:v>0</c:v>
                </c:pt>
                <c:pt idx="5">
                  <c:v>5</c:v>
                </c:pt>
                <c:pt idx="6">
                  <c:v>1</c:v>
                </c:pt>
                <c:pt idx="7">
                  <c:v>42</c:v>
                </c:pt>
                <c:pt idx="8">
                  <c:v>0</c:v>
                </c:pt>
                <c:pt idx="9">
                  <c:v>6</c:v>
                </c:pt>
                <c:pt idx="10">
                  <c:v>3</c:v>
                </c:pt>
                <c:pt idx="11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232-4340-AED5-CD3F6DAF145D}"/>
            </c:ext>
          </c:extLst>
        </c:ser>
        <c:ser>
          <c:idx val="5"/>
          <c:order val="5"/>
          <c:tx>
            <c:strRef>
              <c:f>'23.07 Makerere-Bwaise'!$X$9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'23.07 Makerere-Bwaise'!$X$10:$X$21</c:f>
              <c:numCache>
                <c:formatCode>0</c:formatCode>
                <c:ptCount val="12"/>
                <c:pt idx="0">
                  <c:v>4</c:v>
                </c:pt>
                <c:pt idx="1">
                  <c:v>59</c:v>
                </c:pt>
                <c:pt idx="2">
                  <c:v>2</c:v>
                </c:pt>
                <c:pt idx="3">
                  <c:v>1</c:v>
                </c:pt>
                <c:pt idx="4">
                  <c:v>5</c:v>
                </c:pt>
                <c:pt idx="5">
                  <c:v>3</c:v>
                </c:pt>
                <c:pt idx="6">
                  <c:v>2</c:v>
                </c:pt>
                <c:pt idx="7">
                  <c:v>3</c:v>
                </c:pt>
                <c:pt idx="8">
                  <c:v>5</c:v>
                </c:pt>
                <c:pt idx="9">
                  <c:v>1</c:v>
                </c:pt>
                <c:pt idx="10">
                  <c:v>0</c:v>
                </c:pt>
                <c:pt idx="1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232-4340-AED5-CD3F6DAF145D}"/>
            </c:ext>
          </c:extLst>
        </c:ser>
        <c:ser>
          <c:idx val="6"/>
          <c:order val="6"/>
          <c:tx>
            <c:strRef>
              <c:f>'23.07 Makerere-Bwaise'!$Y$9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'23.07 Makerere-Bwaise'!$Y$10:$Y$21</c:f>
              <c:numCache>
                <c:formatCode>0</c:formatCode>
                <c:ptCount val="12"/>
                <c:pt idx="0">
                  <c:v>9</c:v>
                </c:pt>
                <c:pt idx="1">
                  <c:v>5</c:v>
                </c:pt>
                <c:pt idx="2">
                  <c:v>14</c:v>
                </c:pt>
                <c:pt idx="3">
                  <c:v>10</c:v>
                </c:pt>
                <c:pt idx="4">
                  <c:v>17</c:v>
                </c:pt>
                <c:pt idx="5">
                  <c:v>18</c:v>
                </c:pt>
                <c:pt idx="6">
                  <c:v>14</c:v>
                </c:pt>
                <c:pt idx="7">
                  <c:v>11</c:v>
                </c:pt>
                <c:pt idx="8">
                  <c:v>16</c:v>
                </c:pt>
                <c:pt idx="9">
                  <c:v>15</c:v>
                </c:pt>
                <c:pt idx="10">
                  <c:v>13</c:v>
                </c:pt>
                <c:pt idx="11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232-4340-AED5-CD3F6DAF145D}"/>
            </c:ext>
          </c:extLst>
        </c:ser>
        <c:ser>
          <c:idx val="7"/>
          <c:order val="7"/>
          <c:tx>
            <c:strRef>
              <c:f>'23.07 Makerere-Bwaise'!$Z$9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'23.07 Makerere-Bwaise'!$Z$10:$Z$21</c:f>
              <c:numCache>
                <c:formatCode>0</c:formatCode>
                <c:ptCount val="12"/>
                <c:pt idx="0">
                  <c:v>8</c:v>
                </c:pt>
                <c:pt idx="1">
                  <c:v>6</c:v>
                </c:pt>
                <c:pt idx="2">
                  <c:v>8</c:v>
                </c:pt>
                <c:pt idx="3">
                  <c:v>15</c:v>
                </c:pt>
                <c:pt idx="4">
                  <c:v>14</c:v>
                </c:pt>
                <c:pt idx="5">
                  <c:v>13</c:v>
                </c:pt>
                <c:pt idx="6">
                  <c:v>31</c:v>
                </c:pt>
                <c:pt idx="7">
                  <c:v>31</c:v>
                </c:pt>
                <c:pt idx="8">
                  <c:v>42</c:v>
                </c:pt>
                <c:pt idx="9">
                  <c:v>13</c:v>
                </c:pt>
                <c:pt idx="10">
                  <c:v>29</c:v>
                </c:pt>
                <c:pt idx="11">
                  <c:v>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5232-4340-AED5-CD3F6DAF145D}"/>
            </c:ext>
          </c:extLst>
        </c:ser>
        <c:ser>
          <c:idx val="8"/>
          <c:order val="8"/>
          <c:tx>
            <c:strRef>
              <c:f>'23.07 Makerere-Bwaise'!$AA$9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'23.07 Makerere-Bwaise'!$AA$10:$AA$21</c:f>
              <c:numCache>
                <c:formatCode>0</c:formatCode>
                <c:ptCount val="12"/>
                <c:pt idx="0">
                  <c:v>2</c:v>
                </c:pt>
                <c:pt idx="1">
                  <c:v>6</c:v>
                </c:pt>
                <c:pt idx="2">
                  <c:v>4</c:v>
                </c:pt>
                <c:pt idx="3">
                  <c:v>4</c:v>
                </c:pt>
                <c:pt idx="4">
                  <c:v>8</c:v>
                </c:pt>
                <c:pt idx="5">
                  <c:v>5</c:v>
                </c:pt>
                <c:pt idx="6">
                  <c:v>3</c:v>
                </c:pt>
                <c:pt idx="7">
                  <c:v>9</c:v>
                </c:pt>
                <c:pt idx="8">
                  <c:v>1</c:v>
                </c:pt>
                <c:pt idx="9">
                  <c:v>7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5232-4340-AED5-CD3F6DAF145D}"/>
            </c:ext>
          </c:extLst>
        </c:ser>
        <c:ser>
          <c:idx val="9"/>
          <c:order val="9"/>
          <c:tx>
            <c:strRef>
              <c:f>'23.07 Makerere-Bwaise'!$AB$9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'23.07 Makerere-Bwaise'!$AB$10:$AB$21</c:f>
              <c:numCache>
                <c:formatCode>0</c:formatCode>
                <c:ptCount val="12"/>
                <c:pt idx="0">
                  <c:v>2</c:v>
                </c:pt>
                <c:pt idx="1">
                  <c:v>5</c:v>
                </c:pt>
                <c:pt idx="2">
                  <c:v>2</c:v>
                </c:pt>
                <c:pt idx="3">
                  <c:v>4</c:v>
                </c:pt>
                <c:pt idx="4">
                  <c:v>5</c:v>
                </c:pt>
                <c:pt idx="5">
                  <c:v>5</c:v>
                </c:pt>
                <c:pt idx="6">
                  <c:v>2</c:v>
                </c:pt>
                <c:pt idx="7">
                  <c:v>3</c:v>
                </c:pt>
                <c:pt idx="8">
                  <c:v>0</c:v>
                </c:pt>
                <c:pt idx="9">
                  <c:v>1</c:v>
                </c:pt>
                <c:pt idx="10">
                  <c:v>1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5232-4340-AED5-CD3F6DAF145D}"/>
            </c:ext>
          </c:extLst>
        </c:ser>
        <c:ser>
          <c:idx val="10"/>
          <c:order val="10"/>
          <c:tx>
            <c:strRef>
              <c:f>'23.07 Makerere-Bwaise'!$AC$9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'23.07 Makerere-Bwaise'!$AC$10:$AC$21</c:f>
              <c:numCache>
                <c:formatCode>0</c:formatCode>
                <c:ptCount val="12"/>
                <c:pt idx="0">
                  <c:v>509</c:v>
                </c:pt>
                <c:pt idx="1">
                  <c:v>753</c:v>
                </c:pt>
                <c:pt idx="2">
                  <c:v>740</c:v>
                </c:pt>
                <c:pt idx="3">
                  <c:v>686</c:v>
                </c:pt>
                <c:pt idx="4">
                  <c:v>542</c:v>
                </c:pt>
                <c:pt idx="5">
                  <c:v>557</c:v>
                </c:pt>
                <c:pt idx="6">
                  <c:v>512</c:v>
                </c:pt>
                <c:pt idx="7">
                  <c:v>442</c:v>
                </c:pt>
                <c:pt idx="8">
                  <c:v>459</c:v>
                </c:pt>
                <c:pt idx="9">
                  <c:v>525</c:v>
                </c:pt>
                <c:pt idx="10">
                  <c:v>471</c:v>
                </c:pt>
                <c:pt idx="11">
                  <c:v>455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5232-4340-AED5-CD3F6DAF145D}"/>
            </c:ext>
          </c:extLst>
        </c:ser>
        <c:ser>
          <c:idx val="11"/>
          <c:order val="11"/>
          <c:tx>
            <c:strRef>
              <c:f>'23.07 Makerere-Bwaise'!$AD$9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'23.07 Makerere-Bwaise'!$AD$10:$AD$21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5232-4340-AED5-CD3F6DAF14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1140864"/>
        <c:axId val="111142400"/>
      </c:lineChart>
      <c:catAx>
        <c:axId val="1111408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1142400"/>
        <c:crosses val="autoZero"/>
        <c:auto val="1"/>
        <c:lblAlgn val="ctr"/>
        <c:lblOffset val="100"/>
        <c:noMultiLvlLbl val="0"/>
      </c:catAx>
      <c:valAx>
        <c:axId val="111142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1140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C496-4C9C-BA89-19C872160E0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C496-4C9C-BA89-19C872160E0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C496-4C9C-BA89-19C872160E0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C496-4C9C-BA89-19C872160E0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C496-4C9C-BA89-19C872160E0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C496-4C9C-BA89-19C872160E0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C496-4C9C-BA89-19C872160E0D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C496-4C9C-BA89-19C872160E0D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C496-4C9C-BA89-19C872160E0D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C496-4C9C-BA89-19C872160E0D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C496-4C9C-BA89-19C872160E0D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C496-4C9C-BA89-19C872160E0D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C496-4C9C-BA89-19C872160E0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'23.07 Makerere-Bwaise'!$C$9:$N$9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'23.07 Makerere-Bwaise'!$C$60:$N$60</c:f>
              <c:numCache>
                <c:formatCode>0.00%</c:formatCode>
                <c:ptCount val="12"/>
                <c:pt idx="0">
                  <c:v>0.33981631550513236</c:v>
                </c:pt>
                <c:pt idx="1">
                  <c:v>7.6355123356744103E-2</c:v>
                </c:pt>
                <c:pt idx="2">
                  <c:v>3.6376733297316763E-2</c:v>
                </c:pt>
                <c:pt idx="3">
                  <c:v>0.43093823158652983</c:v>
                </c:pt>
                <c:pt idx="4">
                  <c:v>1.9629029353502612E-2</c:v>
                </c:pt>
                <c:pt idx="5">
                  <c:v>1.5667206915180983E-2</c:v>
                </c:pt>
                <c:pt idx="6">
                  <c:v>2.6292094363407167E-2</c:v>
                </c:pt>
                <c:pt idx="7">
                  <c:v>4.0518638573743923E-2</c:v>
                </c:pt>
                <c:pt idx="8">
                  <c:v>8.8240590671708995E-3</c:v>
                </c:pt>
                <c:pt idx="9">
                  <c:v>5.4024851431658562E-3</c:v>
                </c:pt>
                <c:pt idx="11">
                  <c:v>1.8008283810552856E-4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C496-4C9C-BA89-19C872160E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'24.07 Bwaise-Makerere'!$AE$9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'24.07 Bwaise-Makerere'!$R$10:$R$21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'24.07 Bwaise-Makerere'!$AE$10:$AE$21</c:f>
              <c:numCache>
                <c:formatCode>0</c:formatCode>
                <c:ptCount val="12"/>
                <c:pt idx="0">
                  <c:v>730</c:v>
                </c:pt>
                <c:pt idx="1">
                  <c:v>651</c:v>
                </c:pt>
                <c:pt idx="2">
                  <c:v>646</c:v>
                </c:pt>
                <c:pt idx="3">
                  <c:v>621</c:v>
                </c:pt>
                <c:pt idx="4">
                  <c:v>526</c:v>
                </c:pt>
                <c:pt idx="5">
                  <c:v>508</c:v>
                </c:pt>
                <c:pt idx="6">
                  <c:v>454</c:v>
                </c:pt>
                <c:pt idx="7">
                  <c:v>476</c:v>
                </c:pt>
                <c:pt idx="8">
                  <c:v>505</c:v>
                </c:pt>
                <c:pt idx="9">
                  <c:v>519</c:v>
                </c:pt>
                <c:pt idx="10">
                  <c:v>447</c:v>
                </c:pt>
                <c:pt idx="11">
                  <c:v>322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6D8-486C-94F6-6CD386BE52F0}"/>
            </c:ext>
          </c:extLst>
        </c:ser>
        <c:ser>
          <c:idx val="1"/>
          <c:order val="1"/>
          <c:tx>
            <c:strRef>
              <c:f>'24.07 Bwaise-Makerere'!$AF$9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'24.07 Bwaise-Makerere'!$R$10:$R$21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'24.07 Bwaise-Makerere'!$AF$10:$AF$21</c:f>
              <c:numCache>
                <c:formatCode>0</c:formatCode>
                <c:ptCount val="12"/>
                <c:pt idx="0">
                  <c:v>1695</c:v>
                </c:pt>
                <c:pt idx="1">
                  <c:v>1755</c:v>
                </c:pt>
                <c:pt idx="2">
                  <c:v>1696</c:v>
                </c:pt>
                <c:pt idx="3">
                  <c:v>1592</c:v>
                </c:pt>
                <c:pt idx="4">
                  <c:v>1350</c:v>
                </c:pt>
                <c:pt idx="5">
                  <c:v>1207</c:v>
                </c:pt>
                <c:pt idx="6">
                  <c:v>1228</c:v>
                </c:pt>
                <c:pt idx="7">
                  <c:v>1258</c:v>
                </c:pt>
                <c:pt idx="8">
                  <c:v>1173</c:v>
                </c:pt>
                <c:pt idx="9">
                  <c:v>1303</c:v>
                </c:pt>
                <c:pt idx="10">
                  <c:v>1194</c:v>
                </c:pt>
                <c:pt idx="11">
                  <c:v>843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A6D8-486C-94F6-6CD386BE52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1352832"/>
        <c:axId val="111403776"/>
      </c:lineChart>
      <c:catAx>
        <c:axId val="111352832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1403776"/>
        <c:crosses val="autoZero"/>
        <c:auto val="1"/>
        <c:lblAlgn val="ctr"/>
        <c:lblOffset val="100"/>
        <c:noMultiLvlLbl val="0"/>
      </c:catAx>
      <c:valAx>
        <c:axId val="11140377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13528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7B3F-4B31-952A-3E8EFBAD12A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7B3F-4B31-952A-3E8EFBAD12A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7B3F-4B31-952A-3E8EFBAD12A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7B3F-4B31-952A-3E8EFBAD12A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7B3F-4B31-952A-3E8EFBAD12A4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7B3F-4B31-952A-3E8EFBAD12A4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7B3F-4B31-952A-3E8EFBAD12A4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7B3F-4B31-952A-3E8EFBAD12A4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7B3F-4B31-952A-3E8EFBAD12A4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7B3F-4B31-952A-3E8EFBAD12A4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7B3F-4B31-952A-3E8EFBAD12A4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7B3F-4B31-952A-3E8EFBAD12A4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7B3F-4B31-952A-3E8EFBAD12A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'24.07 Bwaise-Makerere'!$C$9:$N$9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'24.07 Bwaise-Makerere'!$C$59:$N$59</c:f>
              <c:numCache>
                <c:formatCode>0.0%</c:formatCode>
                <c:ptCount val="12"/>
                <c:pt idx="0">
                  <c:v>0.16220694734258009</c:v>
                </c:pt>
                <c:pt idx="1">
                  <c:v>4.5538234933104209E-2</c:v>
                </c:pt>
                <c:pt idx="2">
                  <c:v>2.3812446299251257E-2</c:v>
                </c:pt>
                <c:pt idx="3">
                  <c:v>0.11519577758684178</c:v>
                </c:pt>
                <c:pt idx="4">
                  <c:v>1.043328832699153E-2</c:v>
                </c:pt>
                <c:pt idx="5">
                  <c:v>3.9891984779673499E-3</c:v>
                </c:pt>
                <c:pt idx="6">
                  <c:v>1.8657174420031914E-2</c:v>
                </c:pt>
                <c:pt idx="7">
                  <c:v>4.2346876150730333E-3</c:v>
                </c:pt>
                <c:pt idx="8">
                  <c:v>5.523505584877869E-3</c:v>
                </c:pt>
                <c:pt idx="9">
                  <c:v>3.4982202037559837E-3</c:v>
                </c:pt>
                <c:pt idx="10">
                  <c:v>0.60691051920952499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7B3F-4B31-952A-3E8EFBAD12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843"/>
          <c:y val="2.296022663732372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'24.07 Bwaise-Makerere'!$S$9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'24.07 Bwaise-Makerere'!$R$10:$R$21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'24.07 Bwaise-Makerere'!$S$10:$S$21</c:f>
              <c:numCache>
                <c:formatCode>0</c:formatCode>
                <c:ptCount val="12"/>
                <c:pt idx="0">
                  <c:v>362</c:v>
                </c:pt>
                <c:pt idx="1">
                  <c:v>303</c:v>
                </c:pt>
                <c:pt idx="2">
                  <c:v>243</c:v>
                </c:pt>
                <c:pt idx="3">
                  <c:v>247</c:v>
                </c:pt>
                <c:pt idx="4">
                  <c:v>212</c:v>
                </c:pt>
                <c:pt idx="5">
                  <c:v>220</c:v>
                </c:pt>
                <c:pt idx="6">
                  <c:v>158</c:v>
                </c:pt>
                <c:pt idx="7">
                  <c:v>183</c:v>
                </c:pt>
                <c:pt idx="8">
                  <c:v>217</c:v>
                </c:pt>
                <c:pt idx="9">
                  <c:v>201</c:v>
                </c:pt>
                <c:pt idx="10">
                  <c:v>174</c:v>
                </c:pt>
                <c:pt idx="11">
                  <c:v>123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EEE7-484C-BD81-92E397547986}"/>
            </c:ext>
          </c:extLst>
        </c:ser>
        <c:ser>
          <c:idx val="1"/>
          <c:order val="1"/>
          <c:tx>
            <c:strRef>
              <c:f>'24.07 Bwaise-Makerere'!$T$9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'24.07 Bwaise-Makerere'!$R$10:$R$21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'24.07 Bwaise-Makerere'!$T$10:$T$21</c:f>
              <c:numCache>
                <c:formatCode>0</c:formatCode>
                <c:ptCount val="12"/>
                <c:pt idx="0">
                  <c:v>83</c:v>
                </c:pt>
                <c:pt idx="1">
                  <c:v>53</c:v>
                </c:pt>
                <c:pt idx="2">
                  <c:v>63</c:v>
                </c:pt>
                <c:pt idx="3">
                  <c:v>70</c:v>
                </c:pt>
                <c:pt idx="4">
                  <c:v>46</c:v>
                </c:pt>
                <c:pt idx="5">
                  <c:v>69</c:v>
                </c:pt>
                <c:pt idx="6">
                  <c:v>50</c:v>
                </c:pt>
                <c:pt idx="7">
                  <c:v>64</c:v>
                </c:pt>
                <c:pt idx="8">
                  <c:v>63</c:v>
                </c:pt>
                <c:pt idx="9">
                  <c:v>77</c:v>
                </c:pt>
                <c:pt idx="10">
                  <c:v>66</c:v>
                </c:pt>
                <c:pt idx="11">
                  <c:v>38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EEE7-484C-BD81-92E397547986}"/>
            </c:ext>
          </c:extLst>
        </c:ser>
        <c:ser>
          <c:idx val="2"/>
          <c:order val="2"/>
          <c:tx>
            <c:strRef>
              <c:f>'24.07 Bwaise-Makerere'!$U$9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'24.07 Bwaise-Makerere'!$U$10:$U$21</c:f>
              <c:numCache>
                <c:formatCode>0</c:formatCode>
                <c:ptCount val="12"/>
                <c:pt idx="0">
                  <c:v>27</c:v>
                </c:pt>
                <c:pt idx="1">
                  <c:v>24</c:v>
                </c:pt>
                <c:pt idx="2">
                  <c:v>28</c:v>
                </c:pt>
                <c:pt idx="3">
                  <c:v>36</c:v>
                </c:pt>
                <c:pt idx="4">
                  <c:v>42</c:v>
                </c:pt>
                <c:pt idx="5">
                  <c:v>39</c:v>
                </c:pt>
                <c:pt idx="6">
                  <c:v>44</c:v>
                </c:pt>
                <c:pt idx="7">
                  <c:v>38</c:v>
                </c:pt>
                <c:pt idx="8">
                  <c:v>30</c:v>
                </c:pt>
                <c:pt idx="9">
                  <c:v>39</c:v>
                </c:pt>
                <c:pt idx="10">
                  <c:v>24</c:v>
                </c:pt>
                <c:pt idx="11">
                  <c:v>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EE7-484C-BD81-92E397547986}"/>
            </c:ext>
          </c:extLst>
        </c:ser>
        <c:ser>
          <c:idx val="3"/>
          <c:order val="3"/>
          <c:tx>
            <c:strRef>
              <c:f>'24.07 Bwaise-Makerere'!$V$9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'24.07 Bwaise-Makerere'!$V$10:$V$21</c:f>
              <c:numCache>
                <c:formatCode>0</c:formatCode>
                <c:ptCount val="12"/>
                <c:pt idx="0">
                  <c:v>219</c:v>
                </c:pt>
                <c:pt idx="1">
                  <c:v>245</c:v>
                </c:pt>
                <c:pt idx="2">
                  <c:v>213</c:v>
                </c:pt>
                <c:pt idx="3">
                  <c:v>212</c:v>
                </c:pt>
                <c:pt idx="4">
                  <c:v>144</c:v>
                </c:pt>
                <c:pt idx="5">
                  <c:v>109</c:v>
                </c:pt>
                <c:pt idx="6">
                  <c:v>95</c:v>
                </c:pt>
                <c:pt idx="7">
                  <c:v>134</c:v>
                </c:pt>
                <c:pt idx="8">
                  <c:v>131</c:v>
                </c:pt>
                <c:pt idx="9">
                  <c:v>133</c:v>
                </c:pt>
                <c:pt idx="10">
                  <c:v>135</c:v>
                </c:pt>
                <c:pt idx="11">
                  <c:v>107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EE7-484C-BD81-92E397547986}"/>
            </c:ext>
          </c:extLst>
        </c:ser>
        <c:ser>
          <c:idx val="4"/>
          <c:order val="4"/>
          <c:tx>
            <c:strRef>
              <c:f>'24.07 Bwaise-Makerere'!$W$9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'24.07 Bwaise-Makerere'!$W$10:$W$21</c:f>
              <c:numCache>
                <c:formatCode>0</c:formatCode>
                <c:ptCount val="12"/>
                <c:pt idx="0">
                  <c:v>12</c:v>
                </c:pt>
                <c:pt idx="1">
                  <c:v>5</c:v>
                </c:pt>
                <c:pt idx="2">
                  <c:v>64</c:v>
                </c:pt>
                <c:pt idx="3">
                  <c:v>6</c:v>
                </c:pt>
                <c:pt idx="4">
                  <c:v>2</c:v>
                </c:pt>
                <c:pt idx="5">
                  <c:v>4</c:v>
                </c:pt>
                <c:pt idx="6">
                  <c:v>47</c:v>
                </c:pt>
                <c:pt idx="7">
                  <c:v>3</c:v>
                </c:pt>
                <c:pt idx="8">
                  <c:v>8</c:v>
                </c:pt>
                <c:pt idx="9">
                  <c:v>8</c:v>
                </c:pt>
                <c:pt idx="10">
                  <c:v>5</c:v>
                </c:pt>
                <c:pt idx="11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EE7-484C-BD81-92E397547986}"/>
            </c:ext>
          </c:extLst>
        </c:ser>
        <c:ser>
          <c:idx val="5"/>
          <c:order val="5"/>
          <c:tx>
            <c:strRef>
              <c:f>'24.07 Bwaise-Makerere'!$X$9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'24.07 Bwaise-Makerere'!$X$10:$X$21</c:f>
              <c:numCache>
                <c:formatCode>0</c:formatCode>
                <c:ptCount val="12"/>
                <c:pt idx="0">
                  <c:v>3</c:v>
                </c:pt>
                <c:pt idx="1">
                  <c:v>1</c:v>
                </c:pt>
                <c:pt idx="2">
                  <c:v>2</c:v>
                </c:pt>
                <c:pt idx="3">
                  <c:v>2</c:v>
                </c:pt>
                <c:pt idx="4">
                  <c:v>10</c:v>
                </c:pt>
                <c:pt idx="5">
                  <c:v>18</c:v>
                </c:pt>
                <c:pt idx="6">
                  <c:v>11</c:v>
                </c:pt>
                <c:pt idx="7">
                  <c:v>4</c:v>
                </c:pt>
                <c:pt idx="8">
                  <c:v>2</c:v>
                </c:pt>
                <c:pt idx="9">
                  <c:v>4</c:v>
                </c:pt>
                <c:pt idx="10">
                  <c:v>3</c:v>
                </c:pt>
                <c:pt idx="11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EE7-484C-BD81-92E397547986}"/>
            </c:ext>
          </c:extLst>
        </c:ser>
        <c:ser>
          <c:idx val="6"/>
          <c:order val="6"/>
          <c:tx>
            <c:strRef>
              <c:f>'24.07 Bwaise-Makerere'!$Y$9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'24.07 Bwaise-Makerere'!$Y$10:$Y$21</c:f>
              <c:numCache>
                <c:formatCode>0</c:formatCode>
                <c:ptCount val="12"/>
                <c:pt idx="0">
                  <c:v>16</c:v>
                </c:pt>
                <c:pt idx="1">
                  <c:v>7</c:v>
                </c:pt>
                <c:pt idx="2">
                  <c:v>14</c:v>
                </c:pt>
                <c:pt idx="3">
                  <c:v>34</c:v>
                </c:pt>
                <c:pt idx="4">
                  <c:v>21</c:v>
                </c:pt>
                <c:pt idx="5">
                  <c:v>21</c:v>
                </c:pt>
                <c:pt idx="6">
                  <c:v>29</c:v>
                </c:pt>
                <c:pt idx="7">
                  <c:v>26</c:v>
                </c:pt>
                <c:pt idx="8">
                  <c:v>43</c:v>
                </c:pt>
                <c:pt idx="9">
                  <c:v>43</c:v>
                </c:pt>
                <c:pt idx="10">
                  <c:v>28</c:v>
                </c:pt>
                <c:pt idx="11">
                  <c:v>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EE7-484C-BD81-92E397547986}"/>
            </c:ext>
          </c:extLst>
        </c:ser>
        <c:ser>
          <c:idx val="7"/>
          <c:order val="7"/>
          <c:tx>
            <c:strRef>
              <c:f>'24.07 Bwaise-Makerere'!$Z$9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'24.07 Bwaise-Makerere'!$Z$10:$Z$21</c:f>
              <c:numCache>
                <c:formatCode>0</c:formatCode>
                <c:ptCount val="12"/>
                <c:pt idx="0">
                  <c:v>4</c:v>
                </c:pt>
                <c:pt idx="1">
                  <c:v>2</c:v>
                </c:pt>
                <c:pt idx="2">
                  <c:v>8</c:v>
                </c:pt>
                <c:pt idx="3">
                  <c:v>6</c:v>
                </c:pt>
                <c:pt idx="4">
                  <c:v>5</c:v>
                </c:pt>
                <c:pt idx="5">
                  <c:v>16</c:v>
                </c:pt>
                <c:pt idx="6">
                  <c:v>10</c:v>
                </c:pt>
                <c:pt idx="7">
                  <c:v>7</c:v>
                </c:pt>
                <c:pt idx="8">
                  <c:v>5</c:v>
                </c:pt>
                <c:pt idx="9">
                  <c:v>2</c:v>
                </c:pt>
                <c:pt idx="10">
                  <c:v>3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EEE7-484C-BD81-92E397547986}"/>
            </c:ext>
          </c:extLst>
        </c:ser>
        <c:ser>
          <c:idx val="8"/>
          <c:order val="8"/>
          <c:tx>
            <c:strRef>
              <c:f>'24.07 Bwaise-Makerere'!$AA$9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'24.07 Bwaise-Makerere'!$AA$10:$AA$21</c:f>
              <c:numCache>
                <c:formatCode>0</c:formatCode>
                <c:ptCount val="12"/>
                <c:pt idx="0">
                  <c:v>4</c:v>
                </c:pt>
                <c:pt idx="1">
                  <c:v>8</c:v>
                </c:pt>
                <c:pt idx="2">
                  <c:v>10</c:v>
                </c:pt>
                <c:pt idx="3">
                  <c:v>6</c:v>
                </c:pt>
                <c:pt idx="4">
                  <c:v>10</c:v>
                </c:pt>
                <c:pt idx="5">
                  <c:v>9</c:v>
                </c:pt>
                <c:pt idx="6">
                  <c:v>7</c:v>
                </c:pt>
                <c:pt idx="7">
                  <c:v>15</c:v>
                </c:pt>
                <c:pt idx="8">
                  <c:v>5</c:v>
                </c:pt>
                <c:pt idx="9">
                  <c:v>7</c:v>
                </c:pt>
                <c:pt idx="10">
                  <c:v>7</c:v>
                </c:pt>
                <c:pt idx="1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EEE7-484C-BD81-92E397547986}"/>
            </c:ext>
          </c:extLst>
        </c:ser>
        <c:ser>
          <c:idx val="9"/>
          <c:order val="9"/>
          <c:tx>
            <c:strRef>
              <c:f>'24.07 Bwaise-Makerere'!$AB$9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'24.07 Bwaise-Makerere'!$AB$10:$AB$21</c:f>
              <c:numCache>
                <c:formatCode>0</c:formatCode>
                <c:ptCount val="12"/>
                <c:pt idx="0">
                  <c:v>0</c:v>
                </c:pt>
                <c:pt idx="1">
                  <c:v>3</c:v>
                </c:pt>
                <c:pt idx="2">
                  <c:v>1</c:v>
                </c:pt>
                <c:pt idx="3">
                  <c:v>2</c:v>
                </c:pt>
                <c:pt idx="4">
                  <c:v>34</c:v>
                </c:pt>
                <c:pt idx="5">
                  <c:v>3</c:v>
                </c:pt>
                <c:pt idx="6">
                  <c:v>3</c:v>
                </c:pt>
                <c:pt idx="7">
                  <c:v>2</c:v>
                </c:pt>
                <c:pt idx="8">
                  <c:v>1</c:v>
                </c:pt>
                <c:pt idx="9">
                  <c:v>5</c:v>
                </c:pt>
                <c:pt idx="10">
                  <c:v>2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EEE7-484C-BD81-92E397547986}"/>
            </c:ext>
          </c:extLst>
        </c:ser>
        <c:ser>
          <c:idx val="10"/>
          <c:order val="10"/>
          <c:tx>
            <c:strRef>
              <c:f>'24.07 Bwaise-Makerere'!$AC$9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'24.07 Bwaise-Makerere'!$AC$10:$AC$21</c:f>
              <c:numCache>
                <c:formatCode>0</c:formatCode>
                <c:ptCount val="12"/>
                <c:pt idx="0">
                  <c:v>965</c:v>
                </c:pt>
                <c:pt idx="1">
                  <c:v>1104</c:v>
                </c:pt>
                <c:pt idx="2">
                  <c:v>1050</c:v>
                </c:pt>
                <c:pt idx="3">
                  <c:v>971</c:v>
                </c:pt>
                <c:pt idx="4">
                  <c:v>824</c:v>
                </c:pt>
                <c:pt idx="5">
                  <c:v>699</c:v>
                </c:pt>
                <c:pt idx="6">
                  <c:v>774</c:v>
                </c:pt>
                <c:pt idx="7">
                  <c:v>782</c:v>
                </c:pt>
                <c:pt idx="8">
                  <c:v>668</c:v>
                </c:pt>
                <c:pt idx="9">
                  <c:v>784</c:v>
                </c:pt>
                <c:pt idx="10">
                  <c:v>747</c:v>
                </c:pt>
                <c:pt idx="11">
                  <c:v>521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EEE7-484C-BD81-92E397547986}"/>
            </c:ext>
          </c:extLst>
        </c:ser>
        <c:ser>
          <c:idx val="11"/>
          <c:order val="11"/>
          <c:tx>
            <c:strRef>
              <c:f>'24.07 Bwaise-Makerere'!$AD$9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'24.07 Bwaise-Makerere'!$AD$10:$AD$21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EEE7-484C-BD81-92E3975479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1752320"/>
        <c:axId val="111753856"/>
      </c:lineChart>
      <c:catAx>
        <c:axId val="1117523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1753856"/>
        <c:crosses val="autoZero"/>
        <c:auto val="1"/>
        <c:lblAlgn val="ctr"/>
        <c:lblOffset val="100"/>
        <c:noMultiLvlLbl val="0"/>
      </c:catAx>
      <c:valAx>
        <c:axId val="111753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175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D13E-4D2A-8551-63DD0883CC0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D13E-4D2A-8551-63DD0883CC0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D13E-4D2A-8551-63DD0883CC0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D13E-4D2A-8551-63DD0883CC0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D13E-4D2A-8551-63DD0883CC0B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D13E-4D2A-8551-63DD0883CC0B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D13E-4D2A-8551-63DD0883CC0B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D13E-4D2A-8551-63DD0883CC0B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D13E-4D2A-8551-63DD0883CC0B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D13E-4D2A-8551-63DD0883CC0B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D13E-4D2A-8551-63DD0883CC0B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D13E-4D2A-8551-63DD0883CC0B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D13E-4D2A-8551-63DD0883CC0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'24.07 Bwaise-Makerere'!$C$9:$N$9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'24.07 Bwaise-Makerere'!$C$60:$N$60</c:f>
              <c:numCache>
                <c:formatCode>0.00%</c:formatCode>
                <c:ptCount val="12"/>
                <c:pt idx="0">
                  <c:v>0.4126463700234192</c:v>
                </c:pt>
                <c:pt idx="1">
                  <c:v>0.11584699453551912</c:v>
                </c:pt>
                <c:pt idx="2">
                  <c:v>6.0577673692427794E-2</c:v>
                </c:pt>
                <c:pt idx="3">
                  <c:v>0.29305230288836848</c:v>
                </c:pt>
                <c:pt idx="4">
                  <c:v>2.6541764246682281E-2</c:v>
                </c:pt>
                <c:pt idx="5">
                  <c:v>1.0148321623731461E-2</c:v>
                </c:pt>
                <c:pt idx="6">
                  <c:v>4.7462919594067135E-2</c:v>
                </c:pt>
                <c:pt idx="7">
                  <c:v>1.0772833723653397E-2</c:v>
                </c:pt>
                <c:pt idx="8">
                  <c:v>1.405152224824356E-2</c:v>
                </c:pt>
                <c:pt idx="9">
                  <c:v>8.8992974238875887E-3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D13E-4D2A-8551-63DD0883CC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'24.07 Makerere-Bwaise'!$AE$9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'24.07 Makerere-Bwaise'!$R$10:$R$21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'24.07 Makerere-Bwaise'!$AE$10:$AE$21</c:f>
              <c:numCache>
                <c:formatCode>0</c:formatCode>
                <c:ptCount val="12"/>
                <c:pt idx="0">
                  <c:v>389</c:v>
                </c:pt>
                <c:pt idx="1">
                  <c:v>387</c:v>
                </c:pt>
                <c:pt idx="2">
                  <c:v>356</c:v>
                </c:pt>
                <c:pt idx="3">
                  <c:v>397</c:v>
                </c:pt>
                <c:pt idx="4">
                  <c:v>428</c:v>
                </c:pt>
                <c:pt idx="5">
                  <c:v>388</c:v>
                </c:pt>
                <c:pt idx="6">
                  <c:v>325</c:v>
                </c:pt>
                <c:pt idx="7">
                  <c:v>380</c:v>
                </c:pt>
                <c:pt idx="8">
                  <c:v>430</c:v>
                </c:pt>
                <c:pt idx="9">
                  <c:v>539</c:v>
                </c:pt>
                <c:pt idx="10">
                  <c:v>585</c:v>
                </c:pt>
                <c:pt idx="11">
                  <c:v>369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E57-4E01-B444-33D7FA1808CD}"/>
            </c:ext>
          </c:extLst>
        </c:ser>
        <c:ser>
          <c:idx val="1"/>
          <c:order val="1"/>
          <c:tx>
            <c:strRef>
              <c:f>'24.07 Makerere-Bwaise'!$AF$9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'24.07 Makerere-Bwaise'!$R$10:$R$21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'24.07 Makerere-Bwaise'!$AF$10:$AF$21</c:f>
              <c:numCache>
                <c:formatCode>0</c:formatCode>
                <c:ptCount val="12"/>
                <c:pt idx="0">
                  <c:v>1136</c:v>
                </c:pt>
                <c:pt idx="1">
                  <c:v>1277</c:v>
                </c:pt>
                <c:pt idx="2">
                  <c:v>1182</c:v>
                </c:pt>
                <c:pt idx="3">
                  <c:v>1142</c:v>
                </c:pt>
                <c:pt idx="4">
                  <c:v>1160</c:v>
                </c:pt>
                <c:pt idx="5">
                  <c:v>1010</c:v>
                </c:pt>
                <c:pt idx="6">
                  <c:v>837</c:v>
                </c:pt>
                <c:pt idx="7">
                  <c:v>949</c:v>
                </c:pt>
                <c:pt idx="8">
                  <c:v>959</c:v>
                </c:pt>
                <c:pt idx="9">
                  <c:v>1104</c:v>
                </c:pt>
                <c:pt idx="10">
                  <c:v>1214</c:v>
                </c:pt>
                <c:pt idx="11">
                  <c:v>927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4E57-4E01-B444-33D7FA1808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1841664"/>
        <c:axId val="111843200"/>
      </c:lineChart>
      <c:catAx>
        <c:axId val="111841664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1843200"/>
        <c:crosses val="autoZero"/>
        <c:auto val="1"/>
        <c:lblAlgn val="ctr"/>
        <c:lblOffset val="100"/>
        <c:noMultiLvlLbl val="0"/>
      </c:catAx>
      <c:valAx>
        <c:axId val="11184320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18416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5161-4E7D-9CEC-CABF73E743E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5161-4E7D-9CEC-CABF73E743E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5161-4E7D-9CEC-CABF73E743E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5161-4E7D-9CEC-CABF73E743E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5161-4E7D-9CEC-CABF73E743EC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5161-4E7D-9CEC-CABF73E743EC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5161-4E7D-9CEC-CABF73E743EC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5161-4E7D-9CEC-CABF73E743EC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5161-4E7D-9CEC-CABF73E743EC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5161-4E7D-9CEC-CABF73E743EC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5161-4E7D-9CEC-CABF73E743EC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5161-4E7D-9CEC-CABF73E743EC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5161-4E7D-9CEC-CABF73E743E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'24.07 Makerere-Bwaise'!$C$9:$N$9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'24.07 Makerere-Bwaise'!$C$59:$N$59</c:f>
              <c:numCache>
                <c:formatCode>0.0%</c:formatCode>
                <c:ptCount val="12"/>
                <c:pt idx="0">
                  <c:v>0.15484221136698456</c:v>
                </c:pt>
                <c:pt idx="1">
                  <c:v>3.5046910134139721E-2</c:v>
                </c:pt>
                <c:pt idx="2">
                  <c:v>1.6980693184461503E-2</c:v>
                </c:pt>
                <c:pt idx="3">
                  <c:v>0.13964487865395053</c:v>
                </c:pt>
                <c:pt idx="4">
                  <c:v>3.7993331782585097E-3</c:v>
                </c:pt>
                <c:pt idx="5">
                  <c:v>3.3341087074513455E-3</c:v>
                </c:pt>
                <c:pt idx="6">
                  <c:v>1.3724121888811351E-2</c:v>
                </c:pt>
                <c:pt idx="7">
                  <c:v>1.3801659300612546E-2</c:v>
                </c:pt>
                <c:pt idx="8">
                  <c:v>1.6282856478250756E-3</c:v>
                </c:pt>
                <c:pt idx="9">
                  <c:v>2.6362720012405986E-3</c:v>
                </c:pt>
                <c:pt idx="10">
                  <c:v>0.6144064511126619</c:v>
                </c:pt>
                <c:pt idx="11">
                  <c:v>1.5507482360238814E-4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5161-4E7D-9CEC-CABF73E743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6E42-4CDD-86E3-A4C2F2E44AF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6E42-4CDD-86E3-A4C2F2E44AF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6E42-4CDD-86E3-A4C2F2E44AF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6E42-4CDD-86E3-A4C2F2E44AF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6E42-4CDD-86E3-A4C2F2E44AF9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6E42-4CDD-86E3-A4C2F2E44AF9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6E42-4CDD-86E3-A4C2F2E44AF9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6E42-4CDD-86E3-A4C2F2E44AF9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6E42-4CDD-86E3-A4C2F2E44AF9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6E42-4CDD-86E3-A4C2F2E44AF9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6E42-4CDD-86E3-A4C2F2E44AF9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6E42-4CDD-86E3-A4C2F2E44AF9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6E42-4CDD-86E3-A4C2F2E44AF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'24.07 Makerere-Bwaise'!$C$9:$N$9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'24.07 Makerere-Bwaise'!$C$60:$N$60</c:f>
              <c:numCache>
                <c:formatCode>0.00%</c:formatCode>
                <c:ptCount val="12"/>
                <c:pt idx="0">
                  <c:v>0.4015684697365775</c:v>
                </c:pt>
                <c:pt idx="1">
                  <c:v>9.089081037603057E-2</c:v>
                </c:pt>
                <c:pt idx="2">
                  <c:v>4.403780414236879E-2</c:v>
                </c:pt>
                <c:pt idx="3">
                  <c:v>0.36215564045847576</c:v>
                </c:pt>
                <c:pt idx="4">
                  <c:v>9.8532073195254366E-3</c:v>
                </c:pt>
                <c:pt idx="5">
                  <c:v>8.6466921375427299E-3</c:v>
                </c:pt>
                <c:pt idx="6">
                  <c:v>3.5592197868489849E-2</c:v>
                </c:pt>
                <c:pt idx="7">
                  <c:v>3.5793283732153632E-2</c:v>
                </c:pt>
                <c:pt idx="8">
                  <c:v>4.2228031369394734E-3</c:v>
                </c:pt>
                <c:pt idx="9">
                  <c:v>6.8369193645686707E-3</c:v>
                </c:pt>
                <c:pt idx="11">
                  <c:v>4.0217172732756888E-4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6E42-4CDD-86E3-A4C2F2E44A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'25.07Bwaise-Makerere'!$AE$9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'25.07Bwaise-Makerere'!$R$10:$R$21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'25.07Bwaise-Makerere'!$AE$10:$AE$21</c:f>
              <c:numCache>
                <c:formatCode>0</c:formatCode>
                <c:ptCount val="12"/>
                <c:pt idx="0">
                  <c:v>846</c:v>
                </c:pt>
                <c:pt idx="1">
                  <c:v>663</c:v>
                </c:pt>
                <c:pt idx="2">
                  <c:v>640</c:v>
                </c:pt>
                <c:pt idx="3">
                  <c:v>596</c:v>
                </c:pt>
                <c:pt idx="4">
                  <c:v>670</c:v>
                </c:pt>
                <c:pt idx="5">
                  <c:v>687</c:v>
                </c:pt>
                <c:pt idx="6">
                  <c:v>444</c:v>
                </c:pt>
                <c:pt idx="7">
                  <c:v>528</c:v>
                </c:pt>
                <c:pt idx="8">
                  <c:v>522</c:v>
                </c:pt>
                <c:pt idx="9">
                  <c:v>455</c:v>
                </c:pt>
                <c:pt idx="10">
                  <c:v>448</c:v>
                </c:pt>
                <c:pt idx="11">
                  <c:v>423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C61-4EFF-B3FE-B7ED65A6BB38}"/>
            </c:ext>
          </c:extLst>
        </c:ser>
        <c:ser>
          <c:idx val="1"/>
          <c:order val="1"/>
          <c:tx>
            <c:strRef>
              <c:f>'25.07Bwaise-Makerere'!$AF$9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'25.07Bwaise-Makerere'!$R$10:$R$21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'25.07Bwaise-Makerere'!$AF$10:$AF$21</c:f>
              <c:numCache>
                <c:formatCode>0</c:formatCode>
                <c:ptCount val="12"/>
                <c:pt idx="0">
                  <c:v>1722</c:v>
                </c:pt>
                <c:pt idx="1">
                  <c:v>1508</c:v>
                </c:pt>
                <c:pt idx="2">
                  <c:v>1470</c:v>
                </c:pt>
                <c:pt idx="3">
                  <c:v>1346</c:v>
                </c:pt>
                <c:pt idx="4">
                  <c:v>1332</c:v>
                </c:pt>
                <c:pt idx="5">
                  <c:v>1347</c:v>
                </c:pt>
                <c:pt idx="6">
                  <c:v>951</c:v>
                </c:pt>
                <c:pt idx="7">
                  <c:v>1033</c:v>
                </c:pt>
                <c:pt idx="8">
                  <c:v>1114</c:v>
                </c:pt>
                <c:pt idx="9">
                  <c:v>976</c:v>
                </c:pt>
                <c:pt idx="10">
                  <c:v>930</c:v>
                </c:pt>
                <c:pt idx="11">
                  <c:v>916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4C61-4EFF-B3FE-B7ED65A6BB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2530944"/>
        <c:axId val="112532480"/>
      </c:lineChart>
      <c:catAx>
        <c:axId val="112530944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2532480"/>
        <c:crosses val="autoZero"/>
        <c:auto val="1"/>
        <c:lblAlgn val="ctr"/>
        <c:lblOffset val="100"/>
        <c:noMultiLvlLbl val="0"/>
      </c:catAx>
      <c:valAx>
        <c:axId val="11253248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2530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4385-42DE-9260-DCACDBA6D28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4385-42DE-9260-DCACDBA6D28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4385-42DE-9260-DCACDBA6D28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4385-42DE-9260-DCACDBA6D28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4385-42DE-9260-DCACDBA6D289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4385-42DE-9260-DCACDBA6D289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4385-42DE-9260-DCACDBA6D289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4385-42DE-9260-DCACDBA6D289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4385-42DE-9260-DCACDBA6D289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4385-42DE-9260-DCACDBA6D289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4385-42DE-9260-DCACDBA6D289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4385-42DE-9260-DCACDBA6D289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4385-42DE-9260-DCACDBA6D28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'25.07Bwaise-Makerere'!$C$9:$N$9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'25.07Bwaise-Makerere'!$C$59:$N$59</c:f>
              <c:numCache>
                <c:formatCode>0.0%</c:formatCode>
                <c:ptCount val="12"/>
                <c:pt idx="0">
                  <c:v>0.19207920792079208</c:v>
                </c:pt>
                <c:pt idx="1">
                  <c:v>5.1280300443837488E-2</c:v>
                </c:pt>
                <c:pt idx="2">
                  <c:v>2.5469443496073746E-2</c:v>
                </c:pt>
                <c:pt idx="3">
                  <c:v>0.15759644930010241</c:v>
                </c:pt>
                <c:pt idx="4">
                  <c:v>3.0727210652099694E-3</c:v>
                </c:pt>
                <c:pt idx="5">
                  <c:v>2.7313076135199728E-3</c:v>
                </c:pt>
                <c:pt idx="6">
                  <c:v>2.9361556845339705E-2</c:v>
                </c:pt>
                <c:pt idx="7">
                  <c:v>3.0727210652099694E-3</c:v>
                </c:pt>
                <c:pt idx="8">
                  <c:v>5.872311369067941E-3</c:v>
                </c:pt>
                <c:pt idx="9">
                  <c:v>2.1167634004779787E-3</c:v>
                </c:pt>
                <c:pt idx="10">
                  <c:v>0.52734721748036872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4385-42DE-9260-DCACDBA6D2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843"/>
          <c:y val="2.296022663732372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'25.07Bwaise-Makerere'!$S$9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'25.07Bwaise-Makerere'!$R$10:$R$21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'25.07Bwaise-Makerere'!$S$10:$S$21</c:f>
              <c:numCache>
                <c:formatCode>0</c:formatCode>
                <c:ptCount val="12"/>
                <c:pt idx="0">
                  <c:v>386</c:v>
                </c:pt>
                <c:pt idx="1">
                  <c:v>284</c:v>
                </c:pt>
                <c:pt idx="2">
                  <c:v>272</c:v>
                </c:pt>
                <c:pt idx="3">
                  <c:v>237</c:v>
                </c:pt>
                <c:pt idx="4">
                  <c:v>277</c:v>
                </c:pt>
                <c:pt idx="5">
                  <c:v>286</c:v>
                </c:pt>
                <c:pt idx="6">
                  <c:v>165</c:v>
                </c:pt>
                <c:pt idx="7">
                  <c:v>204</c:v>
                </c:pt>
                <c:pt idx="8">
                  <c:v>192</c:v>
                </c:pt>
                <c:pt idx="9">
                  <c:v>200</c:v>
                </c:pt>
                <c:pt idx="10">
                  <c:v>182</c:v>
                </c:pt>
                <c:pt idx="11">
                  <c:v>128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F565-49B4-8ABB-8A67B7CF0463}"/>
            </c:ext>
          </c:extLst>
        </c:ser>
        <c:ser>
          <c:idx val="1"/>
          <c:order val="1"/>
          <c:tx>
            <c:strRef>
              <c:f>'25.07Bwaise-Makerere'!$T$9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'25.07Bwaise-Makerere'!$R$10:$R$21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'25.07Bwaise-Makerere'!$T$10:$T$21</c:f>
              <c:numCache>
                <c:formatCode>0</c:formatCode>
                <c:ptCount val="12"/>
                <c:pt idx="0">
                  <c:v>76</c:v>
                </c:pt>
                <c:pt idx="1">
                  <c:v>56</c:v>
                </c:pt>
                <c:pt idx="2">
                  <c:v>78</c:v>
                </c:pt>
                <c:pt idx="3">
                  <c:v>75</c:v>
                </c:pt>
                <c:pt idx="4">
                  <c:v>76</c:v>
                </c:pt>
                <c:pt idx="5">
                  <c:v>68</c:v>
                </c:pt>
                <c:pt idx="6">
                  <c:v>67</c:v>
                </c:pt>
                <c:pt idx="7">
                  <c:v>55</c:v>
                </c:pt>
                <c:pt idx="8">
                  <c:v>58</c:v>
                </c:pt>
                <c:pt idx="9">
                  <c:v>49</c:v>
                </c:pt>
                <c:pt idx="10">
                  <c:v>57</c:v>
                </c:pt>
                <c:pt idx="11">
                  <c:v>36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F565-49B4-8ABB-8A67B7CF0463}"/>
            </c:ext>
          </c:extLst>
        </c:ser>
        <c:ser>
          <c:idx val="2"/>
          <c:order val="2"/>
          <c:tx>
            <c:strRef>
              <c:f>'25.07Bwaise-Makerere'!$U$9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'25.07Bwaise-Makerere'!$U$10:$U$21</c:f>
              <c:numCache>
                <c:formatCode>0</c:formatCode>
                <c:ptCount val="12"/>
                <c:pt idx="0">
                  <c:v>32</c:v>
                </c:pt>
                <c:pt idx="1">
                  <c:v>19</c:v>
                </c:pt>
                <c:pt idx="2">
                  <c:v>26</c:v>
                </c:pt>
                <c:pt idx="3">
                  <c:v>35</c:v>
                </c:pt>
                <c:pt idx="4">
                  <c:v>39</c:v>
                </c:pt>
                <c:pt idx="5">
                  <c:v>47</c:v>
                </c:pt>
                <c:pt idx="6">
                  <c:v>22</c:v>
                </c:pt>
                <c:pt idx="7">
                  <c:v>33</c:v>
                </c:pt>
                <c:pt idx="8">
                  <c:v>41</c:v>
                </c:pt>
                <c:pt idx="9">
                  <c:v>30</c:v>
                </c:pt>
                <c:pt idx="10">
                  <c:v>32</c:v>
                </c:pt>
                <c:pt idx="11">
                  <c:v>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565-49B4-8ABB-8A67B7CF0463}"/>
            </c:ext>
          </c:extLst>
        </c:ser>
        <c:ser>
          <c:idx val="3"/>
          <c:order val="3"/>
          <c:tx>
            <c:strRef>
              <c:f>'25.07Bwaise-Makerere'!$V$9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'25.07Bwaise-Makerere'!$V$10:$V$21</c:f>
              <c:numCache>
                <c:formatCode>0</c:formatCode>
                <c:ptCount val="12"/>
                <c:pt idx="0">
                  <c:v>323</c:v>
                </c:pt>
                <c:pt idx="1">
                  <c:v>269</c:v>
                </c:pt>
                <c:pt idx="2">
                  <c:v>216</c:v>
                </c:pt>
                <c:pt idx="3">
                  <c:v>192</c:v>
                </c:pt>
                <c:pt idx="4">
                  <c:v>213</c:v>
                </c:pt>
                <c:pt idx="5">
                  <c:v>204</c:v>
                </c:pt>
                <c:pt idx="6">
                  <c:v>133</c:v>
                </c:pt>
                <c:pt idx="7">
                  <c:v>177</c:v>
                </c:pt>
                <c:pt idx="8">
                  <c:v>161</c:v>
                </c:pt>
                <c:pt idx="9">
                  <c:v>115</c:v>
                </c:pt>
                <c:pt idx="10">
                  <c:v>129</c:v>
                </c:pt>
                <c:pt idx="11">
                  <c:v>176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565-49B4-8ABB-8A67B7CF0463}"/>
            </c:ext>
          </c:extLst>
        </c:ser>
        <c:ser>
          <c:idx val="4"/>
          <c:order val="4"/>
          <c:tx>
            <c:strRef>
              <c:f>'25.07Bwaise-Makerere'!$W$9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'25.07Bwaise-Makerere'!$W$10:$W$21</c:f>
              <c:numCache>
                <c:formatCode>0</c:formatCode>
                <c:ptCount val="12"/>
                <c:pt idx="0">
                  <c:v>8</c:v>
                </c:pt>
                <c:pt idx="1">
                  <c:v>2</c:v>
                </c:pt>
                <c:pt idx="2">
                  <c:v>2</c:v>
                </c:pt>
                <c:pt idx="3">
                  <c:v>4</c:v>
                </c:pt>
                <c:pt idx="4">
                  <c:v>3</c:v>
                </c:pt>
                <c:pt idx="5">
                  <c:v>6</c:v>
                </c:pt>
                <c:pt idx="6">
                  <c:v>0</c:v>
                </c:pt>
                <c:pt idx="7">
                  <c:v>2</c:v>
                </c:pt>
                <c:pt idx="8">
                  <c:v>1</c:v>
                </c:pt>
                <c:pt idx="9">
                  <c:v>2</c:v>
                </c:pt>
                <c:pt idx="10">
                  <c:v>2</c:v>
                </c:pt>
                <c:pt idx="11">
                  <c:v>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565-49B4-8ABB-8A67B7CF0463}"/>
            </c:ext>
          </c:extLst>
        </c:ser>
        <c:ser>
          <c:idx val="5"/>
          <c:order val="5"/>
          <c:tx>
            <c:strRef>
              <c:f>'25.07Bwaise-Makerere'!$X$9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'25.07Bwaise-Makerere'!$X$10:$X$21</c:f>
              <c:numCache>
                <c:formatCode>0</c:formatCode>
                <c:ptCount val="12"/>
                <c:pt idx="0">
                  <c:v>3</c:v>
                </c:pt>
                <c:pt idx="1">
                  <c:v>4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5</c:v>
                </c:pt>
                <c:pt idx="6">
                  <c:v>4</c:v>
                </c:pt>
                <c:pt idx="7">
                  <c:v>2</c:v>
                </c:pt>
                <c:pt idx="8">
                  <c:v>3</c:v>
                </c:pt>
                <c:pt idx="9">
                  <c:v>6</c:v>
                </c:pt>
                <c:pt idx="10">
                  <c:v>0</c:v>
                </c:pt>
                <c:pt idx="11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565-49B4-8ABB-8A67B7CF0463}"/>
            </c:ext>
          </c:extLst>
        </c:ser>
        <c:ser>
          <c:idx val="6"/>
          <c:order val="6"/>
          <c:tx>
            <c:strRef>
              <c:f>'25.07Bwaise-Makerere'!$Y$9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'25.07Bwaise-Makerere'!$Y$10:$Y$21</c:f>
              <c:numCache>
                <c:formatCode>0</c:formatCode>
                <c:ptCount val="12"/>
                <c:pt idx="0">
                  <c:v>11</c:v>
                </c:pt>
                <c:pt idx="1">
                  <c:v>18</c:v>
                </c:pt>
                <c:pt idx="2">
                  <c:v>21</c:v>
                </c:pt>
                <c:pt idx="3">
                  <c:v>38</c:v>
                </c:pt>
                <c:pt idx="4">
                  <c:v>41</c:v>
                </c:pt>
                <c:pt idx="5">
                  <c:v>62</c:v>
                </c:pt>
                <c:pt idx="6">
                  <c:v>36</c:v>
                </c:pt>
                <c:pt idx="7">
                  <c:v>43</c:v>
                </c:pt>
                <c:pt idx="8">
                  <c:v>50</c:v>
                </c:pt>
                <c:pt idx="9">
                  <c:v>36</c:v>
                </c:pt>
                <c:pt idx="10">
                  <c:v>38</c:v>
                </c:pt>
                <c:pt idx="11">
                  <c:v>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565-49B4-8ABB-8A67B7CF0463}"/>
            </c:ext>
          </c:extLst>
        </c:ser>
        <c:ser>
          <c:idx val="7"/>
          <c:order val="7"/>
          <c:tx>
            <c:strRef>
              <c:f>'25.07Bwaise-Makerere'!$Z$9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'25.07Bwaise-Makerere'!$Z$10:$Z$21</c:f>
              <c:numCache>
                <c:formatCode>0</c:formatCode>
                <c:ptCount val="12"/>
                <c:pt idx="0">
                  <c:v>2</c:v>
                </c:pt>
                <c:pt idx="1">
                  <c:v>1</c:v>
                </c:pt>
                <c:pt idx="2">
                  <c:v>14</c:v>
                </c:pt>
                <c:pt idx="3">
                  <c:v>4</c:v>
                </c:pt>
                <c:pt idx="4">
                  <c:v>2</c:v>
                </c:pt>
                <c:pt idx="5">
                  <c:v>2</c:v>
                </c:pt>
                <c:pt idx="6">
                  <c:v>1</c:v>
                </c:pt>
                <c:pt idx="7">
                  <c:v>7</c:v>
                </c:pt>
                <c:pt idx="8">
                  <c:v>3</c:v>
                </c:pt>
                <c:pt idx="9">
                  <c:v>8</c:v>
                </c:pt>
                <c:pt idx="10">
                  <c:v>0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F565-49B4-8ABB-8A67B7CF0463}"/>
            </c:ext>
          </c:extLst>
        </c:ser>
        <c:ser>
          <c:idx val="8"/>
          <c:order val="8"/>
          <c:tx>
            <c:strRef>
              <c:f>'25.07Bwaise-Makerere'!$AA$9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'25.07Bwaise-Makerere'!$AA$10:$AA$21</c:f>
              <c:numCache>
                <c:formatCode>0</c:formatCode>
                <c:ptCount val="12"/>
                <c:pt idx="0">
                  <c:v>3</c:v>
                </c:pt>
                <c:pt idx="1">
                  <c:v>8</c:v>
                </c:pt>
                <c:pt idx="2">
                  <c:v>8</c:v>
                </c:pt>
                <c:pt idx="3">
                  <c:v>7</c:v>
                </c:pt>
                <c:pt idx="4">
                  <c:v>15</c:v>
                </c:pt>
                <c:pt idx="5">
                  <c:v>5</c:v>
                </c:pt>
                <c:pt idx="6">
                  <c:v>13</c:v>
                </c:pt>
                <c:pt idx="7">
                  <c:v>3</c:v>
                </c:pt>
                <c:pt idx="8">
                  <c:v>8</c:v>
                </c:pt>
                <c:pt idx="9">
                  <c:v>6</c:v>
                </c:pt>
                <c:pt idx="10">
                  <c:v>3</c:v>
                </c:pt>
                <c:pt idx="11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F565-49B4-8ABB-8A67B7CF0463}"/>
            </c:ext>
          </c:extLst>
        </c:ser>
        <c:ser>
          <c:idx val="9"/>
          <c:order val="9"/>
          <c:tx>
            <c:strRef>
              <c:f>'25.07Bwaise-Makerere'!$AB$9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'25.07Bwaise-Makerere'!$AB$10:$AB$21</c:f>
              <c:numCache>
                <c:formatCode>0</c:formatCode>
                <c:ptCount val="12"/>
                <c:pt idx="0">
                  <c:v>2</c:v>
                </c:pt>
                <c:pt idx="1">
                  <c:v>2</c:v>
                </c:pt>
                <c:pt idx="2">
                  <c:v>0</c:v>
                </c:pt>
                <c:pt idx="3">
                  <c:v>1</c:v>
                </c:pt>
                <c:pt idx="4">
                  <c:v>1</c:v>
                </c:pt>
                <c:pt idx="5">
                  <c:v>2</c:v>
                </c:pt>
                <c:pt idx="6">
                  <c:v>3</c:v>
                </c:pt>
                <c:pt idx="7">
                  <c:v>2</c:v>
                </c:pt>
                <c:pt idx="8">
                  <c:v>5</c:v>
                </c:pt>
                <c:pt idx="9">
                  <c:v>3</c:v>
                </c:pt>
                <c:pt idx="10">
                  <c:v>5</c:v>
                </c:pt>
                <c:pt idx="11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F565-49B4-8ABB-8A67B7CF0463}"/>
            </c:ext>
          </c:extLst>
        </c:ser>
        <c:ser>
          <c:idx val="10"/>
          <c:order val="10"/>
          <c:tx>
            <c:strRef>
              <c:f>'25.07Bwaise-Makerere'!$AC$9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'25.07Bwaise-Makerere'!$AC$10:$AC$21</c:f>
              <c:numCache>
                <c:formatCode>0</c:formatCode>
                <c:ptCount val="12"/>
                <c:pt idx="0">
                  <c:v>876</c:v>
                </c:pt>
                <c:pt idx="1">
                  <c:v>845</c:v>
                </c:pt>
                <c:pt idx="2">
                  <c:v>830</c:v>
                </c:pt>
                <c:pt idx="3">
                  <c:v>750</c:v>
                </c:pt>
                <c:pt idx="4">
                  <c:v>662</c:v>
                </c:pt>
                <c:pt idx="5">
                  <c:v>660</c:v>
                </c:pt>
                <c:pt idx="6">
                  <c:v>507</c:v>
                </c:pt>
                <c:pt idx="7">
                  <c:v>505</c:v>
                </c:pt>
                <c:pt idx="8">
                  <c:v>592</c:v>
                </c:pt>
                <c:pt idx="9">
                  <c:v>521</c:v>
                </c:pt>
                <c:pt idx="10">
                  <c:v>482</c:v>
                </c:pt>
                <c:pt idx="11">
                  <c:v>493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F565-49B4-8ABB-8A67B7CF0463}"/>
            </c:ext>
          </c:extLst>
        </c:ser>
        <c:ser>
          <c:idx val="11"/>
          <c:order val="11"/>
          <c:tx>
            <c:strRef>
              <c:f>'25.07Bwaise-Makerere'!$AD$9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'25.07Bwaise-Makerere'!$AD$10:$AD$21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F565-49B4-8ABB-8A67B7CF04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2680320"/>
        <c:axId val="112702592"/>
      </c:lineChart>
      <c:catAx>
        <c:axId val="1126803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2702592"/>
        <c:crosses val="autoZero"/>
        <c:auto val="1"/>
        <c:lblAlgn val="ctr"/>
        <c:lblOffset val="100"/>
        <c:noMultiLvlLbl val="0"/>
      </c:catAx>
      <c:valAx>
        <c:axId val="112702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2680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F7C5-4DCE-BEC7-0690C330694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F7C5-4DCE-BEC7-0690C330694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F7C5-4DCE-BEC7-0690C330694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F7C5-4DCE-BEC7-0690C330694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F7C5-4DCE-BEC7-0690C330694A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F7C5-4DCE-BEC7-0690C330694A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F7C5-4DCE-BEC7-0690C330694A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F7C5-4DCE-BEC7-0690C330694A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F7C5-4DCE-BEC7-0690C330694A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F7C5-4DCE-BEC7-0690C330694A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F7C5-4DCE-BEC7-0690C330694A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F7C5-4DCE-BEC7-0690C330694A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F7C5-4DCE-BEC7-0690C330694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'25.07Bwaise-Makerere'!$C$9:$N$9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'25.07Bwaise-Makerere'!$C$60:$N$60</c:f>
              <c:numCache>
                <c:formatCode>0.00%</c:formatCode>
                <c:ptCount val="12"/>
                <c:pt idx="0">
                  <c:v>0.40638543773475871</c:v>
                </c:pt>
                <c:pt idx="1">
                  <c:v>0.10849465472406819</c:v>
                </c:pt>
                <c:pt idx="2">
                  <c:v>5.3886160069344123E-2</c:v>
                </c:pt>
                <c:pt idx="3">
                  <c:v>0.33342964461138397</c:v>
                </c:pt>
                <c:pt idx="4">
                  <c:v>6.5010112684195315E-3</c:v>
                </c:pt>
                <c:pt idx="5">
                  <c:v>5.778676683039584E-3</c:v>
                </c:pt>
                <c:pt idx="6">
                  <c:v>6.212077434267553E-2</c:v>
                </c:pt>
                <c:pt idx="7">
                  <c:v>6.5010112684195315E-3</c:v>
                </c:pt>
                <c:pt idx="8">
                  <c:v>1.2424154868535105E-2</c:v>
                </c:pt>
                <c:pt idx="9">
                  <c:v>4.4784744293556774E-3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F7C5-4DCE-BEC7-0690C33069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'25.07 Makerere-Bwaise'!$AE$9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'25.07 Makerere-Bwaise'!$R$10:$R$21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'25.07 Makerere-Bwaise'!$AE$10:$AE$21</c:f>
              <c:numCache>
                <c:formatCode>0</c:formatCode>
                <c:ptCount val="12"/>
                <c:pt idx="0">
                  <c:v>364</c:v>
                </c:pt>
                <c:pt idx="1">
                  <c:v>355</c:v>
                </c:pt>
                <c:pt idx="2">
                  <c:v>333</c:v>
                </c:pt>
                <c:pt idx="3">
                  <c:v>387</c:v>
                </c:pt>
                <c:pt idx="4">
                  <c:v>402</c:v>
                </c:pt>
                <c:pt idx="5">
                  <c:v>491</c:v>
                </c:pt>
                <c:pt idx="6">
                  <c:v>454</c:v>
                </c:pt>
                <c:pt idx="7">
                  <c:v>408</c:v>
                </c:pt>
                <c:pt idx="8">
                  <c:v>463</c:v>
                </c:pt>
                <c:pt idx="9">
                  <c:v>541</c:v>
                </c:pt>
                <c:pt idx="10">
                  <c:v>451</c:v>
                </c:pt>
                <c:pt idx="11">
                  <c:v>597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463-4278-A5CC-74015684B17F}"/>
            </c:ext>
          </c:extLst>
        </c:ser>
        <c:ser>
          <c:idx val="1"/>
          <c:order val="1"/>
          <c:tx>
            <c:strRef>
              <c:f>'25.07 Makerere-Bwaise'!$AF$9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'25.07 Makerere-Bwaise'!$R$10:$R$21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'25.07 Makerere-Bwaise'!$AF$10:$AF$21</c:f>
              <c:numCache>
                <c:formatCode>0</c:formatCode>
                <c:ptCount val="12"/>
                <c:pt idx="0">
                  <c:v>899</c:v>
                </c:pt>
                <c:pt idx="1">
                  <c:v>1303</c:v>
                </c:pt>
                <c:pt idx="2">
                  <c:v>1146</c:v>
                </c:pt>
                <c:pt idx="3">
                  <c:v>1223</c:v>
                </c:pt>
                <c:pt idx="4">
                  <c:v>1086</c:v>
                </c:pt>
                <c:pt idx="5">
                  <c:v>1035</c:v>
                </c:pt>
                <c:pt idx="6">
                  <c:v>1009</c:v>
                </c:pt>
                <c:pt idx="7">
                  <c:v>943</c:v>
                </c:pt>
                <c:pt idx="8">
                  <c:v>1022</c:v>
                </c:pt>
                <c:pt idx="9">
                  <c:v>1226</c:v>
                </c:pt>
                <c:pt idx="10">
                  <c:v>1031</c:v>
                </c:pt>
                <c:pt idx="11">
                  <c:v>1143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463-4278-A5CC-74015684B1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2921216"/>
        <c:axId val="112931200"/>
      </c:lineChart>
      <c:catAx>
        <c:axId val="112921216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2931200"/>
        <c:crosses val="autoZero"/>
        <c:auto val="1"/>
        <c:lblAlgn val="ctr"/>
        <c:lblOffset val="100"/>
        <c:noMultiLvlLbl val="0"/>
      </c:catAx>
      <c:valAx>
        <c:axId val="11293120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29212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5838-4AD2-B02D-63FE1AB93A1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5838-4AD2-B02D-63FE1AB93A1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5838-4AD2-B02D-63FE1AB93A1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5838-4AD2-B02D-63FE1AB93A1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5838-4AD2-B02D-63FE1AB93A14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5838-4AD2-B02D-63FE1AB93A14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5838-4AD2-B02D-63FE1AB93A14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5838-4AD2-B02D-63FE1AB93A14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5838-4AD2-B02D-63FE1AB93A14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5838-4AD2-B02D-63FE1AB93A14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5838-4AD2-B02D-63FE1AB93A14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5838-4AD2-B02D-63FE1AB93A14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5838-4AD2-B02D-63FE1AB93A1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'25.07 Makerere-Bwaise'!$C$9:$N$9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'25.07 Makerere-Bwaise'!$C$59:$N$59</c:f>
              <c:numCache>
                <c:formatCode>0.0%</c:formatCode>
                <c:ptCount val="12"/>
                <c:pt idx="0">
                  <c:v>0.15681922547068727</c:v>
                </c:pt>
                <c:pt idx="1">
                  <c:v>3.3522118475432419E-2</c:v>
                </c:pt>
                <c:pt idx="2">
                  <c:v>2.1888871881218429E-2</c:v>
                </c:pt>
                <c:pt idx="3">
                  <c:v>0.1507729986223787</c:v>
                </c:pt>
                <c:pt idx="4">
                  <c:v>3.3675187509566813E-3</c:v>
                </c:pt>
                <c:pt idx="5">
                  <c:v>3.3675187509566813E-3</c:v>
                </c:pt>
                <c:pt idx="6">
                  <c:v>1.4694627276901883E-2</c:v>
                </c:pt>
                <c:pt idx="7">
                  <c:v>1.109750497474361E-2</c:v>
                </c:pt>
                <c:pt idx="8">
                  <c:v>3.8267258533598654E-3</c:v>
                </c:pt>
                <c:pt idx="9">
                  <c:v>2.0664319608143271E-3</c:v>
                </c:pt>
                <c:pt idx="10">
                  <c:v>0.59849992346548297</c:v>
                </c:pt>
                <c:pt idx="11">
                  <c:v>7.6534517067197309E-5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5838-4AD2-B02D-63FE1AB93A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843"/>
          <c:y val="2.296022663732372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'25.07 Makerere-Bwaise'!$S$9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'25.07 Makerere-Bwaise'!$R$10:$R$21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'25.07 Makerere-Bwaise'!$S$10:$S$21</c:f>
              <c:numCache>
                <c:formatCode>0</c:formatCode>
                <c:ptCount val="12"/>
                <c:pt idx="0">
                  <c:v>150</c:v>
                </c:pt>
                <c:pt idx="1">
                  <c:v>111</c:v>
                </c:pt>
                <c:pt idx="2">
                  <c:v>88</c:v>
                </c:pt>
                <c:pt idx="3">
                  <c:v>135</c:v>
                </c:pt>
                <c:pt idx="4">
                  <c:v>155</c:v>
                </c:pt>
                <c:pt idx="5">
                  <c:v>163</c:v>
                </c:pt>
                <c:pt idx="6">
                  <c:v>148</c:v>
                </c:pt>
                <c:pt idx="7">
                  <c:v>170</c:v>
                </c:pt>
                <c:pt idx="8">
                  <c:v>181</c:v>
                </c:pt>
                <c:pt idx="9">
                  <c:v>246</c:v>
                </c:pt>
                <c:pt idx="10">
                  <c:v>234</c:v>
                </c:pt>
                <c:pt idx="11">
                  <c:v>268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ACD-4E4E-9939-9E943A18B54F}"/>
            </c:ext>
          </c:extLst>
        </c:ser>
        <c:ser>
          <c:idx val="1"/>
          <c:order val="1"/>
          <c:tx>
            <c:strRef>
              <c:f>'25.07 Makerere-Bwaise'!$T$9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'25.07 Makerere-Bwaise'!$R$10:$R$21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'25.07 Makerere-Bwaise'!$T$10:$T$21</c:f>
              <c:numCache>
                <c:formatCode>0</c:formatCode>
                <c:ptCount val="12"/>
                <c:pt idx="0">
                  <c:v>20</c:v>
                </c:pt>
                <c:pt idx="1">
                  <c:v>27</c:v>
                </c:pt>
                <c:pt idx="2">
                  <c:v>18</c:v>
                </c:pt>
                <c:pt idx="3">
                  <c:v>32</c:v>
                </c:pt>
                <c:pt idx="4">
                  <c:v>40</c:v>
                </c:pt>
                <c:pt idx="5">
                  <c:v>39</c:v>
                </c:pt>
                <c:pt idx="6">
                  <c:v>25</c:v>
                </c:pt>
                <c:pt idx="7">
                  <c:v>29</c:v>
                </c:pt>
                <c:pt idx="8">
                  <c:v>37</c:v>
                </c:pt>
                <c:pt idx="9">
                  <c:v>67</c:v>
                </c:pt>
                <c:pt idx="10">
                  <c:v>47</c:v>
                </c:pt>
                <c:pt idx="11">
                  <c:v>57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ACD-4E4E-9939-9E943A18B54F}"/>
            </c:ext>
          </c:extLst>
        </c:ser>
        <c:ser>
          <c:idx val="2"/>
          <c:order val="2"/>
          <c:tx>
            <c:strRef>
              <c:f>'25.07 Makerere-Bwaise'!$U$9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'25.07 Makerere-Bwaise'!$U$10:$U$21</c:f>
              <c:numCache>
                <c:formatCode>0</c:formatCode>
                <c:ptCount val="12"/>
                <c:pt idx="0">
                  <c:v>13</c:v>
                </c:pt>
                <c:pt idx="1">
                  <c:v>49</c:v>
                </c:pt>
                <c:pt idx="2">
                  <c:v>13</c:v>
                </c:pt>
                <c:pt idx="3">
                  <c:v>14</c:v>
                </c:pt>
                <c:pt idx="4">
                  <c:v>16</c:v>
                </c:pt>
                <c:pt idx="5">
                  <c:v>23</c:v>
                </c:pt>
                <c:pt idx="6">
                  <c:v>51</c:v>
                </c:pt>
                <c:pt idx="7">
                  <c:v>15</c:v>
                </c:pt>
                <c:pt idx="8">
                  <c:v>24</c:v>
                </c:pt>
                <c:pt idx="9">
                  <c:v>28</c:v>
                </c:pt>
                <c:pt idx="10">
                  <c:v>16</c:v>
                </c:pt>
                <c:pt idx="11">
                  <c:v>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ACD-4E4E-9939-9E943A18B54F}"/>
            </c:ext>
          </c:extLst>
        </c:ser>
        <c:ser>
          <c:idx val="3"/>
          <c:order val="3"/>
          <c:tx>
            <c:strRef>
              <c:f>'25.07 Makerere-Bwaise'!$V$9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'25.07 Makerere-Bwaise'!$V$10:$V$21</c:f>
              <c:numCache>
                <c:formatCode>0</c:formatCode>
                <c:ptCount val="12"/>
                <c:pt idx="0">
                  <c:v>150</c:v>
                </c:pt>
                <c:pt idx="1">
                  <c:v>126</c:v>
                </c:pt>
                <c:pt idx="2">
                  <c:v>173</c:v>
                </c:pt>
                <c:pt idx="3">
                  <c:v>155</c:v>
                </c:pt>
                <c:pt idx="4">
                  <c:v>151</c:v>
                </c:pt>
                <c:pt idx="5">
                  <c:v>218</c:v>
                </c:pt>
                <c:pt idx="6">
                  <c:v>186</c:v>
                </c:pt>
                <c:pt idx="7">
                  <c:v>151</c:v>
                </c:pt>
                <c:pt idx="8">
                  <c:v>169</c:v>
                </c:pt>
                <c:pt idx="9">
                  <c:v>142</c:v>
                </c:pt>
                <c:pt idx="10">
                  <c:v>128</c:v>
                </c:pt>
                <c:pt idx="11">
                  <c:v>221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ACD-4E4E-9939-9E943A18B54F}"/>
            </c:ext>
          </c:extLst>
        </c:ser>
        <c:ser>
          <c:idx val="4"/>
          <c:order val="4"/>
          <c:tx>
            <c:strRef>
              <c:f>'25.07 Makerere-Bwaise'!$W$9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'25.07 Makerere-Bwaise'!$W$10:$W$21</c:f>
              <c:numCache>
                <c:formatCode>0</c:formatCode>
                <c:ptCount val="12"/>
                <c:pt idx="0">
                  <c:v>1</c:v>
                </c:pt>
                <c:pt idx="1">
                  <c:v>11</c:v>
                </c:pt>
                <c:pt idx="2">
                  <c:v>7</c:v>
                </c:pt>
                <c:pt idx="3">
                  <c:v>10</c:v>
                </c:pt>
                <c:pt idx="4">
                  <c:v>2</c:v>
                </c:pt>
                <c:pt idx="5">
                  <c:v>3</c:v>
                </c:pt>
                <c:pt idx="6">
                  <c:v>1</c:v>
                </c:pt>
                <c:pt idx="7">
                  <c:v>1</c:v>
                </c:pt>
                <c:pt idx="8">
                  <c:v>2</c:v>
                </c:pt>
                <c:pt idx="9">
                  <c:v>1</c:v>
                </c:pt>
                <c:pt idx="10">
                  <c:v>2</c:v>
                </c:pt>
                <c:pt idx="11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ACD-4E4E-9939-9E943A18B54F}"/>
            </c:ext>
          </c:extLst>
        </c:ser>
        <c:ser>
          <c:idx val="5"/>
          <c:order val="5"/>
          <c:tx>
            <c:strRef>
              <c:f>'25.07 Makerere-Bwaise'!$X$9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'25.07 Makerere-Bwaise'!$X$10:$X$21</c:f>
              <c:numCache>
                <c:formatCode>0</c:formatCode>
                <c:ptCount val="12"/>
                <c:pt idx="0">
                  <c:v>4</c:v>
                </c:pt>
                <c:pt idx="1">
                  <c:v>7</c:v>
                </c:pt>
                <c:pt idx="2">
                  <c:v>2</c:v>
                </c:pt>
                <c:pt idx="3">
                  <c:v>2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1</c:v>
                </c:pt>
                <c:pt idx="8">
                  <c:v>5</c:v>
                </c:pt>
                <c:pt idx="9">
                  <c:v>10</c:v>
                </c:pt>
                <c:pt idx="10">
                  <c:v>1</c:v>
                </c:pt>
                <c:pt idx="11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ACD-4E4E-9939-9E943A18B54F}"/>
            </c:ext>
          </c:extLst>
        </c:ser>
        <c:ser>
          <c:idx val="6"/>
          <c:order val="6"/>
          <c:tx>
            <c:strRef>
              <c:f>'25.07 Makerere-Bwaise'!$Y$9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'25.07 Makerere-Bwaise'!$Y$10:$Y$21</c:f>
              <c:numCache>
                <c:formatCode>0</c:formatCode>
                <c:ptCount val="12"/>
                <c:pt idx="0">
                  <c:v>14</c:v>
                </c:pt>
                <c:pt idx="1">
                  <c:v>12</c:v>
                </c:pt>
                <c:pt idx="2">
                  <c:v>20</c:v>
                </c:pt>
                <c:pt idx="3">
                  <c:v>15</c:v>
                </c:pt>
                <c:pt idx="4">
                  <c:v>16</c:v>
                </c:pt>
                <c:pt idx="5">
                  <c:v>23</c:v>
                </c:pt>
                <c:pt idx="6">
                  <c:v>17</c:v>
                </c:pt>
                <c:pt idx="7">
                  <c:v>19</c:v>
                </c:pt>
                <c:pt idx="8">
                  <c:v>16</c:v>
                </c:pt>
                <c:pt idx="9">
                  <c:v>18</c:v>
                </c:pt>
                <c:pt idx="10">
                  <c:v>9</c:v>
                </c:pt>
                <c:pt idx="11">
                  <c:v>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8ACD-4E4E-9939-9E943A18B54F}"/>
            </c:ext>
          </c:extLst>
        </c:ser>
        <c:ser>
          <c:idx val="7"/>
          <c:order val="7"/>
          <c:tx>
            <c:strRef>
              <c:f>'25.07 Makerere-Bwaise'!$Z$9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'25.07 Makerere-Bwaise'!$Z$10:$Z$21</c:f>
              <c:numCache>
                <c:formatCode>0</c:formatCode>
                <c:ptCount val="12"/>
                <c:pt idx="0">
                  <c:v>7</c:v>
                </c:pt>
                <c:pt idx="1">
                  <c:v>5</c:v>
                </c:pt>
                <c:pt idx="2">
                  <c:v>9</c:v>
                </c:pt>
                <c:pt idx="3">
                  <c:v>17</c:v>
                </c:pt>
                <c:pt idx="4">
                  <c:v>12</c:v>
                </c:pt>
                <c:pt idx="5">
                  <c:v>13</c:v>
                </c:pt>
                <c:pt idx="6">
                  <c:v>21</c:v>
                </c:pt>
                <c:pt idx="7">
                  <c:v>19</c:v>
                </c:pt>
                <c:pt idx="8">
                  <c:v>12</c:v>
                </c:pt>
                <c:pt idx="9">
                  <c:v>19</c:v>
                </c:pt>
                <c:pt idx="10">
                  <c:v>8</c:v>
                </c:pt>
                <c:pt idx="11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8ACD-4E4E-9939-9E943A18B54F}"/>
            </c:ext>
          </c:extLst>
        </c:ser>
        <c:ser>
          <c:idx val="8"/>
          <c:order val="8"/>
          <c:tx>
            <c:strRef>
              <c:f>'25.07 Makerere-Bwaise'!$AA$9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'25.07 Makerere-Bwaise'!$AA$10:$AA$21</c:f>
              <c:numCache>
                <c:formatCode>0</c:formatCode>
                <c:ptCount val="12"/>
                <c:pt idx="0">
                  <c:v>3</c:v>
                </c:pt>
                <c:pt idx="1">
                  <c:v>1</c:v>
                </c:pt>
                <c:pt idx="2">
                  <c:v>2</c:v>
                </c:pt>
                <c:pt idx="3">
                  <c:v>7</c:v>
                </c:pt>
                <c:pt idx="4">
                  <c:v>4</c:v>
                </c:pt>
                <c:pt idx="5">
                  <c:v>3</c:v>
                </c:pt>
                <c:pt idx="6">
                  <c:v>1</c:v>
                </c:pt>
                <c:pt idx="7">
                  <c:v>3</c:v>
                </c:pt>
                <c:pt idx="8">
                  <c:v>13</c:v>
                </c:pt>
                <c:pt idx="9">
                  <c:v>6</c:v>
                </c:pt>
                <c:pt idx="10">
                  <c:v>4</c:v>
                </c:pt>
                <c:pt idx="11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8ACD-4E4E-9939-9E943A18B54F}"/>
            </c:ext>
          </c:extLst>
        </c:ser>
        <c:ser>
          <c:idx val="9"/>
          <c:order val="9"/>
          <c:tx>
            <c:strRef>
              <c:f>'25.07 Makerere-Bwaise'!$AB$9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'25.07 Makerere-Bwaise'!$AB$10:$AB$21</c:f>
              <c:numCache>
                <c:formatCode>0</c:formatCode>
                <c:ptCount val="12"/>
                <c:pt idx="0">
                  <c:v>1</c:v>
                </c:pt>
                <c:pt idx="1">
                  <c:v>6</c:v>
                </c:pt>
                <c:pt idx="2">
                  <c:v>1</c:v>
                </c:pt>
                <c:pt idx="3">
                  <c:v>0</c:v>
                </c:pt>
                <c:pt idx="4">
                  <c:v>3</c:v>
                </c:pt>
                <c:pt idx="5">
                  <c:v>3</c:v>
                </c:pt>
                <c:pt idx="6">
                  <c:v>1</c:v>
                </c:pt>
                <c:pt idx="7">
                  <c:v>0</c:v>
                </c:pt>
                <c:pt idx="8">
                  <c:v>4</c:v>
                </c:pt>
                <c:pt idx="9">
                  <c:v>4</c:v>
                </c:pt>
                <c:pt idx="10">
                  <c:v>2</c:v>
                </c:pt>
                <c:pt idx="1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8ACD-4E4E-9939-9E943A18B54F}"/>
            </c:ext>
          </c:extLst>
        </c:ser>
        <c:ser>
          <c:idx val="10"/>
          <c:order val="10"/>
          <c:tx>
            <c:strRef>
              <c:f>'25.07 Makerere-Bwaise'!$AC$9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'25.07 Makerere-Bwaise'!$AC$10:$AC$21</c:f>
              <c:numCache>
                <c:formatCode>0</c:formatCode>
                <c:ptCount val="12"/>
                <c:pt idx="0">
                  <c:v>535</c:v>
                </c:pt>
                <c:pt idx="1">
                  <c:v>948</c:v>
                </c:pt>
                <c:pt idx="2">
                  <c:v>813</c:v>
                </c:pt>
                <c:pt idx="3">
                  <c:v>836</c:v>
                </c:pt>
                <c:pt idx="4">
                  <c:v>684</c:v>
                </c:pt>
                <c:pt idx="5">
                  <c:v>544</c:v>
                </c:pt>
                <c:pt idx="6">
                  <c:v>555</c:v>
                </c:pt>
                <c:pt idx="7">
                  <c:v>535</c:v>
                </c:pt>
                <c:pt idx="8">
                  <c:v>559</c:v>
                </c:pt>
                <c:pt idx="9">
                  <c:v>685</c:v>
                </c:pt>
                <c:pt idx="10">
                  <c:v>580</c:v>
                </c:pt>
                <c:pt idx="11">
                  <c:v>546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8ACD-4E4E-9939-9E943A18B54F}"/>
            </c:ext>
          </c:extLst>
        </c:ser>
        <c:ser>
          <c:idx val="11"/>
          <c:order val="11"/>
          <c:tx>
            <c:strRef>
              <c:f>'25.07 Makerere-Bwaise'!$AD$9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'25.07 Makerere-Bwaise'!$AD$10:$AD$21</c:f>
              <c:numCache>
                <c:formatCode>0</c:formatCode>
                <c:ptCount val="12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8ACD-4E4E-9939-9E943A18B5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3218304"/>
        <c:axId val="113219840"/>
      </c:lineChart>
      <c:catAx>
        <c:axId val="1132183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3219840"/>
        <c:crosses val="autoZero"/>
        <c:auto val="1"/>
        <c:lblAlgn val="ctr"/>
        <c:lblOffset val="100"/>
        <c:noMultiLvlLbl val="0"/>
      </c:catAx>
      <c:valAx>
        <c:axId val="113219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32183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5B51-4D84-891B-06C3FCEF433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5B51-4D84-891B-06C3FCEF433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5B51-4D84-891B-06C3FCEF433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5B51-4D84-891B-06C3FCEF433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5B51-4D84-891B-06C3FCEF433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5B51-4D84-891B-06C3FCEF433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5B51-4D84-891B-06C3FCEF433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5B51-4D84-891B-06C3FCEF4330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5B51-4D84-891B-06C3FCEF4330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5B51-4D84-891B-06C3FCEF4330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5B51-4D84-891B-06C3FCEF4330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5B51-4D84-891B-06C3FCEF4330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5B51-4D84-891B-06C3FCEF433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'25.07 Makerere-Bwaise'!$C$9:$N$9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'25.07 Makerere-Bwaise'!$C$60:$N$60</c:f>
              <c:numCache>
                <c:formatCode>0.00%</c:formatCode>
                <c:ptCount val="12"/>
                <c:pt idx="0">
                  <c:v>0.39058330156309568</c:v>
                </c:pt>
                <c:pt idx="1">
                  <c:v>8.3492184521540225E-2</c:v>
                </c:pt>
                <c:pt idx="2">
                  <c:v>5.4517727792603887E-2</c:v>
                </c:pt>
                <c:pt idx="3">
                  <c:v>0.37552420892108274</c:v>
                </c:pt>
                <c:pt idx="4">
                  <c:v>8.3873427373236751E-3</c:v>
                </c:pt>
                <c:pt idx="5">
                  <c:v>8.3873427373236751E-3</c:v>
                </c:pt>
                <c:pt idx="6">
                  <c:v>3.6599313762866945E-2</c:v>
                </c:pt>
                <c:pt idx="7">
                  <c:v>2.7640106747998477E-2</c:v>
                </c:pt>
                <c:pt idx="8">
                  <c:v>9.5310712924132675E-3</c:v>
                </c:pt>
                <c:pt idx="9">
                  <c:v>5.1467784979031643E-3</c:v>
                </c:pt>
                <c:pt idx="11">
                  <c:v>1.9062142584826535E-4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5B51-4D84-891B-06C3FCEF43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41523264176214386"/>
          <c:y val="2.9617409316263936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'26.07 Bwaise-Makerere-24h'!$AE$9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'26.07 Bwaise-Makerere-24h'!$R$10:$R$33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'26.07 Bwaise-Makerere-24h'!$AE$10:$AE$33</c:f>
              <c:numCache>
                <c:formatCode>0</c:formatCode>
                <c:ptCount val="24"/>
                <c:pt idx="0">
                  <c:v>492</c:v>
                </c:pt>
                <c:pt idx="1">
                  <c:v>138</c:v>
                </c:pt>
                <c:pt idx="2">
                  <c:v>105</c:v>
                </c:pt>
                <c:pt idx="3">
                  <c:v>39</c:v>
                </c:pt>
                <c:pt idx="4">
                  <c:v>40</c:v>
                </c:pt>
                <c:pt idx="5">
                  <c:v>65</c:v>
                </c:pt>
                <c:pt idx="6">
                  <c:v>83</c:v>
                </c:pt>
                <c:pt idx="7">
                  <c:v>180</c:v>
                </c:pt>
                <c:pt idx="8">
                  <c:v>196</c:v>
                </c:pt>
                <c:pt idx="9">
                  <c:v>275</c:v>
                </c:pt>
                <c:pt idx="10">
                  <c:v>380</c:v>
                </c:pt>
                <c:pt idx="11">
                  <c:v>564</c:v>
                </c:pt>
                <c:pt idx="12">
                  <c:v>491</c:v>
                </c:pt>
                <c:pt idx="13">
                  <c:v>453</c:v>
                </c:pt>
                <c:pt idx="14">
                  <c:v>613</c:v>
                </c:pt>
                <c:pt idx="15">
                  <c:v>627</c:v>
                </c:pt>
                <c:pt idx="16">
                  <c:v>582</c:v>
                </c:pt>
                <c:pt idx="17">
                  <c:v>564</c:v>
                </c:pt>
                <c:pt idx="18">
                  <c:v>683</c:v>
                </c:pt>
                <c:pt idx="19">
                  <c:v>598</c:v>
                </c:pt>
                <c:pt idx="20">
                  <c:v>680</c:v>
                </c:pt>
                <c:pt idx="21">
                  <c:v>633</c:v>
                </c:pt>
                <c:pt idx="22">
                  <c:v>747</c:v>
                </c:pt>
                <c:pt idx="23">
                  <c:v>880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FC2-4A7B-9B5C-FEA0112544F4}"/>
            </c:ext>
          </c:extLst>
        </c:ser>
        <c:ser>
          <c:idx val="1"/>
          <c:order val="1"/>
          <c:tx>
            <c:strRef>
              <c:f>'26.07 Bwaise-Makerere-24h'!$AF$9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'26.07 Bwaise-Makerere-24h'!$R$10:$R$33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'26.07 Bwaise-Makerere-24h'!$AF$10:$AF$33</c:f>
              <c:numCache>
                <c:formatCode>0</c:formatCode>
                <c:ptCount val="24"/>
                <c:pt idx="0">
                  <c:v>904</c:v>
                </c:pt>
                <c:pt idx="1">
                  <c:v>338</c:v>
                </c:pt>
                <c:pt idx="2">
                  <c:v>236</c:v>
                </c:pt>
                <c:pt idx="3">
                  <c:v>101</c:v>
                </c:pt>
                <c:pt idx="4">
                  <c:v>129</c:v>
                </c:pt>
                <c:pt idx="5">
                  <c:v>199</c:v>
                </c:pt>
                <c:pt idx="6">
                  <c:v>280</c:v>
                </c:pt>
                <c:pt idx="7">
                  <c:v>522</c:v>
                </c:pt>
                <c:pt idx="8">
                  <c:v>597</c:v>
                </c:pt>
                <c:pt idx="9">
                  <c:v>700</c:v>
                </c:pt>
                <c:pt idx="10">
                  <c:v>891</c:v>
                </c:pt>
                <c:pt idx="11">
                  <c:v>989</c:v>
                </c:pt>
                <c:pt idx="12">
                  <c:v>1008</c:v>
                </c:pt>
                <c:pt idx="13">
                  <c:v>983</c:v>
                </c:pt>
                <c:pt idx="14">
                  <c:v>1176</c:v>
                </c:pt>
                <c:pt idx="15">
                  <c:v>1171</c:v>
                </c:pt>
                <c:pt idx="16">
                  <c:v>1017</c:v>
                </c:pt>
                <c:pt idx="17">
                  <c:v>1214</c:v>
                </c:pt>
                <c:pt idx="18">
                  <c:v>1321</c:v>
                </c:pt>
                <c:pt idx="19">
                  <c:v>1222</c:v>
                </c:pt>
                <c:pt idx="20">
                  <c:v>1338</c:v>
                </c:pt>
                <c:pt idx="21">
                  <c:v>1307</c:v>
                </c:pt>
                <c:pt idx="22">
                  <c:v>1670</c:v>
                </c:pt>
                <c:pt idx="23">
                  <c:v>1595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DFC2-4A7B-9B5C-FEA0112544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3521792"/>
        <c:axId val="113522944"/>
      </c:lineChart>
      <c:catAx>
        <c:axId val="113521792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3522944"/>
        <c:crosses val="autoZero"/>
        <c:auto val="1"/>
        <c:lblAlgn val="ctr"/>
        <c:lblOffset val="100"/>
        <c:noMultiLvlLbl val="0"/>
      </c:catAx>
      <c:valAx>
        <c:axId val="11352294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3521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543B-4B95-BFC1-AB46B6A1DAB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543B-4B95-BFC1-AB46B6A1DAB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543B-4B95-BFC1-AB46B6A1DAB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543B-4B95-BFC1-AB46B6A1DAB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543B-4B95-BFC1-AB46B6A1DAB2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543B-4B95-BFC1-AB46B6A1DAB2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543B-4B95-BFC1-AB46B6A1DAB2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543B-4B95-BFC1-AB46B6A1DAB2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543B-4B95-BFC1-AB46B6A1DAB2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543B-4B95-BFC1-AB46B6A1DAB2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543B-4B95-BFC1-AB46B6A1DAB2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543B-4B95-BFC1-AB46B6A1DAB2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543B-4B95-BFC1-AB46B6A1DAB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'26.07 Bwaise-Makerere-24h'!$C$9:$N$9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'26.07 Bwaise-Makerere-24h'!$C$107:$N$107</c:f>
              <c:numCache>
                <c:formatCode>0.0%</c:formatCode>
                <c:ptCount val="12"/>
                <c:pt idx="0">
                  <c:v>0.19284484407882149</c:v>
                </c:pt>
                <c:pt idx="1">
                  <c:v>4.6872010713602447E-2</c:v>
                </c:pt>
                <c:pt idx="2">
                  <c:v>3.6206236847139854E-2</c:v>
                </c:pt>
                <c:pt idx="3">
                  <c:v>0.16682609527453607</c:v>
                </c:pt>
                <c:pt idx="4">
                  <c:v>3.2523436005356802E-3</c:v>
                </c:pt>
                <c:pt idx="5">
                  <c:v>4.543715324277788E-3</c:v>
                </c:pt>
                <c:pt idx="6">
                  <c:v>2.0948919074038647E-2</c:v>
                </c:pt>
                <c:pt idx="7">
                  <c:v>6.1220585421848097E-3</c:v>
                </c:pt>
                <c:pt idx="8">
                  <c:v>4.1132580830304192E-3</c:v>
                </c:pt>
                <c:pt idx="9">
                  <c:v>1.7218289649894778E-3</c:v>
                </c:pt>
                <c:pt idx="10">
                  <c:v>0.51975320451501816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543B-4B95-BFC1-AB46B6A1DA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4889-4F07-A028-107AA614C72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4889-4F07-A028-107AA614C72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4889-4F07-A028-107AA614C72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4889-4F07-A028-107AA614C72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4889-4F07-A028-107AA614C72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4889-4F07-A028-107AA614C72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4889-4F07-A028-107AA614C72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4889-4F07-A028-107AA614C720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4889-4F07-A028-107AA614C720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4889-4F07-A028-107AA614C720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4889-4F07-A028-107AA614C720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4889-4F07-A028-107AA614C720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4889-4F07-A028-107AA614C72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'26.07 Bwaise-Makerere-24h'!$C$9:$N$9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'26.07 Bwaise-Makerere-24h'!$C$108:$N$108</c:f>
              <c:numCache>
                <c:formatCode>0.00%</c:formatCode>
                <c:ptCount val="12"/>
                <c:pt idx="0">
                  <c:v>0.39889196675900279</c:v>
                </c:pt>
                <c:pt idx="1">
                  <c:v>9.6952908587257622E-2</c:v>
                </c:pt>
                <c:pt idx="2">
                  <c:v>7.4891175306687777E-2</c:v>
                </c:pt>
                <c:pt idx="3">
                  <c:v>0.34507320933913732</c:v>
                </c:pt>
                <c:pt idx="4">
                  <c:v>6.7273446774831812E-3</c:v>
                </c:pt>
                <c:pt idx="5">
                  <c:v>9.3984962406015032E-3</c:v>
                </c:pt>
                <c:pt idx="6">
                  <c:v>4.3332014246141672E-2</c:v>
                </c:pt>
                <c:pt idx="7">
                  <c:v>1.2663237039968342E-2</c:v>
                </c:pt>
                <c:pt idx="8">
                  <c:v>8.5081123862287295E-3</c:v>
                </c:pt>
                <c:pt idx="9">
                  <c:v>3.5615354174910962E-3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4889-4F07-A028-107AA614C7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41523264176214386"/>
          <c:y val="2.9617409316263936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'26.07 Makerere-Bwaise-24h'!$AE$9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'26.07 Makerere-Bwaise-24h'!$R$10:$R$33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'26.07 Makerere-Bwaise-24h'!$AE$10:$AE$33</c:f>
              <c:numCache>
                <c:formatCode>0</c:formatCode>
                <c:ptCount val="24"/>
                <c:pt idx="0">
                  <c:v>439</c:v>
                </c:pt>
                <c:pt idx="1">
                  <c:v>370</c:v>
                </c:pt>
                <c:pt idx="2">
                  <c:v>419</c:v>
                </c:pt>
                <c:pt idx="3">
                  <c:v>438</c:v>
                </c:pt>
                <c:pt idx="4">
                  <c:v>440</c:v>
                </c:pt>
                <c:pt idx="5">
                  <c:v>510</c:v>
                </c:pt>
                <c:pt idx="6">
                  <c:v>497</c:v>
                </c:pt>
                <c:pt idx="7">
                  <c:v>487</c:v>
                </c:pt>
                <c:pt idx="8">
                  <c:v>521</c:v>
                </c:pt>
                <c:pt idx="9">
                  <c:v>653</c:v>
                </c:pt>
                <c:pt idx="10">
                  <c:v>573</c:v>
                </c:pt>
                <c:pt idx="11">
                  <c:v>559</c:v>
                </c:pt>
                <c:pt idx="12">
                  <c:v>474</c:v>
                </c:pt>
                <c:pt idx="13">
                  <c:v>541</c:v>
                </c:pt>
                <c:pt idx="14">
                  <c:v>496</c:v>
                </c:pt>
                <c:pt idx="15">
                  <c:v>306</c:v>
                </c:pt>
                <c:pt idx="16">
                  <c:v>177</c:v>
                </c:pt>
                <c:pt idx="17">
                  <c:v>122</c:v>
                </c:pt>
                <c:pt idx="18">
                  <c:v>73</c:v>
                </c:pt>
                <c:pt idx="19">
                  <c:v>45</c:v>
                </c:pt>
                <c:pt idx="20">
                  <c:v>57</c:v>
                </c:pt>
                <c:pt idx="21">
                  <c:v>81</c:v>
                </c:pt>
                <c:pt idx="22">
                  <c:v>181</c:v>
                </c:pt>
                <c:pt idx="23">
                  <c:v>233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D7C-43E4-8D98-AF01AC8ABB92}"/>
            </c:ext>
          </c:extLst>
        </c:ser>
        <c:ser>
          <c:idx val="1"/>
          <c:order val="1"/>
          <c:tx>
            <c:strRef>
              <c:f>'26.07 Makerere-Bwaise-24h'!$AF$9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'26.07 Makerere-Bwaise-24h'!$R$10:$R$33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'26.07 Makerere-Bwaise-24h'!$AF$10:$AF$33</c:f>
              <c:numCache>
                <c:formatCode>0</c:formatCode>
                <c:ptCount val="24"/>
                <c:pt idx="0">
                  <c:v>963</c:v>
                </c:pt>
                <c:pt idx="1">
                  <c:v>1288</c:v>
                </c:pt>
                <c:pt idx="2">
                  <c:v>1314</c:v>
                </c:pt>
                <c:pt idx="3">
                  <c:v>1263</c:v>
                </c:pt>
                <c:pt idx="4">
                  <c:v>1155</c:v>
                </c:pt>
                <c:pt idx="5">
                  <c:v>1205</c:v>
                </c:pt>
                <c:pt idx="6">
                  <c:v>1102</c:v>
                </c:pt>
                <c:pt idx="7">
                  <c:v>979</c:v>
                </c:pt>
                <c:pt idx="8">
                  <c:v>1088</c:v>
                </c:pt>
                <c:pt idx="9">
                  <c:v>1283</c:v>
                </c:pt>
                <c:pt idx="10">
                  <c:v>1153</c:v>
                </c:pt>
                <c:pt idx="11">
                  <c:v>1316</c:v>
                </c:pt>
                <c:pt idx="12">
                  <c:v>794</c:v>
                </c:pt>
                <c:pt idx="13">
                  <c:v>1006</c:v>
                </c:pt>
                <c:pt idx="14">
                  <c:v>994</c:v>
                </c:pt>
                <c:pt idx="15">
                  <c:v>668</c:v>
                </c:pt>
                <c:pt idx="16">
                  <c:v>501</c:v>
                </c:pt>
                <c:pt idx="17">
                  <c:v>388</c:v>
                </c:pt>
                <c:pt idx="18">
                  <c:v>186</c:v>
                </c:pt>
                <c:pt idx="19">
                  <c:v>115</c:v>
                </c:pt>
                <c:pt idx="20">
                  <c:v>111</c:v>
                </c:pt>
                <c:pt idx="21">
                  <c:v>210</c:v>
                </c:pt>
                <c:pt idx="22">
                  <c:v>403</c:v>
                </c:pt>
                <c:pt idx="23">
                  <c:v>475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D7C-43E4-8D98-AF01AC8ABB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3789952"/>
        <c:axId val="113820032"/>
      </c:lineChart>
      <c:catAx>
        <c:axId val="113789952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3820032"/>
        <c:crosses val="autoZero"/>
        <c:auto val="1"/>
        <c:lblAlgn val="ctr"/>
        <c:lblOffset val="100"/>
        <c:noMultiLvlLbl val="0"/>
      </c:catAx>
      <c:valAx>
        <c:axId val="11382003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37899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B533-467E-9052-E80B684A022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B533-467E-9052-E80B684A022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B533-467E-9052-E80B684A022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B533-467E-9052-E80B684A022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B533-467E-9052-E80B684A022A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B533-467E-9052-E80B684A022A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B533-467E-9052-E80B684A022A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B533-467E-9052-E80B684A022A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B533-467E-9052-E80B684A022A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B533-467E-9052-E80B684A022A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B533-467E-9052-E80B684A022A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B533-467E-9052-E80B684A022A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B533-467E-9052-E80B684A022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'26.07 Makerere-Bwaise-24h'!$C$9:$N$9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'26.07 Makerere-Bwaise-24h'!$C$107:$N$107</c:f>
              <c:numCache>
                <c:formatCode>0.0%</c:formatCode>
                <c:ptCount val="12"/>
                <c:pt idx="0">
                  <c:v>0.16703406813627256</c:v>
                </c:pt>
                <c:pt idx="1">
                  <c:v>4.0480961923847696E-2</c:v>
                </c:pt>
                <c:pt idx="2">
                  <c:v>1.9388777555110221E-2</c:v>
                </c:pt>
                <c:pt idx="3">
                  <c:v>0.16713426853707414</c:v>
                </c:pt>
                <c:pt idx="4">
                  <c:v>3.5571142284569137E-3</c:v>
                </c:pt>
                <c:pt idx="5">
                  <c:v>3.8076152304609219E-3</c:v>
                </c:pt>
                <c:pt idx="6">
                  <c:v>1.8787575150300603E-2</c:v>
                </c:pt>
                <c:pt idx="7">
                  <c:v>8.7174348697394797E-3</c:v>
                </c:pt>
                <c:pt idx="8">
                  <c:v>5.2605210420841684E-3</c:v>
                </c:pt>
                <c:pt idx="9">
                  <c:v>1.25250501002004E-3</c:v>
                </c:pt>
                <c:pt idx="10">
                  <c:v>0.56452905811623244</c:v>
                </c:pt>
                <c:pt idx="11">
                  <c:v>5.0100200400801603E-5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B533-467E-9052-E80B684A02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5529-4064-B18B-726F86F6119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5529-4064-B18B-726F86F6119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5529-4064-B18B-726F86F6119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5529-4064-B18B-726F86F6119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5529-4064-B18B-726F86F6119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5529-4064-B18B-726F86F6119F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5529-4064-B18B-726F86F6119F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5529-4064-B18B-726F86F6119F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5529-4064-B18B-726F86F6119F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5529-4064-B18B-726F86F6119F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5529-4064-B18B-726F86F6119F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5529-4064-B18B-726F86F6119F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5529-4064-B18B-726F86F6119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'26.07 Makerere-Bwaise-24h'!$C$9:$N$9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'26.07 Makerere-Bwaise-24h'!$C$108:$N$108</c:f>
              <c:numCache>
                <c:formatCode>0.00%</c:formatCode>
                <c:ptCount val="12"/>
                <c:pt idx="0">
                  <c:v>0.38357109986194199</c:v>
                </c:pt>
                <c:pt idx="1">
                  <c:v>9.295904279797515E-2</c:v>
                </c:pt>
                <c:pt idx="2">
                  <c:v>4.4523699953980672E-2</c:v>
                </c:pt>
                <c:pt idx="3">
                  <c:v>0.38380119650253108</c:v>
                </c:pt>
                <c:pt idx="4">
                  <c:v>8.1684307409111822E-3</c:v>
                </c:pt>
                <c:pt idx="5">
                  <c:v>8.7436723423838011E-3</c:v>
                </c:pt>
                <c:pt idx="6">
                  <c:v>4.3143120110446388E-2</c:v>
                </c:pt>
                <c:pt idx="7">
                  <c:v>2.0018407731247124E-2</c:v>
                </c:pt>
                <c:pt idx="8">
                  <c:v>1.2080073630924988E-2</c:v>
                </c:pt>
                <c:pt idx="9">
                  <c:v>2.8762080073630927E-3</c:v>
                </c:pt>
                <c:pt idx="11">
                  <c:v>1.1504832029452371E-4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5529-4064-B18B-726F86F611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41523264176214386"/>
          <c:y val="2.9617409316263936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'27.07 Bwaise-Makerere-24h'!$AE$9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'27.07 Bwaise-Makerere-24h'!$R$10:$R$33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'27.07 Bwaise-Makerere-24h'!$AE$10:$AE$33</c:f>
              <c:numCache>
                <c:formatCode>0</c:formatCode>
                <c:ptCount val="24"/>
                <c:pt idx="0">
                  <c:v>609</c:v>
                </c:pt>
                <c:pt idx="1">
                  <c:v>724</c:v>
                </c:pt>
                <c:pt idx="2">
                  <c:v>708</c:v>
                </c:pt>
                <c:pt idx="3">
                  <c:v>667</c:v>
                </c:pt>
                <c:pt idx="4">
                  <c:v>709</c:v>
                </c:pt>
                <c:pt idx="5">
                  <c:v>624</c:v>
                </c:pt>
                <c:pt idx="6">
                  <c:v>564</c:v>
                </c:pt>
                <c:pt idx="7">
                  <c:v>502</c:v>
                </c:pt>
                <c:pt idx="8">
                  <c:v>462</c:v>
                </c:pt>
                <c:pt idx="9">
                  <c:v>540</c:v>
                </c:pt>
                <c:pt idx="10">
                  <c:v>537</c:v>
                </c:pt>
                <c:pt idx="11">
                  <c:v>514</c:v>
                </c:pt>
                <c:pt idx="12">
                  <c:v>432</c:v>
                </c:pt>
                <c:pt idx="13">
                  <c:v>463</c:v>
                </c:pt>
                <c:pt idx="14">
                  <c:v>413</c:v>
                </c:pt>
                <c:pt idx="15">
                  <c:v>286</c:v>
                </c:pt>
                <c:pt idx="16">
                  <c:v>201</c:v>
                </c:pt>
                <c:pt idx="17">
                  <c:v>106</c:v>
                </c:pt>
                <c:pt idx="18">
                  <c:v>50</c:v>
                </c:pt>
                <c:pt idx="19">
                  <c:v>45</c:v>
                </c:pt>
                <c:pt idx="20">
                  <c:v>22</c:v>
                </c:pt>
                <c:pt idx="21">
                  <c:v>34</c:v>
                </c:pt>
                <c:pt idx="22">
                  <c:v>97</c:v>
                </c:pt>
                <c:pt idx="23">
                  <c:v>218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B9B-4793-84FD-99A5405B7AD3}"/>
            </c:ext>
          </c:extLst>
        </c:ser>
        <c:ser>
          <c:idx val="1"/>
          <c:order val="1"/>
          <c:tx>
            <c:strRef>
              <c:f>'27.07 Bwaise-Makerere-24h'!$AF$9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'27.07 Bwaise-Makerere-24h'!$R$10:$R$33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'27.07 Bwaise-Makerere-24h'!$AF$10:$AF$33</c:f>
              <c:numCache>
                <c:formatCode>0</c:formatCode>
                <c:ptCount val="24"/>
                <c:pt idx="0">
                  <c:v>1219</c:v>
                </c:pt>
                <c:pt idx="1">
                  <c:v>1307</c:v>
                </c:pt>
                <c:pt idx="2">
                  <c:v>1533</c:v>
                </c:pt>
                <c:pt idx="3">
                  <c:v>1454</c:v>
                </c:pt>
                <c:pt idx="4">
                  <c:v>1383</c:v>
                </c:pt>
                <c:pt idx="5">
                  <c:v>1212</c:v>
                </c:pt>
                <c:pt idx="6">
                  <c:v>1149</c:v>
                </c:pt>
                <c:pt idx="7">
                  <c:v>934</c:v>
                </c:pt>
                <c:pt idx="8">
                  <c:v>777</c:v>
                </c:pt>
                <c:pt idx="9">
                  <c:v>1135</c:v>
                </c:pt>
                <c:pt idx="10">
                  <c:v>1081</c:v>
                </c:pt>
                <c:pt idx="11">
                  <c:v>964</c:v>
                </c:pt>
                <c:pt idx="12">
                  <c:v>1001</c:v>
                </c:pt>
                <c:pt idx="13">
                  <c:v>963</c:v>
                </c:pt>
                <c:pt idx="14">
                  <c:v>871</c:v>
                </c:pt>
                <c:pt idx="15">
                  <c:v>678</c:v>
                </c:pt>
                <c:pt idx="16">
                  <c:v>554</c:v>
                </c:pt>
                <c:pt idx="17">
                  <c:v>221</c:v>
                </c:pt>
                <c:pt idx="18">
                  <c:v>130</c:v>
                </c:pt>
                <c:pt idx="19">
                  <c:v>81</c:v>
                </c:pt>
                <c:pt idx="20">
                  <c:v>66</c:v>
                </c:pt>
                <c:pt idx="21">
                  <c:v>75</c:v>
                </c:pt>
                <c:pt idx="22">
                  <c:v>279</c:v>
                </c:pt>
                <c:pt idx="23">
                  <c:v>410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DB9B-4793-84FD-99A5405B7A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4410240"/>
        <c:axId val="114411776"/>
      </c:lineChart>
      <c:catAx>
        <c:axId val="114410240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4411776"/>
        <c:crosses val="autoZero"/>
        <c:auto val="1"/>
        <c:lblAlgn val="ctr"/>
        <c:lblOffset val="100"/>
        <c:noMultiLvlLbl val="0"/>
      </c:catAx>
      <c:valAx>
        <c:axId val="11441177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4410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CC19-40B6-88F6-F149CBCFBC0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CC19-40B6-88F6-F149CBCFBC0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CC19-40B6-88F6-F149CBCFBC0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CC19-40B6-88F6-F149CBCFBC0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CC19-40B6-88F6-F149CBCFBC0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CC19-40B6-88F6-F149CBCFBC0F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CC19-40B6-88F6-F149CBCFBC0F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CC19-40B6-88F6-F149CBCFBC0F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CC19-40B6-88F6-F149CBCFBC0F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CC19-40B6-88F6-F149CBCFBC0F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CC19-40B6-88F6-F149CBCFBC0F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CC19-40B6-88F6-F149CBCFBC0F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CC19-40B6-88F6-F149CBCFBC0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'27.07 Bwaise-Makerere-24h'!$C$9:$N$9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'27.07 Bwaise-Makerere-24h'!$C$107:$N$107</c:f>
              <c:numCache>
                <c:formatCode>0.0%</c:formatCode>
                <c:ptCount val="12"/>
                <c:pt idx="0">
                  <c:v>0.20403552908558814</c:v>
                </c:pt>
                <c:pt idx="1">
                  <c:v>5.3396313600657185E-2</c:v>
                </c:pt>
                <c:pt idx="2">
                  <c:v>3.3988807311187558E-2</c:v>
                </c:pt>
                <c:pt idx="3">
                  <c:v>0.16373158083893824</c:v>
                </c:pt>
                <c:pt idx="4">
                  <c:v>9.7037531447348151E-3</c:v>
                </c:pt>
                <c:pt idx="5">
                  <c:v>4.9802330954459104E-3</c:v>
                </c:pt>
                <c:pt idx="6">
                  <c:v>1.5505467987883144E-2</c:v>
                </c:pt>
                <c:pt idx="7">
                  <c:v>7.906761821635775E-3</c:v>
                </c:pt>
                <c:pt idx="8">
                  <c:v>2.5671304615700568E-3</c:v>
                </c:pt>
                <c:pt idx="9">
                  <c:v>1.8996765415618421E-3</c:v>
                </c:pt>
                <c:pt idx="10">
                  <c:v>0.51861169584638289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CC19-40B6-88F6-F149CBCFBC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6F34-448D-935B-A3D0702D351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6F34-448D-935B-A3D0702D351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6F34-448D-935B-A3D0702D351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6F34-448D-935B-A3D0702D3518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6F34-448D-935B-A3D0702D3518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6F34-448D-935B-A3D0702D3518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6F34-448D-935B-A3D0702D3518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6F34-448D-935B-A3D0702D3518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6F34-448D-935B-A3D0702D3518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6F34-448D-935B-A3D0702D3518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6F34-448D-935B-A3D0702D3518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6F34-448D-935B-A3D0702D3518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6F34-448D-935B-A3D0702D351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'27.07 Bwaise-Makerere-24h'!$C$9:$N$9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'27.07 Bwaise-Makerere-24h'!$C$108:$N$108</c:f>
              <c:numCache>
                <c:formatCode>0.00%</c:formatCode>
                <c:ptCount val="12"/>
                <c:pt idx="0">
                  <c:v>0.41713026136244358</c:v>
                </c:pt>
                <c:pt idx="1">
                  <c:v>0.10916343025086596</c:v>
                </c:pt>
                <c:pt idx="2">
                  <c:v>6.9486721948147367E-2</c:v>
                </c:pt>
                <c:pt idx="3">
                  <c:v>0.33473286449039574</c:v>
                </c:pt>
                <c:pt idx="4">
                  <c:v>1.9838354151359296E-2</c:v>
                </c:pt>
                <c:pt idx="5">
                  <c:v>1.0181589167628844E-2</c:v>
                </c:pt>
                <c:pt idx="6">
                  <c:v>3.1699380707462997E-2</c:v>
                </c:pt>
                <c:pt idx="7">
                  <c:v>1.6164584864070537E-2</c:v>
                </c:pt>
                <c:pt idx="8">
                  <c:v>5.2482418389839403E-3</c:v>
                </c:pt>
                <c:pt idx="9">
                  <c:v>3.883698960848116E-3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6F34-448D-935B-A3D0702D35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41523264176214386"/>
          <c:y val="2.9617409316263936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'27.07 Makerere-Bwaise-24h'!$AE$9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'27.07 Makerere-Bwaise-24h'!$R$10:$R$33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'27.07 Makerere-Bwaise-24h'!$AE$10:$AE$33</c:f>
              <c:numCache>
                <c:formatCode>0</c:formatCode>
                <c:ptCount val="24"/>
                <c:pt idx="0">
                  <c:v>318</c:v>
                </c:pt>
                <c:pt idx="1">
                  <c:v>567</c:v>
                </c:pt>
                <c:pt idx="2">
                  <c:v>510</c:v>
                </c:pt>
                <c:pt idx="3">
                  <c:v>515</c:v>
                </c:pt>
                <c:pt idx="4">
                  <c:v>646</c:v>
                </c:pt>
                <c:pt idx="5">
                  <c:v>640</c:v>
                </c:pt>
                <c:pt idx="6">
                  <c:v>563</c:v>
                </c:pt>
                <c:pt idx="7">
                  <c:v>591</c:v>
                </c:pt>
                <c:pt idx="8">
                  <c:v>561</c:v>
                </c:pt>
                <c:pt idx="9">
                  <c:v>627</c:v>
                </c:pt>
                <c:pt idx="10">
                  <c:v>613</c:v>
                </c:pt>
                <c:pt idx="11">
                  <c:v>691</c:v>
                </c:pt>
                <c:pt idx="12">
                  <c:v>505</c:v>
                </c:pt>
                <c:pt idx="13">
                  <c:v>542</c:v>
                </c:pt>
                <c:pt idx="14">
                  <c:v>430</c:v>
                </c:pt>
                <c:pt idx="15">
                  <c:v>295</c:v>
                </c:pt>
                <c:pt idx="16">
                  <c:v>216</c:v>
                </c:pt>
                <c:pt idx="17">
                  <c:v>109</c:v>
                </c:pt>
                <c:pt idx="18">
                  <c:v>52</c:v>
                </c:pt>
                <c:pt idx="19">
                  <c:v>37</c:v>
                </c:pt>
                <c:pt idx="20">
                  <c:v>25</c:v>
                </c:pt>
                <c:pt idx="21">
                  <c:v>22</c:v>
                </c:pt>
                <c:pt idx="22">
                  <c:v>42</c:v>
                </c:pt>
                <c:pt idx="23">
                  <c:v>120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3B5-43D7-8A8D-1950D8303871}"/>
            </c:ext>
          </c:extLst>
        </c:ser>
        <c:ser>
          <c:idx val="1"/>
          <c:order val="1"/>
          <c:tx>
            <c:strRef>
              <c:f>'27.07 Makerere-Bwaise-24h'!$AF$9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'27.07 Makerere-Bwaise-24h'!$R$10:$R$33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'27.07 Makerere-Bwaise-24h'!$AF$10:$AF$33</c:f>
              <c:numCache>
                <c:formatCode>0</c:formatCode>
                <c:ptCount val="24"/>
                <c:pt idx="0">
                  <c:v>834</c:v>
                </c:pt>
                <c:pt idx="1">
                  <c:v>1482</c:v>
                </c:pt>
                <c:pt idx="2">
                  <c:v>1160</c:v>
                </c:pt>
                <c:pt idx="3">
                  <c:v>1124</c:v>
                </c:pt>
                <c:pt idx="4">
                  <c:v>1239</c:v>
                </c:pt>
                <c:pt idx="5">
                  <c:v>1220</c:v>
                </c:pt>
                <c:pt idx="6">
                  <c:v>1155</c:v>
                </c:pt>
                <c:pt idx="7">
                  <c:v>1146</c:v>
                </c:pt>
                <c:pt idx="8">
                  <c:v>1136</c:v>
                </c:pt>
                <c:pt idx="9">
                  <c:v>1238</c:v>
                </c:pt>
                <c:pt idx="10">
                  <c:v>1243</c:v>
                </c:pt>
                <c:pt idx="11">
                  <c:v>1321</c:v>
                </c:pt>
                <c:pt idx="12">
                  <c:v>933</c:v>
                </c:pt>
                <c:pt idx="13">
                  <c:v>993</c:v>
                </c:pt>
                <c:pt idx="14">
                  <c:v>710</c:v>
                </c:pt>
                <c:pt idx="15">
                  <c:v>546</c:v>
                </c:pt>
                <c:pt idx="16">
                  <c:v>434</c:v>
                </c:pt>
                <c:pt idx="17">
                  <c:v>215</c:v>
                </c:pt>
                <c:pt idx="18">
                  <c:v>98</c:v>
                </c:pt>
                <c:pt idx="19">
                  <c:v>76</c:v>
                </c:pt>
                <c:pt idx="20">
                  <c:v>43</c:v>
                </c:pt>
                <c:pt idx="21">
                  <c:v>60</c:v>
                </c:pt>
                <c:pt idx="22">
                  <c:v>102</c:v>
                </c:pt>
                <c:pt idx="23">
                  <c:v>285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3B5-43D7-8A8D-1950D83038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5866240"/>
        <c:axId val="115888512"/>
      </c:lineChart>
      <c:catAx>
        <c:axId val="115866240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5888512"/>
        <c:crosses val="autoZero"/>
        <c:auto val="1"/>
        <c:lblAlgn val="ctr"/>
        <c:lblOffset val="100"/>
        <c:noMultiLvlLbl val="0"/>
      </c:catAx>
      <c:valAx>
        <c:axId val="11588851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5866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4CC2-41FB-AB6C-D0315A687D3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4CC2-41FB-AB6C-D0315A687D3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4CC2-41FB-AB6C-D0315A687D3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4CC2-41FB-AB6C-D0315A687D3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4CC2-41FB-AB6C-D0315A687D35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4CC2-41FB-AB6C-D0315A687D35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4CC2-41FB-AB6C-D0315A687D35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4CC2-41FB-AB6C-D0315A687D35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4CC2-41FB-AB6C-D0315A687D35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4CC2-41FB-AB6C-D0315A687D35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4CC2-41FB-AB6C-D0315A687D35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4CC2-41FB-AB6C-D0315A687D35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4CC2-41FB-AB6C-D0315A687D3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'27.07 Makerere-Bwaise-24h'!$C$9:$N$9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'27.07 Makerere-Bwaise-24h'!$C$107:$N$107</c:f>
              <c:numCache>
                <c:formatCode>0.0%</c:formatCode>
                <c:ptCount val="12"/>
                <c:pt idx="0">
                  <c:v>0.19129463097962007</c:v>
                </c:pt>
                <c:pt idx="1">
                  <c:v>6.5982014579896775E-2</c:v>
                </c:pt>
                <c:pt idx="2">
                  <c:v>2.5541424998669716E-2</c:v>
                </c:pt>
                <c:pt idx="3">
                  <c:v>0.16282658436651945</c:v>
                </c:pt>
                <c:pt idx="4">
                  <c:v>9.8440908849039537E-3</c:v>
                </c:pt>
                <c:pt idx="5">
                  <c:v>4.310115468525515E-3</c:v>
                </c:pt>
                <c:pt idx="6">
                  <c:v>1.3728515936784973E-2</c:v>
                </c:pt>
                <c:pt idx="7">
                  <c:v>8.9394987495344004E-3</c:v>
                </c:pt>
                <c:pt idx="8">
                  <c:v>7.6092161975203536E-3</c:v>
                </c:pt>
                <c:pt idx="9">
                  <c:v>1.4367051561751717E-3</c:v>
                </c:pt>
                <c:pt idx="10">
                  <c:v>0.50848720268184966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4CC2-41FB-AB6C-D0315A687D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477A-4202-BB82-6DE350EE311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477A-4202-BB82-6DE350EE311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477A-4202-BB82-6DE350EE311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477A-4202-BB82-6DE350EE311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477A-4202-BB82-6DE350EE311C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477A-4202-BB82-6DE350EE311C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477A-4202-BB82-6DE350EE311C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477A-4202-BB82-6DE350EE311C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477A-4202-BB82-6DE350EE311C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477A-4202-BB82-6DE350EE311C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477A-4202-BB82-6DE350EE311C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477A-4202-BB82-6DE350EE311C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477A-4202-BB82-6DE350EE311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'27.07 Makerere-Bwaise-24h'!$C$9:$N$9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'27.07 Makerere-Bwaise-24h'!$C$108:$N$108</c:f>
              <c:numCache>
                <c:formatCode>0.00%</c:formatCode>
                <c:ptCount val="12"/>
                <c:pt idx="0">
                  <c:v>0.38919562628559057</c:v>
                </c:pt>
                <c:pt idx="1">
                  <c:v>0.13424271949767241</c:v>
                </c:pt>
                <c:pt idx="2">
                  <c:v>5.1964923676518351E-2</c:v>
                </c:pt>
                <c:pt idx="3">
                  <c:v>0.33127638843780449</c:v>
                </c:pt>
                <c:pt idx="4">
                  <c:v>2.0028147666991448E-2</c:v>
                </c:pt>
                <c:pt idx="5">
                  <c:v>8.7690808704124715E-3</c:v>
                </c:pt>
                <c:pt idx="6">
                  <c:v>2.7931146476128613E-2</c:v>
                </c:pt>
                <c:pt idx="7">
                  <c:v>1.8187723286781421E-2</c:v>
                </c:pt>
                <c:pt idx="8">
                  <c:v>1.5481216845296093E-2</c:v>
                </c:pt>
                <c:pt idx="9">
                  <c:v>2.9230269568041572E-3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477A-4202-BB82-6DE350EE31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'28.07 Bwaise-Makerere'!$AE$9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'28.07 Bwaise-Makerere'!$R$10:$R$21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'28.07 Bwaise-Makerere'!$AE$10:$AE$21</c:f>
              <c:numCache>
                <c:formatCode>0</c:formatCode>
                <c:ptCount val="12"/>
                <c:pt idx="0">
                  <c:v>363</c:v>
                </c:pt>
                <c:pt idx="1">
                  <c:v>437</c:v>
                </c:pt>
                <c:pt idx="2">
                  <c:v>522</c:v>
                </c:pt>
                <c:pt idx="3">
                  <c:v>582</c:v>
                </c:pt>
                <c:pt idx="4">
                  <c:v>613</c:v>
                </c:pt>
                <c:pt idx="5">
                  <c:v>491</c:v>
                </c:pt>
                <c:pt idx="6">
                  <c:v>372</c:v>
                </c:pt>
                <c:pt idx="7">
                  <c:v>468</c:v>
                </c:pt>
                <c:pt idx="8">
                  <c:v>528</c:v>
                </c:pt>
                <c:pt idx="9">
                  <c:v>491</c:v>
                </c:pt>
                <c:pt idx="10">
                  <c:v>551</c:v>
                </c:pt>
                <c:pt idx="11">
                  <c:v>394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5C8-45AB-8CEF-A7108B6754B8}"/>
            </c:ext>
          </c:extLst>
        </c:ser>
        <c:ser>
          <c:idx val="1"/>
          <c:order val="1"/>
          <c:tx>
            <c:strRef>
              <c:f>'28.07 Bwaise-Makerere'!$AF$9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'28.07 Bwaise-Makerere'!$R$10:$R$21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'28.07 Bwaise-Makerere'!$AF$10:$AF$21</c:f>
              <c:numCache>
                <c:formatCode>0</c:formatCode>
                <c:ptCount val="12"/>
                <c:pt idx="0">
                  <c:v>616</c:v>
                </c:pt>
                <c:pt idx="1">
                  <c:v>880</c:v>
                </c:pt>
                <c:pt idx="2">
                  <c:v>957</c:v>
                </c:pt>
                <c:pt idx="3">
                  <c:v>1112</c:v>
                </c:pt>
                <c:pt idx="4">
                  <c:v>1059</c:v>
                </c:pt>
                <c:pt idx="5">
                  <c:v>949</c:v>
                </c:pt>
                <c:pt idx="6">
                  <c:v>592</c:v>
                </c:pt>
                <c:pt idx="7">
                  <c:v>799</c:v>
                </c:pt>
                <c:pt idx="8">
                  <c:v>885</c:v>
                </c:pt>
                <c:pt idx="9">
                  <c:v>870</c:v>
                </c:pt>
                <c:pt idx="10">
                  <c:v>821</c:v>
                </c:pt>
                <c:pt idx="11">
                  <c:v>747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15C8-45AB-8CEF-A7108B6754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6314112"/>
        <c:axId val="116315648"/>
      </c:lineChart>
      <c:catAx>
        <c:axId val="116314112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6315648"/>
        <c:crosses val="autoZero"/>
        <c:auto val="1"/>
        <c:lblAlgn val="ctr"/>
        <c:lblOffset val="100"/>
        <c:noMultiLvlLbl val="0"/>
      </c:catAx>
      <c:valAx>
        <c:axId val="11631564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63141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C085-4D7B-92D4-0FE0B8706BF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C085-4D7B-92D4-0FE0B8706BF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C085-4D7B-92D4-0FE0B8706BF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C085-4D7B-92D4-0FE0B8706BF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C085-4D7B-92D4-0FE0B8706BF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C085-4D7B-92D4-0FE0B8706BF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C085-4D7B-92D4-0FE0B8706BF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C085-4D7B-92D4-0FE0B8706BF0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C085-4D7B-92D4-0FE0B8706BF0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C085-4D7B-92D4-0FE0B8706BF0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C085-4D7B-92D4-0FE0B8706BF0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C085-4D7B-92D4-0FE0B8706BF0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C085-4D7B-92D4-0FE0B8706BF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'28.07 Bwaise-Makerere'!$C$9:$N$9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'28.07 Bwaise-Makerere'!$C$59:$N$59</c:f>
              <c:numCache>
                <c:formatCode>0.0%</c:formatCode>
                <c:ptCount val="12"/>
                <c:pt idx="0">
                  <c:v>0.24156702634392924</c:v>
                </c:pt>
                <c:pt idx="1">
                  <c:v>7.9615048118985121E-2</c:v>
                </c:pt>
                <c:pt idx="2">
                  <c:v>4.7341304559152329E-2</c:v>
                </c:pt>
                <c:pt idx="3">
                  <c:v>0.16972878390201224</c:v>
                </c:pt>
                <c:pt idx="4">
                  <c:v>2.8190920579372024E-3</c:v>
                </c:pt>
                <c:pt idx="5">
                  <c:v>3.0135121998639061E-3</c:v>
                </c:pt>
                <c:pt idx="6">
                  <c:v>1.2248468941382326E-2</c:v>
                </c:pt>
                <c:pt idx="7">
                  <c:v>5.2493438320209973E-3</c:v>
                </c:pt>
                <c:pt idx="8">
                  <c:v>1.5553611354136288E-3</c:v>
                </c:pt>
                <c:pt idx="9">
                  <c:v>1.8469913483036842E-3</c:v>
                </c:pt>
                <c:pt idx="10">
                  <c:v>0.43501506756099934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C085-4D7B-92D4-0FE0B8706B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843"/>
          <c:y val="2.296022663732372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'28.07 Bwaise-Makerere'!$S$9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'28.07 Bwaise-Makerere'!$R$10:$R$21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'28.07 Bwaise-Makerere'!$S$10:$S$21</c:f>
              <c:numCache>
                <c:formatCode>0</c:formatCode>
                <c:ptCount val="12"/>
                <c:pt idx="0">
                  <c:v>107</c:v>
                </c:pt>
                <c:pt idx="1">
                  <c:v>159</c:v>
                </c:pt>
                <c:pt idx="2">
                  <c:v>221</c:v>
                </c:pt>
                <c:pt idx="3">
                  <c:v>230</c:v>
                </c:pt>
                <c:pt idx="4">
                  <c:v>239</c:v>
                </c:pt>
                <c:pt idx="5">
                  <c:v>228</c:v>
                </c:pt>
                <c:pt idx="6">
                  <c:v>160</c:v>
                </c:pt>
                <c:pt idx="7">
                  <c:v>220</c:v>
                </c:pt>
                <c:pt idx="8">
                  <c:v>242</c:v>
                </c:pt>
                <c:pt idx="9">
                  <c:v>247</c:v>
                </c:pt>
                <c:pt idx="10">
                  <c:v>244</c:v>
                </c:pt>
                <c:pt idx="11">
                  <c:v>188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28B-46B4-90C5-4BE58AC1B7CD}"/>
            </c:ext>
          </c:extLst>
        </c:ser>
        <c:ser>
          <c:idx val="1"/>
          <c:order val="1"/>
          <c:tx>
            <c:strRef>
              <c:f>'28.07 Bwaise-Makerere'!$T$9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'28.07 Bwaise-Makerere'!$R$10:$R$21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'28.07 Bwaise-Makerere'!$T$10:$T$21</c:f>
              <c:numCache>
                <c:formatCode>0</c:formatCode>
                <c:ptCount val="12"/>
                <c:pt idx="0">
                  <c:v>70</c:v>
                </c:pt>
                <c:pt idx="1">
                  <c:v>41</c:v>
                </c:pt>
                <c:pt idx="2">
                  <c:v>82</c:v>
                </c:pt>
                <c:pt idx="3">
                  <c:v>92</c:v>
                </c:pt>
                <c:pt idx="4">
                  <c:v>80</c:v>
                </c:pt>
                <c:pt idx="5">
                  <c:v>67</c:v>
                </c:pt>
                <c:pt idx="6">
                  <c:v>46</c:v>
                </c:pt>
                <c:pt idx="7">
                  <c:v>62</c:v>
                </c:pt>
                <c:pt idx="8">
                  <c:v>74</c:v>
                </c:pt>
                <c:pt idx="9">
                  <c:v>59</c:v>
                </c:pt>
                <c:pt idx="10">
                  <c:v>76</c:v>
                </c:pt>
                <c:pt idx="11">
                  <c:v>70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428B-46B4-90C5-4BE58AC1B7CD}"/>
            </c:ext>
          </c:extLst>
        </c:ser>
        <c:ser>
          <c:idx val="2"/>
          <c:order val="2"/>
          <c:tx>
            <c:strRef>
              <c:f>'28.07 Bwaise-Makerere'!$U$9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'28.07 Bwaise-Makerere'!$U$10:$U$21</c:f>
              <c:numCache>
                <c:formatCode>0</c:formatCode>
                <c:ptCount val="12"/>
                <c:pt idx="0">
                  <c:v>11</c:v>
                </c:pt>
                <c:pt idx="1">
                  <c:v>31</c:v>
                </c:pt>
                <c:pt idx="2">
                  <c:v>18</c:v>
                </c:pt>
                <c:pt idx="3">
                  <c:v>111</c:v>
                </c:pt>
                <c:pt idx="4">
                  <c:v>96</c:v>
                </c:pt>
                <c:pt idx="5">
                  <c:v>27</c:v>
                </c:pt>
                <c:pt idx="6">
                  <c:v>19</c:v>
                </c:pt>
                <c:pt idx="7">
                  <c:v>27</c:v>
                </c:pt>
                <c:pt idx="8">
                  <c:v>20</c:v>
                </c:pt>
                <c:pt idx="9">
                  <c:v>75</c:v>
                </c:pt>
                <c:pt idx="10">
                  <c:v>37</c:v>
                </c:pt>
                <c:pt idx="11">
                  <c:v>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28B-46B4-90C5-4BE58AC1B7CD}"/>
            </c:ext>
          </c:extLst>
        </c:ser>
        <c:ser>
          <c:idx val="3"/>
          <c:order val="3"/>
          <c:tx>
            <c:strRef>
              <c:f>'28.07 Bwaise-Makerere'!$V$9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'28.07 Bwaise-Makerere'!$V$10:$V$21</c:f>
              <c:numCache>
                <c:formatCode>0</c:formatCode>
                <c:ptCount val="12"/>
                <c:pt idx="0">
                  <c:v>160</c:v>
                </c:pt>
                <c:pt idx="1">
                  <c:v>182</c:v>
                </c:pt>
                <c:pt idx="2">
                  <c:v>179</c:v>
                </c:pt>
                <c:pt idx="3">
                  <c:v>130</c:v>
                </c:pt>
                <c:pt idx="4">
                  <c:v>167</c:v>
                </c:pt>
                <c:pt idx="5">
                  <c:v>148</c:v>
                </c:pt>
                <c:pt idx="6">
                  <c:v>126</c:v>
                </c:pt>
                <c:pt idx="7">
                  <c:v>135</c:v>
                </c:pt>
                <c:pt idx="8">
                  <c:v>169</c:v>
                </c:pt>
                <c:pt idx="9">
                  <c:v>91</c:v>
                </c:pt>
                <c:pt idx="10">
                  <c:v>158</c:v>
                </c:pt>
                <c:pt idx="11">
                  <c:v>101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28B-46B4-90C5-4BE58AC1B7CD}"/>
            </c:ext>
          </c:extLst>
        </c:ser>
        <c:ser>
          <c:idx val="4"/>
          <c:order val="4"/>
          <c:tx>
            <c:strRef>
              <c:f>'28.07 Bwaise-Makerere'!$W$9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'28.07 Bwaise-Makerere'!$W$10:$W$21</c:f>
              <c:numCache>
                <c:formatCode>0</c:formatCode>
                <c:ptCount val="12"/>
                <c:pt idx="0">
                  <c:v>3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3</c:v>
                </c:pt>
                <c:pt idx="5">
                  <c:v>1</c:v>
                </c:pt>
                <c:pt idx="6">
                  <c:v>0</c:v>
                </c:pt>
                <c:pt idx="7">
                  <c:v>3</c:v>
                </c:pt>
                <c:pt idx="8">
                  <c:v>3</c:v>
                </c:pt>
                <c:pt idx="9">
                  <c:v>1</c:v>
                </c:pt>
                <c:pt idx="10">
                  <c:v>7</c:v>
                </c:pt>
                <c:pt idx="11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28B-46B4-90C5-4BE58AC1B7CD}"/>
            </c:ext>
          </c:extLst>
        </c:ser>
        <c:ser>
          <c:idx val="5"/>
          <c:order val="5"/>
          <c:tx>
            <c:strRef>
              <c:f>'28.07 Bwaise-Makerere'!$X$9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'28.07 Bwaise-Makerere'!$X$10:$X$21</c:f>
              <c:numCache>
                <c:formatCode>0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1</c:v>
                </c:pt>
                <c:pt idx="4">
                  <c:v>4</c:v>
                </c:pt>
                <c:pt idx="5">
                  <c:v>3</c:v>
                </c:pt>
                <c:pt idx="6">
                  <c:v>5</c:v>
                </c:pt>
                <c:pt idx="7">
                  <c:v>5</c:v>
                </c:pt>
                <c:pt idx="8">
                  <c:v>4</c:v>
                </c:pt>
                <c:pt idx="9">
                  <c:v>2</c:v>
                </c:pt>
                <c:pt idx="10">
                  <c:v>4</c:v>
                </c:pt>
                <c:pt idx="1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28B-46B4-90C5-4BE58AC1B7CD}"/>
            </c:ext>
          </c:extLst>
        </c:ser>
        <c:ser>
          <c:idx val="6"/>
          <c:order val="6"/>
          <c:tx>
            <c:strRef>
              <c:f>'28.07 Bwaise-Makerere'!$Y$9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'28.07 Bwaise-Makerere'!$Y$10:$Y$21</c:f>
              <c:numCache>
                <c:formatCode>0</c:formatCode>
                <c:ptCount val="12"/>
                <c:pt idx="0">
                  <c:v>2</c:v>
                </c:pt>
                <c:pt idx="1">
                  <c:v>11</c:v>
                </c:pt>
                <c:pt idx="2">
                  <c:v>14</c:v>
                </c:pt>
                <c:pt idx="3">
                  <c:v>11</c:v>
                </c:pt>
                <c:pt idx="4">
                  <c:v>13</c:v>
                </c:pt>
                <c:pt idx="5">
                  <c:v>8</c:v>
                </c:pt>
                <c:pt idx="6">
                  <c:v>9</c:v>
                </c:pt>
                <c:pt idx="7">
                  <c:v>11</c:v>
                </c:pt>
                <c:pt idx="8">
                  <c:v>16</c:v>
                </c:pt>
                <c:pt idx="9">
                  <c:v>8</c:v>
                </c:pt>
                <c:pt idx="10">
                  <c:v>15</c:v>
                </c:pt>
                <c:pt idx="11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28B-46B4-90C5-4BE58AC1B7CD}"/>
            </c:ext>
          </c:extLst>
        </c:ser>
        <c:ser>
          <c:idx val="7"/>
          <c:order val="7"/>
          <c:tx>
            <c:strRef>
              <c:f>'28.07 Bwaise-Makerere'!$Z$9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'28.07 Bwaise-Makerere'!$Z$10:$Z$21</c:f>
              <c:numCache>
                <c:formatCode>0</c:formatCode>
                <c:ptCount val="12"/>
                <c:pt idx="0">
                  <c:v>9</c:v>
                </c:pt>
                <c:pt idx="1">
                  <c:v>5</c:v>
                </c:pt>
                <c:pt idx="2">
                  <c:v>3</c:v>
                </c:pt>
                <c:pt idx="3">
                  <c:v>3</c:v>
                </c:pt>
                <c:pt idx="4">
                  <c:v>7</c:v>
                </c:pt>
                <c:pt idx="5">
                  <c:v>8</c:v>
                </c:pt>
                <c:pt idx="6">
                  <c:v>5</c:v>
                </c:pt>
                <c:pt idx="7">
                  <c:v>4</c:v>
                </c:pt>
                <c:pt idx="8">
                  <c:v>0</c:v>
                </c:pt>
                <c:pt idx="9">
                  <c:v>4</c:v>
                </c:pt>
                <c:pt idx="10">
                  <c:v>3</c:v>
                </c:pt>
                <c:pt idx="11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428B-46B4-90C5-4BE58AC1B7CD}"/>
            </c:ext>
          </c:extLst>
        </c:ser>
        <c:ser>
          <c:idx val="8"/>
          <c:order val="8"/>
          <c:tx>
            <c:strRef>
              <c:f>'28.07 Bwaise-Makerere'!$AA$9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'28.07 Bwaise-Makerere'!$AA$10:$AA$21</c:f>
              <c:numCache>
                <c:formatCode>0</c:formatCode>
                <c:ptCount val="12"/>
                <c:pt idx="0">
                  <c:v>1</c:v>
                </c:pt>
                <c:pt idx="1">
                  <c:v>3</c:v>
                </c:pt>
                <c:pt idx="2">
                  <c:v>2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3</c:v>
                </c:pt>
                <c:pt idx="1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428B-46B4-90C5-4BE58AC1B7CD}"/>
            </c:ext>
          </c:extLst>
        </c:ser>
        <c:ser>
          <c:idx val="9"/>
          <c:order val="9"/>
          <c:tx>
            <c:strRef>
              <c:f>'28.07 Bwaise-Makerere'!$AB$9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'28.07 Bwaise-Makerere'!$AB$10:$AB$21</c:f>
              <c:numCache>
                <c:formatCode>0</c:formatCode>
                <c:ptCount val="12"/>
                <c:pt idx="0">
                  <c:v>0</c:v>
                </c:pt>
                <c:pt idx="1">
                  <c:v>3</c:v>
                </c:pt>
                <c:pt idx="2">
                  <c:v>2</c:v>
                </c:pt>
                <c:pt idx="3">
                  <c:v>2</c:v>
                </c:pt>
                <c:pt idx="4">
                  <c:v>3</c:v>
                </c:pt>
                <c:pt idx="5">
                  <c:v>0</c:v>
                </c:pt>
                <c:pt idx="6">
                  <c:v>1</c:v>
                </c:pt>
                <c:pt idx="7">
                  <c:v>1</c:v>
                </c:pt>
                <c:pt idx="8">
                  <c:v>0</c:v>
                </c:pt>
                <c:pt idx="9">
                  <c:v>3</c:v>
                </c:pt>
                <c:pt idx="10">
                  <c:v>4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428B-46B4-90C5-4BE58AC1B7CD}"/>
            </c:ext>
          </c:extLst>
        </c:ser>
        <c:ser>
          <c:idx val="10"/>
          <c:order val="10"/>
          <c:tx>
            <c:strRef>
              <c:f>'28.07 Bwaise-Makerere'!$AC$9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'28.07 Bwaise-Makerere'!$AC$10:$AC$21</c:f>
              <c:numCache>
                <c:formatCode>0</c:formatCode>
                <c:ptCount val="12"/>
                <c:pt idx="0">
                  <c:v>253</c:v>
                </c:pt>
                <c:pt idx="1">
                  <c:v>443</c:v>
                </c:pt>
                <c:pt idx="2">
                  <c:v>435</c:v>
                </c:pt>
                <c:pt idx="3">
                  <c:v>530</c:v>
                </c:pt>
                <c:pt idx="4">
                  <c:v>446</c:v>
                </c:pt>
                <c:pt idx="5">
                  <c:v>458</c:v>
                </c:pt>
                <c:pt idx="6">
                  <c:v>220</c:v>
                </c:pt>
                <c:pt idx="7">
                  <c:v>331</c:v>
                </c:pt>
                <c:pt idx="8">
                  <c:v>357</c:v>
                </c:pt>
                <c:pt idx="9">
                  <c:v>379</c:v>
                </c:pt>
                <c:pt idx="10">
                  <c:v>270</c:v>
                </c:pt>
                <c:pt idx="11">
                  <c:v>353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428B-46B4-90C5-4BE58AC1B7CD}"/>
            </c:ext>
          </c:extLst>
        </c:ser>
        <c:ser>
          <c:idx val="11"/>
          <c:order val="11"/>
          <c:tx>
            <c:strRef>
              <c:f>'28.07 Bwaise-Makerere'!$AD$9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'28.07 Bwaise-Makerere'!$AD$10:$AD$21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428B-46B4-90C5-4BE58AC1B7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6397952"/>
        <c:axId val="116399488"/>
      </c:lineChart>
      <c:catAx>
        <c:axId val="1163979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6399488"/>
        <c:crosses val="autoZero"/>
        <c:auto val="1"/>
        <c:lblAlgn val="ctr"/>
        <c:lblOffset val="100"/>
        <c:noMultiLvlLbl val="0"/>
      </c:catAx>
      <c:valAx>
        <c:axId val="116399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63979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DC12-4217-8AB6-47C18865D9D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DC12-4217-8AB6-47C18865D9D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DC12-4217-8AB6-47C18865D9D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DC12-4217-8AB6-47C18865D9D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DC12-4217-8AB6-47C18865D9D7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DC12-4217-8AB6-47C18865D9D7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DC12-4217-8AB6-47C18865D9D7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DC12-4217-8AB6-47C18865D9D7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DC12-4217-8AB6-47C18865D9D7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DC12-4217-8AB6-47C18865D9D7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DC12-4217-8AB6-47C18865D9D7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DC12-4217-8AB6-47C18865D9D7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DC12-4217-8AB6-47C18865D9D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'28.07 Bwaise-Makerere'!$C$9:$N$9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'28.07 Bwaise-Makerere'!$C$60:$N$60</c:f>
              <c:numCache>
                <c:formatCode>0.00%</c:formatCode>
                <c:ptCount val="12"/>
                <c:pt idx="0">
                  <c:v>0.42756366139022711</c:v>
                </c:pt>
                <c:pt idx="1">
                  <c:v>0.14091534755677909</c:v>
                </c:pt>
                <c:pt idx="2">
                  <c:v>8.3792154163799037E-2</c:v>
                </c:pt>
                <c:pt idx="3">
                  <c:v>0.30041293874741914</c:v>
                </c:pt>
                <c:pt idx="4">
                  <c:v>4.9896765313145221E-3</c:v>
                </c:pt>
                <c:pt idx="5">
                  <c:v>5.3337921541637993E-3</c:v>
                </c:pt>
                <c:pt idx="6">
                  <c:v>2.1679284239504472E-2</c:v>
                </c:pt>
                <c:pt idx="7">
                  <c:v>9.2911218169304879E-3</c:v>
                </c:pt>
                <c:pt idx="8">
                  <c:v>2.7529249827942187E-3</c:v>
                </c:pt>
                <c:pt idx="9">
                  <c:v>3.269098417068135E-3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DC12-4217-8AB6-47C18865D9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'28.07 Makerere-Bwaise'!$AE$9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'28.07 Makerere-Bwaise'!$R$10:$R$21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'28.07 Makerere-Bwaise'!$AE$10:$AE$21</c:f>
              <c:numCache>
                <c:formatCode>0</c:formatCode>
                <c:ptCount val="12"/>
                <c:pt idx="0">
                  <c:v>266</c:v>
                </c:pt>
                <c:pt idx="1">
                  <c:v>270</c:v>
                </c:pt>
                <c:pt idx="2">
                  <c:v>345</c:v>
                </c:pt>
                <c:pt idx="3">
                  <c:v>385</c:v>
                </c:pt>
                <c:pt idx="4">
                  <c:v>450</c:v>
                </c:pt>
                <c:pt idx="5">
                  <c:v>517</c:v>
                </c:pt>
                <c:pt idx="6">
                  <c:v>493</c:v>
                </c:pt>
                <c:pt idx="7">
                  <c:v>578</c:v>
                </c:pt>
                <c:pt idx="8">
                  <c:v>448</c:v>
                </c:pt>
                <c:pt idx="9">
                  <c:v>454</c:v>
                </c:pt>
                <c:pt idx="10">
                  <c:v>422</c:v>
                </c:pt>
                <c:pt idx="11">
                  <c:v>390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C9DE-43FB-B018-4B429EDDE76A}"/>
            </c:ext>
          </c:extLst>
        </c:ser>
        <c:ser>
          <c:idx val="1"/>
          <c:order val="1"/>
          <c:tx>
            <c:strRef>
              <c:f>'28.07 Makerere-Bwaise'!$AF$9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'28.07 Makerere-Bwaise'!$R$10:$R$21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'28.07 Makerere-Bwaise'!$AF$10:$AF$21</c:f>
              <c:numCache>
                <c:formatCode>0</c:formatCode>
                <c:ptCount val="12"/>
                <c:pt idx="0">
                  <c:v>596</c:v>
                </c:pt>
                <c:pt idx="1">
                  <c:v>737</c:v>
                </c:pt>
                <c:pt idx="2">
                  <c:v>884</c:v>
                </c:pt>
                <c:pt idx="3">
                  <c:v>964</c:v>
                </c:pt>
                <c:pt idx="4">
                  <c:v>955</c:v>
                </c:pt>
                <c:pt idx="5">
                  <c:v>1067</c:v>
                </c:pt>
                <c:pt idx="6">
                  <c:v>893</c:v>
                </c:pt>
                <c:pt idx="7">
                  <c:v>1028</c:v>
                </c:pt>
                <c:pt idx="8">
                  <c:v>778</c:v>
                </c:pt>
                <c:pt idx="9">
                  <c:v>820</c:v>
                </c:pt>
                <c:pt idx="10">
                  <c:v>764</c:v>
                </c:pt>
                <c:pt idx="11">
                  <c:v>852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C9DE-43FB-B018-4B429EDDE7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6638848"/>
        <c:axId val="116640384"/>
      </c:lineChart>
      <c:catAx>
        <c:axId val="116638848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6640384"/>
        <c:crosses val="autoZero"/>
        <c:auto val="1"/>
        <c:lblAlgn val="ctr"/>
        <c:lblOffset val="100"/>
        <c:noMultiLvlLbl val="0"/>
      </c:catAx>
      <c:valAx>
        <c:axId val="11664038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6638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A85F-4049-90B5-622F08A1EAA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A85F-4049-90B5-622F08A1EAA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A85F-4049-90B5-622F08A1EAA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A85F-4049-90B5-622F08A1EAA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A85F-4049-90B5-622F08A1EAA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A85F-4049-90B5-622F08A1EAA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A85F-4049-90B5-622F08A1EAA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A85F-4049-90B5-622F08A1EAA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A85F-4049-90B5-622F08A1EAA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A85F-4049-90B5-622F08A1EAA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A85F-4049-90B5-622F08A1EAA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A85F-4049-90B5-622F08A1EAA3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A85F-4049-90B5-622F08A1EAA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'28.07 Makerere-Bwaise'!$C$9:$N$9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'28.07 Makerere-Bwaise'!$C$59:$N$59</c:f>
              <c:numCache>
                <c:formatCode>0.0%</c:formatCode>
                <c:ptCount val="12"/>
                <c:pt idx="0">
                  <c:v>0.18359450570710001</c:v>
                </c:pt>
                <c:pt idx="1">
                  <c:v>6.2100986651189787E-2</c:v>
                </c:pt>
                <c:pt idx="2">
                  <c:v>3.1050493325594893E-2</c:v>
                </c:pt>
                <c:pt idx="3">
                  <c:v>0.17537241245888954</c:v>
                </c:pt>
                <c:pt idx="4">
                  <c:v>6.8678661249758173E-3</c:v>
                </c:pt>
                <c:pt idx="5">
                  <c:v>2.9986457728767655E-3</c:v>
                </c:pt>
                <c:pt idx="6">
                  <c:v>1.1124008512284775E-2</c:v>
                </c:pt>
                <c:pt idx="7">
                  <c:v>8.8024763010253436E-3</c:v>
                </c:pt>
                <c:pt idx="8">
                  <c:v>1.6444186496420972E-3</c:v>
                </c:pt>
                <c:pt idx="9">
                  <c:v>1.8378796672470497E-3</c:v>
                </c:pt>
                <c:pt idx="10">
                  <c:v>0.51460630682917397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A85F-4049-90B5-622F08A1EA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843"/>
          <c:y val="2.296022663732372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'28.07 Makerere-Bwaise'!$S$9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'28.07 Makerere-Bwaise'!$R$10:$R$21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'28.07 Makerere-Bwaise'!$S$10:$S$21</c:f>
              <c:numCache>
                <c:formatCode>0</c:formatCode>
                <c:ptCount val="12"/>
                <c:pt idx="0">
                  <c:v>85</c:v>
                </c:pt>
                <c:pt idx="1">
                  <c:v>80</c:v>
                </c:pt>
                <c:pt idx="2">
                  <c:v>123</c:v>
                </c:pt>
                <c:pt idx="3">
                  <c:v>128</c:v>
                </c:pt>
                <c:pt idx="4">
                  <c:v>194</c:v>
                </c:pt>
                <c:pt idx="5">
                  <c:v>203</c:v>
                </c:pt>
                <c:pt idx="6">
                  <c:v>182</c:v>
                </c:pt>
                <c:pt idx="7">
                  <c:v>205</c:v>
                </c:pt>
                <c:pt idx="8">
                  <c:v>207</c:v>
                </c:pt>
                <c:pt idx="9">
                  <c:v>169</c:v>
                </c:pt>
                <c:pt idx="10">
                  <c:v>157</c:v>
                </c:pt>
                <c:pt idx="11">
                  <c:v>165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793-4957-A836-ECDA67D2C747}"/>
            </c:ext>
          </c:extLst>
        </c:ser>
        <c:ser>
          <c:idx val="1"/>
          <c:order val="1"/>
          <c:tx>
            <c:strRef>
              <c:f>'28.07 Makerere-Bwaise'!$T$9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'28.07 Makerere-Bwaise'!$R$10:$R$21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'28.07 Makerere-Bwaise'!$T$10:$T$21</c:f>
              <c:numCache>
                <c:formatCode>0</c:formatCode>
                <c:ptCount val="12"/>
                <c:pt idx="0">
                  <c:v>27</c:v>
                </c:pt>
                <c:pt idx="1">
                  <c:v>35</c:v>
                </c:pt>
                <c:pt idx="2">
                  <c:v>31</c:v>
                </c:pt>
                <c:pt idx="3">
                  <c:v>64</c:v>
                </c:pt>
                <c:pt idx="4">
                  <c:v>46</c:v>
                </c:pt>
                <c:pt idx="5">
                  <c:v>68</c:v>
                </c:pt>
                <c:pt idx="6">
                  <c:v>71</c:v>
                </c:pt>
                <c:pt idx="7">
                  <c:v>88</c:v>
                </c:pt>
                <c:pt idx="8">
                  <c:v>56</c:v>
                </c:pt>
                <c:pt idx="9">
                  <c:v>54</c:v>
                </c:pt>
                <c:pt idx="10">
                  <c:v>56</c:v>
                </c:pt>
                <c:pt idx="11">
                  <c:v>46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5793-4957-A836-ECDA67D2C747}"/>
            </c:ext>
          </c:extLst>
        </c:ser>
        <c:ser>
          <c:idx val="2"/>
          <c:order val="2"/>
          <c:tx>
            <c:strRef>
              <c:f>'28.07 Makerere-Bwaise'!$U$9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'28.07 Makerere-Bwaise'!$U$10:$U$21</c:f>
              <c:numCache>
                <c:formatCode>0</c:formatCode>
                <c:ptCount val="12"/>
                <c:pt idx="0">
                  <c:v>10</c:v>
                </c:pt>
                <c:pt idx="1">
                  <c:v>11</c:v>
                </c:pt>
                <c:pt idx="2">
                  <c:v>17</c:v>
                </c:pt>
                <c:pt idx="3">
                  <c:v>26</c:v>
                </c:pt>
                <c:pt idx="4">
                  <c:v>34</c:v>
                </c:pt>
                <c:pt idx="5">
                  <c:v>26</c:v>
                </c:pt>
                <c:pt idx="6">
                  <c:v>79</c:v>
                </c:pt>
                <c:pt idx="7">
                  <c:v>22</c:v>
                </c:pt>
                <c:pt idx="8">
                  <c:v>28</c:v>
                </c:pt>
                <c:pt idx="9">
                  <c:v>25</c:v>
                </c:pt>
                <c:pt idx="10">
                  <c:v>26</c:v>
                </c:pt>
                <c:pt idx="11">
                  <c:v>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793-4957-A836-ECDA67D2C747}"/>
            </c:ext>
          </c:extLst>
        </c:ser>
        <c:ser>
          <c:idx val="3"/>
          <c:order val="3"/>
          <c:tx>
            <c:strRef>
              <c:f>'28.07 Makerere-Bwaise'!$V$9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'28.07 Makerere-Bwaise'!$V$10:$V$21</c:f>
              <c:numCache>
                <c:formatCode>0</c:formatCode>
                <c:ptCount val="12"/>
                <c:pt idx="0">
                  <c:v>114</c:v>
                </c:pt>
                <c:pt idx="1">
                  <c:v>122</c:v>
                </c:pt>
                <c:pt idx="2">
                  <c:v>150</c:v>
                </c:pt>
                <c:pt idx="3">
                  <c:v>148</c:v>
                </c:pt>
                <c:pt idx="4">
                  <c:v>145</c:v>
                </c:pt>
                <c:pt idx="5">
                  <c:v>184</c:v>
                </c:pt>
                <c:pt idx="6">
                  <c:v>140</c:v>
                </c:pt>
                <c:pt idx="7">
                  <c:v>187</c:v>
                </c:pt>
                <c:pt idx="8">
                  <c:v>135</c:v>
                </c:pt>
                <c:pt idx="9">
                  <c:v>181</c:v>
                </c:pt>
                <c:pt idx="10">
                  <c:v>165</c:v>
                </c:pt>
                <c:pt idx="11">
                  <c:v>142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793-4957-A836-ECDA67D2C747}"/>
            </c:ext>
          </c:extLst>
        </c:ser>
        <c:ser>
          <c:idx val="4"/>
          <c:order val="4"/>
          <c:tx>
            <c:strRef>
              <c:f>'28.07 Makerere-Bwaise'!$W$9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'28.07 Makerere-Bwaise'!$W$10:$W$21</c:f>
              <c:numCache>
                <c:formatCode>0</c:formatCode>
                <c:ptCount val="12"/>
                <c:pt idx="0">
                  <c:v>9</c:v>
                </c:pt>
                <c:pt idx="1">
                  <c:v>2</c:v>
                </c:pt>
                <c:pt idx="2">
                  <c:v>3</c:v>
                </c:pt>
                <c:pt idx="3">
                  <c:v>0</c:v>
                </c:pt>
                <c:pt idx="4">
                  <c:v>3</c:v>
                </c:pt>
                <c:pt idx="5">
                  <c:v>1</c:v>
                </c:pt>
                <c:pt idx="6">
                  <c:v>3</c:v>
                </c:pt>
                <c:pt idx="7">
                  <c:v>47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793-4957-A836-ECDA67D2C747}"/>
            </c:ext>
          </c:extLst>
        </c:ser>
        <c:ser>
          <c:idx val="5"/>
          <c:order val="5"/>
          <c:tx>
            <c:strRef>
              <c:f>'28.07 Makerere-Bwaise'!$X$9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'28.07 Makerere-Bwaise'!$X$10:$X$21</c:f>
              <c:numCache>
                <c:formatCode>0</c:formatCode>
                <c:ptCount val="12"/>
                <c:pt idx="0">
                  <c:v>3</c:v>
                </c:pt>
                <c:pt idx="1">
                  <c:v>4</c:v>
                </c:pt>
                <c:pt idx="2">
                  <c:v>2</c:v>
                </c:pt>
                <c:pt idx="3">
                  <c:v>1</c:v>
                </c:pt>
                <c:pt idx="4">
                  <c:v>3</c:v>
                </c:pt>
                <c:pt idx="5">
                  <c:v>3</c:v>
                </c:pt>
                <c:pt idx="6">
                  <c:v>2</c:v>
                </c:pt>
                <c:pt idx="7">
                  <c:v>6</c:v>
                </c:pt>
                <c:pt idx="8">
                  <c:v>1</c:v>
                </c:pt>
                <c:pt idx="9">
                  <c:v>3</c:v>
                </c:pt>
                <c:pt idx="10">
                  <c:v>1</c:v>
                </c:pt>
                <c:pt idx="1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793-4957-A836-ECDA67D2C747}"/>
            </c:ext>
          </c:extLst>
        </c:ser>
        <c:ser>
          <c:idx val="6"/>
          <c:order val="6"/>
          <c:tx>
            <c:strRef>
              <c:f>'28.07 Makerere-Bwaise'!$Y$9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'28.07 Makerere-Bwaise'!$Y$10:$Y$21</c:f>
              <c:numCache>
                <c:formatCode>0</c:formatCode>
                <c:ptCount val="12"/>
                <c:pt idx="0">
                  <c:v>7</c:v>
                </c:pt>
                <c:pt idx="1">
                  <c:v>9</c:v>
                </c:pt>
                <c:pt idx="2">
                  <c:v>5</c:v>
                </c:pt>
                <c:pt idx="3">
                  <c:v>10</c:v>
                </c:pt>
                <c:pt idx="4">
                  <c:v>14</c:v>
                </c:pt>
                <c:pt idx="5">
                  <c:v>17</c:v>
                </c:pt>
                <c:pt idx="6">
                  <c:v>6</c:v>
                </c:pt>
                <c:pt idx="7">
                  <c:v>8</c:v>
                </c:pt>
                <c:pt idx="8">
                  <c:v>8</c:v>
                </c:pt>
                <c:pt idx="9">
                  <c:v>11</c:v>
                </c:pt>
                <c:pt idx="10">
                  <c:v>10</c:v>
                </c:pt>
                <c:pt idx="11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793-4957-A836-ECDA67D2C747}"/>
            </c:ext>
          </c:extLst>
        </c:ser>
        <c:ser>
          <c:idx val="7"/>
          <c:order val="7"/>
          <c:tx>
            <c:strRef>
              <c:f>'28.07 Makerere-Bwaise'!$Z$9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'28.07 Makerere-Bwaise'!$Z$10:$Z$21</c:f>
              <c:numCache>
                <c:formatCode>0</c:formatCode>
                <c:ptCount val="12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5</c:v>
                </c:pt>
                <c:pt idx="4">
                  <c:v>10</c:v>
                </c:pt>
                <c:pt idx="5">
                  <c:v>12</c:v>
                </c:pt>
                <c:pt idx="6">
                  <c:v>5</c:v>
                </c:pt>
                <c:pt idx="7">
                  <c:v>7</c:v>
                </c:pt>
                <c:pt idx="8">
                  <c:v>11</c:v>
                </c:pt>
                <c:pt idx="9">
                  <c:v>9</c:v>
                </c:pt>
                <c:pt idx="10">
                  <c:v>7</c:v>
                </c:pt>
                <c:pt idx="11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5793-4957-A836-ECDA67D2C747}"/>
            </c:ext>
          </c:extLst>
        </c:ser>
        <c:ser>
          <c:idx val="8"/>
          <c:order val="8"/>
          <c:tx>
            <c:strRef>
              <c:f>'28.07 Makerere-Bwaise'!$AA$9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'28.07 Makerere-Bwaise'!$AA$10:$AA$21</c:f>
              <c:numCache>
                <c:formatCode>0</c:formatCode>
                <c:ptCount val="12"/>
                <c:pt idx="0">
                  <c:v>4</c:v>
                </c:pt>
                <c:pt idx="1">
                  <c:v>0</c:v>
                </c:pt>
                <c:pt idx="2">
                  <c:v>2</c:v>
                </c:pt>
                <c:pt idx="3">
                  <c:v>1</c:v>
                </c:pt>
                <c:pt idx="4">
                  <c:v>0</c:v>
                </c:pt>
                <c:pt idx="5">
                  <c:v>1</c:v>
                </c:pt>
                <c:pt idx="6">
                  <c:v>4</c:v>
                </c:pt>
                <c:pt idx="7">
                  <c:v>4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5793-4957-A836-ECDA67D2C747}"/>
            </c:ext>
          </c:extLst>
        </c:ser>
        <c:ser>
          <c:idx val="9"/>
          <c:order val="9"/>
          <c:tx>
            <c:strRef>
              <c:f>'28.07 Makerere-Bwaise'!$AB$9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'28.07 Makerere-Bwaise'!$AB$10:$AB$21</c:f>
              <c:numCache>
                <c:formatCode>0</c:formatCode>
                <c:ptCount val="12"/>
                <c:pt idx="0">
                  <c:v>2</c:v>
                </c:pt>
                <c:pt idx="1">
                  <c:v>0</c:v>
                </c:pt>
                <c:pt idx="2">
                  <c:v>3</c:v>
                </c:pt>
                <c:pt idx="3">
                  <c:v>2</c:v>
                </c:pt>
                <c:pt idx="4">
                  <c:v>1</c:v>
                </c:pt>
                <c:pt idx="5">
                  <c:v>2</c:v>
                </c:pt>
                <c:pt idx="6">
                  <c:v>1</c:v>
                </c:pt>
                <c:pt idx="7">
                  <c:v>4</c:v>
                </c:pt>
                <c:pt idx="8">
                  <c:v>2</c:v>
                </c:pt>
                <c:pt idx="9">
                  <c:v>1</c:v>
                </c:pt>
                <c:pt idx="10">
                  <c:v>0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5793-4957-A836-ECDA67D2C747}"/>
            </c:ext>
          </c:extLst>
        </c:ser>
        <c:ser>
          <c:idx val="10"/>
          <c:order val="10"/>
          <c:tx>
            <c:strRef>
              <c:f>'28.07 Makerere-Bwaise'!$AC$9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'28.07 Makerere-Bwaise'!$AC$10:$AC$21</c:f>
              <c:numCache>
                <c:formatCode>0</c:formatCode>
                <c:ptCount val="12"/>
                <c:pt idx="0">
                  <c:v>330</c:v>
                </c:pt>
                <c:pt idx="1">
                  <c:v>467</c:v>
                </c:pt>
                <c:pt idx="2">
                  <c:v>539</c:v>
                </c:pt>
                <c:pt idx="3">
                  <c:v>579</c:v>
                </c:pt>
                <c:pt idx="4">
                  <c:v>505</c:v>
                </c:pt>
                <c:pt idx="5">
                  <c:v>550</c:v>
                </c:pt>
                <c:pt idx="6">
                  <c:v>400</c:v>
                </c:pt>
                <c:pt idx="7">
                  <c:v>450</c:v>
                </c:pt>
                <c:pt idx="8">
                  <c:v>330</c:v>
                </c:pt>
                <c:pt idx="9">
                  <c:v>366</c:v>
                </c:pt>
                <c:pt idx="10">
                  <c:v>342</c:v>
                </c:pt>
                <c:pt idx="11">
                  <c:v>462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5793-4957-A836-ECDA67D2C747}"/>
            </c:ext>
          </c:extLst>
        </c:ser>
        <c:ser>
          <c:idx val="11"/>
          <c:order val="11"/>
          <c:tx>
            <c:strRef>
              <c:f>'28.07 Makerere-Bwaise'!$AD$9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'28.07 Makerere-Bwaise'!$AD$10:$AD$21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5793-4957-A836-ECDA67D2C7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6866048"/>
        <c:axId val="116880128"/>
      </c:lineChart>
      <c:catAx>
        <c:axId val="1168660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6880128"/>
        <c:crosses val="autoZero"/>
        <c:auto val="1"/>
        <c:lblAlgn val="ctr"/>
        <c:lblOffset val="100"/>
        <c:noMultiLvlLbl val="0"/>
      </c:catAx>
      <c:valAx>
        <c:axId val="116880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68660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ACB0-4F20-A91A-77634015494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ACB0-4F20-A91A-77634015494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ACB0-4F20-A91A-77634015494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ACB0-4F20-A91A-77634015494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ACB0-4F20-A91A-77634015494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ACB0-4F20-A91A-77634015494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ACB0-4F20-A91A-77634015494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ACB0-4F20-A91A-77634015494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ACB0-4F20-A91A-77634015494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ACB0-4F20-A91A-77634015494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ACB0-4F20-A91A-77634015494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ACB0-4F20-A91A-776340154943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ACB0-4F20-A91A-77634015494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'28.07 Makerere-Bwaise'!$C$9:$N$9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'28.07 Makerere-Bwaise'!$C$60:$N$60</c:f>
              <c:numCache>
                <c:formatCode>0.00%</c:formatCode>
                <c:ptCount val="12"/>
                <c:pt idx="0">
                  <c:v>0.37823834196891193</c:v>
                </c:pt>
                <c:pt idx="1">
                  <c:v>0.12793941809485851</c:v>
                </c:pt>
                <c:pt idx="2">
                  <c:v>6.3969709047429255E-2</c:v>
                </c:pt>
                <c:pt idx="3">
                  <c:v>0.36129932243921881</c:v>
                </c:pt>
                <c:pt idx="4">
                  <c:v>1.4149063371861299E-2</c:v>
                </c:pt>
                <c:pt idx="5">
                  <c:v>6.1777600637704265E-3</c:v>
                </c:pt>
                <c:pt idx="6">
                  <c:v>2.2917497010761258E-2</c:v>
                </c:pt>
                <c:pt idx="7">
                  <c:v>1.8134715025906734E-2</c:v>
                </c:pt>
                <c:pt idx="8">
                  <c:v>3.387803905938621E-3</c:v>
                </c:pt>
                <c:pt idx="9">
                  <c:v>3.7863690713431648E-3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ACB0-4F20-A91A-7763401549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'Avg Week Bwaise-Makerere'!$AE$9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'Avg Week Bwaise-Makerere'!$R$10:$R$33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'Avg Week Bwaise-Makerere'!$AE$10:$AE$33</c:f>
              <c:numCache>
                <c:formatCode>0</c:formatCode>
                <c:ptCount val="24"/>
                <c:pt idx="0">
                  <c:v>607.54761904761904</c:v>
                </c:pt>
                <c:pt idx="1">
                  <c:v>585.64285714285722</c:v>
                </c:pt>
                <c:pt idx="2">
                  <c:v>536.85714285714289</c:v>
                </c:pt>
                <c:pt idx="3">
                  <c:v>545.28571428571433</c:v>
                </c:pt>
                <c:pt idx="4">
                  <c:v>509</c:v>
                </c:pt>
                <c:pt idx="5">
                  <c:v>479.00000000000006</c:v>
                </c:pt>
                <c:pt idx="6">
                  <c:v>410.28571428571422</c:v>
                </c:pt>
                <c:pt idx="7">
                  <c:v>434.85714285714283</c:v>
                </c:pt>
                <c:pt idx="8">
                  <c:v>468.5</c:v>
                </c:pt>
                <c:pt idx="9">
                  <c:v>462.57142857142856</c:v>
                </c:pt>
                <c:pt idx="10">
                  <c:v>471.57142857142856</c:v>
                </c:pt>
                <c:pt idx="11">
                  <c:v>404.2380952380953</c:v>
                </c:pt>
                <c:pt idx="12">
                  <c:v>515.5</c:v>
                </c:pt>
                <c:pt idx="13">
                  <c:v>495</c:v>
                </c:pt>
                <c:pt idx="14">
                  <c:v>563.5</c:v>
                </c:pt>
                <c:pt idx="15">
                  <c:v>529.5</c:v>
                </c:pt>
                <c:pt idx="16">
                  <c:v>523</c:v>
                </c:pt>
                <c:pt idx="17">
                  <c:v>488.5</c:v>
                </c:pt>
                <c:pt idx="18">
                  <c:v>484.5</c:v>
                </c:pt>
                <c:pt idx="19">
                  <c:v>399.5</c:v>
                </c:pt>
                <c:pt idx="20">
                  <c:v>393</c:v>
                </c:pt>
                <c:pt idx="21">
                  <c:v>341.5</c:v>
                </c:pt>
                <c:pt idx="22">
                  <c:v>396</c:v>
                </c:pt>
                <c:pt idx="23">
                  <c:v>451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E85-422C-8502-C8D950B820C5}"/>
            </c:ext>
          </c:extLst>
        </c:ser>
        <c:ser>
          <c:idx val="1"/>
          <c:order val="1"/>
          <c:tx>
            <c:strRef>
              <c:f>'Avg Week Bwaise-Makerere'!$AF$9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'Avg Week Bwaise-Makerere'!$R$10:$R$33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'Avg Week Bwaise-Makerere'!$AF$10:$AF$33</c:f>
              <c:numCache>
                <c:formatCode>0</c:formatCode>
                <c:ptCount val="24"/>
                <c:pt idx="0">
                  <c:v>1249.8333333333333</c:v>
                </c:pt>
                <c:pt idx="1">
                  <c:v>1309.7857142857142</c:v>
                </c:pt>
                <c:pt idx="2">
                  <c:v>1222</c:v>
                </c:pt>
                <c:pt idx="3">
                  <c:v>1184.7142857142858</c:v>
                </c:pt>
                <c:pt idx="4">
                  <c:v>1047.4285714285713</c:v>
                </c:pt>
                <c:pt idx="5">
                  <c:v>1001.2857142857142</c:v>
                </c:pt>
                <c:pt idx="6">
                  <c:v>874.85714285714278</c:v>
                </c:pt>
                <c:pt idx="7">
                  <c:v>897.85714285714289</c:v>
                </c:pt>
                <c:pt idx="8">
                  <c:v>930.64285714285711</c:v>
                </c:pt>
                <c:pt idx="9">
                  <c:v>1002.1428571428571</c:v>
                </c:pt>
                <c:pt idx="10">
                  <c:v>999.57142857142856</c:v>
                </c:pt>
                <c:pt idx="11">
                  <c:v>874.23809523809518</c:v>
                </c:pt>
                <c:pt idx="12">
                  <c:v>1071.5</c:v>
                </c:pt>
                <c:pt idx="13">
                  <c:v>1032</c:v>
                </c:pt>
                <c:pt idx="14">
                  <c:v>1070</c:v>
                </c:pt>
                <c:pt idx="15">
                  <c:v>1086</c:v>
                </c:pt>
                <c:pt idx="16">
                  <c:v>990.5</c:v>
                </c:pt>
                <c:pt idx="17">
                  <c:v>1042.5</c:v>
                </c:pt>
                <c:pt idx="18">
                  <c:v>999.5</c:v>
                </c:pt>
                <c:pt idx="19">
                  <c:v>888</c:v>
                </c:pt>
                <c:pt idx="20">
                  <c:v>779.5</c:v>
                </c:pt>
                <c:pt idx="21">
                  <c:v>718.5</c:v>
                </c:pt>
                <c:pt idx="22">
                  <c:v>875.5</c:v>
                </c:pt>
                <c:pt idx="23">
                  <c:v>830.5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2E85-422C-8502-C8D950B82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7094656"/>
        <c:axId val="117243904"/>
      </c:lineChart>
      <c:catAx>
        <c:axId val="117094656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7243904"/>
        <c:crosses val="autoZero"/>
        <c:auto val="1"/>
        <c:lblAlgn val="ctr"/>
        <c:lblOffset val="100"/>
        <c:noMultiLvlLbl val="0"/>
      </c:catAx>
      <c:valAx>
        <c:axId val="11724390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70946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15E7-413A-BC41-2C6194EF8EC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15E7-413A-BC41-2C6194EF8EC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15E7-413A-BC41-2C6194EF8EC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15E7-413A-BC41-2C6194EF8EC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15E7-413A-BC41-2C6194EF8EC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15E7-413A-BC41-2C6194EF8EC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15E7-413A-BC41-2C6194EF8EC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15E7-413A-BC41-2C6194EF8EC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15E7-413A-BC41-2C6194EF8EC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15E7-413A-BC41-2C6194EF8EC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15E7-413A-BC41-2C6194EF8EC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15E7-413A-BC41-2C6194EF8EC3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15E7-413A-BC41-2C6194EF8EC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'Avg Week Bwaise-Makerere'!$C$9:$N$9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'Avg Week Bwaise-Makerere'!$C$107:$N$107</c:f>
              <c:numCache>
                <c:formatCode>0.0%</c:formatCode>
                <c:ptCount val="12"/>
                <c:pt idx="0">
                  <c:v>0.19457427382431175</c:v>
                </c:pt>
                <c:pt idx="1">
                  <c:v>5.4269177264020828E-2</c:v>
                </c:pt>
                <c:pt idx="2">
                  <c:v>3.2940419485428821E-2</c:v>
                </c:pt>
                <c:pt idx="3">
                  <c:v>0.15550332591593011</c:v>
                </c:pt>
                <c:pt idx="4">
                  <c:v>4.6440689073777835E-3</c:v>
                </c:pt>
                <c:pt idx="5">
                  <c:v>3.7980679005174297E-3</c:v>
                </c:pt>
                <c:pt idx="6">
                  <c:v>2.1039806730474203E-2</c:v>
                </c:pt>
                <c:pt idx="7">
                  <c:v>6.3926695800081614E-3</c:v>
                </c:pt>
                <c:pt idx="8">
                  <c:v>4.2548290075077617E-3</c:v>
                </c:pt>
                <c:pt idx="9">
                  <c:v>1.9978333636185806E-3</c:v>
                </c:pt>
                <c:pt idx="10">
                  <c:v>0.52057361251366552</c:v>
                </c:pt>
                <c:pt idx="11">
                  <c:v>1.1915507138878213E-5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15E7-413A-BC41-2C6194EF8E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D80A-4F64-9F70-B5B6C796803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D80A-4F64-9F70-B5B6C796803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D80A-4F64-9F70-B5B6C796803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D80A-4F64-9F70-B5B6C796803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D80A-4F64-9F70-B5B6C796803E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D80A-4F64-9F70-B5B6C796803E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D80A-4F64-9F70-B5B6C796803E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D80A-4F64-9F70-B5B6C796803E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D80A-4F64-9F70-B5B6C796803E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D80A-4F64-9F70-B5B6C796803E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D80A-4F64-9F70-B5B6C796803E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D80A-4F64-9F70-B5B6C796803E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D80A-4F64-9F70-B5B6C796803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'Avg Week Bwaise-Makerere'!$C$9:$N$9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'Avg Week Bwaise-Makerere'!$C$108:$N$108</c:f>
              <c:numCache>
                <c:formatCode>0.00%</c:formatCode>
                <c:ptCount val="12"/>
                <c:pt idx="0">
                  <c:v>0.40584806949087232</c:v>
                </c:pt>
                <c:pt idx="1">
                  <c:v>0.1131960582073045</c:v>
                </c:pt>
                <c:pt idx="2">
                  <c:v>6.870798175740328E-2</c:v>
                </c:pt>
                <c:pt idx="3">
                  <c:v>0.3243528724633718</c:v>
                </c:pt>
                <c:pt idx="4">
                  <c:v>9.6867194393011127E-3</c:v>
                </c:pt>
                <c:pt idx="5">
                  <c:v>7.9221085857016788E-3</c:v>
                </c:pt>
                <c:pt idx="6">
                  <c:v>4.3885374855538006E-2</c:v>
                </c:pt>
                <c:pt idx="7">
                  <c:v>1.3333996097973179E-2</c:v>
                </c:pt>
                <c:pt idx="8">
                  <c:v>8.8748327554854112E-3</c:v>
                </c:pt>
                <c:pt idx="9">
                  <c:v>4.1671326730540609E-3</c:v>
                </c:pt>
                <c:pt idx="11">
                  <c:v>2.4853673994358209E-5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D80A-4F64-9F70-B5B6C79680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'Avg Week Makerere-Bwaise'!$AE$9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'Avg Week Makerere-Bwaise'!$R$10:$R$33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'Avg Week Makerere-Bwaise'!$AE$10:$AE$33</c:f>
              <c:numCache>
                <c:formatCode>0</c:formatCode>
                <c:ptCount val="24"/>
                <c:pt idx="0">
                  <c:v>348.33333333333331</c:v>
                </c:pt>
                <c:pt idx="1">
                  <c:v>390.85714285714289</c:v>
                </c:pt>
                <c:pt idx="2">
                  <c:v>462.71428571428567</c:v>
                </c:pt>
                <c:pt idx="3">
                  <c:v>411.73809523809524</c:v>
                </c:pt>
                <c:pt idx="4">
                  <c:v>450.90476190476193</c:v>
                </c:pt>
                <c:pt idx="5">
                  <c:v>469.71428571428578</c:v>
                </c:pt>
                <c:pt idx="6">
                  <c:v>454.28571428571422</c:v>
                </c:pt>
                <c:pt idx="7">
                  <c:v>471.02380952380952</c:v>
                </c:pt>
                <c:pt idx="8">
                  <c:v>469.14285714285717</c:v>
                </c:pt>
                <c:pt idx="9">
                  <c:v>544.07142857142856</c:v>
                </c:pt>
                <c:pt idx="10">
                  <c:v>534.71428571428578</c:v>
                </c:pt>
                <c:pt idx="11">
                  <c:v>510.14285714285717</c:v>
                </c:pt>
                <c:pt idx="12">
                  <c:v>489.5</c:v>
                </c:pt>
                <c:pt idx="13">
                  <c:v>541.5</c:v>
                </c:pt>
                <c:pt idx="14">
                  <c:v>463</c:v>
                </c:pt>
                <c:pt idx="15">
                  <c:v>300.5</c:v>
                </c:pt>
                <c:pt idx="16">
                  <c:v>196.5</c:v>
                </c:pt>
                <c:pt idx="17">
                  <c:v>115.5</c:v>
                </c:pt>
                <c:pt idx="18">
                  <c:v>62.5</c:v>
                </c:pt>
                <c:pt idx="19">
                  <c:v>41</c:v>
                </c:pt>
                <c:pt idx="20">
                  <c:v>41</c:v>
                </c:pt>
                <c:pt idx="21">
                  <c:v>51.5</c:v>
                </c:pt>
                <c:pt idx="22">
                  <c:v>111.5</c:v>
                </c:pt>
                <c:pt idx="23">
                  <c:v>176.5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6F8-46F1-A26B-8380F37E487A}"/>
            </c:ext>
          </c:extLst>
        </c:ser>
        <c:ser>
          <c:idx val="1"/>
          <c:order val="1"/>
          <c:tx>
            <c:strRef>
              <c:f>'Avg Week Makerere-Bwaise'!$AF$9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'Avg Week Makerere-Bwaise'!$R$10:$R$33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'Avg Week Makerere-Bwaise'!$AF$10:$AF$33</c:f>
              <c:numCache>
                <c:formatCode>0</c:formatCode>
                <c:ptCount val="24"/>
                <c:pt idx="0">
                  <c:v>897.04761904761904</c:v>
                </c:pt>
                <c:pt idx="1">
                  <c:v>1341.7142857142858</c:v>
                </c:pt>
                <c:pt idx="2">
                  <c:v>1176.5714285714284</c:v>
                </c:pt>
                <c:pt idx="3">
                  <c:v>1140.8809523809525</c:v>
                </c:pt>
                <c:pt idx="4">
                  <c:v>1080.4761904761904</c:v>
                </c:pt>
                <c:pt idx="5">
                  <c:v>1042</c:v>
                </c:pt>
                <c:pt idx="6">
                  <c:v>988.42857142857144</c:v>
                </c:pt>
                <c:pt idx="7">
                  <c:v>966.30952380952385</c:v>
                </c:pt>
                <c:pt idx="8">
                  <c:v>933.85714285714289</c:v>
                </c:pt>
                <c:pt idx="9">
                  <c:v>1093.6428571428571</c:v>
                </c:pt>
                <c:pt idx="10">
                  <c:v>1060.7142857142858</c:v>
                </c:pt>
                <c:pt idx="11">
                  <c:v>1055.7142857142858</c:v>
                </c:pt>
                <c:pt idx="12">
                  <c:v>863.5</c:v>
                </c:pt>
                <c:pt idx="13">
                  <c:v>999.5</c:v>
                </c:pt>
                <c:pt idx="14">
                  <c:v>852</c:v>
                </c:pt>
                <c:pt idx="15">
                  <c:v>607</c:v>
                </c:pt>
                <c:pt idx="16">
                  <c:v>467.5</c:v>
                </c:pt>
                <c:pt idx="17">
                  <c:v>301.5</c:v>
                </c:pt>
                <c:pt idx="18">
                  <c:v>142</c:v>
                </c:pt>
                <c:pt idx="19">
                  <c:v>95.5</c:v>
                </c:pt>
                <c:pt idx="20">
                  <c:v>77</c:v>
                </c:pt>
                <c:pt idx="21">
                  <c:v>135</c:v>
                </c:pt>
                <c:pt idx="22">
                  <c:v>252.5</c:v>
                </c:pt>
                <c:pt idx="23">
                  <c:v>380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36F8-46F1-A26B-8380F37E48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7988736"/>
        <c:axId val="117998720"/>
      </c:lineChart>
      <c:catAx>
        <c:axId val="117988736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7998720"/>
        <c:crosses val="autoZero"/>
        <c:auto val="1"/>
        <c:lblAlgn val="ctr"/>
        <c:lblOffset val="100"/>
        <c:noMultiLvlLbl val="0"/>
      </c:catAx>
      <c:valAx>
        <c:axId val="11799872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79887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3B84-4A7D-9CBD-0C2ADBE1B04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3B84-4A7D-9CBD-0C2ADBE1B04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3B84-4A7D-9CBD-0C2ADBE1B04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3B84-4A7D-9CBD-0C2ADBE1B04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3B84-4A7D-9CBD-0C2ADBE1B04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3B84-4A7D-9CBD-0C2ADBE1B04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3B84-4A7D-9CBD-0C2ADBE1B04D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3B84-4A7D-9CBD-0C2ADBE1B04D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3B84-4A7D-9CBD-0C2ADBE1B04D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3B84-4A7D-9CBD-0C2ADBE1B04D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3B84-4A7D-9CBD-0C2ADBE1B04D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3B84-4A7D-9CBD-0C2ADBE1B04D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3B84-4A7D-9CBD-0C2ADBE1B04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'Avg Week Makerere-Bwaise'!$C$9:$N$9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'Avg Week Makerere-Bwaise'!$C$107:$N$107</c:f>
              <c:numCache>
                <c:formatCode>0.0%</c:formatCode>
                <c:ptCount val="12"/>
                <c:pt idx="0">
                  <c:v>0.18142894092835402</c:v>
                </c:pt>
                <c:pt idx="1">
                  <c:v>4.3114940013131459E-2</c:v>
                </c:pt>
                <c:pt idx="2">
                  <c:v>2.4078311215455329E-2</c:v>
                </c:pt>
                <c:pt idx="3">
                  <c:v>0.16051411631284696</c:v>
                </c:pt>
                <c:pt idx="4">
                  <c:v>6.5338930781321499E-3</c:v>
                </c:pt>
                <c:pt idx="5">
                  <c:v>4.7193649151429547E-3</c:v>
                </c:pt>
                <c:pt idx="6">
                  <c:v>1.6044249020115E-2</c:v>
                </c:pt>
                <c:pt idx="7">
                  <c:v>9.7610473329221483E-3</c:v>
                </c:pt>
                <c:pt idx="8">
                  <c:v>3.9076023159109446E-3</c:v>
                </c:pt>
                <c:pt idx="9">
                  <c:v>1.5253708972496895E-3</c:v>
                </c:pt>
                <c:pt idx="10">
                  <c:v>0.54830186426851846</c:v>
                </c:pt>
                <c:pt idx="11">
                  <c:v>7.0299702221072671E-5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3B84-4A7D-9CBD-0C2ADBE1B0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9.4401834578394184E-2"/>
          <c:y val="0.11500021872265967"/>
          <c:w val="0.84064418929408036"/>
          <c:h val="0.86729221347331598"/>
        </c:manualLayout>
      </c:layout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8B8A-48E6-9C2F-F83D2727468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8B8A-48E6-9C2F-F83D2727468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8B8A-48E6-9C2F-F83D2727468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8B8A-48E6-9C2F-F83D2727468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8B8A-48E6-9C2F-F83D2727468E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8B8A-48E6-9C2F-F83D2727468E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8B8A-48E6-9C2F-F83D2727468E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8B8A-48E6-9C2F-F83D2727468E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8B8A-48E6-9C2F-F83D2727468E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8B8A-48E6-9C2F-F83D2727468E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8B8A-48E6-9C2F-F83D2727468E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8B8A-48E6-9C2F-F83D2727468E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8B8A-48E6-9C2F-F83D2727468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'Avg Week Makerere-Bwaise'!$C$9:$N$9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'Avg Week Makerere-Bwaise'!$C$108:$N$108</c:f>
              <c:numCache>
                <c:formatCode>0.00%</c:formatCode>
                <c:ptCount val="12"/>
                <c:pt idx="0">
                  <c:v>0.40165970717268357</c:v>
                </c:pt>
                <c:pt idx="1">
                  <c:v>9.545078140141304E-2</c:v>
                </c:pt>
                <c:pt idx="2">
                  <c:v>5.3306200116285223E-2</c:v>
                </c:pt>
                <c:pt idx="3">
                  <c:v>0.35535704846979227</c:v>
                </c:pt>
                <c:pt idx="4">
                  <c:v>1.446517610162623E-2</c:v>
                </c:pt>
                <c:pt idx="5">
                  <c:v>1.0448050460736122E-2</c:v>
                </c:pt>
                <c:pt idx="6">
                  <c:v>3.5519847772080976E-2</c:v>
                </c:pt>
                <c:pt idx="7">
                  <c:v>2.1609669291893514E-2</c:v>
                </c:pt>
                <c:pt idx="8">
                  <c:v>8.6509153056010708E-3</c:v>
                </c:pt>
                <c:pt idx="9">
                  <c:v>3.3769696542570362E-3</c:v>
                </c:pt>
                <c:pt idx="11">
                  <c:v>1.556342536309765E-4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8B8A-48E6-9C2F-F83D272746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7538344531828323"/>
          <c:y val="0.19110817441526104"/>
          <c:w val="0.82101228366016787"/>
          <c:h val="0.7446058403538719"/>
        </c:manualLayout>
      </c:layout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D9B1-462A-9165-7345BB81096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D9B1-462A-9165-7345BB81096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D9B1-462A-9165-7345BB81096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D9B1-462A-9165-7345BB81096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D9B1-462A-9165-7345BB81096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D9B1-462A-9165-7345BB81096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D9B1-462A-9165-7345BB81096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D9B1-462A-9165-7345BB81096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D9B1-462A-9165-7345BB81096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D9B1-462A-9165-7345BB81096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D9B1-462A-9165-7345BB81096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D9B1-462A-9165-7345BB810963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D9B1-462A-9165-7345BB81096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'Avg Week Bwaise-Makerere-2Dir'!$C$9:$N$9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'Avg Week Bwaise-Makerere-2Dir'!$C$107:$N$107</c:f>
              <c:numCache>
                <c:formatCode>0.0%</c:formatCode>
                <c:ptCount val="12"/>
                <c:pt idx="0">
                  <c:v>0.18894654532693242</c:v>
                </c:pt>
                <c:pt idx="1">
                  <c:v>4.9493868845421306E-2</c:v>
                </c:pt>
                <c:pt idx="2">
                  <c:v>2.9146408359767083E-2</c:v>
                </c:pt>
                <c:pt idx="3">
                  <c:v>0.1576485258994007</c:v>
                </c:pt>
                <c:pt idx="4">
                  <c:v>5.4531330387289981E-3</c:v>
                </c:pt>
                <c:pt idx="5">
                  <c:v>4.1924899744804969E-3</c:v>
                </c:pt>
                <c:pt idx="6">
                  <c:v>1.8901128105185329E-2</c:v>
                </c:pt>
                <c:pt idx="7">
                  <c:v>7.8347262871336018E-3</c:v>
                </c:pt>
                <c:pt idx="8">
                  <c:v>4.1061756745860035E-3</c:v>
                </c:pt>
                <c:pt idx="9">
                  <c:v>1.795564580699895E-3</c:v>
                </c:pt>
                <c:pt idx="10">
                  <c:v>0.53244452318731439</c:v>
                </c:pt>
                <c:pt idx="11">
                  <c:v>3.6910720349618338E-5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D9B1-462A-9165-7345BB8109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8.3776511978555873E-2"/>
          <c:y val="0.23022139768622002"/>
          <c:w val="0.82819165689395213"/>
          <c:h val="0.7584601396456998"/>
        </c:manualLayout>
      </c:layout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0EAD-440A-938B-73199DDCAD0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0EAD-440A-938B-73199DDCAD0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0EAD-440A-938B-73199DDCAD0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0EAD-440A-938B-73199DDCAD0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0EAD-440A-938B-73199DDCAD0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0EAD-440A-938B-73199DDCAD0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0EAD-440A-938B-73199DDCAD0D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0EAD-440A-938B-73199DDCAD0D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0EAD-440A-938B-73199DDCAD0D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0EAD-440A-938B-73199DDCAD0D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0EAD-440A-938B-73199DDCAD0D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0EAD-440A-938B-73199DDCAD0D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0EAD-440A-938B-73199DDCAD0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'Avg Week Bwaise-Makerere-2Dir'!$C$9:$N$9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'Avg Week Bwaise-Makerere-2Dir'!$C$108:$N$108</c:f>
              <c:numCache>
                <c:formatCode>0.00%</c:formatCode>
                <c:ptCount val="12"/>
                <c:pt idx="0">
                  <c:v>0.40411577812108312</c:v>
                </c:pt>
                <c:pt idx="1">
                  <c:v>0.10585667648001866</c:v>
                </c:pt>
                <c:pt idx="2">
                  <c:v>6.2337861077914121E-2</c:v>
                </c:pt>
                <c:pt idx="3">
                  <c:v>0.33717608651295661</c:v>
                </c:pt>
                <c:pt idx="4">
                  <c:v>1.1663071676334274E-2</c:v>
                </c:pt>
                <c:pt idx="5">
                  <c:v>8.966828927041131E-3</c:v>
                </c:pt>
                <c:pt idx="6">
                  <c:v>4.0425423382983064E-2</c:v>
                </c:pt>
                <c:pt idx="7">
                  <c:v>1.6756784329728623E-2</c:v>
                </c:pt>
                <c:pt idx="8">
                  <c:v>8.7822213153778157E-3</c:v>
                </c:pt>
                <c:pt idx="9">
                  <c:v>3.8403241321013199E-3</c:v>
                </c:pt>
                <c:pt idx="11">
                  <c:v>7.8944044461285831E-5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0EAD-440A-938B-73199DDCAD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'Avg Week Bwaise-Makerere-2Dir'!$AE$9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'Avg Week Bwaise-Makerere-2Dir'!$R$10:$R$33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'Avg Week Bwaise-Makerere-2Dir'!$AE$10:$AE$33</c:f>
              <c:numCache>
                <c:formatCode>0</c:formatCode>
                <c:ptCount val="24"/>
                <c:pt idx="0">
                  <c:v>955.88095238095241</c:v>
                </c:pt>
                <c:pt idx="1">
                  <c:v>976.5</c:v>
                </c:pt>
                <c:pt idx="2">
                  <c:v>999.57142857142867</c:v>
                </c:pt>
                <c:pt idx="3">
                  <c:v>957.0238095238094</c:v>
                </c:pt>
                <c:pt idx="4">
                  <c:v>959.90476190476193</c:v>
                </c:pt>
                <c:pt idx="5">
                  <c:v>948.71428571428578</c:v>
                </c:pt>
                <c:pt idx="6">
                  <c:v>864.57142857142856</c:v>
                </c:pt>
                <c:pt idx="7">
                  <c:v>905.88095238095229</c:v>
                </c:pt>
                <c:pt idx="8">
                  <c:v>937.64285714285711</c:v>
                </c:pt>
                <c:pt idx="9">
                  <c:v>1006.6428571428572</c:v>
                </c:pt>
                <c:pt idx="10">
                  <c:v>1006.2857142857143</c:v>
                </c:pt>
                <c:pt idx="11">
                  <c:v>914.38095238095229</c:v>
                </c:pt>
                <c:pt idx="12">
                  <c:v>1005</c:v>
                </c:pt>
                <c:pt idx="13">
                  <c:v>1036.5</c:v>
                </c:pt>
                <c:pt idx="14">
                  <c:v>1026.5</c:v>
                </c:pt>
                <c:pt idx="15">
                  <c:v>830</c:v>
                </c:pt>
                <c:pt idx="16">
                  <c:v>719.5</c:v>
                </c:pt>
                <c:pt idx="17">
                  <c:v>604</c:v>
                </c:pt>
                <c:pt idx="18">
                  <c:v>547</c:v>
                </c:pt>
                <c:pt idx="19">
                  <c:v>440.5</c:v>
                </c:pt>
                <c:pt idx="20">
                  <c:v>434</c:v>
                </c:pt>
                <c:pt idx="21">
                  <c:v>393</c:v>
                </c:pt>
                <c:pt idx="22">
                  <c:v>507.5</c:v>
                </c:pt>
                <c:pt idx="23">
                  <c:v>627.5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BC7F-40E9-B5F3-C7D8BA2BF246}"/>
            </c:ext>
          </c:extLst>
        </c:ser>
        <c:ser>
          <c:idx val="1"/>
          <c:order val="1"/>
          <c:tx>
            <c:strRef>
              <c:f>'Avg Week Bwaise-Makerere-2Dir'!$AF$9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'Avg Week Bwaise-Makerere-2Dir'!$R$10:$R$33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'Avg Week Bwaise-Makerere-2Dir'!$AF$10:$AF$33</c:f>
              <c:numCache>
                <c:formatCode>0</c:formatCode>
                <c:ptCount val="24"/>
                <c:pt idx="0">
                  <c:v>2146.8809523809523</c:v>
                </c:pt>
                <c:pt idx="1">
                  <c:v>2651.5</c:v>
                </c:pt>
                <c:pt idx="2">
                  <c:v>2398.5714285714289</c:v>
                </c:pt>
                <c:pt idx="3">
                  <c:v>2325.5952380952381</c:v>
                </c:pt>
                <c:pt idx="4">
                  <c:v>2127.9047619047619</c:v>
                </c:pt>
                <c:pt idx="5">
                  <c:v>2043.2857142857142</c:v>
                </c:pt>
                <c:pt idx="6">
                  <c:v>1863.285714285714</c:v>
                </c:pt>
                <c:pt idx="7">
                  <c:v>1864.1666666666667</c:v>
                </c:pt>
                <c:pt idx="8">
                  <c:v>1864.5</c:v>
                </c:pt>
                <c:pt idx="9">
                  <c:v>2095.7857142857142</c:v>
                </c:pt>
                <c:pt idx="10">
                  <c:v>2060.2857142857142</c:v>
                </c:pt>
                <c:pt idx="11">
                  <c:v>1929.9523809523807</c:v>
                </c:pt>
                <c:pt idx="12">
                  <c:v>1935</c:v>
                </c:pt>
                <c:pt idx="13">
                  <c:v>2031.5</c:v>
                </c:pt>
                <c:pt idx="14">
                  <c:v>1922</c:v>
                </c:pt>
                <c:pt idx="15">
                  <c:v>1693</c:v>
                </c:pt>
                <c:pt idx="16">
                  <c:v>1458</c:v>
                </c:pt>
                <c:pt idx="17">
                  <c:v>1344</c:v>
                </c:pt>
                <c:pt idx="18">
                  <c:v>1141.5</c:v>
                </c:pt>
                <c:pt idx="19">
                  <c:v>983.5</c:v>
                </c:pt>
                <c:pt idx="20">
                  <c:v>856.5</c:v>
                </c:pt>
                <c:pt idx="21">
                  <c:v>853.5</c:v>
                </c:pt>
                <c:pt idx="22">
                  <c:v>1128</c:v>
                </c:pt>
                <c:pt idx="23">
                  <c:v>1210.5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BC7F-40E9-B5F3-C7D8BA2BF246}"/>
            </c:ext>
          </c:extLst>
        </c:ser>
        <c:ser>
          <c:idx val="5"/>
          <c:order val="2"/>
          <c:tx>
            <c:strRef>
              <c:f>'Avg Week Bwaise-Makerere-2Dir'!$AC$9</c:f>
              <c:strCache>
                <c:ptCount val="1"/>
                <c:pt idx="0">
                  <c:v>11. Motorcycles</c:v>
                </c:pt>
              </c:strCache>
            </c:strRef>
          </c:tx>
          <c:cat>
            <c:strRef>
              <c:f>'Avg Week Bwaise-Makerere-2Dir'!$R$10:$R$33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'Avg Week Bwaise-Makerere-2Dir'!$AC$10:$AC$33</c:f>
              <c:numCache>
                <c:formatCode>0</c:formatCode>
                <c:ptCount val="24"/>
                <c:pt idx="0">
                  <c:v>1191</c:v>
                </c:pt>
                <c:pt idx="1">
                  <c:v>1675</c:v>
                </c:pt>
                <c:pt idx="2">
                  <c:v>1399</c:v>
                </c:pt>
                <c:pt idx="3">
                  <c:v>1368.5714285714284</c:v>
                </c:pt>
                <c:pt idx="4">
                  <c:v>1168</c:v>
                </c:pt>
                <c:pt idx="5">
                  <c:v>1094.5714285714284</c:v>
                </c:pt>
                <c:pt idx="6">
                  <c:v>998.71428571428578</c:v>
                </c:pt>
                <c:pt idx="7">
                  <c:v>958.28571428571422</c:v>
                </c:pt>
                <c:pt idx="8">
                  <c:v>926.85714285714289</c:v>
                </c:pt>
                <c:pt idx="9">
                  <c:v>1089.1428571428571</c:v>
                </c:pt>
                <c:pt idx="10">
                  <c:v>1054</c:v>
                </c:pt>
                <c:pt idx="11">
                  <c:v>1015.5714285714286</c:v>
                </c:pt>
                <c:pt idx="12">
                  <c:v>930</c:v>
                </c:pt>
                <c:pt idx="13">
                  <c:v>995</c:v>
                </c:pt>
                <c:pt idx="14">
                  <c:v>895.5</c:v>
                </c:pt>
                <c:pt idx="15">
                  <c:v>863</c:v>
                </c:pt>
                <c:pt idx="16">
                  <c:v>738.5</c:v>
                </c:pt>
                <c:pt idx="17">
                  <c:v>740</c:v>
                </c:pt>
                <c:pt idx="18">
                  <c:v>594.5</c:v>
                </c:pt>
                <c:pt idx="19">
                  <c:v>543</c:v>
                </c:pt>
                <c:pt idx="20">
                  <c:v>422.5</c:v>
                </c:pt>
                <c:pt idx="21">
                  <c:v>460.5</c:v>
                </c:pt>
                <c:pt idx="22">
                  <c:v>620.5</c:v>
                </c:pt>
                <c:pt idx="23">
                  <c:v>583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C7F-40E9-B5F3-C7D8BA2BF2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11253088"/>
        <c:axId val="811254720"/>
      </c:lineChart>
      <c:catAx>
        <c:axId val="811253088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11254720"/>
        <c:crosses val="autoZero"/>
        <c:auto val="1"/>
        <c:lblAlgn val="ctr"/>
        <c:lblOffset val="100"/>
        <c:noMultiLvlLbl val="0"/>
      </c:catAx>
      <c:valAx>
        <c:axId val="81125472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11253088"/>
        <c:crosses val="autoZero"/>
        <c:crossBetween val="between"/>
        <c:majorUnit val="25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Average Daily Traffic (ADT)</a:t>
            </a:r>
            <a:r>
              <a:rPr lang="en-US" b="1" baseline="0">
                <a:solidFill>
                  <a:schemeClr val="tx1"/>
                </a:solidFill>
              </a:rPr>
              <a:t> by vehicle class</a:t>
            </a:r>
            <a:endParaRPr lang="en-US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28951305428926649"/>
          <c:y val="2.254314649517308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8983112308329878"/>
          <c:y val="0.1045156629382462"/>
          <c:w val="0.6957144176858352"/>
          <c:h val="0.7828249624521264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'Avg Week Bwaise-Makerere-2Dir'!$S$9:$AF$9</c:f>
              <c:strCache>
                <c:ptCount val="14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Motorcycles</c:v>
                </c:pt>
                <c:pt idx="11">
                  <c:v>12. Tractors, Graders</c:v>
                </c:pt>
                <c:pt idx="12">
                  <c:v>Total Excl M/ Cycles</c:v>
                </c:pt>
                <c:pt idx="13">
                  <c:v>Total All</c:v>
                </c:pt>
              </c:strCache>
            </c:strRef>
          </c:cat>
          <c:val>
            <c:numRef>
              <c:f>'Avg Week Bwaise-Makerere-2Dir'!$S$41:$AF$41</c:f>
              <c:numCache>
                <c:formatCode>0</c:formatCode>
                <c:ptCount val="14"/>
                <c:pt idx="0">
                  <c:v>7922.2857142857147</c:v>
                </c:pt>
                <c:pt idx="1">
                  <c:v>2075.2142857142858</c:v>
                </c:pt>
                <c:pt idx="2">
                  <c:v>1222.0714285714284</c:v>
                </c:pt>
                <c:pt idx="3">
                  <c:v>6610.0000000000009</c:v>
                </c:pt>
                <c:pt idx="4">
                  <c:v>228.64285714285714</c:v>
                </c:pt>
                <c:pt idx="5">
                  <c:v>175.78571428571428</c:v>
                </c:pt>
                <c:pt idx="6">
                  <c:v>792.5</c:v>
                </c:pt>
                <c:pt idx="7">
                  <c:v>328.5</c:v>
                </c:pt>
                <c:pt idx="8">
                  <c:v>172.16666666666666</c:v>
                </c:pt>
                <c:pt idx="9">
                  <c:v>75.285714285714278</c:v>
                </c:pt>
                <c:pt idx="10">
                  <c:v>22324.714285714286</c:v>
                </c:pt>
                <c:pt idx="11">
                  <c:v>1.5476190476190474</c:v>
                </c:pt>
                <c:pt idx="12">
                  <c:v>19604</c:v>
                </c:pt>
                <c:pt idx="13">
                  <c:v>41928.71428571429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197-446F-8862-25021F228D5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613522704"/>
        <c:axId val="613520736"/>
      </c:barChart>
      <c:catAx>
        <c:axId val="613522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613520736"/>
        <c:crosses val="autoZero"/>
        <c:auto val="1"/>
        <c:lblAlgn val="ctr"/>
        <c:lblOffset val="100"/>
        <c:noMultiLvlLbl val="0"/>
      </c:catAx>
      <c:valAx>
        <c:axId val="6135207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6135227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Night Equivalent Factors (NEF)</a:t>
            </a:r>
            <a:r>
              <a:rPr lang="en-US" b="1" baseline="0">
                <a:solidFill>
                  <a:schemeClr val="tx1"/>
                </a:solidFill>
              </a:rPr>
              <a:t> by vehicle class</a:t>
            </a:r>
            <a:endParaRPr lang="en-US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28951305428926649"/>
          <c:y val="2.254314649517308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8983112308329878"/>
          <c:y val="0.1045156629382462"/>
          <c:w val="0.69146796534304567"/>
          <c:h val="0.7828249624521264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'Avg Week Bwaise-Makerere-2Dir'!$S$9:$AF$9</c:f>
              <c:strCache>
                <c:ptCount val="14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Motorcycles</c:v>
                </c:pt>
                <c:pt idx="11">
                  <c:v>12. Tractors, Graders</c:v>
                </c:pt>
                <c:pt idx="12">
                  <c:v>Total Excl M/ Cycles</c:v>
                </c:pt>
                <c:pt idx="13">
                  <c:v>Total All</c:v>
                </c:pt>
              </c:strCache>
            </c:strRef>
          </c:cat>
          <c:val>
            <c:numRef>
              <c:f>'Avg Week Bwaise-Makerere-2Dir'!$S$42:$AF$42</c:f>
              <c:numCache>
                <c:formatCode>0.00</c:formatCode>
                <c:ptCount val="14"/>
                <c:pt idx="0">
                  <c:v>1.8028608582574772</c:v>
                </c:pt>
                <c:pt idx="1">
                  <c:v>1.6279838619298441</c:v>
                </c:pt>
                <c:pt idx="2">
                  <c:v>1.9018452645620274</c:v>
                </c:pt>
                <c:pt idx="3">
                  <c:v>1.6422360248447203</c:v>
                </c:pt>
                <c:pt idx="4">
                  <c:v>1.5917454002983591</c:v>
                </c:pt>
                <c:pt idx="5">
                  <c:v>1.788517441860465</c:v>
                </c:pt>
                <c:pt idx="6">
                  <c:v>1.7135135135135136</c:v>
                </c:pt>
                <c:pt idx="7">
                  <c:v>1.4439560439560439</c:v>
                </c:pt>
                <c:pt idx="8">
                  <c:v>1.5557228915662651</c:v>
                </c:pt>
                <c:pt idx="9">
                  <c:v>1.4262516914749661</c:v>
                </c:pt>
                <c:pt idx="10">
                  <c:v>1.6016336821391601</c:v>
                </c:pt>
                <c:pt idx="11">
                  <c:v>1.4772727272727273</c:v>
                </c:pt>
                <c:pt idx="12">
                  <c:v>1.7146855593457535</c:v>
                </c:pt>
                <c:pt idx="13">
                  <c:v>1.6525771106181237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40-441A-B513-74ABCDF436B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613522704"/>
        <c:axId val="613520736"/>
      </c:barChart>
      <c:catAx>
        <c:axId val="613522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613520736"/>
        <c:crosses val="autoZero"/>
        <c:auto val="1"/>
        <c:lblAlgn val="ctr"/>
        <c:lblOffset val="100"/>
        <c:noMultiLvlLbl val="0"/>
      </c:catAx>
      <c:valAx>
        <c:axId val="6135207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6135227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" Type="http://schemas.openxmlformats.org/officeDocument/2006/relationships/chart" Target="../charts/chart1.xml"/><Relationship Id="rId6" Type="http://schemas.openxmlformats.org/officeDocument/2006/relationships/image" Target="../media/image5.emf"/><Relationship Id="rId11" Type="http://schemas.openxmlformats.org/officeDocument/2006/relationships/image" Target="../media/image10.jpeg"/><Relationship Id="rId5" Type="http://schemas.openxmlformats.org/officeDocument/2006/relationships/image" Target="../media/image4.emf"/><Relationship Id="rId15" Type="http://schemas.openxmlformats.org/officeDocument/2006/relationships/chart" Target="../charts/chart3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2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6" Type="http://schemas.openxmlformats.org/officeDocument/2006/relationships/chart" Target="../charts/chart7.xml"/><Relationship Id="rId1" Type="http://schemas.openxmlformats.org/officeDocument/2006/relationships/chart" Target="../charts/chart4.xml"/><Relationship Id="rId6" Type="http://schemas.openxmlformats.org/officeDocument/2006/relationships/image" Target="../media/image5.emf"/><Relationship Id="rId11" Type="http://schemas.openxmlformats.org/officeDocument/2006/relationships/image" Target="../media/image10.jpeg"/><Relationship Id="rId5" Type="http://schemas.openxmlformats.org/officeDocument/2006/relationships/image" Target="../media/image4.emf"/><Relationship Id="rId15" Type="http://schemas.openxmlformats.org/officeDocument/2006/relationships/chart" Target="../charts/chart6.xml"/><Relationship Id="rId10" Type="http://schemas.openxmlformats.org/officeDocument/2006/relationships/image" Target="../media/image13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6" Type="http://schemas.openxmlformats.org/officeDocument/2006/relationships/chart" Target="../charts/chart11.xml"/><Relationship Id="rId1" Type="http://schemas.openxmlformats.org/officeDocument/2006/relationships/chart" Target="../charts/chart8.xml"/><Relationship Id="rId6" Type="http://schemas.openxmlformats.org/officeDocument/2006/relationships/image" Target="../media/image5.emf"/><Relationship Id="rId11" Type="http://schemas.openxmlformats.org/officeDocument/2006/relationships/image" Target="../media/image14.jpeg"/><Relationship Id="rId5" Type="http://schemas.openxmlformats.org/officeDocument/2006/relationships/image" Target="../media/image4.emf"/><Relationship Id="rId15" Type="http://schemas.openxmlformats.org/officeDocument/2006/relationships/chart" Target="../charts/chart10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9.xml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6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5.jpeg"/><Relationship Id="rId2" Type="http://schemas.openxmlformats.org/officeDocument/2006/relationships/image" Target="../media/image1.emf"/><Relationship Id="rId16" Type="http://schemas.openxmlformats.org/officeDocument/2006/relationships/chart" Target="../charts/chart15.xml"/><Relationship Id="rId1" Type="http://schemas.openxmlformats.org/officeDocument/2006/relationships/chart" Target="../charts/chart12.xml"/><Relationship Id="rId6" Type="http://schemas.openxmlformats.org/officeDocument/2006/relationships/image" Target="../media/image5.emf"/><Relationship Id="rId11" Type="http://schemas.openxmlformats.org/officeDocument/2006/relationships/image" Target="../media/image14.jpeg"/><Relationship Id="rId5" Type="http://schemas.openxmlformats.org/officeDocument/2006/relationships/image" Target="../media/image4.emf"/><Relationship Id="rId15" Type="http://schemas.openxmlformats.org/officeDocument/2006/relationships/chart" Target="../charts/chart14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13.xm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5.jpeg"/><Relationship Id="rId2" Type="http://schemas.openxmlformats.org/officeDocument/2006/relationships/image" Target="../media/image1.emf"/><Relationship Id="rId16" Type="http://schemas.openxmlformats.org/officeDocument/2006/relationships/chart" Target="../charts/chart19.xml"/><Relationship Id="rId1" Type="http://schemas.openxmlformats.org/officeDocument/2006/relationships/chart" Target="../charts/chart16.xml"/><Relationship Id="rId6" Type="http://schemas.openxmlformats.org/officeDocument/2006/relationships/image" Target="../media/image5.emf"/><Relationship Id="rId11" Type="http://schemas.openxmlformats.org/officeDocument/2006/relationships/image" Target="../media/image17.jpeg"/><Relationship Id="rId5" Type="http://schemas.openxmlformats.org/officeDocument/2006/relationships/image" Target="../media/image4.emf"/><Relationship Id="rId15" Type="http://schemas.openxmlformats.org/officeDocument/2006/relationships/chart" Target="../charts/chart18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17.xml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8.png"/><Relationship Id="rId2" Type="http://schemas.openxmlformats.org/officeDocument/2006/relationships/image" Target="../media/image1.emf"/><Relationship Id="rId1" Type="http://schemas.openxmlformats.org/officeDocument/2006/relationships/chart" Target="../charts/chart20.xml"/><Relationship Id="rId6" Type="http://schemas.openxmlformats.org/officeDocument/2006/relationships/image" Target="../media/image5.emf"/><Relationship Id="rId11" Type="http://schemas.openxmlformats.org/officeDocument/2006/relationships/image" Target="../media/image14.jpeg"/><Relationship Id="rId5" Type="http://schemas.openxmlformats.org/officeDocument/2006/relationships/image" Target="../media/image4.emf"/><Relationship Id="rId15" Type="http://schemas.openxmlformats.org/officeDocument/2006/relationships/chart" Target="../charts/chart22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21.xml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6" Type="http://schemas.openxmlformats.org/officeDocument/2006/relationships/chart" Target="../charts/chart26.xml"/><Relationship Id="rId1" Type="http://schemas.openxmlformats.org/officeDocument/2006/relationships/chart" Target="../charts/chart23.xml"/><Relationship Id="rId6" Type="http://schemas.openxmlformats.org/officeDocument/2006/relationships/image" Target="../media/image5.emf"/><Relationship Id="rId11" Type="http://schemas.openxmlformats.org/officeDocument/2006/relationships/image" Target="../media/image10.jpeg"/><Relationship Id="rId5" Type="http://schemas.openxmlformats.org/officeDocument/2006/relationships/image" Target="../media/image4.emf"/><Relationship Id="rId15" Type="http://schemas.openxmlformats.org/officeDocument/2006/relationships/chart" Target="../charts/chart25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24.xml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8.png"/><Relationship Id="rId2" Type="http://schemas.openxmlformats.org/officeDocument/2006/relationships/image" Target="../media/image1.emf"/><Relationship Id="rId16" Type="http://schemas.openxmlformats.org/officeDocument/2006/relationships/chart" Target="../charts/chart30.xml"/><Relationship Id="rId1" Type="http://schemas.openxmlformats.org/officeDocument/2006/relationships/chart" Target="../charts/chart27.xml"/><Relationship Id="rId6" Type="http://schemas.openxmlformats.org/officeDocument/2006/relationships/image" Target="../media/image5.emf"/><Relationship Id="rId11" Type="http://schemas.openxmlformats.org/officeDocument/2006/relationships/image" Target="../media/image14.jpeg"/><Relationship Id="rId5" Type="http://schemas.openxmlformats.org/officeDocument/2006/relationships/image" Target="../media/image4.emf"/><Relationship Id="rId15" Type="http://schemas.openxmlformats.org/officeDocument/2006/relationships/chart" Target="../charts/chart29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28.xml"/></Relationships>
</file>

<file path=xl/drawings/_rels/drawing9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6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8.png"/><Relationship Id="rId2" Type="http://schemas.openxmlformats.org/officeDocument/2006/relationships/image" Target="../media/image1.emf"/><Relationship Id="rId1" Type="http://schemas.openxmlformats.org/officeDocument/2006/relationships/chart" Target="../charts/chart31.xml"/><Relationship Id="rId6" Type="http://schemas.openxmlformats.org/officeDocument/2006/relationships/image" Target="../media/image5.emf"/><Relationship Id="rId11" Type="http://schemas.openxmlformats.org/officeDocument/2006/relationships/image" Target="../media/image17.jpeg"/><Relationship Id="rId5" Type="http://schemas.openxmlformats.org/officeDocument/2006/relationships/image" Target="../media/image4.emf"/><Relationship Id="rId15" Type="http://schemas.openxmlformats.org/officeDocument/2006/relationships/chart" Target="../charts/chart33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32.xml"/></Relationships>
</file>

<file path=xl/drawings/_rels/drawing10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5.jpeg"/><Relationship Id="rId2" Type="http://schemas.openxmlformats.org/officeDocument/2006/relationships/image" Target="../media/image1.emf"/><Relationship Id="rId1" Type="http://schemas.openxmlformats.org/officeDocument/2006/relationships/chart" Target="../charts/chart34.xml"/><Relationship Id="rId6" Type="http://schemas.openxmlformats.org/officeDocument/2006/relationships/image" Target="../media/image5.emf"/><Relationship Id="rId11" Type="http://schemas.openxmlformats.org/officeDocument/2006/relationships/image" Target="../media/image19.jpeg"/><Relationship Id="rId5" Type="http://schemas.openxmlformats.org/officeDocument/2006/relationships/image" Target="../media/image4.emf"/><Relationship Id="rId15" Type="http://schemas.openxmlformats.org/officeDocument/2006/relationships/chart" Target="../charts/chart36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35.xml"/></Relationships>
</file>

<file path=xl/drawings/_rels/drawing1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5.jpeg"/><Relationship Id="rId2" Type="http://schemas.openxmlformats.org/officeDocument/2006/relationships/image" Target="../media/image1.emf"/><Relationship Id="rId1" Type="http://schemas.openxmlformats.org/officeDocument/2006/relationships/chart" Target="../charts/chart37.xml"/><Relationship Id="rId6" Type="http://schemas.openxmlformats.org/officeDocument/2006/relationships/image" Target="../media/image5.emf"/><Relationship Id="rId11" Type="http://schemas.openxmlformats.org/officeDocument/2006/relationships/image" Target="../media/image19.jpeg"/><Relationship Id="rId5" Type="http://schemas.openxmlformats.org/officeDocument/2006/relationships/image" Target="../media/image4.emf"/><Relationship Id="rId15" Type="http://schemas.openxmlformats.org/officeDocument/2006/relationships/chart" Target="../charts/chart39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38.xml"/></Relationships>
</file>

<file path=xl/drawings/_rels/drawing12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5.jpeg"/><Relationship Id="rId2" Type="http://schemas.openxmlformats.org/officeDocument/2006/relationships/image" Target="../media/image1.emf"/><Relationship Id="rId1" Type="http://schemas.openxmlformats.org/officeDocument/2006/relationships/chart" Target="../charts/chart40.xml"/><Relationship Id="rId6" Type="http://schemas.openxmlformats.org/officeDocument/2006/relationships/image" Target="../media/image5.emf"/><Relationship Id="rId11" Type="http://schemas.openxmlformats.org/officeDocument/2006/relationships/image" Target="../media/image14.jpeg"/><Relationship Id="rId5" Type="http://schemas.openxmlformats.org/officeDocument/2006/relationships/image" Target="../media/image4.emf"/><Relationship Id="rId15" Type="http://schemas.openxmlformats.org/officeDocument/2006/relationships/chart" Target="../charts/chart42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41.xml"/></Relationships>
</file>

<file path=xl/drawings/_rels/drawing13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5.jpeg"/><Relationship Id="rId2" Type="http://schemas.openxmlformats.org/officeDocument/2006/relationships/image" Target="../media/image1.emf"/><Relationship Id="rId16" Type="http://schemas.openxmlformats.org/officeDocument/2006/relationships/chart" Target="../charts/chart46.xml"/><Relationship Id="rId1" Type="http://schemas.openxmlformats.org/officeDocument/2006/relationships/chart" Target="../charts/chart43.xml"/><Relationship Id="rId6" Type="http://schemas.openxmlformats.org/officeDocument/2006/relationships/image" Target="../media/image5.emf"/><Relationship Id="rId11" Type="http://schemas.openxmlformats.org/officeDocument/2006/relationships/image" Target="../media/image14.jpeg"/><Relationship Id="rId5" Type="http://schemas.openxmlformats.org/officeDocument/2006/relationships/image" Target="../media/image4.emf"/><Relationship Id="rId15" Type="http://schemas.openxmlformats.org/officeDocument/2006/relationships/chart" Target="../charts/chart45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44.xml"/></Relationships>
</file>

<file path=xl/drawings/_rels/drawing14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5.jpeg"/><Relationship Id="rId2" Type="http://schemas.openxmlformats.org/officeDocument/2006/relationships/image" Target="../media/image1.emf"/><Relationship Id="rId16" Type="http://schemas.openxmlformats.org/officeDocument/2006/relationships/chart" Target="../charts/chart50.xml"/><Relationship Id="rId1" Type="http://schemas.openxmlformats.org/officeDocument/2006/relationships/chart" Target="../charts/chart47.xml"/><Relationship Id="rId6" Type="http://schemas.openxmlformats.org/officeDocument/2006/relationships/image" Target="../media/image5.emf"/><Relationship Id="rId11" Type="http://schemas.openxmlformats.org/officeDocument/2006/relationships/image" Target="../media/image14.jpeg"/><Relationship Id="rId5" Type="http://schemas.openxmlformats.org/officeDocument/2006/relationships/image" Target="../media/image4.emf"/><Relationship Id="rId15" Type="http://schemas.openxmlformats.org/officeDocument/2006/relationships/chart" Target="../charts/chart49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48.xml"/></Relationships>
</file>

<file path=xl/drawings/_rels/drawing15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5.jpeg"/><Relationship Id="rId2" Type="http://schemas.openxmlformats.org/officeDocument/2006/relationships/image" Target="../media/image1.emf"/><Relationship Id="rId1" Type="http://schemas.openxmlformats.org/officeDocument/2006/relationships/chart" Target="../charts/chart51.xml"/><Relationship Id="rId6" Type="http://schemas.openxmlformats.org/officeDocument/2006/relationships/image" Target="../media/image5.emf"/><Relationship Id="rId11" Type="http://schemas.openxmlformats.org/officeDocument/2006/relationships/image" Target="../media/image14.jpeg"/><Relationship Id="rId5" Type="http://schemas.openxmlformats.org/officeDocument/2006/relationships/image" Target="../media/image4.emf"/><Relationship Id="rId15" Type="http://schemas.openxmlformats.org/officeDocument/2006/relationships/chart" Target="../charts/chart53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52.xml"/></Relationships>
</file>

<file path=xl/drawings/_rels/drawing16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5.jpeg"/><Relationship Id="rId2" Type="http://schemas.openxmlformats.org/officeDocument/2006/relationships/image" Target="../media/image1.emf"/><Relationship Id="rId1" Type="http://schemas.openxmlformats.org/officeDocument/2006/relationships/chart" Target="../charts/chart54.xml"/><Relationship Id="rId6" Type="http://schemas.openxmlformats.org/officeDocument/2006/relationships/image" Target="../media/image5.emf"/><Relationship Id="rId11" Type="http://schemas.openxmlformats.org/officeDocument/2006/relationships/image" Target="../media/image14.jpeg"/><Relationship Id="rId5" Type="http://schemas.openxmlformats.org/officeDocument/2006/relationships/image" Target="../media/image4.emf"/><Relationship Id="rId15" Type="http://schemas.openxmlformats.org/officeDocument/2006/relationships/chart" Target="../charts/chart56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55.xml"/></Relationships>
</file>

<file path=xl/drawings/_rels/drawing17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13" Type="http://schemas.openxmlformats.org/officeDocument/2006/relationships/chart" Target="../charts/chart57.xml"/><Relationship Id="rId3" Type="http://schemas.openxmlformats.org/officeDocument/2006/relationships/image" Target="../media/image3.emf"/><Relationship Id="rId7" Type="http://schemas.openxmlformats.org/officeDocument/2006/relationships/image" Target="../media/image7.emf"/><Relationship Id="rId12" Type="http://schemas.openxmlformats.org/officeDocument/2006/relationships/image" Target="../media/image20.jpeg"/><Relationship Id="rId17" Type="http://schemas.openxmlformats.org/officeDocument/2006/relationships/chart" Target="../charts/chart61.xml"/><Relationship Id="rId2" Type="http://schemas.openxmlformats.org/officeDocument/2006/relationships/image" Target="../media/image2.emf"/><Relationship Id="rId16" Type="http://schemas.openxmlformats.org/officeDocument/2006/relationships/chart" Target="../charts/chart60.xml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11" Type="http://schemas.openxmlformats.org/officeDocument/2006/relationships/image" Target="../media/image18.png"/><Relationship Id="rId5" Type="http://schemas.openxmlformats.org/officeDocument/2006/relationships/image" Target="../media/image5.emf"/><Relationship Id="rId15" Type="http://schemas.openxmlformats.org/officeDocument/2006/relationships/chart" Target="../charts/chart59.xml"/><Relationship Id="rId10" Type="http://schemas.openxmlformats.org/officeDocument/2006/relationships/image" Target="../media/image14.jpeg"/><Relationship Id="rId4" Type="http://schemas.openxmlformats.org/officeDocument/2006/relationships/image" Target="../media/image4.emf"/><Relationship Id="rId9" Type="http://schemas.openxmlformats.org/officeDocument/2006/relationships/image" Target="../media/image9.jpeg"/><Relationship Id="rId14" Type="http://schemas.openxmlformats.org/officeDocument/2006/relationships/chart" Target="../charts/chart5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11CFC8F-8205-41F9-9B66-3FB509C1B3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69668C2-2D94-4C8C-96DE-2CD1278FFA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333500" y="1673906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C5BC59C-7E3C-4E1F-91A2-6F538DE49D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117311" y="1670737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B6741EE-101A-4A6F-997F-922F9E44B8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025475" y="1687514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B1DAA80F-C131-44FF-BDF1-CA9E99769D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627613" y="1691935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7F46918-8C1C-4569-909D-FD12E8C597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469001" y="1736837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EF735D66-9CA4-4254-B9CE-F7C19D9AC2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170720" y="1702028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AF74CF17-906F-46A6-B2D3-E4FB5B997C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042565" y="1674812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7A836CBE-E43B-4747-B456-ED2BC6AB95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510155" y="1646689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23D52FEC-A071-4566-B75B-A8B46F3354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4861479" y="1693368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9522811C-AE7E-45C3-999C-EFC5CE53DD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797259" y="1646690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C3FAFA0F-5253-46F9-B5E5-09FCA768E3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163548" y="1666875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5E2D3460-AF99-4CF8-B315-BC15BD18C0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237448" y="1615168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7CCF053B-5EE4-4D1D-9765-55AB84E67D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9D8383C4-2A7E-4FD9-8219-0A81ADCB04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C2C0347-031E-41BF-9698-B9D2F9703D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4A14BA3-34AF-404D-9061-B4634F44D4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BFC2162-A6BC-4391-9A69-3D8C5544F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E3FA3AE-9984-4154-B374-4610ED1E6D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E2528374-C385-4D0B-BC3C-A1B06CB699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3FE29D3-8F89-4F3F-84DA-37414C1B5B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82C67768-AB9B-43C5-9CF9-EED2366D95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AF28159B-FC13-4FCA-ADF6-4FEC6C3824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E30E89F1-CD3B-4869-AE97-8EFA490099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16B891E8-B6FF-4446-BB0E-8326D5C83C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F3A3F91A-FB1F-4FA7-8EC9-86727745CB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AC9AAF4C-3770-465C-8BD4-005CF82346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795FF5EB-DAD7-4CB9-A84F-7E6DCE4CA1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C3A10EFF-54D3-42C6-A641-4F2C5D8BB0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2897E610-198F-4797-B1DD-819E571F08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98581BB7-4A56-4ADF-96B2-6F63A98F5A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CD83B4B-FDF8-4F87-8F75-60637E0F59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F2E341C-99E0-4E94-B000-EF651B159E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357BF90-5E78-4CE9-8F6D-17919CF931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2510501-ECDE-4C26-91A3-A96646FDA7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27C0573-D332-492A-A3A7-3FE018587C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F8BE280-8189-4E91-A8F8-A2BBBB1D1F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908D9BF-8405-4431-A904-8C08188A36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7D73E152-1E1E-4B07-9426-D9D662F02C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FF81ADE5-C017-481D-AC00-CAB3F26811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BA66D135-723A-4789-B7B4-ECA20A0FFC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8A303E91-D188-4198-9869-D6544838D9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B3035FD1-0A58-44C6-B7CB-2E208566C2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F414DE2D-8B57-4FC6-B505-2EE9020AA5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B1441D28-4BFD-464B-AA5C-64C94D17127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4812AF20-09AA-4DDA-9975-7AE7B3E2948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E2C644DC-E669-4020-AC88-491A3FEAB67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AE50EFE-1DE0-4F36-B48C-A69FF36114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5EBDA1F-EC34-4EA9-976D-6289DE0FB9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8A6D516-6369-4DF7-976B-FBD3A1EF04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2BF08E9-0317-45DF-9764-5E2AFD1532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78647EFF-C4C1-44C3-AC8E-F40BB82E12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8484C3A2-0AA3-4E8E-A647-EBD805BB49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72C3E48D-2F03-4F5E-8402-482EEA7BC3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77F25959-7B9A-4DD0-8D16-556A4E8098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5A704E06-1314-4D2D-8CBA-81BD622C65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F8145C8-FE4D-4244-A206-AA0C05319B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79485777-7D50-46B6-965E-65B58F2D54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A656E12E-5B01-4152-825E-79993A11E0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D957C12B-D8EF-4055-B4D0-7E0011F8E1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EF5C02A8-A5EC-4B9F-85CB-E1BEE4C52D4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D6B69222-0397-44E0-9C74-708D4A6DBD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62A5628F-C824-44D7-A41E-75796BEF00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C61C7AC-8404-4FB2-9E2A-96A3009AB2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685E319-E1D8-4517-B949-556C3CE302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BB457DF-B5A1-410D-9BB1-A95BB7E5D9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30BB277-1955-4EDC-9A5C-BC7DCD1244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E017E93-72EF-48E2-831E-CD7D7EEB4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7DFF92E4-C563-4536-987C-D24D1C7463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79BCA9A5-16A1-413D-8FBC-CB7CC854FD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B408C7D7-F161-4A8D-ACEC-EB041736E1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497CD0D3-73F8-42EC-85C5-3E1C385FA7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3FD549FA-B008-417E-BF85-75D96392B8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0D5A0C7D-7BAB-4935-8EE1-FEC5A375CD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91C839DE-231F-4ACD-86F3-F59FB50EF0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2D641106-2317-4F80-87C7-C13B5FB048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E4D0AED3-3098-4D8D-B25D-9F5581AA5D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E3CB3AE0-43BD-4850-9667-0DE1DC52589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EEA84219-10C6-4B19-97B2-1D4D595AB4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9B00FFE-DD09-45A9-B33F-4C450DB096F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173AE11-444F-4EC3-B71E-F539F0647A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FD4C580-EC77-4048-AC2B-2BD67560D2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9518047-B158-4835-92F8-EAC36AEE48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97311B7-08BF-42A8-ACEC-0D016FD3D5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2A0F041C-2D0D-4BAC-ACDD-966BB38494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FD4D835-662A-4596-8863-F9E128B037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5DCEF17B-C14E-47EA-AF5C-30EE46F71D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ACA8A7C0-DB2A-4BCE-8988-68C272C05D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210A3017-8013-4BF0-B56E-544ABCD026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A2E5C341-0FBD-4FBD-A30D-34D8094520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41FAE38C-A41A-46F2-AA04-7F38CF91F9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3486FF56-DA39-420A-9E58-7B3F931CC9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2313355F-B328-417E-8CC5-FCD157B1FE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F5BCD592-340E-492C-96BD-36C9FC5425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C078940-D67E-4802-9FBB-4F55C4BD16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0530FB7-75AB-4825-A797-D7AA75235D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35A41DF-59D0-4AD7-92C6-E962F44A87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CCC58F1-3EDC-423C-B2A6-04BAD9A48C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DBBFF5B-347F-438A-8A35-2E65D31C3D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8A571D3F-AFC5-4A01-A84E-8CEB978B6B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86F93436-8CDE-45F1-868D-1F76FB4087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6F520AE7-EC71-4888-B58B-81185D1654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B92A2E0E-4AE9-4466-BC9C-5763893482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D090FDE7-E4CB-4E22-B076-5707B6D0E8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F4AD34A0-4ABD-4539-AB95-A0B25A4F58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D73990A3-EB40-4A65-9507-E2A0F49D17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E3078063-06B0-4C57-8381-301B07C378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F4096C3F-CC05-4533-A944-12E0A90C970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A82EA7F7-7ED0-4466-A41A-9E4F7CA51EC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D05ED10C-2476-4BCE-8984-47C0B6FAA0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0FDDE2E-EA38-4B4D-8F37-64E25CE8838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2A60D40-9565-4BE5-885C-69774B7BDB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8DA518A-CF2C-4098-A02A-1FEED12B5F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D7427E8-FCCB-4B05-902E-94004146B6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457C5FA-4230-45D3-9BEA-5E77FB0BFD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30933819-0678-4844-93F6-365B817E19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2CCF32F-F899-4E8E-B169-C557ED0E33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923289F-04AC-42EC-BEB0-F19B76801E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BC56928B-5F6F-4CA9-95A8-F399437D49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CFF91CBE-F1A9-4733-8633-AD10A781A0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C6E00A70-5769-4FF4-BE23-24F31F7307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96B68D07-B3D3-4201-B269-156425BE3D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C49B6ACB-2E8A-4F79-8D8F-272D6FB94C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81D804CD-FF7D-4398-800E-A1697F34FDE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124A468D-B7E9-45D8-994D-4AB3845E96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6B99EDFE-EFBB-4B74-9F4F-C15AA0D8AF7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44</xdr:row>
      <xdr:rowOff>276224</xdr:rowOff>
    </xdr:from>
    <xdr:to>
      <xdr:col>31</xdr:col>
      <xdr:colOff>603250</xdr:colOff>
      <xdr:row>59</xdr:row>
      <xdr:rowOff>69399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A5A00-3F3E-4DBA-AD14-690787A24FC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95E51A4-0F43-47FB-BCAE-F51F8BAACF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630DFB9-D4D4-4CDE-A91B-F1DC724995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932A2E4-E7EE-409F-AC15-01426DB593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8FE05EDC-131A-4C10-9500-FACF491A9A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5C7BC54-4C0E-49B3-A8E3-B116B62A45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B51489E6-558E-4134-87C8-4C1F569F60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9A18647-F6CB-4D27-8E90-6AF05A1712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690289A6-A003-456F-90CE-D799661B10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90214C5D-5BBD-405E-BE0F-3B23F9C84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92887784-3C03-4F6B-9C5B-394BAA31B6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3BBA41DC-5511-41C0-B5A4-3930BD242F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FA733BC1-F32D-4BE4-972B-658A1C0D2B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47625</xdr:colOff>
      <xdr:row>62</xdr:row>
      <xdr:rowOff>57150</xdr:rowOff>
    </xdr:from>
    <xdr:to>
      <xdr:col>24</xdr:col>
      <xdr:colOff>190500</xdr:colOff>
      <xdr:row>76</xdr:row>
      <xdr:rowOff>142875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30AC53BB-20A6-473E-8FE0-88E6F885D6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254001</xdr:colOff>
      <xdr:row>62</xdr:row>
      <xdr:rowOff>63502</xdr:rowOff>
    </xdr:from>
    <xdr:to>
      <xdr:col>31</xdr:col>
      <xdr:colOff>666750</xdr:colOff>
      <xdr:row>76</xdr:row>
      <xdr:rowOff>127000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709E55AF-4406-4A38-AA5A-2F1F9B7080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44</xdr:row>
      <xdr:rowOff>276224</xdr:rowOff>
    </xdr:from>
    <xdr:to>
      <xdr:col>31</xdr:col>
      <xdr:colOff>603250</xdr:colOff>
      <xdr:row>59</xdr:row>
      <xdr:rowOff>69399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BE5B84F-E7F9-4888-8364-5155D466359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B9F8FE3-434C-498C-B69C-5D6653FA2A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92E213C-AC12-4AB2-8177-5988196C59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6E9F966-108A-437A-BA82-30567CD847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33210A5-3608-4FA6-A870-15F7A148EC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AD2E9C6A-86FC-43C8-ACC5-4E8F1D7C16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23849C80-1C79-4E58-BCA0-DADFCCC7DD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91F0B3A3-2D65-4925-A130-ACE32C1696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B5C815D1-3DC3-49D4-8EC4-F0F9844C71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27392CC8-C478-4740-9F98-E794DD0671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F394D704-B477-44ED-9B81-731CE82146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D99B64C7-FCB5-4657-9490-6332A3AC50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3180EDBA-E56F-4F40-8629-7FA88E9F38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47625</xdr:colOff>
      <xdr:row>62</xdr:row>
      <xdr:rowOff>57150</xdr:rowOff>
    </xdr:from>
    <xdr:to>
      <xdr:col>24</xdr:col>
      <xdr:colOff>190500</xdr:colOff>
      <xdr:row>76</xdr:row>
      <xdr:rowOff>142875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41715DD5-608D-41A8-9BD9-0CBABB14A28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254001</xdr:colOff>
      <xdr:row>62</xdr:row>
      <xdr:rowOff>63502</xdr:rowOff>
    </xdr:from>
    <xdr:to>
      <xdr:col>31</xdr:col>
      <xdr:colOff>666750</xdr:colOff>
      <xdr:row>76</xdr:row>
      <xdr:rowOff>127000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E418EF71-2456-4AC3-8C28-8D9EEDDA71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44</xdr:row>
      <xdr:rowOff>276224</xdr:rowOff>
    </xdr:from>
    <xdr:to>
      <xdr:col>31</xdr:col>
      <xdr:colOff>603250</xdr:colOff>
      <xdr:row>59</xdr:row>
      <xdr:rowOff>69399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A000981-BCC2-455D-92B1-84DD7DCCBD1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067BD92-CB62-48CA-9DD0-D7D774A437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9B28062-6AFE-4011-AC68-49C6148E77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6BBE398-A56C-48CA-BFC1-610BFA1F68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E16943D-B516-40D0-9F97-98CDF8795F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13D749C9-5906-4CCA-B152-603DD1B861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11ACD35-E8D5-49D7-8A70-A0EE7F2387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A3A3C7FF-69D9-458C-90FE-961D7820FC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36C6BECF-838E-467B-9866-1751A3FA86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48C437B6-5E45-41B7-A976-1F2FE47140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4B44EA52-C439-4105-8E19-92FF5E0EEE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792DAE31-610C-4B7C-92D5-87E8242420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BC5A4F1F-083B-416F-92CC-4CB874426E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47625</xdr:colOff>
      <xdr:row>62</xdr:row>
      <xdr:rowOff>57150</xdr:rowOff>
    </xdr:from>
    <xdr:to>
      <xdr:col>24</xdr:col>
      <xdr:colOff>190500</xdr:colOff>
      <xdr:row>76</xdr:row>
      <xdr:rowOff>142875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28D37E80-8382-43D6-89E4-90052E5CA7D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254001</xdr:colOff>
      <xdr:row>62</xdr:row>
      <xdr:rowOff>63502</xdr:rowOff>
    </xdr:from>
    <xdr:to>
      <xdr:col>31</xdr:col>
      <xdr:colOff>666750</xdr:colOff>
      <xdr:row>76</xdr:row>
      <xdr:rowOff>127000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9B672CC8-D710-48E5-AB41-49A38A9B5F3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44</xdr:row>
      <xdr:rowOff>276224</xdr:rowOff>
    </xdr:from>
    <xdr:to>
      <xdr:col>31</xdr:col>
      <xdr:colOff>603250</xdr:colOff>
      <xdr:row>59</xdr:row>
      <xdr:rowOff>69399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090FA51-49AF-4CA3-893F-A6307CD377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F387249-FF27-4F30-987E-FC22E7B52B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A32569C-9E75-463F-ACBE-CF56B22E1B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92D3384-2668-4564-822A-662D7C8E54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E13CE831-D300-49E1-8F9A-D08884AEE1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29E34F9B-964E-4D0D-A88C-FC65CFB865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ED160651-F549-4C3F-909F-ED55905A27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F2A909-B6DE-424E-A030-5AE73C58F1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973ED4A3-7329-4B47-96A7-1D4BAF08AB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58E7A2BB-1E98-4723-BFA1-4F9AE59328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88646930-FD6D-4C3B-BCD4-B71CD49281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E787FB74-CC8A-46EC-9323-5806E88426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FA5AD1D5-6AEB-4429-B00D-A6CE4C8EDD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47625</xdr:colOff>
      <xdr:row>62</xdr:row>
      <xdr:rowOff>57150</xdr:rowOff>
    </xdr:from>
    <xdr:to>
      <xdr:col>24</xdr:col>
      <xdr:colOff>190500</xdr:colOff>
      <xdr:row>76</xdr:row>
      <xdr:rowOff>142875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5F200170-D06E-4657-AE7F-2C965A096B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254001</xdr:colOff>
      <xdr:row>62</xdr:row>
      <xdr:rowOff>63502</xdr:rowOff>
    </xdr:from>
    <xdr:to>
      <xdr:col>31</xdr:col>
      <xdr:colOff>666750</xdr:colOff>
      <xdr:row>76</xdr:row>
      <xdr:rowOff>127000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D7BEA8A8-6B06-44C3-9B82-A3448FA4E5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3769D03-56A4-48BA-B708-B148277AB3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2B164D1-D3A6-4F49-9915-40FB592F1B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CE22DE1-2830-460C-AD37-672B9EDF9D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4B4FF9F-7500-457A-A8E0-459FE0B6B5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0ABC7C4-EBC7-43FB-81F4-8FD3DD6945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41605433-CB66-4379-9010-6F98A56B22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49160004-F210-483C-B162-76455BE521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11BE1DF2-A9D8-4961-907D-55040170AD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AB691F47-86A4-4229-906C-ECE96BF798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DDFCDC9-1F96-4F74-B537-4F2AFC05E9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D5EF5D29-A47E-4AF8-85B3-1374B4F6A7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ACABD53E-2D47-4AB7-9914-01C65DBFFA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70D1C830-FF5D-4624-ABBF-4B163D9A5D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9FCDC906-6885-45D8-83E7-FFBB67A632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EE1C5C6E-100B-42E3-92B6-502B45D5AB1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A8EE9ABE-75B0-4BCE-B434-CB5CBADB77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24D07F7-A505-4739-B386-7B6D7DD0896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0BBC979-15AA-4A11-9224-18E0E7CF6E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1B8E3D4-7E5F-418C-BBAF-8F5F6270B8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D05A13E-1128-4A13-B522-6EF66121EE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207A79A5-DE2C-43B6-93E8-029BEE79CC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6335A27C-6117-4ADE-BAD3-8B5E13539C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E099A6C3-B976-4FB8-8A58-5E45F6D0F1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8EA27B75-11E2-47C3-92D0-E1274591C9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2DE68A34-6B83-4CE1-B89D-93C3D05F7C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AA6CD2C4-2193-49F0-A361-74A7AAA290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89D090DF-78EB-40DF-8A6D-54E8002AB2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8CC2D505-B814-4153-9006-3734F69121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9849053B-C2A2-4B10-B63A-9FD0112A14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F75497C2-F34C-49E6-A4E9-41E13AD164E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944922A7-8790-46BB-B71A-6BD4B4C9DF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7F0904D3-4B8A-474B-86E5-F1190B2850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4085</xdr:colOff>
      <xdr:row>43</xdr:row>
      <xdr:rowOff>6349</xdr:rowOff>
    </xdr:from>
    <xdr:to>
      <xdr:col>27</xdr:col>
      <xdr:colOff>714374</xdr:colOff>
      <xdr:row>58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06C45E2-77C7-4510-884F-FEF0715DDB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19AEE80-7130-4FE5-8DCD-05DF10B8C2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3E1E659-91F2-4594-978C-33DD6417A5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2B73A80-E2E3-4174-B73D-D61B63E600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7E46CF73-4595-47F7-B47F-2B24A9AA94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7AF59A5-69EA-4554-923B-279A64D6C4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400AE0E0-9A4F-45E2-BBB2-010A32C6E9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47AD0C11-87DE-4860-AEB0-7F2EB944A6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DB53AA64-9B63-48C4-86C6-C93F947459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FA31503D-49F8-4886-9D79-D1CF778316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D89B662C-1BD4-43B0-ACB7-D5C2088AE0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C2C04AF1-D698-4B62-BF42-BE1F9D58FB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906F0358-DE0D-42DF-9D85-A89ACE8339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25</xdr:col>
      <xdr:colOff>0</xdr:colOff>
      <xdr:row>58</xdr:row>
      <xdr:rowOff>279400</xdr:rowOff>
    </xdr:from>
    <xdr:to>
      <xdr:col>31</xdr:col>
      <xdr:colOff>587375</xdr:colOff>
      <xdr:row>75</xdr:row>
      <xdr:rowOff>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872B518F-3318-457A-AD2F-F257EB81D5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17</xdr:col>
      <xdr:colOff>0</xdr:colOff>
      <xdr:row>59</xdr:row>
      <xdr:rowOff>1</xdr:rowOff>
    </xdr:from>
    <xdr:to>
      <xdr:col>23</xdr:col>
      <xdr:colOff>714374</xdr:colOff>
      <xdr:row>75</xdr:row>
      <xdr:rowOff>1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F07B1E9E-4942-4AD4-98C8-E1AF836600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4085</xdr:colOff>
      <xdr:row>43</xdr:row>
      <xdr:rowOff>6349</xdr:rowOff>
    </xdr:from>
    <xdr:to>
      <xdr:col>27</xdr:col>
      <xdr:colOff>714374</xdr:colOff>
      <xdr:row>58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0B270C2-815D-4851-AC3C-4EA46B2C64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A68EABE-F73F-486D-BB3C-5805225122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9A39479-5D94-439F-AAAE-4B1288B89B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A639D45-A3C5-49D6-8FD7-337DBA8703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A32685D6-892C-43F5-AFA8-62F9167E79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CB110D7-9219-4421-AE6E-5DABBB7FCC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CC9CC16-C5B8-4879-9435-5E3796BA4A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A9D0DABC-8D47-4952-A548-79AF3DF1FA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AF999087-E9AB-4F93-B9EF-BE24ADD193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6963AAD9-4121-45A3-93F6-094DAF14FE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9B7D99CA-796E-4A36-B9D3-FD180F1A83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7C936931-6EFD-4A74-AEA9-47EEB365E2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F200DC7B-A120-4F30-A5FF-185ED29C03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25</xdr:col>
      <xdr:colOff>1</xdr:colOff>
      <xdr:row>58</xdr:row>
      <xdr:rowOff>279400</xdr:rowOff>
    </xdr:from>
    <xdr:to>
      <xdr:col>31</xdr:col>
      <xdr:colOff>571501</xdr:colOff>
      <xdr:row>75</xdr:row>
      <xdr:rowOff>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57033F9A-A642-43E1-B688-5FBA3AD22A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17</xdr:col>
      <xdr:colOff>0</xdr:colOff>
      <xdr:row>59</xdr:row>
      <xdr:rowOff>1</xdr:rowOff>
    </xdr:from>
    <xdr:to>
      <xdr:col>24</xdr:col>
      <xdr:colOff>0</xdr:colOff>
      <xdr:row>75</xdr:row>
      <xdr:rowOff>1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0288892E-53EA-4DAD-967C-F738DF767C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092412C-BA1C-4D34-B971-DE0C210453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13F6493-22B5-43D3-89E3-9CBBD5F672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6A6F653-AFF5-4987-B236-C85A1CE131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BB621B9F-62A3-4E5A-AFD4-DC12703D4B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2AE15982-C002-4BDF-96C3-22A45DA5C7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B3C3AB7B-75D5-418A-958E-EACBF65A12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60CF7CE4-A85A-4C22-9DC3-5893508098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E90AC934-2ABE-477D-8A15-38EFC09415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2E53BA24-BE44-430F-9803-6A8B6CB29F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11BA8E67-A1DD-42EA-85BC-CB4649F507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FAA7FF40-C1FE-4D4D-88B0-F8E6F92136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165D294B-6A53-4A12-9BC4-B2A9462DB2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0</xdr:colOff>
      <xdr:row>74</xdr:row>
      <xdr:rowOff>263525</xdr:rowOff>
    </xdr:from>
    <xdr:to>
      <xdr:col>25</xdr:col>
      <xdr:colOff>0</xdr:colOff>
      <xdr:row>91</xdr:row>
      <xdr:rowOff>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9829EB85-A50A-4379-94F7-6C2E31DC19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17</xdr:col>
      <xdr:colOff>0</xdr:colOff>
      <xdr:row>59</xdr:row>
      <xdr:rowOff>1</xdr:rowOff>
    </xdr:from>
    <xdr:to>
      <xdr:col>25</xdr:col>
      <xdr:colOff>0</xdr:colOff>
      <xdr:row>75</xdr:row>
      <xdr:rowOff>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603DD9D7-E468-486E-B0CF-46B1770E47D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17</xdr:col>
      <xdr:colOff>0</xdr:colOff>
      <xdr:row>43</xdr:row>
      <xdr:rowOff>0</xdr:rowOff>
    </xdr:from>
    <xdr:to>
      <xdr:col>28</xdr:col>
      <xdr:colOff>0</xdr:colOff>
      <xdr:row>58</xdr:row>
      <xdr:rowOff>285749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F591637E-984F-4DA9-B91F-69BB68C389C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713175</xdr:colOff>
      <xdr:row>59</xdr:row>
      <xdr:rowOff>6785</xdr:rowOff>
    </xdr:from>
    <xdr:to>
      <xdr:col>31</xdr:col>
      <xdr:colOff>539750</xdr:colOff>
      <xdr:row>75</xdr:row>
      <xdr:rowOff>0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FB86AB8F-E019-4D17-B6FA-D0C41E377D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24</xdr:col>
      <xdr:colOff>713176</xdr:colOff>
      <xdr:row>75</xdr:row>
      <xdr:rowOff>2455</xdr:rowOff>
    </xdr:from>
    <xdr:to>
      <xdr:col>31</xdr:col>
      <xdr:colOff>539750</xdr:colOff>
      <xdr:row>91</xdr:row>
      <xdr:rowOff>0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125504FF-1369-43D9-850B-A406997F0AF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F126"/>
  <sheetViews>
    <sheetView view="pageBreakPreview" zoomScale="60" workbookViewId="0">
      <selection activeCell="M57" sqref="M57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64" t="s">
        <v>23</v>
      </c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  <c r="S1" s="64"/>
      <c r="T1" s="64"/>
      <c r="U1" s="64"/>
      <c r="V1" s="64"/>
      <c r="W1" s="64"/>
      <c r="X1" s="64"/>
      <c r="Y1" s="64"/>
      <c r="Z1" s="64"/>
      <c r="AA1" s="64"/>
      <c r="AB1" s="64"/>
      <c r="AC1" s="64"/>
      <c r="AD1" s="64"/>
      <c r="AE1" s="64"/>
    </row>
    <row r="2" spans="2:32" ht="20.100000000000001" customHeight="1" x14ac:dyDescent="0.25">
      <c r="B2" s="65" t="s">
        <v>95</v>
      </c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  <c r="AA2" s="65"/>
      <c r="AB2" s="65"/>
      <c r="AC2" s="65"/>
      <c r="AD2" s="65"/>
      <c r="AE2" s="65"/>
    </row>
    <row r="3" spans="2:32" ht="20.100000000000001" customHeight="1" x14ac:dyDescent="0.25">
      <c r="B3" s="21" t="s">
        <v>96</v>
      </c>
      <c r="C3" s="66" t="s">
        <v>183</v>
      </c>
      <c r="D3" s="66"/>
      <c r="E3" s="66"/>
      <c r="F3" s="66"/>
      <c r="G3" s="66"/>
      <c r="H3" s="21"/>
      <c r="I3" s="21"/>
      <c r="J3" s="21"/>
      <c r="K3" s="21"/>
      <c r="L3" s="21"/>
      <c r="M3" s="21"/>
      <c r="N3" s="21"/>
      <c r="O3" s="21"/>
      <c r="P3" s="21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51">
        <v>43668</v>
      </c>
      <c r="E5" s="3"/>
      <c r="F5" s="41" t="s">
        <v>1</v>
      </c>
      <c r="G5" s="61" t="s">
        <v>170</v>
      </c>
      <c r="H5" s="62"/>
      <c r="I5" s="14"/>
      <c r="J5" s="2" t="s">
        <v>5</v>
      </c>
      <c r="K5" s="61" t="s">
        <v>171</v>
      </c>
      <c r="L5" s="62"/>
      <c r="M5" s="10"/>
      <c r="N5" s="10"/>
      <c r="O5" s="3"/>
      <c r="P5" s="3"/>
    </row>
    <row r="6" spans="2:32" ht="23.25" customHeight="1" x14ac:dyDescent="0.25">
      <c r="C6" s="2" t="s">
        <v>4</v>
      </c>
      <c r="D6" s="61" t="s">
        <v>174</v>
      </c>
      <c r="E6" s="62"/>
      <c r="F6" s="2" t="s">
        <v>2</v>
      </c>
      <c r="G6" s="61" t="s">
        <v>182</v>
      </c>
      <c r="H6" s="62"/>
      <c r="J6" s="2" t="s">
        <v>21</v>
      </c>
      <c r="K6" s="61" t="s">
        <v>172</v>
      </c>
      <c r="L6" s="62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63" t="s">
        <v>88</v>
      </c>
      <c r="S8" s="63"/>
      <c r="T8" s="63"/>
      <c r="U8" s="63"/>
      <c r="V8" s="63"/>
      <c r="W8" s="63"/>
      <c r="X8" s="63"/>
      <c r="Y8" s="63"/>
      <c r="Z8" s="63"/>
      <c r="AA8" s="63"/>
      <c r="AB8" s="63"/>
      <c r="AC8" s="63"/>
      <c r="AD8" s="63"/>
      <c r="AE8" s="63"/>
      <c r="AF8" s="63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60</v>
      </c>
      <c r="D10" s="50">
        <v>30</v>
      </c>
      <c r="E10" s="50">
        <v>10</v>
      </c>
      <c r="F10" s="50">
        <v>60</v>
      </c>
      <c r="G10" s="50">
        <v>3</v>
      </c>
      <c r="H10" s="50">
        <v>0</v>
      </c>
      <c r="I10" s="50">
        <v>1</v>
      </c>
      <c r="J10" s="50">
        <v>1</v>
      </c>
      <c r="K10" s="50">
        <v>0</v>
      </c>
      <c r="L10" s="50">
        <v>0</v>
      </c>
      <c r="M10" s="50">
        <v>80</v>
      </c>
      <c r="N10" s="50">
        <v>0</v>
      </c>
      <c r="O10" s="15">
        <f t="shared" ref="O10:O57" si="0">SUM(C10:L10,N10)</f>
        <v>165</v>
      </c>
      <c r="P10" s="15">
        <f t="shared" ref="P10:P57" si="1">SUM(C10:N10)</f>
        <v>245</v>
      </c>
      <c r="R10" s="1" t="s">
        <v>6</v>
      </c>
      <c r="S10" s="17">
        <f t="shared" ref="S10:AF10" si="2">SUM(C10:C13)</f>
        <v>236</v>
      </c>
      <c r="T10" s="17">
        <f t="shared" si="2"/>
        <v>74</v>
      </c>
      <c r="U10" s="17">
        <f t="shared" si="2"/>
        <v>30</v>
      </c>
      <c r="V10" s="17">
        <f t="shared" si="2"/>
        <v>172</v>
      </c>
      <c r="W10" s="17">
        <f t="shared" si="2"/>
        <v>6</v>
      </c>
      <c r="X10" s="17">
        <f t="shared" si="2"/>
        <v>2</v>
      </c>
      <c r="Y10" s="17">
        <f t="shared" si="2"/>
        <v>9</v>
      </c>
      <c r="Z10" s="17">
        <f t="shared" si="2"/>
        <v>3</v>
      </c>
      <c r="AA10" s="17">
        <f t="shared" si="2"/>
        <v>1</v>
      </c>
      <c r="AB10" s="17">
        <f t="shared" si="2"/>
        <v>1</v>
      </c>
      <c r="AC10" s="17">
        <f t="shared" si="2"/>
        <v>395</v>
      </c>
      <c r="AD10" s="17">
        <f t="shared" si="2"/>
        <v>0</v>
      </c>
      <c r="AE10" s="31">
        <f t="shared" si="2"/>
        <v>534</v>
      </c>
      <c r="AF10" s="31">
        <f t="shared" si="2"/>
        <v>929</v>
      </c>
    </row>
    <row r="11" spans="2:32" s="6" customFormat="1" ht="23.1" customHeight="1" x14ac:dyDescent="0.25">
      <c r="B11" s="23" t="s">
        <v>38</v>
      </c>
      <c r="C11" s="50">
        <v>50</v>
      </c>
      <c r="D11" s="50">
        <v>25</v>
      </c>
      <c r="E11" s="50">
        <v>7</v>
      </c>
      <c r="F11" s="50">
        <v>50</v>
      </c>
      <c r="G11" s="50">
        <v>2</v>
      </c>
      <c r="H11" s="50">
        <v>0</v>
      </c>
      <c r="I11" s="50">
        <v>0</v>
      </c>
      <c r="J11" s="50">
        <v>0</v>
      </c>
      <c r="K11" s="50">
        <v>0</v>
      </c>
      <c r="L11" s="50"/>
      <c r="M11" s="50">
        <v>50</v>
      </c>
      <c r="N11" s="50">
        <v>0</v>
      </c>
      <c r="O11" s="15">
        <f t="shared" si="0"/>
        <v>134</v>
      </c>
      <c r="P11" s="15">
        <f t="shared" si="1"/>
        <v>184</v>
      </c>
      <c r="R11" s="1" t="s">
        <v>7</v>
      </c>
      <c r="S11" s="17">
        <f t="shared" ref="S11:AF11" si="3">SUM(C14:C17)</f>
        <v>308</v>
      </c>
      <c r="T11" s="17">
        <f t="shared" si="3"/>
        <v>81</v>
      </c>
      <c r="U11" s="17">
        <f t="shared" si="3"/>
        <v>37</v>
      </c>
      <c r="V11" s="17">
        <f t="shared" si="3"/>
        <v>292</v>
      </c>
      <c r="W11" s="17">
        <f t="shared" si="3"/>
        <v>6</v>
      </c>
      <c r="X11" s="17">
        <f t="shared" si="3"/>
        <v>6</v>
      </c>
      <c r="Y11" s="17">
        <f t="shared" si="3"/>
        <v>72</v>
      </c>
      <c r="Z11" s="17">
        <f t="shared" si="3"/>
        <v>6</v>
      </c>
      <c r="AA11" s="17">
        <f t="shared" si="3"/>
        <v>4</v>
      </c>
      <c r="AB11" s="17">
        <f t="shared" si="3"/>
        <v>4</v>
      </c>
      <c r="AC11" s="17">
        <f t="shared" si="3"/>
        <v>794</v>
      </c>
      <c r="AD11" s="17">
        <f t="shared" si="3"/>
        <v>0</v>
      </c>
      <c r="AE11" s="31">
        <f t="shared" si="3"/>
        <v>816</v>
      </c>
      <c r="AF11" s="31">
        <f t="shared" si="3"/>
        <v>1610</v>
      </c>
    </row>
    <row r="12" spans="2:32" ht="23.1" customHeight="1" x14ac:dyDescent="0.25">
      <c r="B12" s="23" t="s">
        <v>39</v>
      </c>
      <c r="C12" s="50">
        <v>66</v>
      </c>
      <c r="D12" s="50">
        <v>0</v>
      </c>
      <c r="E12" s="50">
        <v>4</v>
      </c>
      <c r="F12" s="50">
        <v>9</v>
      </c>
      <c r="G12" s="50">
        <v>1</v>
      </c>
      <c r="H12" s="50">
        <v>0</v>
      </c>
      <c r="I12" s="50">
        <v>2</v>
      </c>
      <c r="J12" s="50">
        <v>0</v>
      </c>
      <c r="K12" s="50">
        <v>0</v>
      </c>
      <c r="L12" s="50">
        <v>0</v>
      </c>
      <c r="M12" s="50">
        <v>150</v>
      </c>
      <c r="N12" s="50">
        <v>0</v>
      </c>
      <c r="O12" s="15">
        <f t="shared" si="0"/>
        <v>82</v>
      </c>
      <c r="P12" s="15">
        <f t="shared" si="1"/>
        <v>232</v>
      </c>
      <c r="R12" s="1" t="s">
        <v>8</v>
      </c>
      <c r="S12" s="17">
        <f t="shared" ref="S12:AF12" si="4">SUM(C18:C21)</f>
        <v>203</v>
      </c>
      <c r="T12" s="17">
        <f t="shared" si="4"/>
        <v>56</v>
      </c>
      <c r="U12" s="17">
        <f t="shared" si="4"/>
        <v>23</v>
      </c>
      <c r="V12" s="17">
        <f t="shared" si="4"/>
        <v>190</v>
      </c>
      <c r="W12" s="17">
        <f t="shared" si="4"/>
        <v>2</v>
      </c>
      <c r="X12" s="17">
        <f t="shared" si="4"/>
        <v>6</v>
      </c>
      <c r="Y12" s="17">
        <f t="shared" si="4"/>
        <v>33</v>
      </c>
      <c r="Z12" s="17">
        <f t="shared" si="4"/>
        <v>9</v>
      </c>
      <c r="AA12" s="17">
        <f t="shared" si="4"/>
        <v>3</v>
      </c>
      <c r="AB12" s="17">
        <f t="shared" si="4"/>
        <v>0</v>
      </c>
      <c r="AC12" s="17">
        <f t="shared" si="4"/>
        <v>520</v>
      </c>
      <c r="AD12" s="17">
        <f t="shared" si="4"/>
        <v>0</v>
      </c>
      <c r="AE12" s="31">
        <f t="shared" si="4"/>
        <v>525</v>
      </c>
      <c r="AF12" s="31">
        <f t="shared" si="4"/>
        <v>1045</v>
      </c>
    </row>
    <row r="13" spans="2:32" ht="23.1" customHeight="1" x14ac:dyDescent="0.25">
      <c r="B13" s="23" t="s">
        <v>40</v>
      </c>
      <c r="C13" s="50">
        <v>60</v>
      </c>
      <c r="D13" s="50">
        <v>19</v>
      </c>
      <c r="E13" s="50">
        <v>9</v>
      </c>
      <c r="F13" s="50">
        <v>53</v>
      </c>
      <c r="G13" s="50">
        <v>0</v>
      </c>
      <c r="H13" s="50">
        <v>2</v>
      </c>
      <c r="I13" s="50">
        <v>6</v>
      </c>
      <c r="J13" s="50">
        <v>2</v>
      </c>
      <c r="K13" s="50">
        <v>1</v>
      </c>
      <c r="L13" s="50">
        <v>1</v>
      </c>
      <c r="M13" s="50">
        <v>115</v>
      </c>
      <c r="N13" s="50">
        <v>0</v>
      </c>
      <c r="O13" s="15">
        <f t="shared" si="0"/>
        <v>153</v>
      </c>
      <c r="P13" s="15">
        <f t="shared" si="1"/>
        <v>268</v>
      </c>
      <c r="R13" s="1" t="s">
        <v>9</v>
      </c>
      <c r="S13" s="17">
        <f t="shared" ref="S13:AF13" si="5">SUM(C22:C25)</f>
        <v>276</v>
      </c>
      <c r="T13" s="17">
        <f t="shared" si="5"/>
        <v>75</v>
      </c>
      <c r="U13" s="17">
        <f t="shared" si="5"/>
        <v>37</v>
      </c>
      <c r="V13" s="17">
        <f t="shared" si="5"/>
        <v>231</v>
      </c>
      <c r="W13" s="17">
        <f t="shared" si="5"/>
        <v>2</v>
      </c>
      <c r="X13" s="17">
        <f t="shared" si="5"/>
        <v>1</v>
      </c>
      <c r="Y13" s="17">
        <f t="shared" si="5"/>
        <v>32</v>
      </c>
      <c r="Z13" s="17">
        <f t="shared" si="5"/>
        <v>9</v>
      </c>
      <c r="AA13" s="17">
        <f t="shared" si="5"/>
        <v>8</v>
      </c>
      <c r="AB13" s="17">
        <f t="shared" si="5"/>
        <v>3</v>
      </c>
      <c r="AC13" s="17">
        <f t="shared" si="5"/>
        <v>580</v>
      </c>
      <c r="AD13" s="17">
        <f t="shared" si="5"/>
        <v>0</v>
      </c>
      <c r="AE13" s="31">
        <f t="shared" si="5"/>
        <v>674</v>
      </c>
      <c r="AF13" s="31">
        <f t="shared" si="5"/>
        <v>1254</v>
      </c>
    </row>
    <row r="14" spans="2:32" ht="23.1" customHeight="1" x14ac:dyDescent="0.25">
      <c r="B14" s="23" t="s">
        <v>41</v>
      </c>
      <c r="C14" s="50">
        <v>56</v>
      </c>
      <c r="D14" s="50">
        <v>10</v>
      </c>
      <c r="E14" s="50">
        <v>4</v>
      </c>
      <c r="F14" s="50">
        <v>50</v>
      </c>
      <c r="G14" s="50">
        <v>2</v>
      </c>
      <c r="H14" s="50">
        <v>1</v>
      </c>
      <c r="I14" s="50">
        <v>2</v>
      </c>
      <c r="J14" s="50">
        <v>1</v>
      </c>
      <c r="K14" s="50">
        <v>0</v>
      </c>
      <c r="L14" s="50">
        <v>0</v>
      </c>
      <c r="M14" s="50">
        <v>140</v>
      </c>
      <c r="N14" s="50">
        <v>0</v>
      </c>
      <c r="O14" s="15">
        <f t="shared" si="0"/>
        <v>126</v>
      </c>
      <c r="P14" s="15">
        <f t="shared" si="1"/>
        <v>266</v>
      </c>
      <c r="R14" s="1" t="s">
        <v>10</v>
      </c>
      <c r="S14" s="17">
        <f t="shared" ref="S14:AF14" si="6">SUM(C26:C29)</f>
        <v>209</v>
      </c>
      <c r="T14" s="17">
        <f t="shared" si="6"/>
        <v>62</v>
      </c>
      <c r="U14" s="17">
        <f t="shared" si="6"/>
        <v>44</v>
      </c>
      <c r="V14" s="17">
        <f t="shared" si="6"/>
        <v>180</v>
      </c>
      <c r="W14" s="17">
        <f t="shared" si="6"/>
        <v>2</v>
      </c>
      <c r="X14" s="17">
        <f t="shared" si="6"/>
        <v>1</v>
      </c>
      <c r="Y14" s="17">
        <f t="shared" si="6"/>
        <v>31</v>
      </c>
      <c r="Z14" s="17">
        <f t="shared" si="6"/>
        <v>4</v>
      </c>
      <c r="AA14" s="17">
        <f t="shared" si="6"/>
        <v>4</v>
      </c>
      <c r="AB14" s="17">
        <f t="shared" si="6"/>
        <v>1</v>
      </c>
      <c r="AC14" s="17">
        <f t="shared" si="6"/>
        <v>485</v>
      </c>
      <c r="AD14" s="17">
        <f t="shared" si="6"/>
        <v>0</v>
      </c>
      <c r="AE14" s="31">
        <f t="shared" si="6"/>
        <v>538</v>
      </c>
      <c r="AF14" s="31">
        <f t="shared" si="6"/>
        <v>1023</v>
      </c>
    </row>
    <row r="15" spans="2:32" ht="23.1" customHeight="1" x14ac:dyDescent="0.25">
      <c r="B15" s="23" t="s">
        <v>42</v>
      </c>
      <c r="C15" s="50">
        <v>89</v>
      </c>
      <c r="D15" s="50">
        <v>20</v>
      </c>
      <c r="E15" s="50">
        <v>12</v>
      </c>
      <c r="F15" s="50">
        <v>105</v>
      </c>
      <c r="G15" s="50">
        <v>0</v>
      </c>
      <c r="H15" s="50">
        <v>3</v>
      </c>
      <c r="I15" s="50">
        <v>58</v>
      </c>
      <c r="J15" s="50">
        <v>1</v>
      </c>
      <c r="K15" s="50">
        <v>1</v>
      </c>
      <c r="L15" s="50">
        <v>2</v>
      </c>
      <c r="M15" s="50">
        <v>300</v>
      </c>
      <c r="N15" s="50">
        <v>0</v>
      </c>
      <c r="O15" s="15">
        <f t="shared" si="0"/>
        <v>291</v>
      </c>
      <c r="P15" s="15">
        <f t="shared" si="1"/>
        <v>591</v>
      </c>
      <c r="R15" s="1" t="s">
        <v>11</v>
      </c>
      <c r="S15" s="17">
        <f t="shared" ref="S15:AF15" si="7">SUM(C30:C33)</f>
        <v>129</v>
      </c>
      <c r="T15" s="17">
        <f t="shared" si="7"/>
        <v>50</v>
      </c>
      <c r="U15" s="17">
        <f t="shared" si="7"/>
        <v>17</v>
      </c>
      <c r="V15" s="17">
        <f t="shared" si="7"/>
        <v>123</v>
      </c>
      <c r="W15" s="17">
        <f t="shared" si="7"/>
        <v>4</v>
      </c>
      <c r="X15" s="17">
        <f t="shared" si="7"/>
        <v>9</v>
      </c>
      <c r="Y15" s="17">
        <f t="shared" si="7"/>
        <v>14</v>
      </c>
      <c r="Z15" s="17">
        <f t="shared" si="7"/>
        <v>16</v>
      </c>
      <c r="AA15" s="17">
        <f t="shared" si="7"/>
        <v>4</v>
      </c>
      <c r="AB15" s="17">
        <f t="shared" si="7"/>
        <v>2</v>
      </c>
      <c r="AC15" s="17">
        <f t="shared" si="7"/>
        <v>376</v>
      </c>
      <c r="AD15" s="17">
        <f t="shared" si="7"/>
        <v>0</v>
      </c>
      <c r="AE15" s="31">
        <f t="shared" si="7"/>
        <v>368</v>
      </c>
      <c r="AF15" s="31">
        <f t="shared" si="7"/>
        <v>744</v>
      </c>
    </row>
    <row r="16" spans="2:32" ht="23.1" customHeight="1" x14ac:dyDescent="0.25">
      <c r="B16" s="23" t="s">
        <v>43</v>
      </c>
      <c r="C16" s="50">
        <v>122</v>
      </c>
      <c r="D16" s="50">
        <v>37</v>
      </c>
      <c r="E16" s="50">
        <v>17</v>
      </c>
      <c r="F16" s="50">
        <v>90</v>
      </c>
      <c r="G16" s="50">
        <v>2</v>
      </c>
      <c r="H16" s="50">
        <v>1</v>
      </c>
      <c r="I16" s="50">
        <v>9</v>
      </c>
      <c r="J16" s="50">
        <v>3</v>
      </c>
      <c r="K16" s="50">
        <v>1</v>
      </c>
      <c r="L16" s="50">
        <v>1</v>
      </c>
      <c r="M16" s="50">
        <v>249</v>
      </c>
      <c r="N16" s="50">
        <v>0</v>
      </c>
      <c r="O16" s="15">
        <f t="shared" si="0"/>
        <v>283</v>
      </c>
      <c r="P16" s="15">
        <f t="shared" si="1"/>
        <v>532</v>
      </c>
      <c r="R16" s="1" t="s">
        <v>12</v>
      </c>
      <c r="S16" s="17">
        <f t="shared" ref="S16:AF16" si="8">SUM(C34:C37)</f>
        <v>160</v>
      </c>
      <c r="T16" s="17">
        <f t="shared" si="8"/>
        <v>55</v>
      </c>
      <c r="U16" s="17">
        <f t="shared" si="8"/>
        <v>27</v>
      </c>
      <c r="V16" s="17">
        <f t="shared" si="8"/>
        <v>131</v>
      </c>
      <c r="W16" s="17">
        <f t="shared" si="8"/>
        <v>2</v>
      </c>
      <c r="X16" s="17">
        <f t="shared" si="8"/>
        <v>13</v>
      </c>
      <c r="Y16" s="17">
        <f t="shared" si="8"/>
        <v>25</v>
      </c>
      <c r="Z16" s="17">
        <f t="shared" si="8"/>
        <v>16</v>
      </c>
      <c r="AA16" s="17">
        <f t="shared" si="8"/>
        <v>6</v>
      </c>
      <c r="AB16" s="17">
        <f t="shared" si="8"/>
        <v>0</v>
      </c>
      <c r="AC16" s="17">
        <f t="shared" si="8"/>
        <v>465</v>
      </c>
      <c r="AD16" s="17">
        <f t="shared" si="8"/>
        <v>1</v>
      </c>
      <c r="AE16" s="31">
        <f t="shared" si="8"/>
        <v>436</v>
      </c>
      <c r="AF16" s="31">
        <f t="shared" si="8"/>
        <v>901</v>
      </c>
    </row>
    <row r="17" spans="2:32" ht="23.1" customHeight="1" x14ac:dyDescent="0.25">
      <c r="B17" s="23" t="s">
        <v>44</v>
      </c>
      <c r="C17" s="50">
        <v>41</v>
      </c>
      <c r="D17" s="50">
        <v>14</v>
      </c>
      <c r="E17" s="50">
        <v>4</v>
      </c>
      <c r="F17" s="50">
        <v>47</v>
      </c>
      <c r="G17" s="50">
        <v>2</v>
      </c>
      <c r="H17" s="50">
        <v>1</v>
      </c>
      <c r="I17" s="50">
        <v>3</v>
      </c>
      <c r="J17" s="50">
        <v>1</v>
      </c>
      <c r="K17" s="50">
        <v>2</v>
      </c>
      <c r="L17" s="50">
        <v>1</v>
      </c>
      <c r="M17" s="50">
        <v>105</v>
      </c>
      <c r="N17" s="50">
        <v>0</v>
      </c>
      <c r="O17" s="15">
        <f t="shared" si="0"/>
        <v>116</v>
      </c>
      <c r="P17" s="15">
        <f t="shared" si="1"/>
        <v>221</v>
      </c>
      <c r="R17" s="1" t="s">
        <v>13</v>
      </c>
      <c r="S17" s="17">
        <f t="shared" ref="S17:AF17" si="9">SUM(C38:C41)</f>
        <v>157</v>
      </c>
      <c r="T17" s="17">
        <f t="shared" si="9"/>
        <v>64</v>
      </c>
      <c r="U17" s="17">
        <f t="shared" si="9"/>
        <v>24</v>
      </c>
      <c r="V17" s="17">
        <f t="shared" si="9"/>
        <v>156</v>
      </c>
      <c r="W17" s="17">
        <f t="shared" si="9"/>
        <v>3</v>
      </c>
      <c r="X17" s="17">
        <f t="shared" si="9"/>
        <v>4</v>
      </c>
      <c r="Y17" s="17">
        <f t="shared" si="9"/>
        <v>22</v>
      </c>
      <c r="Z17" s="17">
        <f t="shared" si="9"/>
        <v>10</v>
      </c>
      <c r="AA17" s="17">
        <f t="shared" si="9"/>
        <v>2</v>
      </c>
      <c r="AB17" s="17">
        <f t="shared" si="9"/>
        <v>0</v>
      </c>
      <c r="AC17" s="17">
        <f t="shared" si="9"/>
        <v>352</v>
      </c>
      <c r="AD17" s="17">
        <f t="shared" si="9"/>
        <v>0</v>
      </c>
      <c r="AE17" s="31">
        <f t="shared" si="9"/>
        <v>442</v>
      </c>
      <c r="AF17" s="31">
        <f t="shared" si="9"/>
        <v>794</v>
      </c>
    </row>
    <row r="18" spans="2:32" ht="23.1" customHeight="1" x14ac:dyDescent="0.25">
      <c r="B18" s="23" t="s">
        <v>45</v>
      </c>
      <c r="C18" s="50">
        <v>62</v>
      </c>
      <c r="D18" s="50">
        <v>18</v>
      </c>
      <c r="E18" s="50">
        <v>6</v>
      </c>
      <c r="F18" s="50">
        <v>58</v>
      </c>
      <c r="G18" s="50">
        <v>0</v>
      </c>
      <c r="H18" s="50">
        <v>0</v>
      </c>
      <c r="I18" s="50">
        <v>4</v>
      </c>
      <c r="J18" s="50">
        <v>2</v>
      </c>
      <c r="K18" s="50">
        <v>0</v>
      </c>
      <c r="L18" s="50">
        <v>0</v>
      </c>
      <c r="M18" s="50">
        <v>125</v>
      </c>
      <c r="N18" s="50">
        <v>0</v>
      </c>
      <c r="O18" s="15">
        <f t="shared" si="0"/>
        <v>150</v>
      </c>
      <c r="P18" s="15">
        <f t="shared" si="1"/>
        <v>275</v>
      </c>
      <c r="R18" s="1" t="s">
        <v>14</v>
      </c>
      <c r="S18" s="17">
        <f t="shared" ref="S18:AF18" si="10">SUM(C42:C45)</f>
        <v>172</v>
      </c>
      <c r="T18" s="17">
        <f t="shared" si="10"/>
        <v>54</v>
      </c>
      <c r="U18" s="17">
        <f t="shared" si="10"/>
        <v>26</v>
      </c>
      <c r="V18" s="17">
        <f t="shared" si="10"/>
        <v>144</v>
      </c>
      <c r="W18" s="17">
        <f t="shared" si="10"/>
        <v>1</v>
      </c>
      <c r="X18" s="17">
        <f t="shared" si="10"/>
        <v>2</v>
      </c>
      <c r="Y18" s="17">
        <f t="shared" si="10"/>
        <v>36</v>
      </c>
      <c r="Z18" s="17">
        <f t="shared" si="10"/>
        <v>6</v>
      </c>
      <c r="AA18" s="17">
        <f t="shared" si="10"/>
        <v>3</v>
      </c>
      <c r="AB18" s="17">
        <f t="shared" si="10"/>
        <v>1</v>
      </c>
      <c r="AC18" s="17">
        <f t="shared" si="10"/>
        <v>237</v>
      </c>
      <c r="AD18" s="17">
        <f t="shared" si="10"/>
        <v>0</v>
      </c>
      <c r="AE18" s="31">
        <f t="shared" si="10"/>
        <v>445</v>
      </c>
      <c r="AF18" s="31">
        <f t="shared" si="10"/>
        <v>682</v>
      </c>
    </row>
    <row r="19" spans="2:32" ht="23.1" customHeight="1" x14ac:dyDescent="0.25">
      <c r="B19" s="23" t="s">
        <v>46</v>
      </c>
      <c r="C19" s="50">
        <v>38</v>
      </c>
      <c r="D19" s="50">
        <v>11</v>
      </c>
      <c r="E19" s="50">
        <v>2</v>
      </c>
      <c r="F19" s="50">
        <v>41</v>
      </c>
      <c r="G19" s="50">
        <v>0</v>
      </c>
      <c r="H19" s="50">
        <v>1</v>
      </c>
      <c r="I19" s="50">
        <v>5</v>
      </c>
      <c r="J19" s="50">
        <v>0</v>
      </c>
      <c r="K19" s="50">
        <v>0</v>
      </c>
      <c r="L19" s="50">
        <v>0</v>
      </c>
      <c r="M19" s="50">
        <v>115</v>
      </c>
      <c r="N19" s="50">
        <v>0</v>
      </c>
      <c r="O19" s="15">
        <f t="shared" si="0"/>
        <v>98</v>
      </c>
      <c r="P19" s="15">
        <f t="shared" si="1"/>
        <v>213</v>
      </c>
      <c r="R19" s="1" t="s">
        <v>15</v>
      </c>
      <c r="S19" s="17">
        <f t="shared" ref="S19:AF19" si="11">SUM(C46:C49)</f>
        <v>189</v>
      </c>
      <c r="T19" s="17">
        <f t="shared" si="11"/>
        <v>60</v>
      </c>
      <c r="U19" s="17">
        <f t="shared" si="11"/>
        <v>34</v>
      </c>
      <c r="V19" s="17">
        <f t="shared" si="11"/>
        <v>123</v>
      </c>
      <c r="W19" s="17">
        <f t="shared" si="11"/>
        <v>6</v>
      </c>
      <c r="X19" s="17">
        <f t="shared" si="11"/>
        <v>3</v>
      </c>
      <c r="Y19" s="17">
        <f t="shared" si="11"/>
        <v>35</v>
      </c>
      <c r="Z19" s="17">
        <f t="shared" si="11"/>
        <v>9</v>
      </c>
      <c r="AA19" s="17">
        <f t="shared" si="11"/>
        <v>5</v>
      </c>
      <c r="AB19" s="17">
        <f t="shared" si="11"/>
        <v>1</v>
      </c>
      <c r="AC19" s="17">
        <f t="shared" si="11"/>
        <v>560</v>
      </c>
      <c r="AD19" s="17">
        <f t="shared" si="11"/>
        <v>0</v>
      </c>
      <c r="AE19" s="31">
        <f t="shared" si="11"/>
        <v>465</v>
      </c>
      <c r="AF19" s="31">
        <f t="shared" si="11"/>
        <v>1025</v>
      </c>
    </row>
    <row r="20" spans="2:32" ht="23.1" customHeight="1" x14ac:dyDescent="0.25">
      <c r="B20" s="23" t="s">
        <v>47</v>
      </c>
      <c r="C20" s="50">
        <v>28</v>
      </c>
      <c r="D20" s="50">
        <v>8</v>
      </c>
      <c r="E20" s="50">
        <v>3</v>
      </c>
      <c r="F20" s="50">
        <v>35</v>
      </c>
      <c r="G20" s="50">
        <v>0</v>
      </c>
      <c r="H20" s="50">
        <v>0</v>
      </c>
      <c r="I20" s="50">
        <v>5</v>
      </c>
      <c r="J20" s="50">
        <v>5</v>
      </c>
      <c r="K20" s="50">
        <v>1</v>
      </c>
      <c r="L20" s="50">
        <v>0</v>
      </c>
      <c r="M20" s="50">
        <v>90</v>
      </c>
      <c r="N20" s="50">
        <v>0</v>
      </c>
      <c r="O20" s="15">
        <f t="shared" si="0"/>
        <v>85</v>
      </c>
      <c r="P20" s="15">
        <f t="shared" si="1"/>
        <v>175</v>
      </c>
      <c r="R20" s="1" t="s">
        <v>16</v>
      </c>
      <c r="S20" s="17">
        <f t="shared" ref="S20:AF20" si="12">SUM(C50:C53)</f>
        <v>184</v>
      </c>
      <c r="T20" s="17">
        <f t="shared" si="12"/>
        <v>67</v>
      </c>
      <c r="U20" s="17">
        <f t="shared" si="12"/>
        <v>17</v>
      </c>
      <c r="V20" s="17">
        <f t="shared" si="12"/>
        <v>141</v>
      </c>
      <c r="W20" s="17">
        <f t="shared" si="12"/>
        <v>6</v>
      </c>
      <c r="X20" s="17">
        <f t="shared" si="12"/>
        <v>4</v>
      </c>
      <c r="Y20" s="17">
        <f t="shared" si="12"/>
        <v>28</v>
      </c>
      <c r="Z20" s="17">
        <f t="shared" si="12"/>
        <v>8</v>
      </c>
      <c r="AA20" s="17">
        <f t="shared" si="12"/>
        <v>9</v>
      </c>
      <c r="AB20" s="17">
        <f t="shared" si="12"/>
        <v>3</v>
      </c>
      <c r="AC20" s="17">
        <f t="shared" si="12"/>
        <v>569</v>
      </c>
      <c r="AD20" s="17">
        <f t="shared" si="12"/>
        <v>0</v>
      </c>
      <c r="AE20" s="31">
        <f t="shared" si="12"/>
        <v>467</v>
      </c>
      <c r="AF20" s="31">
        <f t="shared" si="12"/>
        <v>1036</v>
      </c>
    </row>
    <row r="21" spans="2:32" ht="23.1" customHeight="1" x14ac:dyDescent="0.25">
      <c r="B21" s="23" t="s">
        <v>48</v>
      </c>
      <c r="C21" s="50">
        <v>75</v>
      </c>
      <c r="D21" s="50">
        <v>19</v>
      </c>
      <c r="E21" s="50">
        <v>12</v>
      </c>
      <c r="F21" s="50">
        <v>56</v>
      </c>
      <c r="G21" s="50">
        <v>2</v>
      </c>
      <c r="H21" s="50">
        <v>5</v>
      </c>
      <c r="I21" s="50">
        <v>19</v>
      </c>
      <c r="J21" s="50">
        <v>2</v>
      </c>
      <c r="K21" s="50">
        <v>2</v>
      </c>
      <c r="L21" s="50">
        <v>0</v>
      </c>
      <c r="M21" s="50">
        <v>190</v>
      </c>
      <c r="N21" s="50">
        <v>0</v>
      </c>
      <c r="O21" s="15">
        <f t="shared" si="0"/>
        <v>192</v>
      </c>
      <c r="P21" s="15">
        <f t="shared" si="1"/>
        <v>382</v>
      </c>
      <c r="R21" s="36" t="s">
        <v>20</v>
      </c>
      <c r="S21" s="34">
        <f t="shared" ref="S21:AF21" si="13">SUM(C54:C57)</f>
        <v>142</v>
      </c>
      <c r="T21" s="17">
        <f t="shared" si="13"/>
        <v>30</v>
      </c>
      <c r="U21" s="17">
        <f t="shared" si="13"/>
        <v>11</v>
      </c>
      <c r="V21" s="17">
        <f t="shared" si="13"/>
        <v>106</v>
      </c>
      <c r="W21" s="17">
        <f t="shared" si="13"/>
        <v>3</v>
      </c>
      <c r="X21" s="17">
        <f t="shared" si="13"/>
        <v>0</v>
      </c>
      <c r="Y21" s="17">
        <f t="shared" si="13"/>
        <v>15</v>
      </c>
      <c r="Z21" s="17">
        <f t="shared" si="13"/>
        <v>5</v>
      </c>
      <c r="AA21" s="17">
        <f t="shared" si="13"/>
        <v>6</v>
      </c>
      <c r="AB21" s="17">
        <f t="shared" si="13"/>
        <v>2</v>
      </c>
      <c r="AC21" s="17">
        <f t="shared" si="13"/>
        <v>550</v>
      </c>
      <c r="AD21" s="17">
        <f t="shared" si="13"/>
        <v>0</v>
      </c>
      <c r="AE21" s="31">
        <f t="shared" si="13"/>
        <v>320</v>
      </c>
      <c r="AF21" s="31">
        <f t="shared" si="13"/>
        <v>870</v>
      </c>
    </row>
    <row r="22" spans="2:32" ht="23.1" customHeight="1" x14ac:dyDescent="0.25">
      <c r="B22" s="23" t="s">
        <v>49</v>
      </c>
      <c r="C22" s="50">
        <v>93</v>
      </c>
      <c r="D22" s="50">
        <v>26</v>
      </c>
      <c r="E22" s="50">
        <v>12</v>
      </c>
      <c r="F22" s="50">
        <v>79</v>
      </c>
      <c r="G22" s="50">
        <v>1</v>
      </c>
      <c r="H22" s="50">
        <v>0</v>
      </c>
      <c r="I22" s="50">
        <v>9</v>
      </c>
      <c r="J22" s="50">
        <v>1</v>
      </c>
      <c r="K22" s="50">
        <v>3</v>
      </c>
      <c r="L22" s="50">
        <v>1</v>
      </c>
      <c r="M22" s="50">
        <v>245</v>
      </c>
      <c r="N22" s="50">
        <v>0</v>
      </c>
      <c r="O22" s="15">
        <f t="shared" si="0"/>
        <v>225</v>
      </c>
      <c r="P22" s="15">
        <f t="shared" si="1"/>
        <v>470</v>
      </c>
      <c r="R22" s="38" t="s">
        <v>90</v>
      </c>
      <c r="S22" s="39">
        <f>MAX(S10:S12)</f>
        <v>308</v>
      </c>
      <c r="T22" s="39">
        <f t="shared" ref="T22:AF22" si="14">MAX(T10:T12)</f>
        <v>81</v>
      </c>
      <c r="U22" s="39">
        <f t="shared" si="14"/>
        <v>37</v>
      </c>
      <c r="V22" s="39">
        <f t="shared" si="14"/>
        <v>292</v>
      </c>
      <c r="W22" s="39">
        <f t="shared" si="14"/>
        <v>6</v>
      </c>
      <c r="X22" s="39">
        <f t="shared" si="14"/>
        <v>6</v>
      </c>
      <c r="Y22" s="39">
        <f t="shared" si="14"/>
        <v>72</v>
      </c>
      <c r="Z22" s="39">
        <f t="shared" si="14"/>
        <v>9</v>
      </c>
      <c r="AA22" s="39">
        <f t="shared" si="14"/>
        <v>4</v>
      </c>
      <c r="AB22" s="39">
        <f t="shared" si="14"/>
        <v>4</v>
      </c>
      <c r="AC22" s="39">
        <f t="shared" si="14"/>
        <v>794</v>
      </c>
      <c r="AD22" s="39">
        <f t="shared" si="14"/>
        <v>0</v>
      </c>
      <c r="AE22" s="40">
        <f t="shared" si="14"/>
        <v>816</v>
      </c>
      <c r="AF22" s="40">
        <f t="shared" si="14"/>
        <v>1610</v>
      </c>
    </row>
    <row r="23" spans="2:32" ht="23.1" customHeight="1" x14ac:dyDescent="0.25">
      <c r="B23" s="23" t="s">
        <v>50</v>
      </c>
      <c r="C23" s="50">
        <v>75</v>
      </c>
      <c r="D23" s="50">
        <v>19</v>
      </c>
      <c r="E23" s="50">
        <v>5</v>
      </c>
      <c r="F23" s="50">
        <v>46</v>
      </c>
      <c r="G23" s="50">
        <v>0</v>
      </c>
      <c r="H23" s="50">
        <v>1</v>
      </c>
      <c r="I23" s="50">
        <v>10</v>
      </c>
      <c r="J23" s="50">
        <v>4</v>
      </c>
      <c r="K23" s="50">
        <v>2</v>
      </c>
      <c r="L23" s="50">
        <v>0</v>
      </c>
      <c r="M23" s="50">
        <v>105</v>
      </c>
      <c r="N23" s="50">
        <v>0</v>
      </c>
      <c r="O23" s="15">
        <f t="shared" si="0"/>
        <v>162</v>
      </c>
      <c r="P23" s="15">
        <f t="shared" si="1"/>
        <v>267</v>
      </c>
      <c r="R23" s="38" t="s">
        <v>91</v>
      </c>
      <c r="S23" s="39">
        <f>MAX(S13:S18)</f>
        <v>276</v>
      </c>
      <c r="T23" s="39">
        <f t="shared" ref="T23:AF23" si="15">MAX(T13:T18)</f>
        <v>75</v>
      </c>
      <c r="U23" s="39">
        <f t="shared" si="15"/>
        <v>44</v>
      </c>
      <c r="V23" s="39">
        <f t="shared" si="15"/>
        <v>231</v>
      </c>
      <c r="W23" s="39">
        <f t="shared" si="15"/>
        <v>4</v>
      </c>
      <c r="X23" s="39">
        <f t="shared" si="15"/>
        <v>13</v>
      </c>
      <c r="Y23" s="39">
        <f t="shared" si="15"/>
        <v>36</v>
      </c>
      <c r="Z23" s="39">
        <f t="shared" si="15"/>
        <v>16</v>
      </c>
      <c r="AA23" s="39">
        <f t="shared" si="15"/>
        <v>8</v>
      </c>
      <c r="AB23" s="39">
        <f t="shared" si="15"/>
        <v>3</v>
      </c>
      <c r="AC23" s="39">
        <f t="shared" si="15"/>
        <v>580</v>
      </c>
      <c r="AD23" s="39">
        <f t="shared" si="15"/>
        <v>1</v>
      </c>
      <c r="AE23" s="40">
        <f t="shared" si="15"/>
        <v>674</v>
      </c>
      <c r="AF23" s="40">
        <f t="shared" si="15"/>
        <v>1254</v>
      </c>
    </row>
    <row r="24" spans="2:32" ht="23.1" customHeight="1" x14ac:dyDescent="0.25">
      <c r="B24" s="23" t="s">
        <v>51</v>
      </c>
      <c r="C24" s="50">
        <v>53</v>
      </c>
      <c r="D24" s="50">
        <v>16</v>
      </c>
      <c r="E24" s="50">
        <v>6</v>
      </c>
      <c r="F24" s="50">
        <v>59</v>
      </c>
      <c r="G24" s="50">
        <v>0</v>
      </c>
      <c r="H24" s="50">
        <v>0</v>
      </c>
      <c r="I24" s="50">
        <v>4</v>
      </c>
      <c r="J24" s="50">
        <v>4</v>
      </c>
      <c r="K24" s="50">
        <v>2</v>
      </c>
      <c r="L24" s="50">
        <v>0</v>
      </c>
      <c r="M24" s="50">
        <v>110</v>
      </c>
      <c r="N24" s="50">
        <v>0</v>
      </c>
      <c r="O24" s="15">
        <f t="shared" si="0"/>
        <v>144</v>
      </c>
      <c r="P24" s="15">
        <f t="shared" si="1"/>
        <v>254</v>
      </c>
      <c r="R24" s="38" t="s">
        <v>92</v>
      </c>
      <c r="S24" s="39">
        <f>MAX(S19:S21)</f>
        <v>189</v>
      </c>
      <c r="T24" s="39">
        <f t="shared" ref="T24:AF24" si="16">MAX(T19:T21)</f>
        <v>67</v>
      </c>
      <c r="U24" s="39">
        <f t="shared" si="16"/>
        <v>34</v>
      </c>
      <c r="V24" s="39">
        <f t="shared" si="16"/>
        <v>141</v>
      </c>
      <c r="W24" s="39">
        <f t="shared" si="16"/>
        <v>6</v>
      </c>
      <c r="X24" s="39">
        <f t="shared" si="16"/>
        <v>4</v>
      </c>
      <c r="Y24" s="39">
        <f t="shared" si="16"/>
        <v>35</v>
      </c>
      <c r="Z24" s="39">
        <f t="shared" si="16"/>
        <v>9</v>
      </c>
      <c r="AA24" s="39">
        <f t="shared" si="16"/>
        <v>9</v>
      </c>
      <c r="AB24" s="39">
        <f t="shared" si="16"/>
        <v>3</v>
      </c>
      <c r="AC24" s="39">
        <f t="shared" si="16"/>
        <v>569</v>
      </c>
      <c r="AD24" s="39">
        <f t="shared" si="16"/>
        <v>0</v>
      </c>
      <c r="AE24" s="40">
        <f t="shared" si="16"/>
        <v>467</v>
      </c>
      <c r="AF24" s="40">
        <f t="shared" si="16"/>
        <v>1036</v>
      </c>
    </row>
    <row r="25" spans="2:32" ht="23.1" customHeight="1" x14ac:dyDescent="0.25">
      <c r="B25" s="23" t="s">
        <v>52</v>
      </c>
      <c r="C25" s="50">
        <v>55</v>
      </c>
      <c r="D25" s="50">
        <v>14</v>
      </c>
      <c r="E25" s="50">
        <v>14</v>
      </c>
      <c r="F25" s="50">
        <v>47</v>
      </c>
      <c r="G25" s="50">
        <v>1</v>
      </c>
      <c r="H25" s="50">
        <v>0</v>
      </c>
      <c r="I25" s="50">
        <v>9</v>
      </c>
      <c r="J25" s="50">
        <v>0</v>
      </c>
      <c r="K25" s="50">
        <v>1</v>
      </c>
      <c r="L25" s="50">
        <v>2</v>
      </c>
      <c r="M25" s="50">
        <v>120</v>
      </c>
      <c r="N25" s="50">
        <v>0</v>
      </c>
      <c r="O25" s="15">
        <f t="shared" si="0"/>
        <v>143</v>
      </c>
      <c r="P25" s="15">
        <f t="shared" si="1"/>
        <v>263</v>
      </c>
      <c r="R25" s="37" t="s">
        <v>85</v>
      </c>
      <c r="S25" s="35">
        <f t="shared" ref="S25:AF25" si="17">SUM(S10:S12)</f>
        <v>747</v>
      </c>
      <c r="T25" s="16">
        <f t="shared" si="17"/>
        <v>211</v>
      </c>
      <c r="U25" s="16">
        <f t="shared" si="17"/>
        <v>90</v>
      </c>
      <c r="V25" s="16">
        <f t="shared" si="17"/>
        <v>654</v>
      </c>
      <c r="W25" s="16">
        <f t="shared" si="17"/>
        <v>14</v>
      </c>
      <c r="X25" s="16">
        <f t="shared" si="17"/>
        <v>14</v>
      </c>
      <c r="Y25" s="16">
        <f t="shared" si="17"/>
        <v>114</v>
      </c>
      <c r="Z25" s="16">
        <f t="shared" si="17"/>
        <v>18</v>
      </c>
      <c r="AA25" s="16">
        <f t="shared" si="17"/>
        <v>8</v>
      </c>
      <c r="AB25" s="16">
        <f t="shared" si="17"/>
        <v>5</v>
      </c>
      <c r="AC25" s="16">
        <f t="shared" si="17"/>
        <v>1709</v>
      </c>
      <c r="AD25" s="16">
        <f t="shared" si="17"/>
        <v>0</v>
      </c>
      <c r="AE25" s="32">
        <f t="shared" si="17"/>
        <v>1875</v>
      </c>
      <c r="AF25" s="32">
        <f t="shared" si="17"/>
        <v>3584</v>
      </c>
    </row>
    <row r="26" spans="2:32" ht="23.1" customHeight="1" x14ac:dyDescent="0.25">
      <c r="B26" s="23" t="s">
        <v>53</v>
      </c>
      <c r="C26" s="50">
        <v>57</v>
      </c>
      <c r="D26" s="50">
        <v>21</v>
      </c>
      <c r="E26" s="50">
        <v>11</v>
      </c>
      <c r="F26" s="50">
        <v>58</v>
      </c>
      <c r="G26" s="50">
        <v>0</v>
      </c>
      <c r="H26" s="50">
        <v>0</v>
      </c>
      <c r="I26" s="50">
        <v>8</v>
      </c>
      <c r="J26" s="50">
        <v>1</v>
      </c>
      <c r="K26" s="50">
        <v>1</v>
      </c>
      <c r="L26" s="50">
        <v>0</v>
      </c>
      <c r="M26" s="50">
        <v>117</v>
      </c>
      <c r="N26" s="50">
        <v>0</v>
      </c>
      <c r="O26" s="15">
        <f t="shared" si="0"/>
        <v>157</v>
      </c>
      <c r="P26" s="15">
        <f t="shared" si="1"/>
        <v>274</v>
      </c>
      <c r="R26" s="28" t="s">
        <v>86</v>
      </c>
      <c r="S26" s="16">
        <f t="shared" ref="S26:AF26" si="18">SUM(S13:S18)</f>
        <v>1103</v>
      </c>
      <c r="T26" s="16">
        <f t="shared" si="18"/>
        <v>360</v>
      </c>
      <c r="U26" s="16">
        <f t="shared" si="18"/>
        <v>175</v>
      </c>
      <c r="V26" s="16">
        <f t="shared" si="18"/>
        <v>965</v>
      </c>
      <c r="W26" s="16">
        <f t="shared" si="18"/>
        <v>14</v>
      </c>
      <c r="X26" s="16">
        <f t="shared" si="18"/>
        <v>30</v>
      </c>
      <c r="Y26" s="16">
        <f t="shared" si="18"/>
        <v>160</v>
      </c>
      <c r="Z26" s="16">
        <f t="shared" si="18"/>
        <v>61</v>
      </c>
      <c r="AA26" s="16">
        <f t="shared" si="18"/>
        <v>27</v>
      </c>
      <c r="AB26" s="16">
        <f t="shared" si="18"/>
        <v>7</v>
      </c>
      <c r="AC26" s="16">
        <f t="shared" si="18"/>
        <v>2495</v>
      </c>
      <c r="AD26" s="16">
        <f t="shared" si="18"/>
        <v>1</v>
      </c>
      <c r="AE26" s="32">
        <f t="shared" si="18"/>
        <v>2903</v>
      </c>
      <c r="AF26" s="32">
        <f t="shared" si="18"/>
        <v>5398</v>
      </c>
    </row>
    <row r="27" spans="2:32" ht="23.1" customHeight="1" x14ac:dyDescent="0.25">
      <c r="B27" s="23" t="s">
        <v>54</v>
      </c>
      <c r="C27" s="50">
        <v>61</v>
      </c>
      <c r="D27" s="50">
        <v>14</v>
      </c>
      <c r="E27" s="50">
        <v>11</v>
      </c>
      <c r="F27" s="50">
        <v>40</v>
      </c>
      <c r="G27" s="50">
        <v>1</v>
      </c>
      <c r="H27" s="50">
        <v>0</v>
      </c>
      <c r="I27" s="50">
        <v>9</v>
      </c>
      <c r="J27" s="50">
        <v>0</v>
      </c>
      <c r="K27" s="50">
        <v>0</v>
      </c>
      <c r="L27" s="50">
        <v>0</v>
      </c>
      <c r="M27" s="50">
        <v>119</v>
      </c>
      <c r="N27" s="50">
        <v>0</v>
      </c>
      <c r="O27" s="15">
        <f t="shared" si="0"/>
        <v>136</v>
      </c>
      <c r="P27" s="15">
        <f t="shared" si="1"/>
        <v>255</v>
      </c>
      <c r="R27" s="29" t="s">
        <v>87</v>
      </c>
      <c r="S27" s="16">
        <f t="shared" ref="S27:AF27" si="19">SUM(S19:S21)</f>
        <v>515</v>
      </c>
      <c r="T27" s="16">
        <f t="shared" si="19"/>
        <v>157</v>
      </c>
      <c r="U27" s="16">
        <f t="shared" si="19"/>
        <v>62</v>
      </c>
      <c r="V27" s="16">
        <f t="shared" si="19"/>
        <v>370</v>
      </c>
      <c r="W27" s="16">
        <f t="shared" si="19"/>
        <v>15</v>
      </c>
      <c r="X27" s="16">
        <f t="shared" si="19"/>
        <v>7</v>
      </c>
      <c r="Y27" s="16">
        <f t="shared" si="19"/>
        <v>78</v>
      </c>
      <c r="Z27" s="16">
        <f t="shared" si="19"/>
        <v>22</v>
      </c>
      <c r="AA27" s="16">
        <f t="shared" si="19"/>
        <v>20</v>
      </c>
      <c r="AB27" s="16">
        <f t="shared" si="19"/>
        <v>6</v>
      </c>
      <c r="AC27" s="16">
        <f t="shared" si="19"/>
        <v>1679</v>
      </c>
      <c r="AD27" s="16">
        <f t="shared" si="19"/>
        <v>0</v>
      </c>
      <c r="AE27" s="32">
        <f t="shared" si="19"/>
        <v>1252</v>
      </c>
      <c r="AF27" s="32">
        <f t="shared" si="19"/>
        <v>2931</v>
      </c>
    </row>
    <row r="28" spans="2:32" ht="23.1" customHeight="1" x14ac:dyDescent="0.25">
      <c r="B28" s="23" t="s">
        <v>55</v>
      </c>
      <c r="C28" s="50">
        <v>42</v>
      </c>
      <c r="D28" s="50">
        <v>15</v>
      </c>
      <c r="E28" s="50">
        <v>12</v>
      </c>
      <c r="F28" s="50">
        <v>50</v>
      </c>
      <c r="G28" s="50">
        <v>0</v>
      </c>
      <c r="H28" s="50">
        <v>0</v>
      </c>
      <c r="I28" s="50">
        <v>9</v>
      </c>
      <c r="J28" s="50">
        <v>2</v>
      </c>
      <c r="K28" s="50">
        <v>2</v>
      </c>
      <c r="L28" s="50">
        <v>1</v>
      </c>
      <c r="M28" s="50">
        <v>139</v>
      </c>
      <c r="N28" s="50">
        <v>0</v>
      </c>
      <c r="O28" s="15">
        <f t="shared" si="0"/>
        <v>133</v>
      </c>
      <c r="P28" s="15">
        <f t="shared" si="1"/>
        <v>272</v>
      </c>
      <c r="R28" s="5" t="s">
        <v>17</v>
      </c>
      <c r="S28" s="16">
        <f t="shared" ref="S28:AF28" si="20">SUM(S10:S21)</f>
        <v>2365</v>
      </c>
      <c r="T28" s="16">
        <f t="shared" si="20"/>
        <v>728</v>
      </c>
      <c r="U28" s="16">
        <f t="shared" si="20"/>
        <v>327</v>
      </c>
      <c r="V28" s="16">
        <f t="shared" si="20"/>
        <v>1989</v>
      </c>
      <c r="W28" s="16">
        <f t="shared" si="20"/>
        <v>43</v>
      </c>
      <c r="X28" s="16">
        <f t="shared" si="20"/>
        <v>51</v>
      </c>
      <c r="Y28" s="16">
        <f t="shared" si="20"/>
        <v>352</v>
      </c>
      <c r="Z28" s="16">
        <f t="shared" si="20"/>
        <v>101</v>
      </c>
      <c r="AA28" s="16">
        <f t="shared" si="20"/>
        <v>55</v>
      </c>
      <c r="AB28" s="16">
        <f t="shared" si="20"/>
        <v>18</v>
      </c>
      <c r="AC28" s="16">
        <f t="shared" si="20"/>
        <v>5883</v>
      </c>
      <c r="AD28" s="16">
        <f t="shared" si="20"/>
        <v>1</v>
      </c>
      <c r="AE28" s="32">
        <f t="shared" si="20"/>
        <v>6030</v>
      </c>
      <c r="AF28" s="32">
        <f t="shared" si="20"/>
        <v>11913</v>
      </c>
    </row>
    <row r="29" spans="2:32" ht="23.1" customHeight="1" x14ac:dyDescent="0.25">
      <c r="B29" s="23" t="s">
        <v>56</v>
      </c>
      <c r="C29" s="50">
        <v>49</v>
      </c>
      <c r="D29" s="50">
        <v>12</v>
      </c>
      <c r="E29" s="50">
        <v>10</v>
      </c>
      <c r="F29" s="50">
        <v>32</v>
      </c>
      <c r="G29" s="50">
        <v>1</v>
      </c>
      <c r="H29" s="50">
        <v>1</v>
      </c>
      <c r="I29" s="50">
        <v>5</v>
      </c>
      <c r="J29" s="50">
        <v>1</v>
      </c>
      <c r="K29" s="50">
        <v>1</v>
      </c>
      <c r="L29" s="50">
        <v>0</v>
      </c>
      <c r="M29" s="50">
        <v>110</v>
      </c>
      <c r="N29" s="50">
        <v>0</v>
      </c>
      <c r="O29" s="15">
        <f t="shared" si="0"/>
        <v>112</v>
      </c>
      <c r="P29" s="15">
        <f t="shared" si="1"/>
        <v>222</v>
      </c>
      <c r="R29"/>
      <c r="S29" s="20"/>
      <c r="T29" s="19"/>
    </row>
    <row r="30" spans="2:32" ht="23.1" customHeight="1" x14ac:dyDescent="0.25">
      <c r="B30" s="23" t="s">
        <v>57</v>
      </c>
      <c r="C30" s="50">
        <v>31</v>
      </c>
      <c r="D30" s="50">
        <v>8</v>
      </c>
      <c r="E30" s="50">
        <v>7</v>
      </c>
      <c r="F30" s="50">
        <v>23</v>
      </c>
      <c r="G30" s="50">
        <v>1</v>
      </c>
      <c r="H30" s="50">
        <v>4</v>
      </c>
      <c r="I30" s="50">
        <v>1</v>
      </c>
      <c r="J30" s="50">
        <v>0</v>
      </c>
      <c r="K30" s="50">
        <v>2</v>
      </c>
      <c r="L30" s="50">
        <v>0</v>
      </c>
      <c r="M30" s="50">
        <v>86</v>
      </c>
      <c r="N30" s="50">
        <v>0</v>
      </c>
      <c r="O30" s="15">
        <f t="shared" si="0"/>
        <v>77</v>
      </c>
      <c r="P30" s="15">
        <f t="shared" si="1"/>
        <v>163</v>
      </c>
    </row>
    <row r="31" spans="2:32" ht="23.1" customHeight="1" x14ac:dyDescent="0.25">
      <c r="B31" s="24" t="s">
        <v>58</v>
      </c>
      <c r="C31" s="50">
        <v>18</v>
      </c>
      <c r="D31" s="50">
        <v>14</v>
      </c>
      <c r="E31" s="50">
        <v>1</v>
      </c>
      <c r="F31" s="50">
        <v>29</v>
      </c>
      <c r="G31" s="50">
        <v>0</v>
      </c>
      <c r="H31" s="50">
        <v>0</v>
      </c>
      <c r="I31" s="50">
        <v>7</v>
      </c>
      <c r="J31" s="50">
        <v>1</v>
      </c>
      <c r="K31" s="50">
        <v>0</v>
      </c>
      <c r="L31" s="50">
        <v>0</v>
      </c>
      <c r="M31" s="50">
        <v>90</v>
      </c>
      <c r="N31" s="50">
        <v>0</v>
      </c>
      <c r="O31" s="15">
        <f t="shared" si="0"/>
        <v>70</v>
      </c>
      <c r="P31" s="15">
        <f t="shared" si="1"/>
        <v>160</v>
      </c>
    </row>
    <row r="32" spans="2:32" ht="23.1" customHeight="1" x14ac:dyDescent="0.25">
      <c r="B32" s="24" t="s">
        <v>59</v>
      </c>
      <c r="C32" s="50">
        <v>43</v>
      </c>
      <c r="D32" s="50">
        <v>20</v>
      </c>
      <c r="E32" s="50">
        <v>5</v>
      </c>
      <c r="F32" s="50">
        <v>42</v>
      </c>
      <c r="G32" s="50">
        <v>0</v>
      </c>
      <c r="H32" s="50">
        <v>4</v>
      </c>
      <c r="I32" s="50">
        <v>6</v>
      </c>
      <c r="J32" s="50">
        <v>3</v>
      </c>
      <c r="K32" s="50">
        <v>1</v>
      </c>
      <c r="L32" s="50">
        <v>0</v>
      </c>
      <c r="M32" s="50">
        <v>115</v>
      </c>
      <c r="N32" s="50">
        <v>0</v>
      </c>
      <c r="O32" s="15">
        <f t="shared" si="0"/>
        <v>124</v>
      </c>
      <c r="P32" s="15">
        <f t="shared" si="1"/>
        <v>239</v>
      </c>
    </row>
    <row r="33" spans="2:20" ht="23.1" customHeight="1" x14ac:dyDescent="0.25">
      <c r="B33" s="23" t="s">
        <v>60</v>
      </c>
      <c r="C33" s="50">
        <v>37</v>
      </c>
      <c r="D33" s="50">
        <v>8</v>
      </c>
      <c r="E33" s="50">
        <v>4</v>
      </c>
      <c r="F33" s="50">
        <v>29</v>
      </c>
      <c r="G33" s="50">
        <v>3</v>
      </c>
      <c r="H33" s="50">
        <v>1</v>
      </c>
      <c r="I33" s="50">
        <v>0</v>
      </c>
      <c r="J33" s="50">
        <v>12</v>
      </c>
      <c r="K33" s="50">
        <v>1</v>
      </c>
      <c r="L33" s="50">
        <v>2</v>
      </c>
      <c r="M33" s="50">
        <v>85</v>
      </c>
      <c r="N33" s="50">
        <v>0</v>
      </c>
      <c r="O33" s="15">
        <f t="shared" si="0"/>
        <v>97</v>
      </c>
      <c r="P33" s="15">
        <f t="shared" si="1"/>
        <v>182</v>
      </c>
    </row>
    <row r="34" spans="2:20" ht="23.1" customHeight="1" x14ac:dyDescent="0.25">
      <c r="B34" s="24" t="s">
        <v>61</v>
      </c>
      <c r="C34" s="50">
        <v>27</v>
      </c>
      <c r="D34" s="50">
        <v>19</v>
      </c>
      <c r="E34" s="50">
        <v>4</v>
      </c>
      <c r="F34" s="50">
        <v>28</v>
      </c>
      <c r="G34" s="50">
        <v>0</v>
      </c>
      <c r="H34" s="50">
        <v>1</v>
      </c>
      <c r="I34" s="50">
        <v>9</v>
      </c>
      <c r="J34" s="50">
        <v>1</v>
      </c>
      <c r="K34" s="50">
        <v>0</v>
      </c>
      <c r="L34" s="50">
        <v>0</v>
      </c>
      <c r="M34" s="50">
        <v>100</v>
      </c>
      <c r="N34" s="50">
        <v>0</v>
      </c>
      <c r="O34" s="15">
        <f t="shared" si="0"/>
        <v>89</v>
      </c>
      <c r="P34" s="15">
        <f t="shared" si="1"/>
        <v>189</v>
      </c>
    </row>
    <row r="35" spans="2:20" ht="23.1" customHeight="1" x14ac:dyDescent="0.25">
      <c r="B35" s="24" t="s">
        <v>62</v>
      </c>
      <c r="C35" s="50">
        <v>46</v>
      </c>
      <c r="D35" s="50">
        <v>14</v>
      </c>
      <c r="E35" s="50">
        <v>8</v>
      </c>
      <c r="F35" s="50">
        <v>38</v>
      </c>
      <c r="G35" s="50">
        <v>1</v>
      </c>
      <c r="H35" s="50">
        <v>9</v>
      </c>
      <c r="I35" s="50">
        <v>0</v>
      </c>
      <c r="J35" s="50">
        <v>9</v>
      </c>
      <c r="K35" s="50">
        <v>1</v>
      </c>
      <c r="L35" s="50">
        <v>0</v>
      </c>
      <c r="M35" s="50">
        <v>120</v>
      </c>
      <c r="N35" s="50">
        <v>0</v>
      </c>
      <c r="O35" s="15">
        <f t="shared" si="0"/>
        <v>126</v>
      </c>
      <c r="P35" s="15">
        <f t="shared" si="1"/>
        <v>246</v>
      </c>
    </row>
    <row r="36" spans="2:20" ht="23.1" customHeight="1" x14ac:dyDescent="0.25">
      <c r="B36" s="24" t="s">
        <v>63</v>
      </c>
      <c r="C36" s="50">
        <v>47</v>
      </c>
      <c r="D36" s="50">
        <v>11</v>
      </c>
      <c r="E36" s="50">
        <v>9</v>
      </c>
      <c r="F36" s="50">
        <v>28</v>
      </c>
      <c r="G36" s="50">
        <v>0</v>
      </c>
      <c r="H36" s="50">
        <v>0</v>
      </c>
      <c r="I36" s="50">
        <v>8</v>
      </c>
      <c r="J36" s="50">
        <v>1</v>
      </c>
      <c r="K36" s="50">
        <v>0</v>
      </c>
      <c r="L36" s="50">
        <v>0</v>
      </c>
      <c r="M36" s="50">
        <v>120</v>
      </c>
      <c r="N36" s="50">
        <v>0</v>
      </c>
      <c r="O36" s="15">
        <f t="shared" si="0"/>
        <v>104</v>
      </c>
      <c r="P36" s="15">
        <f t="shared" si="1"/>
        <v>224</v>
      </c>
    </row>
    <row r="37" spans="2:20" ht="23.1" customHeight="1" x14ac:dyDescent="0.25">
      <c r="B37" s="23" t="s">
        <v>64</v>
      </c>
      <c r="C37" s="50">
        <v>40</v>
      </c>
      <c r="D37" s="50">
        <v>11</v>
      </c>
      <c r="E37" s="50">
        <v>6</v>
      </c>
      <c r="F37" s="50">
        <v>37</v>
      </c>
      <c r="G37" s="50">
        <v>1</v>
      </c>
      <c r="H37" s="50">
        <v>3</v>
      </c>
      <c r="I37" s="50">
        <v>8</v>
      </c>
      <c r="J37" s="50">
        <v>5</v>
      </c>
      <c r="K37" s="50">
        <v>5</v>
      </c>
      <c r="L37" s="50">
        <v>0</v>
      </c>
      <c r="M37" s="50">
        <v>125</v>
      </c>
      <c r="N37" s="50">
        <v>1</v>
      </c>
      <c r="O37" s="15">
        <f t="shared" si="0"/>
        <v>117</v>
      </c>
      <c r="P37" s="15">
        <f t="shared" si="1"/>
        <v>242</v>
      </c>
    </row>
    <row r="38" spans="2:20" ht="23.1" customHeight="1" x14ac:dyDescent="0.25">
      <c r="B38" s="24" t="s">
        <v>65</v>
      </c>
      <c r="C38" s="50">
        <v>48</v>
      </c>
      <c r="D38" s="50">
        <v>17</v>
      </c>
      <c r="E38" s="50">
        <v>5</v>
      </c>
      <c r="F38" s="50">
        <v>36</v>
      </c>
      <c r="G38" s="50">
        <v>1</v>
      </c>
      <c r="H38" s="50">
        <v>1</v>
      </c>
      <c r="I38" s="50">
        <v>5</v>
      </c>
      <c r="J38" s="50">
        <v>2</v>
      </c>
      <c r="K38" s="50">
        <v>0</v>
      </c>
      <c r="L38" s="50">
        <v>0</v>
      </c>
      <c r="M38" s="50">
        <v>105</v>
      </c>
      <c r="N38" s="50">
        <v>0</v>
      </c>
      <c r="O38" s="15">
        <f t="shared" si="0"/>
        <v>115</v>
      </c>
      <c r="P38" s="15">
        <f t="shared" si="1"/>
        <v>220</v>
      </c>
    </row>
    <row r="39" spans="2:20" ht="23.1" customHeight="1" x14ac:dyDescent="0.25">
      <c r="B39" s="24" t="s">
        <v>66</v>
      </c>
      <c r="C39" s="50">
        <v>38</v>
      </c>
      <c r="D39" s="50">
        <v>17</v>
      </c>
      <c r="E39" s="50">
        <v>12</v>
      </c>
      <c r="F39" s="50">
        <v>43</v>
      </c>
      <c r="G39" s="50">
        <v>1</v>
      </c>
      <c r="H39" s="50">
        <v>2</v>
      </c>
      <c r="I39" s="50">
        <v>9</v>
      </c>
      <c r="J39" s="50">
        <v>3</v>
      </c>
      <c r="K39" s="50">
        <v>1</v>
      </c>
      <c r="L39" s="50">
        <v>0</v>
      </c>
      <c r="M39" s="50">
        <v>124</v>
      </c>
      <c r="N39" s="50">
        <v>0</v>
      </c>
      <c r="O39" s="15">
        <f t="shared" si="0"/>
        <v>126</v>
      </c>
      <c r="P39" s="15">
        <f t="shared" si="1"/>
        <v>250</v>
      </c>
    </row>
    <row r="40" spans="2:20" ht="23.1" customHeight="1" x14ac:dyDescent="0.25">
      <c r="B40" s="24" t="s">
        <v>67</v>
      </c>
      <c r="C40" s="50">
        <v>28</v>
      </c>
      <c r="D40" s="50">
        <v>10</v>
      </c>
      <c r="E40" s="50">
        <v>1</v>
      </c>
      <c r="F40" s="50">
        <v>32</v>
      </c>
      <c r="G40" s="50">
        <v>0</v>
      </c>
      <c r="H40" s="50">
        <v>0</v>
      </c>
      <c r="I40" s="50">
        <v>1</v>
      </c>
      <c r="J40" s="50">
        <v>2</v>
      </c>
      <c r="K40" s="50">
        <v>0</v>
      </c>
      <c r="L40" s="50">
        <v>0</v>
      </c>
      <c r="M40" s="50">
        <v>123</v>
      </c>
      <c r="N40" s="50">
        <v>0</v>
      </c>
      <c r="O40" s="15">
        <f t="shared" si="0"/>
        <v>74</v>
      </c>
      <c r="P40" s="15">
        <f t="shared" si="1"/>
        <v>197</v>
      </c>
    </row>
    <row r="41" spans="2:20" ht="23.1" customHeight="1" x14ac:dyDescent="0.25">
      <c r="B41" s="23" t="s">
        <v>68</v>
      </c>
      <c r="C41" s="50">
        <v>43</v>
      </c>
      <c r="D41" s="50">
        <v>20</v>
      </c>
      <c r="E41" s="50">
        <v>6</v>
      </c>
      <c r="F41" s="50">
        <v>45</v>
      </c>
      <c r="G41" s="50">
        <v>1</v>
      </c>
      <c r="H41" s="50">
        <v>1</v>
      </c>
      <c r="I41" s="50">
        <v>7</v>
      </c>
      <c r="J41" s="50">
        <v>3</v>
      </c>
      <c r="K41" s="50">
        <v>1</v>
      </c>
      <c r="L41" s="50">
        <v>0</v>
      </c>
      <c r="M41" s="50">
        <v>0</v>
      </c>
      <c r="N41" s="50">
        <v>0</v>
      </c>
      <c r="O41" s="15">
        <f t="shared" si="0"/>
        <v>127</v>
      </c>
      <c r="P41" s="15">
        <f t="shared" si="1"/>
        <v>127</v>
      </c>
    </row>
    <row r="42" spans="2:20" ht="23.1" customHeight="1" x14ac:dyDescent="0.25">
      <c r="B42" s="24" t="s">
        <v>69</v>
      </c>
      <c r="C42" s="50">
        <v>34</v>
      </c>
      <c r="D42" s="50">
        <v>11</v>
      </c>
      <c r="E42" s="50">
        <v>2</v>
      </c>
      <c r="F42" s="50">
        <v>37</v>
      </c>
      <c r="G42" s="50">
        <v>0</v>
      </c>
      <c r="H42" s="50">
        <v>0</v>
      </c>
      <c r="I42" s="50">
        <v>6</v>
      </c>
      <c r="J42" s="50">
        <v>2</v>
      </c>
      <c r="K42" s="50">
        <v>0</v>
      </c>
      <c r="L42" s="50">
        <v>0</v>
      </c>
      <c r="M42" s="50">
        <v>91</v>
      </c>
      <c r="N42" s="50">
        <v>0</v>
      </c>
      <c r="O42" s="15">
        <f t="shared" si="0"/>
        <v>92</v>
      </c>
      <c r="P42" s="15">
        <f t="shared" si="1"/>
        <v>183</v>
      </c>
    </row>
    <row r="43" spans="2:20" ht="23.1" customHeight="1" x14ac:dyDescent="0.25">
      <c r="B43" s="23" t="s">
        <v>70</v>
      </c>
      <c r="C43" s="50">
        <v>35</v>
      </c>
      <c r="D43" s="50">
        <v>14</v>
      </c>
      <c r="E43" s="50">
        <v>9</v>
      </c>
      <c r="F43" s="50">
        <v>34</v>
      </c>
      <c r="G43" s="50">
        <v>1</v>
      </c>
      <c r="H43" s="50">
        <v>0</v>
      </c>
      <c r="I43" s="50">
        <v>17</v>
      </c>
      <c r="J43" s="50">
        <v>1</v>
      </c>
      <c r="K43" s="50">
        <v>2</v>
      </c>
      <c r="L43" s="50"/>
      <c r="M43" s="50">
        <v>11</v>
      </c>
      <c r="N43" s="50">
        <v>0</v>
      </c>
      <c r="O43" s="15">
        <f t="shared" si="0"/>
        <v>113</v>
      </c>
      <c r="P43" s="15">
        <f t="shared" si="1"/>
        <v>124</v>
      </c>
    </row>
    <row r="44" spans="2:20" ht="23.1" customHeight="1" x14ac:dyDescent="0.25">
      <c r="B44" s="25" t="s">
        <v>71</v>
      </c>
      <c r="C44" s="50">
        <v>49</v>
      </c>
      <c r="D44" s="50">
        <v>13</v>
      </c>
      <c r="E44" s="50">
        <v>8</v>
      </c>
      <c r="F44" s="50">
        <v>36</v>
      </c>
      <c r="G44" s="50">
        <v>0</v>
      </c>
      <c r="H44" s="50">
        <v>0</v>
      </c>
      <c r="I44" s="50">
        <v>6</v>
      </c>
      <c r="J44" s="50">
        <v>2</v>
      </c>
      <c r="K44" s="50">
        <v>0</v>
      </c>
      <c r="L44" s="50">
        <v>1</v>
      </c>
      <c r="M44" s="50">
        <v>33</v>
      </c>
      <c r="N44" s="50">
        <v>0</v>
      </c>
      <c r="O44" s="15">
        <f t="shared" si="0"/>
        <v>115</v>
      </c>
      <c r="P44" s="15">
        <f t="shared" si="1"/>
        <v>148</v>
      </c>
    </row>
    <row r="45" spans="2:20" ht="23.1" customHeight="1" x14ac:dyDescent="0.25">
      <c r="B45" s="23" t="s">
        <v>72</v>
      </c>
      <c r="C45" s="50">
        <v>54</v>
      </c>
      <c r="D45" s="50">
        <v>16</v>
      </c>
      <c r="E45" s="50">
        <v>7</v>
      </c>
      <c r="F45" s="50">
        <v>37</v>
      </c>
      <c r="G45" s="50">
        <v>0</v>
      </c>
      <c r="H45" s="50">
        <v>2</v>
      </c>
      <c r="I45" s="50">
        <v>7</v>
      </c>
      <c r="J45" s="50">
        <v>1</v>
      </c>
      <c r="K45" s="50">
        <v>1</v>
      </c>
      <c r="L45" s="50">
        <v>0</v>
      </c>
      <c r="M45" s="50">
        <v>102</v>
      </c>
      <c r="N45" s="50">
        <v>0</v>
      </c>
      <c r="O45" s="15">
        <f t="shared" si="0"/>
        <v>125</v>
      </c>
      <c r="P45" s="15">
        <f t="shared" si="1"/>
        <v>227</v>
      </c>
    </row>
    <row r="46" spans="2:20" ht="23.1" customHeight="1" x14ac:dyDescent="0.25">
      <c r="B46" s="24" t="s">
        <v>73</v>
      </c>
      <c r="C46" s="50">
        <v>32</v>
      </c>
      <c r="D46" s="50">
        <v>12</v>
      </c>
      <c r="E46" s="50">
        <v>4</v>
      </c>
      <c r="F46" s="50">
        <v>21</v>
      </c>
      <c r="G46" s="50">
        <v>0</v>
      </c>
      <c r="H46" s="50">
        <v>1</v>
      </c>
      <c r="I46" s="50">
        <v>7</v>
      </c>
      <c r="J46" s="50">
        <v>1</v>
      </c>
      <c r="K46" s="50">
        <v>0</v>
      </c>
      <c r="L46" s="50">
        <v>0</v>
      </c>
      <c r="M46" s="50">
        <v>106</v>
      </c>
      <c r="N46" s="50">
        <v>0</v>
      </c>
      <c r="O46" s="15">
        <f t="shared" si="0"/>
        <v>78</v>
      </c>
      <c r="P46" s="15">
        <f t="shared" si="1"/>
        <v>184</v>
      </c>
      <c r="R46" s="8"/>
      <c r="T46"/>
    </row>
    <row r="47" spans="2:20" ht="23.1" customHeight="1" x14ac:dyDescent="0.25">
      <c r="B47" s="24" t="s">
        <v>74</v>
      </c>
      <c r="C47" s="50">
        <v>47</v>
      </c>
      <c r="D47" s="50">
        <v>13</v>
      </c>
      <c r="E47" s="50">
        <v>10</v>
      </c>
      <c r="F47" s="50">
        <v>32</v>
      </c>
      <c r="G47" s="50">
        <v>2</v>
      </c>
      <c r="H47" s="50">
        <v>0</v>
      </c>
      <c r="I47" s="50">
        <v>6</v>
      </c>
      <c r="J47" s="50">
        <v>4</v>
      </c>
      <c r="K47" s="50">
        <v>0</v>
      </c>
      <c r="L47" s="50">
        <v>0</v>
      </c>
      <c r="M47" s="50">
        <v>110</v>
      </c>
      <c r="N47" s="50">
        <v>0</v>
      </c>
      <c r="O47" s="15">
        <f t="shared" si="0"/>
        <v>114</v>
      </c>
      <c r="P47" s="15">
        <f t="shared" si="1"/>
        <v>224</v>
      </c>
      <c r="R47" s="8"/>
      <c r="T47"/>
    </row>
    <row r="48" spans="2:20" ht="23.1" customHeight="1" x14ac:dyDescent="0.25">
      <c r="B48" s="24" t="s">
        <v>75</v>
      </c>
      <c r="C48" s="50">
        <v>50</v>
      </c>
      <c r="D48" s="50">
        <v>15</v>
      </c>
      <c r="E48" s="50">
        <v>9</v>
      </c>
      <c r="F48" s="50">
        <v>26</v>
      </c>
      <c r="G48" s="50">
        <v>2</v>
      </c>
      <c r="H48" s="50">
        <v>0</v>
      </c>
      <c r="I48" s="50">
        <v>7</v>
      </c>
      <c r="J48" s="50">
        <v>3</v>
      </c>
      <c r="K48" s="50">
        <v>1</v>
      </c>
      <c r="L48" s="50">
        <v>0</v>
      </c>
      <c r="M48" s="50">
        <v>120</v>
      </c>
      <c r="N48" s="50">
        <v>0</v>
      </c>
      <c r="O48" s="15">
        <f t="shared" si="0"/>
        <v>113</v>
      </c>
      <c r="P48" s="15">
        <f t="shared" si="1"/>
        <v>233</v>
      </c>
      <c r="R48" s="8"/>
      <c r="T48"/>
    </row>
    <row r="49" spans="2:20" ht="23.1" customHeight="1" x14ac:dyDescent="0.25">
      <c r="B49" s="23" t="s">
        <v>76</v>
      </c>
      <c r="C49" s="50">
        <v>60</v>
      </c>
      <c r="D49" s="50">
        <v>20</v>
      </c>
      <c r="E49" s="50">
        <v>11</v>
      </c>
      <c r="F49" s="50">
        <v>44</v>
      </c>
      <c r="G49" s="50">
        <v>2</v>
      </c>
      <c r="H49" s="50">
        <v>2</v>
      </c>
      <c r="I49" s="50">
        <v>15</v>
      </c>
      <c r="J49" s="50">
        <v>1</v>
      </c>
      <c r="K49" s="50">
        <v>4</v>
      </c>
      <c r="L49" s="50">
        <v>1</v>
      </c>
      <c r="M49" s="50">
        <v>224</v>
      </c>
      <c r="N49" s="50">
        <v>0</v>
      </c>
      <c r="O49" s="15">
        <f t="shared" si="0"/>
        <v>160</v>
      </c>
      <c r="P49" s="15">
        <f t="shared" si="1"/>
        <v>384</v>
      </c>
      <c r="R49" s="8"/>
      <c r="T49"/>
    </row>
    <row r="50" spans="2:20" ht="23.1" customHeight="1" x14ac:dyDescent="0.25">
      <c r="B50" s="24" t="s">
        <v>77</v>
      </c>
      <c r="C50" s="50">
        <v>65</v>
      </c>
      <c r="D50" s="50">
        <v>20</v>
      </c>
      <c r="E50" s="50">
        <v>9</v>
      </c>
      <c r="F50" s="50">
        <v>41</v>
      </c>
      <c r="G50" s="50">
        <v>1</v>
      </c>
      <c r="H50" s="50">
        <v>1</v>
      </c>
      <c r="I50" s="50">
        <v>5</v>
      </c>
      <c r="J50" s="50">
        <v>3</v>
      </c>
      <c r="K50" s="50">
        <v>4</v>
      </c>
      <c r="L50" s="50">
        <v>1</v>
      </c>
      <c r="M50" s="50">
        <v>215</v>
      </c>
      <c r="N50" s="50">
        <v>0</v>
      </c>
      <c r="O50" s="15">
        <f t="shared" si="0"/>
        <v>150</v>
      </c>
      <c r="P50" s="15">
        <f t="shared" si="1"/>
        <v>365</v>
      </c>
      <c r="R50" s="8"/>
      <c r="T50"/>
    </row>
    <row r="51" spans="2:20" ht="23.1" customHeight="1" x14ac:dyDescent="0.25">
      <c r="B51" s="24" t="s">
        <v>78</v>
      </c>
      <c r="C51" s="50">
        <v>29</v>
      </c>
      <c r="D51" s="50">
        <v>15</v>
      </c>
      <c r="E51" s="50">
        <v>2</v>
      </c>
      <c r="F51" s="50">
        <v>26</v>
      </c>
      <c r="G51" s="50">
        <v>1</v>
      </c>
      <c r="H51" s="50">
        <v>2</v>
      </c>
      <c r="I51" s="50">
        <v>7</v>
      </c>
      <c r="J51" s="50">
        <v>2</v>
      </c>
      <c r="K51" s="50">
        <v>0</v>
      </c>
      <c r="L51" s="50">
        <v>0</v>
      </c>
      <c r="M51" s="50">
        <v>16</v>
      </c>
      <c r="N51" s="50">
        <v>0</v>
      </c>
      <c r="O51" s="15">
        <f t="shared" si="0"/>
        <v>84</v>
      </c>
      <c r="P51" s="15">
        <f t="shared" si="1"/>
        <v>100</v>
      </c>
      <c r="R51" s="8"/>
      <c r="T51"/>
    </row>
    <row r="52" spans="2:20" ht="23.1" customHeight="1" x14ac:dyDescent="0.25">
      <c r="B52" s="24" t="s">
        <v>79</v>
      </c>
      <c r="C52" s="50">
        <v>45</v>
      </c>
      <c r="D52" s="50">
        <v>12</v>
      </c>
      <c r="E52" s="50">
        <v>3</v>
      </c>
      <c r="F52" s="50">
        <v>39</v>
      </c>
      <c r="G52" s="50">
        <v>1</v>
      </c>
      <c r="H52" s="50">
        <v>0</v>
      </c>
      <c r="I52" s="50">
        <v>9</v>
      </c>
      <c r="J52" s="50">
        <v>2</v>
      </c>
      <c r="K52" s="50">
        <v>0</v>
      </c>
      <c r="L52" s="50">
        <v>0</v>
      </c>
      <c r="M52" s="50">
        <v>163</v>
      </c>
      <c r="N52" s="50">
        <v>0</v>
      </c>
      <c r="O52" s="15">
        <f t="shared" si="0"/>
        <v>111</v>
      </c>
      <c r="P52" s="15">
        <f t="shared" si="1"/>
        <v>274</v>
      </c>
      <c r="R52" s="8"/>
      <c r="T52"/>
    </row>
    <row r="53" spans="2:20" ht="23.1" customHeight="1" x14ac:dyDescent="0.25">
      <c r="B53" s="23" t="s">
        <v>80</v>
      </c>
      <c r="C53" s="50">
        <v>45</v>
      </c>
      <c r="D53" s="50">
        <v>20</v>
      </c>
      <c r="E53" s="50">
        <v>3</v>
      </c>
      <c r="F53" s="50">
        <v>35</v>
      </c>
      <c r="G53" s="50">
        <v>3</v>
      </c>
      <c r="H53" s="50">
        <v>1</v>
      </c>
      <c r="I53" s="50">
        <v>7</v>
      </c>
      <c r="J53" s="50">
        <v>1</v>
      </c>
      <c r="K53" s="50">
        <v>5</v>
      </c>
      <c r="L53" s="50">
        <v>2</v>
      </c>
      <c r="M53" s="50">
        <v>175</v>
      </c>
      <c r="N53" s="50">
        <v>0</v>
      </c>
      <c r="O53" s="15">
        <f t="shared" si="0"/>
        <v>122</v>
      </c>
      <c r="P53" s="15">
        <f t="shared" si="1"/>
        <v>297</v>
      </c>
      <c r="R53" s="8"/>
      <c r="T53"/>
    </row>
    <row r="54" spans="2:20" ht="23.1" customHeight="1" x14ac:dyDescent="0.25">
      <c r="B54" s="23" t="s">
        <v>81</v>
      </c>
      <c r="C54" s="50">
        <v>41</v>
      </c>
      <c r="D54" s="50">
        <v>11</v>
      </c>
      <c r="E54" s="50">
        <v>8</v>
      </c>
      <c r="F54" s="50">
        <v>28</v>
      </c>
      <c r="G54" s="50">
        <v>2</v>
      </c>
      <c r="H54" s="50">
        <v>0</v>
      </c>
      <c r="I54" s="50">
        <v>6</v>
      </c>
      <c r="J54" s="50">
        <v>1</v>
      </c>
      <c r="K54" s="50">
        <v>2</v>
      </c>
      <c r="L54" s="50">
        <v>1</v>
      </c>
      <c r="M54" s="50">
        <v>195</v>
      </c>
      <c r="N54" s="50">
        <v>0</v>
      </c>
      <c r="O54" s="15">
        <f t="shared" si="0"/>
        <v>100</v>
      </c>
      <c r="P54" s="15">
        <f t="shared" si="1"/>
        <v>295</v>
      </c>
      <c r="R54" s="8"/>
      <c r="T54"/>
    </row>
    <row r="55" spans="2:20" ht="23.1" customHeight="1" x14ac:dyDescent="0.25">
      <c r="B55" s="23" t="s">
        <v>82</v>
      </c>
      <c r="C55" s="50">
        <v>36</v>
      </c>
      <c r="D55" s="50">
        <v>8</v>
      </c>
      <c r="E55" s="50">
        <v>1</v>
      </c>
      <c r="F55" s="50">
        <v>25</v>
      </c>
      <c r="G55" s="50">
        <v>0</v>
      </c>
      <c r="H55" s="50">
        <v>0</v>
      </c>
      <c r="I55" s="50">
        <v>7</v>
      </c>
      <c r="J55" s="50">
        <v>2</v>
      </c>
      <c r="K55" s="50">
        <v>2</v>
      </c>
      <c r="L55" s="50">
        <v>1</v>
      </c>
      <c r="M55" s="50">
        <v>155</v>
      </c>
      <c r="N55" s="50">
        <v>0</v>
      </c>
      <c r="O55" s="15">
        <f t="shared" si="0"/>
        <v>82</v>
      </c>
      <c r="P55" s="15">
        <f t="shared" si="1"/>
        <v>237</v>
      </c>
      <c r="R55" s="8"/>
      <c r="T55"/>
    </row>
    <row r="56" spans="2:20" ht="23.1" customHeight="1" x14ac:dyDescent="0.25">
      <c r="B56" s="23" t="s">
        <v>83</v>
      </c>
      <c r="C56" s="50">
        <v>36</v>
      </c>
      <c r="D56" s="50">
        <v>4</v>
      </c>
      <c r="E56" s="50">
        <v>0</v>
      </c>
      <c r="F56" s="50">
        <v>25</v>
      </c>
      <c r="G56" s="50">
        <v>1</v>
      </c>
      <c r="H56" s="50">
        <v>0</v>
      </c>
      <c r="I56" s="50">
        <v>0</v>
      </c>
      <c r="J56" s="50">
        <v>2</v>
      </c>
      <c r="K56" s="50">
        <v>2</v>
      </c>
      <c r="L56" s="50">
        <v>0</v>
      </c>
      <c r="M56" s="50">
        <v>90</v>
      </c>
      <c r="N56" s="50">
        <v>0</v>
      </c>
      <c r="O56" s="15">
        <f t="shared" si="0"/>
        <v>70</v>
      </c>
      <c r="P56" s="15">
        <f t="shared" si="1"/>
        <v>160</v>
      </c>
      <c r="R56" s="8"/>
      <c r="T56"/>
    </row>
    <row r="57" spans="2:20" ht="23.1" customHeight="1" x14ac:dyDescent="0.25">
      <c r="B57" s="23" t="s">
        <v>84</v>
      </c>
      <c r="C57" s="50">
        <v>29</v>
      </c>
      <c r="D57" s="50">
        <v>7</v>
      </c>
      <c r="E57" s="50">
        <v>2</v>
      </c>
      <c r="F57" s="50">
        <v>28</v>
      </c>
      <c r="G57" s="50">
        <v>0</v>
      </c>
      <c r="H57" s="50">
        <v>0</v>
      </c>
      <c r="I57" s="50">
        <v>2</v>
      </c>
      <c r="J57" s="50">
        <v>0</v>
      </c>
      <c r="K57" s="50">
        <v>0</v>
      </c>
      <c r="L57" s="50">
        <v>0</v>
      </c>
      <c r="M57" s="50">
        <v>110</v>
      </c>
      <c r="N57" s="50">
        <v>0</v>
      </c>
      <c r="O57" s="15">
        <f t="shared" si="0"/>
        <v>68</v>
      </c>
      <c r="P57" s="15">
        <f t="shared" si="1"/>
        <v>178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2365</v>
      </c>
      <c r="D58" s="16">
        <f t="shared" si="21"/>
        <v>728</v>
      </c>
      <c r="E58" s="16">
        <f t="shared" si="21"/>
        <v>327</v>
      </c>
      <c r="F58" s="16">
        <f t="shared" si="21"/>
        <v>1989</v>
      </c>
      <c r="G58" s="16">
        <f t="shared" si="21"/>
        <v>43</v>
      </c>
      <c r="H58" s="16">
        <f t="shared" si="21"/>
        <v>51</v>
      </c>
      <c r="I58" s="16">
        <f t="shared" si="21"/>
        <v>352</v>
      </c>
      <c r="J58" s="16">
        <f t="shared" si="21"/>
        <v>101</v>
      </c>
      <c r="K58" s="16">
        <f t="shared" si="21"/>
        <v>55</v>
      </c>
      <c r="L58" s="16">
        <f t="shared" si="21"/>
        <v>18</v>
      </c>
      <c r="M58" s="16">
        <f t="shared" si="21"/>
        <v>5883</v>
      </c>
      <c r="N58" s="16">
        <f t="shared" si="21"/>
        <v>1</v>
      </c>
      <c r="O58" s="16">
        <f t="shared" si="21"/>
        <v>6030</v>
      </c>
      <c r="P58" s="16">
        <f t="shared" si="21"/>
        <v>11913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0.19852262234533702</v>
      </c>
      <c r="D59" s="43">
        <f t="shared" si="22"/>
        <v>6.1109712079241166E-2</v>
      </c>
      <c r="E59" s="43">
        <f t="shared" si="22"/>
        <v>2.7449005288340468E-2</v>
      </c>
      <c r="F59" s="43">
        <f t="shared" si="22"/>
        <v>0.16696046335935533</v>
      </c>
      <c r="G59" s="43">
        <f t="shared" si="22"/>
        <v>3.6095022244606732E-3</v>
      </c>
      <c r="H59" s="43">
        <f t="shared" si="22"/>
        <v>4.2810375220347519E-3</v>
      </c>
      <c r="I59" s="43">
        <f t="shared" si="22"/>
        <v>2.9547553093259463E-2</v>
      </c>
      <c r="J59" s="43">
        <f t="shared" si="22"/>
        <v>8.4781331318727442E-3</v>
      </c>
      <c r="K59" s="43">
        <f t="shared" si="22"/>
        <v>4.6168051708217915E-3</v>
      </c>
      <c r="L59" s="43">
        <f t="shared" si="22"/>
        <v>1.5109544195416771E-3</v>
      </c>
      <c r="M59" s="43">
        <f t="shared" si="22"/>
        <v>0.49383026945353814</v>
      </c>
      <c r="N59" s="43">
        <f t="shared" si="22"/>
        <v>8.3941912196759848E-5</v>
      </c>
      <c r="R59" s="8"/>
      <c r="T59"/>
    </row>
    <row r="60" spans="2:20" ht="23.1" customHeight="1" x14ac:dyDescent="0.25">
      <c r="B60" s="42" t="s">
        <v>94</v>
      </c>
      <c r="C60" s="44">
        <f>C58/$O$58</f>
        <v>0.39220563847429518</v>
      </c>
      <c r="D60" s="44">
        <f t="shared" ref="D60:N60" si="23">D58/$O$58</f>
        <v>0.12072968490878938</v>
      </c>
      <c r="E60" s="44">
        <f t="shared" si="23"/>
        <v>5.4228855721393035E-2</v>
      </c>
      <c r="F60" s="44">
        <f t="shared" si="23"/>
        <v>0.32985074626865674</v>
      </c>
      <c r="G60" s="44">
        <f t="shared" si="23"/>
        <v>7.1310116086235487E-3</v>
      </c>
      <c r="H60" s="44">
        <f t="shared" si="23"/>
        <v>8.4577114427860697E-3</v>
      </c>
      <c r="I60" s="44">
        <f t="shared" si="23"/>
        <v>5.8374792703150914E-2</v>
      </c>
      <c r="J60" s="44">
        <f t="shared" si="23"/>
        <v>1.6749585406301823E-2</v>
      </c>
      <c r="K60" s="44">
        <f t="shared" si="23"/>
        <v>9.1210613598673301E-3</v>
      </c>
      <c r="L60" s="44">
        <f t="shared" si="23"/>
        <v>2.9850746268656717E-3</v>
      </c>
      <c r="M60" s="44"/>
      <c r="N60" s="44">
        <f t="shared" si="23"/>
        <v>1.6583747927031509E-4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G5:H5"/>
    <mergeCell ref="G6:H6"/>
    <mergeCell ref="R8:AF8"/>
    <mergeCell ref="B1:AE1"/>
    <mergeCell ref="B2:AE2"/>
    <mergeCell ref="C3:G3"/>
    <mergeCell ref="D6:E6"/>
    <mergeCell ref="K6:L6"/>
    <mergeCell ref="K5:L5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F126"/>
  <sheetViews>
    <sheetView view="pageBreakPreview" zoomScale="60" workbookViewId="0">
      <selection activeCell="G14" sqref="G14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64" t="s">
        <v>23</v>
      </c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  <c r="S1" s="64"/>
      <c r="T1" s="64"/>
      <c r="U1" s="64"/>
      <c r="V1" s="64"/>
      <c r="W1" s="64"/>
      <c r="X1" s="64"/>
      <c r="Y1" s="64"/>
      <c r="Z1" s="64"/>
      <c r="AA1" s="64"/>
      <c r="AB1" s="64"/>
      <c r="AC1" s="64"/>
      <c r="AD1" s="64"/>
      <c r="AE1" s="64"/>
    </row>
    <row r="2" spans="2:32" ht="20.100000000000001" customHeight="1" x14ac:dyDescent="0.25">
      <c r="B2" s="65" t="s">
        <v>95</v>
      </c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  <c r="AA2" s="65"/>
      <c r="AB2" s="65"/>
      <c r="AC2" s="65"/>
      <c r="AD2" s="65"/>
      <c r="AE2" s="65"/>
    </row>
    <row r="3" spans="2:32" ht="20.100000000000001" customHeight="1" x14ac:dyDescent="0.25">
      <c r="B3" s="22" t="s">
        <v>96</v>
      </c>
      <c r="C3" s="66" t="s">
        <v>183</v>
      </c>
      <c r="D3" s="66"/>
      <c r="E3" s="66"/>
      <c r="F3" s="66"/>
      <c r="G3" s="66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51">
        <f>'22.07 Bwaise-Makerere'!D5</f>
        <v>43668</v>
      </c>
      <c r="E5" s="3"/>
      <c r="F5" s="41" t="s">
        <v>1</v>
      </c>
      <c r="G5" s="67" t="s">
        <v>176</v>
      </c>
      <c r="H5" s="68"/>
      <c r="I5" s="14"/>
      <c r="J5" s="2" t="s">
        <v>5</v>
      </c>
      <c r="K5" s="67" t="s">
        <v>177</v>
      </c>
      <c r="L5" s="68"/>
      <c r="M5" s="10"/>
      <c r="N5" s="10"/>
      <c r="O5" s="3"/>
      <c r="P5" s="3"/>
    </row>
    <row r="6" spans="2:32" ht="23.25" customHeight="1" x14ac:dyDescent="0.25">
      <c r="C6" s="2" t="s">
        <v>4</v>
      </c>
      <c r="D6" s="61" t="s">
        <v>175</v>
      </c>
      <c r="E6" s="62"/>
      <c r="F6" s="2" t="s">
        <v>2</v>
      </c>
      <c r="G6" s="61" t="s">
        <v>169</v>
      </c>
      <c r="H6" s="62"/>
      <c r="J6" s="2" t="s">
        <v>21</v>
      </c>
      <c r="K6" s="67" t="str">
        <f>'22.07 Bwaise-Makerere'!K6:L6</f>
        <v>SALIMAH</v>
      </c>
      <c r="L6" s="68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63" t="s">
        <v>88</v>
      </c>
      <c r="S8" s="63"/>
      <c r="T8" s="63"/>
      <c r="U8" s="63"/>
      <c r="V8" s="63"/>
      <c r="W8" s="63"/>
      <c r="X8" s="63"/>
      <c r="Y8" s="63"/>
      <c r="Z8" s="63"/>
      <c r="AA8" s="63"/>
      <c r="AB8" s="63"/>
      <c r="AC8" s="63"/>
      <c r="AD8" s="63"/>
      <c r="AE8" s="63"/>
      <c r="AF8" s="63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55</v>
      </c>
      <c r="D10" s="50">
        <v>10</v>
      </c>
      <c r="E10" s="50">
        <v>4</v>
      </c>
      <c r="F10" s="50">
        <v>45</v>
      </c>
      <c r="G10" s="50">
        <v>0</v>
      </c>
      <c r="H10" s="50">
        <v>0</v>
      </c>
      <c r="I10" s="50">
        <v>6</v>
      </c>
      <c r="J10" s="50">
        <v>3</v>
      </c>
      <c r="K10" s="50">
        <v>1</v>
      </c>
      <c r="L10" s="50">
        <v>0</v>
      </c>
      <c r="M10" s="50">
        <v>115</v>
      </c>
      <c r="N10" s="50">
        <v>0</v>
      </c>
      <c r="O10" s="15">
        <f t="shared" ref="O10:O57" si="0">SUM(C10:L10,N10)</f>
        <v>124</v>
      </c>
      <c r="P10" s="15">
        <f t="shared" ref="P10:P57" si="1">SUM(C10:N10)</f>
        <v>239</v>
      </c>
      <c r="R10" s="1" t="s">
        <v>6</v>
      </c>
      <c r="S10" s="17">
        <f t="shared" ref="S10:AF10" si="2">SUM(C10:C13)</f>
        <v>128</v>
      </c>
      <c r="T10" s="17">
        <f t="shared" si="2"/>
        <v>25</v>
      </c>
      <c r="U10" s="17">
        <f t="shared" si="2"/>
        <v>11</v>
      </c>
      <c r="V10" s="17">
        <f t="shared" si="2"/>
        <v>142</v>
      </c>
      <c r="W10" s="17">
        <f t="shared" si="2"/>
        <v>2</v>
      </c>
      <c r="X10" s="17">
        <f t="shared" si="2"/>
        <v>2</v>
      </c>
      <c r="Y10" s="17">
        <f t="shared" si="2"/>
        <v>11</v>
      </c>
      <c r="Z10" s="17">
        <f t="shared" si="2"/>
        <v>4</v>
      </c>
      <c r="AA10" s="17">
        <f t="shared" si="2"/>
        <v>4</v>
      </c>
      <c r="AB10" s="17">
        <f t="shared" si="2"/>
        <v>0</v>
      </c>
      <c r="AC10" s="17">
        <f t="shared" si="2"/>
        <v>680</v>
      </c>
      <c r="AD10" s="17">
        <f t="shared" si="2"/>
        <v>0</v>
      </c>
      <c r="AE10" s="31">
        <f t="shared" si="2"/>
        <v>329</v>
      </c>
      <c r="AF10" s="31">
        <f t="shared" si="2"/>
        <v>1009</v>
      </c>
    </row>
    <row r="11" spans="2:32" s="6" customFormat="1" ht="23.1" customHeight="1" x14ac:dyDescent="0.25">
      <c r="B11" s="23" t="s">
        <v>38</v>
      </c>
      <c r="C11" s="50">
        <v>23</v>
      </c>
      <c r="D11" s="50">
        <v>7</v>
      </c>
      <c r="E11" s="50">
        <v>4</v>
      </c>
      <c r="F11" s="50">
        <v>2</v>
      </c>
      <c r="G11" s="50">
        <v>0</v>
      </c>
      <c r="H11" s="50">
        <v>1</v>
      </c>
      <c r="I11" s="50">
        <v>1</v>
      </c>
      <c r="J11" s="50">
        <v>1</v>
      </c>
      <c r="K11" s="50">
        <v>1</v>
      </c>
      <c r="L11" s="50">
        <v>0</v>
      </c>
      <c r="M11" s="50">
        <v>170</v>
      </c>
      <c r="N11" s="50">
        <v>0</v>
      </c>
      <c r="O11" s="15">
        <f t="shared" si="0"/>
        <v>40</v>
      </c>
      <c r="P11" s="15">
        <f t="shared" si="1"/>
        <v>210</v>
      </c>
      <c r="R11" s="1" t="s">
        <v>7</v>
      </c>
      <c r="S11" s="17">
        <f t="shared" ref="S11:AF11" si="3">SUM(C14:C17)</f>
        <v>130</v>
      </c>
      <c r="T11" s="17">
        <f t="shared" si="3"/>
        <v>21</v>
      </c>
      <c r="U11" s="17">
        <f t="shared" si="3"/>
        <v>7</v>
      </c>
      <c r="V11" s="17">
        <f t="shared" si="3"/>
        <v>232</v>
      </c>
      <c r="W11" s="17">
        <f t="shared" si="3"/>
        <v>4</v>
      </c>
      <c r="X11" s="17">
        <f t="shared" si="3"/>
        <v>2</v>
      </c>
      <c r="Y11" s="17">
        <f t="shared" si="3"/>
        <v>15</v>
      </c>
      <c r="Z11" s="17">
        <f t="shared" si="3"/>
        <v>6</v>
      </c>
      <c r="AA11" s="17">
        <f t="shared" si="3"/>
        <v>3</v>
      </c>
      <c r="AB11" s="17">
        <f t="shared" si="3"/>
        <v>3</v>
      </c>
      <c r="AC11" s="17">
        <f t="shared" si="3"/>
        <v>1765</v>
      </c>
      <c r="AD11" s="17">
        <f t="shared" si="3"/>
        <v>0</v>
      </c>
      <c r="AE11" s="31">
        <f t="shared" si="3"/>
        <v>423</v>
      </c>
      <c r="AF11" s="31">
        <f t="shared" si="3"/>
        <v>2188</v>
      </c>
    </row>
    <row r="12" spans="2:32" ht="23.1" customHeight="1" x14ac:dyDescent="0.25">
      <c r="B12" s="23" t="s">
        <v>39</v>
      </c>
      <c r="C12" s="50">
        <v>25</v>
      </c>
      <c r="D12" s="50">
        <v>5</v>
      </c>
      <c r="E12" s="50">
        <v>2</v>
      </c>
      <c r="F12" s="50">
        <v>55</v>
      </c>
      <c r="G12" s="50">
        <v>2</v>
      </c>
      <c r="H12" s="50">
        <v>1</v>
      </c>
      <c r="I12" s="50">
        <v>1</v>
      </c>
      <c r="J12" s="50">
        <v>0</v>
      </c>
      <c r="K12" s="50">
        <v>1</v>
      </c>
      <c r="L12" s="50">
        <v>0</v>
      </c>
      <c r="M12" s="50">
        <v>180</v>
      </c>
      <c r="N12" s="50">
        <v>0</v>
      </c>
      <c r="O12" s="15">
        <f t="shared" si="0"/>
        <v>92</v>
      </c>
      <c r="P12" s="15">
        <f t="shared" si="1"/>
        <v>272</v>
      </c>
      <c r="R12" s="1" t="s">
        <v>8</v>
      </c>
      <c r="S12" s="17">
        <f t="shared" ref="S12:AF12" si="4">SUM(C18:C21)</f>
        <v>87</v>
      </c>
      <c r="T12" s="17">
        <f t="shared" si="4"/>
        <v>27</v>
      </c>
      <c r="U12" s="17">
        <f t="shared" si="4"/>
        <v>8</v>
      </c>
      <c r="V12" s="17">
        <f t="shared" si="4"/>
        <v>202</v>
      </c>
      <c r="W12" s="17">
        <f t="shared" si="4"/>
        <v>5</v>
      </c>
      <c r="X12" s="17">
        <f t="shared" si="4"/>
        <v>5</v>
      </c>
      <c r="Y12" s="17">
        <f t="shared" si="4"/>
        <v>9</v>
      </c>
      <c r="Z12" s="17">
        <f t="shared" si="4"/>
        <v>1</v>
      </c>
      <c r="AA12" s="17">
        <f t="shared" si="4"/>
        <v>2</v>
      </c>
      <c r="AB12" s="17">
        <f t="shared" si="4"/>
        <v>1</v>
      </c>
      <c r="AC12" s="17">
        <f t="shared" si="4"/>
        <v>534</v>
      </c>
      <c r="AD12" s="17">
        <f t="shared" si="4"/>
        <v>0</v>
      </c>
      <c r="AE12" s="31">
        <f t="shared" si="4"/>
        <v>347</v>
      </c>
      <c r="AF12" s="31">
        <f t="shared" si="4"/>
        <v>881</v>
      </c>
    </row>
    <row r="13" spans="2:32" ht="23.1" customHeight="1" x14ac:dyDescent="0.25">
      <c r="B13" s="23" t="s">
        <v>40</v>
      </c>
      <c r="C13" s="50">
        <v>25</v>
      </c>
      <c r="D13" s="50">
        <v>3</v>
      </c>
      <c r="E13" s="50">
        <v>1</v>
      </c>
      <c r="F13" s="50">
        <v>40</v>
      </c>
      <c r="G13" s="50">
        <v>0</v>
      </c>
      <c r="H13" s="50">
        <v>0</v>
      </c>
      <c r="I13" s="50">
        <v>3</v>
      </c>
      <c r="J13" s="50">
        <v>0</v>
      </c>
      <c r="K13" s="50">
        <v>1</v>
      </c>
      <c r="L13" s="50">
        <v>0</v>
      </c>
      <c r="M13" s="50">
        <v>215</v>
      </c>
      <c r="N13" s="50">
        <v>0</v>
      </c>
      <c r="O13" s="15">
        <f t="shared" si="0"/>
        <v>73</v>
      </c>
      <c r="P13" s="15">
        <f t="shared" si="1"/>
        <v>288</v>
      </c>
      <c r="R13" s="1" t="s">
        <v>9</v>
      </c>
      <c r="S13" s="17">
        <f t="shared" ref="S13:AF13" si="5">SUM(C22:C25)</f>
        <v>108</v>
      </c>
      <c r="T13" s="17">
        <f t="shared" si="5"/>
        <v>36</v>
      </c>
      <c r="U13" s="17">
        <f t="shared" si="5"/>
        <v>13</v>
      </c>
      <c r="V13" s="17">
        <f t="shared" si="5"/>
        <v>216</v>
      </c>
      <c r="W13" s="17">
        <f t="shared" si="5"/>
        <v>3</v>
      </c>
      <c r="X13" s="17">
        <f t="shared" si="5"/>
        <v>7</v>
      </c>
      <c r="Y13" s="17">
        <f t="shared" si="5"/>
        <v>14</v>
      </c>
      <c r="Z13" s="17">
        <f t="shared" si="5"/>
        <v>14</v>
      </c>
      <c r="AA13" s="17">
        <f t="shared" si="5"/>
        <v>1</v>
      </c>
      <c r="AB13" s="17">
        <f t="shared" si="5"/>
        <v>4</v>
      </c>
      <c r="AC13" s="17">
        <f t="shared" si="5"/>
        <v>824</v>
      </c>
      <c r="AD13" s="17">
        <f t="shared" si="5"/>
        <v>0</v>
      </c>
      <c r="AE13" s="31">
        <f t="shared" si="5"/>
        <v>416</v>
      </c>
      <c r="AF13" s="31">
        <f t="shared" si="5"/>
        <v>1240</v>
      </c>
    </row>
    <row r="14" spans="2:32" ht="23.1" customHeight="1" x14ac:dyDescent="0.25">
      <c r="B14" s="23" t="s">
        <v>41</v>
      </c>
      <c r="C14" s="50">
        <v>24</v>
      </c>
      <c r="D14" s="50">
        <v>3</v>
      </c>
      <c r="E14" s="50">
        <v>1</v>
      </c>
      <c r="F14" s="50">
        <v>45</v>
      </c>
      <c r="G14" s="50">
        <v>2</v>
      </c>
      <c r="H14" s="50">
        <v>1</v>
      </c>
      <c r="I14" s="50">
        <v>0</v>
      </c>
      <c r="J14" s="50">
        <v>2</v>
      </c>
      <c r="K14" s="50">
        <v>0</v>
      </c>
      <c r="L14" s="50">
        <v>1</v>
      </c>
      <c r="M14" s="50">
        <v>205</v>
      </c>
      <c r="N14" s="50">
        <v>0</v>
      </c>
      <c r="O14" s="15">
        <f t="shared" si="0"/>
        <v>79</v>
      </c>
      <c r="P14" s="15">
        <f t="shared" si="1"/>
        <v>284</v>
      </c>
      <c r="R14" s="1" t="s">
        <v>10</v>
      </c>
      <c r="S14" s="17">
        <f t="shared" ref="S14:AF14" si="6">SUM(C26:C29)</f>
        <v>135</v>
      </c>
      <c r="T14" s="17">
        <f t="shared" si="6"/>
        <v>22</v>
      </c>
      <c r="U14" s="17">
        <f t="shared" si="6"/>
        <v>15</v>
      </c>
      <c r="V14" s="17">
        <f t="shared" si="6"/>
        <v>180</v>
      </c>
      <c r="W14" s="17">
        <f t="shared" si="6"/>
        <v>2</v>
      </c>
      <c r="X14" s="17">
        <f t="shared" si="6"/>
        <v>18</v>
      </c>
      <c r="Y14" s="17">
        <f t="shared" si="6"/>
        <v>7</v>
      </c>
      <c r="Z14" s="17">
        <f t="shared" si="6"/>
        <v>14</v>
      </c>
      <c r="AA14" s="17">
        <f t="shared" si="6"/>
        <v>2</v>
      </c>
      <c r="AB14" s="17">
        <f t="shared" si="6"/>
        <v>0</v>
      </c>
      <c r="AC14" s="17">
        <f t="shared" si="6"/>
        <v>636</v>
      </c>
      <c r="AD14" s="17">
        <f t="shared" si="6"/>
        <v>0</v>
      </c>
      <c r="AE14" s="31">
        <f t="shared" si="6"/>
        <v>395</v>
      </c>
      <c r="AF14" s="31">
        <f t="shared" si="6"/>
        <v>1031</v>
      </c>
    </row>
    <row r="15" spans="2:32" ht="23.1" customHeight="1" x14ac:dyDescent="0.25">
      <c r="B15" s="23" t="s">
        <v>42</v>
      </c>
      <c r="C15" s="50">
        <v>30</v>
      </c>
      <c r="D15" s="50">
        <v>8</v>
      </c>
      <c r="E15" s="50">
        <v>1</v>
      </c>
      <c r="F15" s="50">
        <v>55</v>
      </c>
      <c r="G15" s="50">
        <v>1</v>
      </c>
      <c r="H15" s="50">
        <v>1</v>
      </c>
      <c r="I15" s="50">
        <v>4</v>
      </c>
      <c r="J15" s="50">
        <v>0</v>
      </c>
      <c r="K15" s="50">
        <v>2</v>
      </c>
      <c r="L15" s="50">
        <v>1</v>
      </c>
      <c r="M15" s="50">
        <v>200</v>
      </c>
      <c r="N15" s="50">
        <v>0</v>
      </c>
      <c r="O15" s="15">
        <f t="shared" si="0"/>
        <v>103</v>
      </c>
      <c r="P15" s="15">
        <f t="shared" si="1"/>
        <v>303</v>
      </c>
      <c r="R15" s="1" t="s">
        <v>11</v>
      </c>
      <c r="S15" s="17">
        <f t="shared" ref="S15:AF15" si="7">SUM(C30:C33)</f>
        <v>122</v>
      </c>
      <c r="T15" s="17">
        <f t="shared" si="7"/>
        <v>29</v>
      </c>
      <c r="U15" s="17">
        <f t="shared" si="7"/>
        <v>21</v>
      </c>
      <c r="V15" s="17">
        <f t="shared" si="7"/>
        <v>124</v>
      </c>
      <c r="W15" s="17">
        <f t="shared" si="7"/>
        <v>10</v>
      </c>
      <c r="X15" s="17">
        <f t="shared" si="7"/>
        <v>7</v>
      </c>
      <c r="Y15" s="17">
        <f t="shared" si="7"/>
        <v>8</v>
      </c>
      <c r="Z15" s="17">
        <f t="shared" si="7"/>
        <v>2</v>
      </c>
      <c r="AA15" s="17">
        <f t="shared" si="7"/>
        <v>3</v>
      </c>
      <c r="AB15" s="17">
        <f t="shared" si="7"/>
        <v>0</v>
      </c>
      <c r="AC15" s="17">
        <f t="shared" si="7"/>
        <v>458</v>
      </c>
      <c r="AD15" s="17">
        <f t="shared" si="7"/>
        <v>0</v>
      </c>
      <c r="AE15" s="31">
        <f t="shared" si="7"/>
        <v>326</v>
      </c>
      <c r="AF15" s="31">
        <f t="shared" si="7"/>
        <v>784</v>
      </c>
    </row>
    <row r="16" spans="2:32" ht="23.1" customHeight="1" x14ac:dyDescent="0.25">
      <c r="B16" s="23" t="s">
        <v>43</v>
      </c>
      <c r="C16" s="50">
        <v>40</v>
      </c>
      <c r="D16" s="50">
        <v>4</v>
      </c>
      <c r="E16" s="50">
        <v>4</v>
      </c>
      <c r="F16" s="50">
        <v>65</v>
      </c>
      <c r="G16" s="50">
        <v>0</v>
      </c>
      <c r="H16" s="50">
        <v>0</v>
      </c>
      <c r="I16" s="50">
        <v>8</v>
      </c>
      <c r="J16" s="50">
        <v>2</v>
      </c>
      <c r="K16" s="50">
        <v>1</v>
      </c>
      <c r="L16" s="50">
        <v>0</v>
      </c>
      <c r="M16" s="50">
        <v>175</v>
      </c>
      <c r="N16" s="50">
        <v>0</v>
      </c>
      <c r="O16" s="15">
        <f t="shared" si="0"/>
        <v>124</v>
      </c>
      <c r="P16" s="15">
        <f t="shared" si="1"/>
        <v>299</v>
      </c>
      <c r="R16" s="1" t="s">
        <v>12</v>
      </c>
      <c r="S16" s="17">
        <f t="shared" ref="S16:AF16" si="8">SUM(C34:C37)</f>
        <v>141</v>
      </c>
      <c r="T16" s="17">
        <f t="shared" si="8"/>
        <v>29</v>
      </c>
      <c r="U16" s="17">
        <f t="shared" si="8"/>
        <v>21</v>
      </c>
      <c r="V16" s="17">
        <f t="shared" si="8"/>
        <v>178</v>
      </c>
      <c r="W16" s="17">
        <f t="shared" si="8"/>
        <v>1</v>
      </c>
      <c r="X16" s="17">
        <f t="shared" si="8"/>
        <v>1</v>
      </c>
      <c r="Y16" s="17">
        <f t="shared" si="8"/>
        <v>89</v>
      </c>
      <c r="Z16" s="17">
        <f t="shared" si="8"/>
        <v>11</v>
      </c>
      <c r="AA16" s="17">
        <f t="shared" si="8"/>
        <v>6</v>
      </c>
      <c r="AB16" s="17">
        <f t="shared" si="8"/>
        <v>0</v>
      </c>
      <c r="AC16" s="17">
        <f t="shared" si="8"/>
        <v>563</v>
      </c>
      <c r="AD16" s="17">
        <f t="shared" si="8"/>
        <v>0</v>
      </c>
      <c r="AE16" s="31">
        <f t="shared" si="8"/>
        <v>477</v>
      </c>
      <c r="AF16" s="31">
        <f t="shared" si="8"/>
        <v>1040</v>
      </c>
    </row>
    <row r="17" spans="2:32" ht="23.1" customHeight="1" x14ac:dyDescent="0.25">
      <c r="B17" s="23" t="s">
        <v>44</v>
      </c>
      <c r="C17" s="50">
        <v>36</v>
      </c>
      <c r="D17" s="50">
        <v>6</v>
      </c>
      <c r="E17" s="50">
        <v>1</v>
      </c>
      <c r="F17" s="50">
        <v>67</v>
      </c>
      <c r="G17" s="50">
        <v>1</v>
      </c>
      <c r="H17" s="50">
        <v>0</v>
      </c>
      <c r="I17" s="50">
        <v>3</v>
      </c>
      <c r="J17" s="50">
        <v>2</v>
      </c>
      <c r="K17" s="50">
        <v>0</v>
      </c>
      <c r="L17" s="50">
        <v>1</v>
      </c>
      <c r="M17" s="50">
        <v>1185</v>
      </c>
      <c r="N17" s="50">
        <v>0</v>
      </c>
      <c r="O17" s="15">
        <f t="shared" si="0"/>
        <v>117</v>
      </c>
      <c r="P17" s="15">
        <f t="shared" si="1"/>
        <v>1302</v>
      </c>
      <c r="R17" s="1" t="s">
        <v>13</v>
      </c>
      <c r="S17" s="17">
        <f t="shared" ref="S17:AF17" si="9">SUM(C38:C41)</f>
        <v>153</v>
      </c>
      <c r="T17" s="17">
        <f t="shared" si="9"/>
        <v>53</v>
      </c>
      <c r="U17" s="17">
        <f t="shared" si="9"/>
        <v>51</v>
      </c>
      <c r="V17" s="17">
        <f t="shared" si="9"/>
        <v>127</v>
      </c>
      <c r="W17" s="17">
        <f t="shared" si="9"/>
        <v>3</v>
      </c>
      <c r="X17" s="17">
        <f t="shared" si="9"/>
        <v>10</v>
      </c>
      <c r="Y17" s="17">
        <f t="shared" si="9"/>
        <v>13</v>
      </c>
      <c r="Z17" s="17">
        <f t="shared" si="9"/>
        <v>5</v>
      </c>
      <c r="AA17" s="17">
        <f t="shared" si="9"/>
        <v>3</v>
      </c>
      <c r="AB17" s="17">
        <f t="shared" si="9"/>
        <v>0</v>
      </c>
      <c r="AC17" s="17">
        <f t="shared" si="9"/>
        <v>424</v>
      </c>
      <c r="AD17" s="17">
        <f t="shared" si="9"/>
        <v>1</v>
      </c>
      <c r="AE17" s="31">
        <f t="shared" si="9"/>
        <v>419</v>
      </c>
      <c r="AF17" s="31">
        <f t="shared" si="9"/>
        <v>843</v>
      </c>
    </row>
    <row r="18" spans="2:32" ht="23.1" customHeight="1" x14ac:dyDescent="0.25">
      <c r="B18" s="23" t="s">
        <v>45</v>
      </c>
      <c r="C18" s="50">
        <v>28</v>
      </c>
      <c r="D18" s="50">
        <v>9</v>
      </c>
      <c r="E18" s="50">
        <v>2</v>
      </c>
      <c r="F18" s="50">
        <v>60</v>
      </c>
      <c r="G18" s="50">
        <v>1</v>
      </c>
      <c r="H18" s="50">
        <v>4</v>
      </c>
      <c r="I18" s="50">
        <v>1</v>
      </c>
      <c r="J18" s="50">
        <v>0</v>
      </c>
      <c r="K18" s="50">
        <v>1</v>
      </c>
      <c r="L18" s="50">
        <v>1</v>
      </c>
      <c r="M18" s="50">
        <v>175</v>
      </c>
      <c r="N18" s="50">
        <v>0</v>
      </c>
      <c r="O18" s="15">
        <f t="shared" si="0"/>
        <v>107</v>
      </c>
      <c r="P18" s="15">
        <f t="shared" si="1"/>
        <v>282</v>
      </c>
      <c r="R18" s="1" t="s">
        <v>14</v>
      </c>
      <c r="S18" s="17">
        <f t="shared" ref="S18:AF18" si="10">SUM(C42:C45)</f>
        <v>180</v>
      </c>
      <c r="T18" s="17">
        <f t="shared" si="10"/>
        <v>30</v>
      </c>
      <c r="U18" s="17">
        <f t="shared" si="10"/>
        <v>26</v>
      </c>
      <c r="V18" s="17">
        <f t="shared" si="10"/>
        <v>108</v>
      </c>
      <c r="W18" s="17">
        <f t="shared" si="10"/>
        <v>1</v>
      </c>
      <c r="X18" s="17">
        <f t="shared" si="10"/>
        <v>3</v>
      </c>
      <c r="Y18" s="17">
        <f t="shared" si="10"/>
        <v>17</v>
      </c>
      <c r="Z18" s="17">
        <f t="shared" si="10"/>
        <v>11</v>
      </c>
      <c r="AA18" s="17">
        <f t="shared" si="10"/>
        <v>3</v>
      </c>
      <c r="AB18" s="17">
        <f t="shared" si="10"/>
        <v>1</v>
      </c>
      <c r="AC18" s="17">
        <f t="shared" si="10"/>
        <v>234</v>
      </c>
      <c r="AD18" s="17">
        <f t="shared" si="10"/>
        <v>0</v>
      </c>
      <c r="AE18" s="31">
        <f t="shared" si="10"/>
        <v>380</v>
      </c>
      <c r="AF18" s="31">
        <f t="shared" si="10"/>
        <v>614</v>
      </c>
    </row>
    <row r="19" spans="2:32" ht="23.1" customHeight="1" x14ac:dyDescent="0.25">
      <c r="B19" s="23" t="s">
        <v>46</v>
      </c>
      <c r="C19" s="50">
        <v>23</v>
      </c>
      <c r="D19" s="50">
        <v>5</v>
      </c>
      <c r="E19" s="50">
        <v>4</v>
      </c>
      <c r="F19" s="50">
        <v>40</v>
      </c>
      <c r="G19" s="50">
        <v>2</v>
      </c>
      <c r="H19" s="50">
        <v>1</v>
      </c>
      <c r="I19" s="50">
        <v>3</v>
      </c>
      <c r="J19" s="50">
        <v>0</v>
      </c>
      <c r="K19" s="50">
        <v>0</v>
      </c>
      <c r="L19" s="50">
        <v>0</v>
      </c>
      <c r="M19" s="50">
        <v>99</v>
      </c>
      <c r="N19" s="50">
        <v>0</v>
      </c>
      <c r="O19" s="15">
        <f t="shared" si="0"/>
        <v>78</v>
      </c>
      <c r="P19" s="15">
        <f t="shared" si="1"/>
        <v>177</v>
      </c>
      <c r="R19" s="1" t="s">
        <v>15</v>
      </c>
      <c r="S19" s="17">
        <f t="shared" ref="S19:AF19" si="11">SUM(C46:C49)</f>
        <v>202</v>
      </c>
      <c r="T19" s="17">
        <f t="shared" si="11"/>
        <v>56</v>
      </c>
      <c r="U19" s="17">
        <f t="shared" si="11"/>
        <v>29</v>
      </c>
      <c r="V19" s="17">
        <f t="shared" si="11"/>
        <v>160</v>
      </c>
      <c r="W19" s="17">
        <f t="shared" si="11"/>
        <v>2</v>
      </c>
      <c r="X19" s="17">
        <f t="shared" si="11"/>
        <v>2</v>
      </c>
      <c r="Y19" s="17">
        <f t="shared" si="11"/>
        <v>22</v>
      </c>
      <c r="Z19" s="17">
        <f t="shared" si="11"/>
        <v>12</v>
      </c>
      <c r="AA19" s="17">
        <f t="shared" si="11"/>
        <v>1</v>
      </c>
      <c r="AB19" s="17">
        <f t="shared" si="11"/>
        <v>1</v>
      </c>
      <c r="AC19" s="17">
        <f t="shared" si="11"/>
        <v>465</v>
      </c>
      <c r="AD19" s="17">
        <f t="shared" si="11"/>
        <v>0</v>
      </c>
      <c r="AE19" s="31">
        <f t="shared" si="11"/>
        <v>487</v>
      </c>
      <c r="AF19" s="31">
        <f t="shared" si="11"/>
        <v>952</v>
      </c>
    </row>
    <row r="20" spans="2:32" ht="23.1" customHeight="1" x14ac:dyDescent="0.25">
      <c r="B20" s="23" t="s">
        <v>47</v>
      </c>
      <c r="C20" s="50">
        <v>25</v>
      </c>
      <c r="D20" s="50">
        <v>11</v>
      </c>
      <c r="E20" s="50">
        <v>2</v>
      </c>
      <c r="F20" s="50">
        <v>47</v>
      </c>
      <c r="G20" s="50">
        <v>1</v>
      </c>
      <c r="H20" s="50">
        <v>0</v>
      </c>
      <c r="I20" s="50">
        <v>4</v>
      </c>
      <c r="J20" s="50">
        <v>1</v>
      </c>
      <c r="K20" s="50">
        <v>0</v>
      </c>
      <c r="L20" s="50">
        <v>0</v>
      </c>
      <c r="M20" s="50">
        <v>105</v>
      </c>
      <c r="N20" s="50">
        <v>0</v>
      </c>
      <c r="O20" s="15">
        <f t="shared" si="0"/>
        <v>91</v>
      </c>
      <c r="P20" s="15">
        <f t="shared" si="1"/>
        <v>196</v>
      </c>
      <c r="R20" s="1" t="s">
        <v>16</v>
      </c>
      <c r="S20" s="17">
        <f t="shared" ref="S20:AF20" si="12">SUM(C50:C53)</f>
        <v>250</v>
      </c>
      <c r="T20" s="17">
        <f t="shared" si="12"/>
        <v>57</v>
      </c>
      <c r="U20" s="17">
        <f t="shared" si="12"/>
        <v>29</v>
      </c>
      <c r="V20" s="17">
        <f t="shared" si="12"/>
        <v>169</v>
      </c>
      <c r="W20" s="17">
        <f t="shared" si="12"/>
        <v>1</v>
      </c>
      <c r="X20" s="17">
        <f t="shared" si="12"/>
        <v>0</v>
      </c>
      <c r="Y20" s="17">
        <f t="shared" si="12"/>
        <v>29</v>
      </c>
      <c r="Z20" s="17">
        <f t="shared" si="12"/>
        <v>9</v>
      </c>
      <c r="AA20" s="17">
        <f t="shared" si="12"/>
        <v>2</v>
      </c>
      <c r="AB20" s="17">
        <f t="shared" si="12"/>
        <v>0</v>
      </c>
      <c r="AC20" s="17">
        <f t="shared" si="12"/>
        <v>450</v>
      </c>
      <c r="AD20" s="17">
        <f t="shared" si="12"/>
        <v>0</v>
      </c>
      <c r="AE20" s="31">
        <f t="shared" si="12"/>
        <v>546</v>
      </c>
      <c r="AF20" s="31">
        <f t="shared" si="12"/>
        <v>996</v>
      </c>
    </row>
    <row r="21" spans="2:32" ht="23.1" customHeight="1" x14ac:dyDescent="0.25">
      <c r="B21" s="23" t="s">
        <v>48</v>
      </c>
      <c r="C21" s="50">
        <v>11</v>
      </c>
      <c r="D21" s="50">
        <v>2</v>
      </c>
      <c r="E21" s="50">
        <v>0</v>
      </c>
      <c r="F21" s="50">
        <v>55</v>
      </c>
      <c r="G21" s="50">
        <v>1</v>
      </c>
      <c r="H21" s="50">
        <v>0</v>
      </c>
      <c r="I21" s="50">
        <v>1</v>
      </c>
      <c r="J21" s="50">
        <v>0</v>
      </c>
      <c r="K21" s="50">
        <v>1</v>
      </c>
      <c r="L21" s="50">
        <v>0</v>
      </c>
      <c r="M21" s="50">
        <v>155</v>
      </c>
      <c r="N21" s="50">
        <v>0</v>
      </c>
      <c r="O21" s="15">
        <f t="shared" si="0"/>
        <v>71</v>
      </c>
      <c r="P21" s="15">
        <f t="shared" si="1"/>
        <v>226</v>
      </c>
      <c r="R21" s="36" t="s">
        <v>20</v>
      </c>
      <c r="S21" s="34">
        <f t="shared" ref="S21:AF21" si="13">SUM(C54:C57)</f>
        <v>221</v>
      </c>
      <c r="T21" s="17">
        <f t="shared" si="13"/>
        <v>41</v>
      </c>
      <c r="U21" s="17">
        <f t="shared" si="13"/>
        <v>76</v>
      </c>
      <c r="V21" s="17">
        <f t="shared" si="13"/>
        <v>138</v>
      </c>
      <c r="W21" s="17">
        <f t="shared" si="13"/>
        <v>30</v>
      </c>
      <c r="X21" s="17">
        <f t="shared" si="13"/>
        <v>9</v>
      </c>
      <c r="Y21" s="17">
        <f t="shared" si="13"/>
        <v>9</v>
      </c>
      <c r="Z21" s="17">
        <f t="shared" si="13"/>
        <v>2</v>
      </c>
      <c r="AA21" s="17">
        <f t="shared" si="13"/>
        <v>1</v>
      </c>
      <c r="AB21" s="17">
        <f t="shared" si="13"/>
        <v>2</v>
      </c>
      <c r="AC21" s="17">
        <f t="shared" si="13"/>
        <v>411</v>
      </c>
      <c r="AD21" s="17">
        <f t="shared" si="13"/>
        <v>0</v>
      </c>
      <c r="AE21" s="31">
        <f t="shared" si="13"/>
        <v>529</v>
      </c>
      <c r="AF21" s="31">
        <f t="shared" si="13"/>
        <v>940</v>
      </c>
    </row>
    <row r="22" spans="2:32" ht="23.1" customHeight="1" x14ac:dyDescent="0.25">
      <c r="B22" s="23" t="s">
        <v>49</v>
      </c>
      <c r="C22" s="50">
        <v>22</v>
      </c>
      <c r="D22" s="50">
        <v>9</v>
      </c>
      <c r="E22" s="50">
        <v>2</v>
      </c>
      <c r="F22" s="50">
        <v>63</v>
      </c>
      <c r="G22" s="50">
        <v>2</v>
      </c>
      <c r="H22" s="50">
        <v>6</v>
      </c>
      <c r="I22" s="50">
        <v>0</v>
      </c>
      <c r="J22" s="50">
        <v>1</v>
      </c>
      <c r="K22" s="50">
        <v>1</v>
      </c>
      <c r="L22" s="50">
        <v>0</v>
      </c>
      <c r="M22" s="50">
        <v>249</v>
      </c>
      <c r="N22" s="50">
        <v>0</v>
      </c>
      <c r="O22" s="15">
        <f t="shared" si="0"/>
        <v>106</v>
      </c>
      <c r="P22" s="15">
        <f t="shared" si="1"/>
        <v>355</v>
      </c>
      <c r="R22" s="38" t="s">
        <v>90</v>
      </c>
      <c r="S22" s="39">
        <f>MAX(S10:S12)</f>
        <v>130</v>
      </c>
      <c r="T22" s="39">
        <f t="shared" ref="T22:AF22" si="14">MAX(T10:T12)</f>
        <v>27</v>
      </c>
      <c r="U22" s="39">
        <f t="shared" si="14"/>
        <v>11</v>
      </c>
      <c r="V22" s="39">
        <f t="shared" si="14"/>
        <v>232</v>
      </c>
      <c r="W22" s="39">
        <f t="shared" si="14"/>
        <v>5</v>
      </c>
      <c r="X22" s="39">
        <f t="shared" si="14"/>
        <v>5</v>
      </c>
      <c r="Y22" s="39">
        <f t="shared" si="14"/>
        <v>15</v>
      </c>
      <c r="Z22" s="39">
        <f t="shared" si="14"/>
        <v>6</v>
      </c>
      <c r="AA22" s="39">
        <f t="shared" si="14"/>
        <v>4</v>
      </c>
      <c r="AB22" s="39">
        <f t="shared" si="14"/>
        <v>3</v>
      </c>
      <c r="AC22" s="39">
        <f t="shared" si="14"/>
        <v>1765</v>
      </c>
      <c r="AD22" s="39">
        <f t="shared" si="14"/>
        <v>0</v>
      </c>
      <c r="AE22" s="40">
        <f t="shared" si="14"/>
        <v>423</v>
      </c>
      <c r="AF22" s="40">
        <f t="shared" si="14"/>
        <v>2188</v>
      </c>
    </row>
    <row r="23" spans="2:32" ht="23.1" customHeight="1" x14ac:dyDescent="0.25">
      <c r="B23" s="23" t="s">
        <v>50</v>
      </c>
      <c r="C23" s="50">
        <v>28</v>
      </c>
      <c r="D23" s="50">
        <v>4</v>
      </c>
      <c r="E23" s="50">
        <v>4</v>
      </c>
      <c r="F23" s="50">
        <v>51</v>
      </c>
      <c r="G23" s="50">
        <v>1</v>
      </c>
      <c r="H23" s="50">
        <v>1</v>
      </c>
      <c r="I23" s="50">
        <v>1</v>
      </c>
      <c r="J23" s="50">
        <v>4</v>
      </c>
      <c r="K23" s="50">
        <v>0</v>
      </c>
      <c r="L23" s="50">
        <v>3</v>
      </c>
      <c r="M23" s="50">
        <v>200</v>
      </c>
      <c r="N23" s="50">
        <v>0</v>
      </c>
      <c r="O23" s="15">
        <f t="shared" si="0"/>
        <v>97</v>
      </c>
      <c r="P23" s="15">
        <f t="shared" si="1"/>
        <v>297</v>
      </c>
      <c r="R23" s="38" t="s">
        <v>91</v>
      </c>
      <c r="S23" s="39">
        <f>MAX(S13:S18)</f>
        <v>180</v>
      </c>
      <c r="T23" s="39">
        <f t="shared" ref="T23:AF23" si="15">MAX(T13:T18)</f>
        <v>53</v>
      </c>
      <c r="U23" s="39">
        <f t="shared" si="15"/>
        <v>51</v>
      </c>
      <c r="V23" s="39">
        <f t="shared" si="15"/>
        <v>216</v>
      </c>
      <c r="W23" s="39">
        <f t="shared" si="15"/>
        <v>10</v>
      </c>
      <c r="X23" s="39">
        <f t="shared" si="15"/>
        <v>18</v>
      </c>
      <c r="Y23" s="39">
        <f t="shared" si="15"/>
        <v>89</v>
      </c>
      <c r="Z23" s="39">
        <f t="shared" si="15"/>
        <v>14</v>
      </c>
      <c r="AA23" s="39">
        <f t="shared" si="15"/>
        <v>6</v>
      </c>
      <c r="AB23" s="39">
        <f t="shared" si="15"/>
        <v>4</v>
      </c>
      <c r="AC23" s="39">
        <f t="shared" si="15"/>
        <v>824</v>
      </c>
      <c r="AD23" s="39">
        <f t="shared" si="15"/>
        <v>1</v>
      </c>
      <c r="AE23" s="40">
        <f t="shared" si="15"/>
        <v>477</v>
      </c>
      <c r="AF23" s="40">
        <f t="shared" si="15"/>
        <v>1240</v>
      </c>
    </row>
    <row r="24" spans="2:32" ht="23.1" customHeight="1" x14ac:dyDescent="0.25">
      <c r="B24" s="23" t="s">
        <v>51</v>
      </c>
      <c r="C24" s="50">
        <v>27</v>
      </c>
      <c r="D24" s="50">
        <v>9</v>
      </c>
      <c r="E24" s="50">
        <v>3</v>
      </c>
      <c r="F24" s="50">
        <v>49</v>
      </c>
      <c r="G24" s="50">
        <v>0</v>
      </c>
      <c r="H24" s="50">
        <v>0</v>
      </c>
      <c r="I24" s="50">
        <v>9</v>
      </c>
      <c r="J24" s="50">
        <v>9</v>
      </c>
      <c r="K24" s="50">
        <v>0</v>
      </c>
      <c r="L24" s="50">
        <v>1</v>
      </c>
      <c r="M24" s="50">
        <v>205</v>
      </c>
      <c r="N24" s="50">
        <v>0</v>
      </c>
      <c r="O24" s="15">
        <f t="shared" si="0"/>
        <v>107</v>
      </c>
      <c r="P24" s="15">
        <f t="shared" si="1"/>
        <v>312</v>
      </c>
      <c r="R24" s="38" t="s">
        <v>92</v>
      </c>
      <c r="S24" s="39">
        <f>MAX(S19:S21)</f>
        <v>250</v>
      </c>
      <c r="T24" s="39">
        <f t="shared" ref="T24:AF24" si="16">MAX(T19:T21)</f>
        <v>57</v>
      </c>
      <c r="U24" s="39">
        <f t="shared" si="16"/>
        <v>76</v>
      </c>
      <c r="V24" s="39">
        <f t="shared" si="16"/>
        <v>169</v>
      </c>
      <c r="W24" s="39">
        <f t="shared" si="16"/>
        <v>30</v>
      </c>
      <c r="X24" s="39">
        <f t="shared" si="16"/>
        <v>9</v>
      </c>
      <c r="Y24" s="39">
        <f t="shared" si="16"/>
        <v>29</v>
      </c>
      <c r="Z24" s="39">
        <f t="shared" si="16"/>
        <v>12</v>
      </c>
      <c r="AA24" s="39">
        <f t="shared" si="16"/>
        <v>2</v>
      </c>
      <c r="AB24" s="39">
        <f t="shared" si="16"/>
        <v>2</v>
      </c>
      <c r="AC24" s="39">
        <f t="shared" si="16"/>
        <v>465</v>
      </c>
      <c r="AD24" s="39">
        <f t="shared" si="16"/>
        <v>0</v>
      </c>
      <c r="AE24" s="40">
        <f t="shared" si="16"/>
        <v>546</v>
      </c>
      <c r="AF24" s="40">
        <f t="shared" si="16"/>
        <v>996</v>
      </c>
    </row>
    <row r="25" spans="2:32" ht="23.1" customHeight="1" x14ac:dyDescent="0.25">
      <c r="B25" s="23" t="s">
        <v>52</v>
      </c>
      <c r="C25" s="50">
        <v>31</v>
      </c>
      <c r="D25" s="50">
        <v>14</v>
      </c>
      <c r="E25" s="50">
        <v>4</v>
      </c>
      <c r="F25" s="50">
        <v>53</v>
      </c>
      <c r="G25" s="50">
        <v>0</v>
      </c>
      <c r="H25" s="50">
        <v>0</v>
      </c>
      <c r="I25" s="50">
        <v>4</v>
      </c>
      <c r="J25" s="50">
        <v>0</v>
      </c>
      <c r="K25" s="50">
        <v>0</v>
      </c>
      <c r="L25" s="50">
        <v>0</v>
      </c>
      <c r="M25" s="50">
        <v>170</v>
      </c>
      <c r="N25" s="50">
        <v>0</v>
      </c>
      <c r="O25" s="15">
        <f t="shared" si="0"/>
        <v>106</v>
      </c>
      <c r="P25" s="15">
        <f t="shared" si="1"/>
        <v>276</v>
      </c>
      <c r="R25" s="37" t="s">
        <v>85</v>
      </c>
      <c r="S25" s="35">
        <f t="shared" ref="S25:AF25" si="17">SUM(S10:S12)</f>
        <v>345</v>
      </c>
      <c r="T25" s="16">
        <f t="shared" si="17"/>
        <v>73</v>
      </c>
      <c r="U25" s="16">
        <f t="shared" si="17"/>
        <v>26</v>
      </c>
      <c r="V25" s="16">
        <f t="shared" si="17"/>
        <v>576</v>
      </c>
      <c r="W25" s="16">
        <f t="shared" si="17"/>
        <v>11</v>
      </c>
      <c r="X25" s="16">
        <f t="shared" si="17"/>
        <v>9</v>
      </c>
      <c r="Y25" s="16">
        <f t="shared" si="17"/>
        <v>35</v>
      </c>
      <c r="Z25" s="16">
        <f t="shared" si="17"/>
        <v>11</v>
      </c>
      <c r="AA25" s="16">
        <f t="shared" si="17"/>
        <v>9</v>
      </c>
      <c r="AB25" s="16">
        <f t="shared" si="17"/>
        <v>4</v>
      </c>
      <c r="AC25" s="16">
        <f t="shared" si="17"/>
        <v>2979</v>
      </c>
      <c r="AD25" s="16">
        <f t="shared" si="17"/>
        <v>0</v>
      </c>
      <c r="AE25" s="32">
        <f t="shared" si="17"/>
        <v>1099</v>
      </c>
      <c r="AF25" s="32">
        <f t="shared" si="17"/>
        <v>4078</v>
      </c>
    </row>
    <row r="26" spans="2:32" ht="23.1" customHeight="1" x14ac:dyDescent="0.25">
      <c r="B26" s="23" t="s">
        <v>53</v>
      </c>
      <c r="C26" s="50">
        <v>30</v>
      </c>
      <c r="D26" s="50">
        <v>4</v>
      </c>
      <c r="E26" s="50">
        <v>5</v>
      </c>
      <c r="F26" s="50">
        <v>50</v>
      </c>
      <c r="G26" s="50">
        <v>0</v>
      </c>
      <c r="H26" s="50">
        <v>9</v>
      </c>
      <c r="I26" s="50">
        <v>0</v>
      </c>
      <c r="J26" s="50">
        <v>0</v>
      </c>
      <c r="K26" s="50">
        <v>0</v>
      </c>
      <c r="L26" s="50">
        <v>0</v>
      </c>
      <c r="M26" s="50">
        <v>180</v>
      </c>
      <c r="N26" s="50">
        <v>0</v>
      </c>
      <c r="O26" s="15">
        <f t="shared" si="0"/>
        <v>98</v>
      </c>
      <c r="P26" s="15">
        <f t="shared" si="1"/>
        <v>278</v>
      </c>
      <c r="R26" s="28" t="s">
        <v>86</v>
      </c>
      <c r="S26" s="16">
        <f t="shared" ref="S26:AF26" si="18">SUM(S13:S18)</f>
        <v>839</v>
      </c>
      <c r="T26" s="16">
        <f t="shared" si="18"/>
        <v>199</v>
      </c>
      <c r="U26" s="16">
        <f t="shared" si="18"/>
        <v>147</v>
      </c>
      <c r="V26" s="16">
        <f t="shared" si="18"/>
        <v>933</v>
      </c>
      <c r="W26" s="16">
        <f t="shared" si="18"/>
        <v>20</v>
      </c>
      <c r="X26" s="16">
        <f t="shared" si="18"/>
        <v>46</v>
      </c>
      <c r="Y26" s="16">
        <f t="shared" si="18"/>
        <v>148</v>
      </c>
      <c r="Z26" s="16">
        <f t="shared" si="18"/>
        <v>57</v>
      </c>
      <c r="AA26" s="16">
        <f t="shared" si="18"/>
        <v>18</v>
      </c>
      <c r="AB26" s="16">
        <f t="shared" si="18"/>
        <v>5</v>
      </c>
      <c r="AC26" s="16">
        <f t="shared" si="18"/>
        <v>3139</v>
      </c>
      <c r="AD26" s="16">
        <f t="shared" si="18"/>
        <v>1</v>
      </c>
      <c r="AE26" s="32">
        <f t="shared" si="18"/>
        <v>2413</v>
      </c>
      <c r="AF26" s="32">
        <f t="shared" si="18"/>
        <v>5552</v>
      </c>
    </row>
    <row r="27" spans="2:32" ht="23.1" customHeight="1" x14ac:dyDescent="0.25">
      <c r="B27" s="23" t="s">
        <v>54</v>
      </c>
      <c r="C27" s="50">
        <v>25</v>
      </c>
      <c r="D27" s="50">
        <v>8</v>
      </c>
      <c r="E27" s="50">
        <v>2</v>
      </c>
      <c r="F27" s="50">
        <v>44</v>
      </c>
      <c r="G27" s="50">
        <v>0</v>
      </c>
      <c r="H27" s="50">
        <v>0</v>
      </c>
      <c r="I27" s="50">
        <v>1</v>
      </c>
      <c r="J27" s="50">
        <v>12</v>
      </c>
      <c r="K27" s="50">
        <v>0</v>
      </c>
      <c r="L27" s="50">
        <v>0</v>
      </c>
      <c r="M27" s="50">
        <v>150</v>
      </c>
      <c r="N27" s="50">
        <v>0</v>
      </c>
      <c r="O27" s="15">
        <f t="shared" si="0"/>
        <v>92</v>
      </c>
      <c r="P27" s="15">
        <f t="shared" si="1"/>
        <v>242</v>
      </c>
      <c r="R27" s="29" t="s">
        <v>87</v>
      </c>
      <c r="S27" s="16">
        <f t="shared" ref="S27:AF27" si="19">SUM(S19:S21)</f>
        <v>673</v>
      </c>
      <c r="T27" s="16">
        <f t="shared" si="19"/>
        <v>154</v>
      </c>
      <c r="U27" s="16">
        <f t="shared" si="19"/>
        <v>134</v>
      </c>
      <c r="V27" s="16">
        <f t="shared" si="19"/>
        <v>467</v>
      </c>
      <c r="W27" s="16">
        <f t="shared" si="19"/>
        <v>33</v>
      </c>
      <c r="X27" s="16">
        <f t="shared" si="19"/>
        <v>11</v>
      </c>
      <c r="Y27" s="16">
        <f t="shared" si="19"/>
        <v>60</v>
      </c>
      <c r="Z27" s="16">
        <f t="shared" si="19"/>
        <v>23</v>
      </c>
      <c r="AA27" s="16">
        <f t="shared" si="19"/>
        <v>4</v>
      </c>
      <c r="AB27" s="16">
        <f t="shared" si="19"/>
        <v>3</v>
      </c>
      <c r="AC27" s="16">
        <f t="shared" si="19"/>
        <v>1326</v>
      </c>
      <c r="AD27" s="16">
        <f t="shared" si="19"/>
        <v>0</v>
      </c>
      <c r="AE27" s="32">
        <f t="shared" si="19"/>
        <v>1562</v>
      </c>
      <c r="AF27" s="32">
        <f t="shared" si="19"/>
        <v>2888</v>
      </c>
    </row>
    <row r="28" spans="2:32" ht="23.1" customHeight="1" x14ac:dyDescent="0.25">
      <c r="B28" s="23" t="s">
        <v>55</v>
      </c>
      <c r="C28" s="50">
        <v>40</v>
      </c>
      <c r="D28" s="50">
        <v>6</v>
      </c>
      <c r="E28" s="50">
        <v>4</v>
      </c>
      <c r="F28" s="50">
        <v>46</v>
      </c>
      <c r="G28" s="50">
        <v>2</v>
      </c>
      <c r="H28" s="50">
        <v>7</v>
      </c>
      <c r="I28" s="50">
        <v>0</v>
      </c>
      <c r="J28" s="50">
        <v>2</v>
      </c>
      <c r="K28" s="50">
        <v>0</v>
      </c>
      <c r="L28" s="50">
        <v>0</v>
      </c>
      <c r="M28" s="50">
        <v>153</v>
      </c>
      <c r="N28" s="50">
        <v>0</v>
      </c>
      <c r="O28" s="15">
        <f t="shared" si="0"/>
        <v>107</v>
      </c>
      <c r="P28" s="15">
        <f t="shared" si="1"/>
        <v>260</v>
      </c>
      <c r="R28" s="5" t="s">
        <v>17</v>
      </c>
      <c r="S28" s="16">
        <f t="shared" ref="S28:AF28" si="20">SUM(S10:S21)</f>
        <v>1857</v>
      </c>
      <c r="T28" s="16">
        <f t="shared" si="20"/>
        <v>426</v>
      </c>
      <c r="U28" s="16">
        <f t="shared" si="20"/>
        <v>307</v>
      </c>
      <c r="V28" s="16">
        <f t="shared" si="20"/>
        <v>1976</v>
      </c>
      <c r="W28" s="16">
        <f t="shared" si="20"/>
        <v>64</v>
      </c>
      <c r="X28" s="16">
        <f t="shared" si="20"/>
        <v>66</v>
      </c>
      <c r="Y28" s="16">
        <f t="shared" si="20"/>
        <v>243</v>
      </c>
      <c r="Z28" s="16">
        <f t="shared" si="20"/>
        <v>91</v>
      </c>
      <c r="AA28" s="16">
        <f t="shared" si="20"/>
        <v>31</v>
      </c>
      <c r="AB28" s="16">
        <f t="shared" si="20"/>
        <v>12</v>
      </c>
      <c r="AC28" s="16">
        <f t="shared" si="20"/>
        <v>7444</v>
      </c>
      <c r="AD28" s="16">
        <f t="shared" si="20"/>
        <v>1</v>
      </c>
      <c r="AE28" s="32">
        <f t="shared" si="20"/>
        <v>5074</v>
      </c>
      <c r="AF28" s="32">
        <f t="shared" si="20"/>
        <v>12518</v>
      </c>
    </row>
    <row r="29" spans="2:32" ht="23.1" customHeight="1" x14ac:dyDescent="0.25">
      <c r="B29" s="23" t="s">
        <v>56</v>
      </c>
      <c r="C29" s="50">
        <v>40</v>
      </c>
      <c r="D29" s="50">
        <v>4</v>
      </c>
      <c r="E29" s="50">
        <v>4</v>
      </c>
      <c r="F29" s="50">
        <v>40</v>
      </c>
      <c r="G29" s="50">
        <v>0</v>
      </c>
      <c r="H29" s="50">
        <v>2</v>
      </c>
      <c r="I29" s="50">
        <v>6</v>
      </c>
      <c r="J29" s="50">
        <v>0</v>
      </c>
      <c r="K29" s="50">
        <v>2</v>
      </c>
      <c r="L29" s="50">
        <v>0</v>
      </c>
      <c r="M29" s="50">
        <v>153</v>
      </c>
      <c r="N29" s="50">
        <v>0</v>
      </c>
      <c r="O29" s="15">
        <f t="shared" si="0"/>
        <v>98</v>
      </c>
      <c r="P29" s="15">
        <f t="shared" si="1"/>
        <v>251</v>
      </c>
      <c r="R29"/>
      <c r="S29" s="20"/>
      <c r="T29" s="19"/>
    </row>
    <row r="30" spans="2:32" ht="23.1" customHeight="1" x14ac:dyDescent="0.25">
      <c r="B30" s="23" t="s">
        <v>57</v>
      </c>
      <c r="C30" s="50">
        <v>17</v>
      </c>
      <c r="D30" s="50">
        <v>2</v>
      </c>
      <c r="E30" s="50">
        <v>1</v>
      </c>
      <c r="F30" s="50">
        <v>45</v>
      </c>
      <c r="G30" s="50">
        <v>1</v>
      </c>
      <c r="H30" s="50">
        <v>4</v>
      </c>
      <c r="I30" s="50">
        <v>2</v>
      </c>
      <c r="J30" s="50">
        <v>0</v>
      </c>
      <c r="K30" s="50">
        <v>1</v>
      </c>
      <c r="L30" s="50">
        <v>0</v>
      </c>
      <c r="M30" s="50">
        <v>95</v>
      </c>
      <c r="N30" s="50">
        <v>0</v>
      </c>
      <c r="O30" s="15">
        <f t="shared" si="0"/>
        <v>73</v>
      </c>
      <c r="P30" s="15">
        <f t="shared" si="1"/>
        <v>168</v>
      </c>
    </row>
    <row r="31" spans="2:32" ht="23.1" customHeight="1" x14ac:dyDescent="0.25">
      <c r="B31" s="24" t="s">
        <v>58</v>
      </c>
      <c r="C31" s="50">
        <v>20</v>
      </c>
      <c r="D31" s="50">
        <v>10</v>
      </c>
      <c r="E31" s="50">
        <v>11</v>
      </c>
      <c r="F31" s="50">
        <v>38</v>
      </c>
      <c r="G31" s="50">
        <v>0</v>
      </c>
      <c r="H31" s="50">
        <v>0</v>
      </c>
      <c r="I31" s="50">
        <v>2</v>
      </c>
      <c r="J31" s="50">
        <v>2</v>
      </c>
      <c r="K31" s="50">
        <v>2</v>
      </c>
      <c r="L31" s="50">
        <v>0</v>
      </c>
      <c r="M31" s="50">
        <v>91</v>
      </c>
      <c r="N31" s="50">
        <v>0</v>
      </c>
      <c r="O31" s="15">
        <f t="shared" si="0"/>
        <v>85</v>
      </c>
      <c r="P31" s="15">
        <f t="shared" si="1"/>
        <v>176</v>
      </c>
    </row>
    <row r="32" spans="2:32" ht="23.1" customHeight="1" x14ac:dyDescent="0.25">
      <c r="B32" s="24" t="s">
        <v>59</v>
      </c>
      <c r="C32" s="50">
        <v>50</v>
      </c>
      <c r="D32" s="50">
        <v>10</v>
      </c>
      <c r="E32" s="50">
        <v>4</v>
      </c>
      <c r="F32" s="50">
        <v>40</v>
      </c>
      <c r="G32" s="50">
        <v>1</v>
      </c>
      <c r="H32" s="50">
        <v>1</v>
      </c>
      <c r="I32" s="50">
        <v>4</v>
      </c>
      <c r="J32" s="50">
        <v>0</v>
      </c>
      <c r="K32" s="50">
        <v>0</v>
      </c>
      <c r="L32" s="50">
        <v>0</v>
      </c>
      <c r="M32" s="50">
        <v>145</v>
      </c>
      <c r="N32" s="50">
        <v>0</v>
      </c>
      <c r="O32" s="15">
        <f t="shared" si="0"/>
        <v>110</v>
      </c>
      <c r="P32" s="15">
        <f t="shared" si="1"/>
        <v>255</v>
      </c>
    </row>
    <row r="33" spans="2:20" ht="23.1" customHeight="1" x14ac:dyDescent="0.25">
      <c r="B33" s="23" t="s">
        <v>60</v>
      </c>
      <c r="C33" s="50">
        <v>35</v>
      </c>
      <c r="D33" s="50">
        <v>7</v>
      </c>
      <c r="E33" s="50">
        <v>5</v>
      </c>
      <c r="F33" s="50">
        <v>1</v>
      </c>
      <c r="G33" s="50">
        <v>8</v>
      </c>
      <c r="H33" s="50">
        <v>2</v>
      </c>
      <c r="I33" s="50">
        <v>0</v>
      </c>
      <c r="J33" s="50">
        <v>0</v>
      </c>
      <c r="K33" s="50">
        <v>0</v>
      </c>
      <c r="L33" s="50">
        <v>0</v>
      </c>
      <c r="M33" s="50">
        <v>127</v>
      </c>
      <c r="N33" s="50">
        <v>0</v>
      </c>
      <c r="O33" s="15">
        <f t="shared" si="0"/>
        <v>58</v>
      </c>
      <c r="P33" s="15">
        <f t="shared" si="1"/>
        <v>185</v>
      </c>
    </row>
    <row r="34" spans="2:20" ht="23.1" customHeight="1" x14ac:dyDescent="0.25">
      <c r="B34" s="24" t="s">
        <v>61</v>
      </c>
      <c r="C34" s="50">
        <v>36</v>
      </c>
      <c r="D34" s="50">
        <v>9</v>
      </c>
      <c r="E34" s="50">
        <v>7</v>
      </c>
      <c r="F34" s="50">
        <v>33</v>
      </c>
      <c r="G34" s="50">
        <v>0</v>
      </c>
      <c r="H34" s="50">
        <v>1</v>
      </c>
      <c r="I34" s="50">
        <v>65</v>
      </c>
      <c r="J34" s="50">
        <v>1</v>
      </c>
      <c r="K34" s="50">
        <v>2</v>
      </c>
      <c r="L34" s="50">
        <v>0</v>
      </c>
      <c r="M34" s="50">
        <v>160</v>
      </c>
      <c r="N34" s="50">
        <v>0</v>
      </c>
      <c r="O34" s="15">
        <f t="shared" si="0"/>
        <v>154</v>
      </c>
      <c r="P34" s="15">
        <f t="shared" si="1"/>
        <v>314</v>
      </c>
    </row>
    <row r="35" spans="2:20" ht="23.1" customHeight="1" x14ac:dyDescent="0.25">
      <c r="B35" s="24" t="s">
        <v>62</v>
      </c>
      <c r="C35" s="50">
        <v>40</v>
      </c>
      <c r="D35" s="50">
        <v>9</v>
      </c>
      <c r="E35" s="50">
        <v>5</v>
      </c>
      <c r="F35" s="50">
        <v>63</v>
      </c>
      <c r="G35" s="50">
        <v>0</v>
      </c>
      <c r="H35" s="50">
        <v>0</v>
      </c>
      <c r="I35" s="50">
        <v>10</v>
      </c>
      <c r="J35" s="50">
        <v>2</v>
      </c>
      <c r="K35" s="50">
        <v>3</v>
      </c>
      <c r="L35" s="50">
        <v>0</v>
      </c>
      <c r="M35" s="50">
        <v>130</v>
      </c>
      <c r="N35" s="50">
        <v>0</v>
      </c>
      <c r="O35" s="15">
        <f t="shared" si="0"/>
        <v>132</v>
      </c>
      <c r="P35" s="15">
        <f t="shared" si="1"/>
        <v>262</v>
      </c>
    </row>
    <row r="36" spans="2:20" ht="23.1" customHeight="1" x14ac:dyDescent="0.25">
      <c r="B36" s="24" t="s">
        <v>63</v>
      </c>
      <c r="C36" s="50">
        <v>40</v>
      </c>
      <c r="D36" s="50">
        <v>4</v>
      </c>
      <c r="E36" s="50">
        <v>4</v>
      </c>
      <c r="F36" s="50">
        <v>39</v>
      </c>
      <c r="G36" s="50">
        <v>0</v>
      </c>
      <c r="H36" s="50">
        <v>0</v>
      </c>
      <c r="I36" s="50">
        <v>4</v>
      </c>
      <c r="J36" s="50">
        <v>4</v>
      </c>
      <c r="K36" s="50">
        <v>1</v>
      </c>
      <c r="L36" s="50">
        <v>0</v>
      </c>
      <c r="M36" s="50">
        <v>116</v>
      </c>
      <c r="N36" s="50">
        <v>0</v>
      </c>
      <c r="O36" s="15">
        <f t="shared" si="0"/>
        <v>96</v>
      </c>
      <c r="P36" s="15">
        <f t="shared" si="1"/>
        <v>212</v>
      </c>
    </row>
    <row r="37" spans="2:20" ht="23.1" customHeight="1" x14ac:dyDescent="0.25">
      <c r="B37" s="23" t="s">
        <v>64</v>
      </c>
      <c r="C37" s="50">
        <v>25</v>
      </c>
      <c r="D37" s="50">
        <v>7</v>
      </c>
      <c r="E37" s="50">
        <v>5</v>
      </c>
      <c r="F37" s="50">
        <v>43</v>
      </c>
      <c r="G37" s="50">
        <v>1</v>
      </c>
      <c r="H37" s="50">
        <v>0</v>
      </c>
      <c r="I37" s="50">
        <v>10</v>
      </c>
      <c r="J37" s="50">
        <v>4</v>
      </c>
      <c r="K37" s="50">
        <v>0</v>
      </c>
      <c r="L37" s="50">
        <v>0</v>
      </c>
      <c r="M37" s="50">
        <v>157</v>
      </c>
      <c r="N37" s="50">
        <v>0</v>
      </c>
      <c r="O37" s="15">
        <f t="shared" si="0"/>
        <v>95</v>
      </c>
      <c r="P37" s="15">
        <f t="shared" si="1"/>
        <v>252</v>
      </c>
    </row>
    <row r="38" spans="2:20" ht="23.1" customHeight="1" x14ac:dyDescent="0.25">
      <c r="B38" s="24" t="s">
        <v>65</v>
      </c>
      <c r="C38" s="50">
        <v>35</v>
      </c>
      <c r="D38" s="50">
        <v>10</v>
      </c>
      <c r="E38" s="50">
        <v>42</v>
      </c>
      <c r="F38" s="50">
        <v>0</v>
      </c>
      <c r="G38" s="50">
        <v>0</v>
      </c>
      <c r="H38" s="50">
        <v>7</v>
      </c>
      <c r="I38" s="50">
        <v>3</v>
      </c>
      <c r="J38" s="50">
        <v>0</v>
      </c>
      <c r="K38" s="50">
        <v>1</v>
      </c>
      <c r="L38" s="50">
        <v>0</v>
      </c>
      <c r="M38" s="50">
        <v>133</v>
      </c>
      <c r="N38" s="50">
        <v>0</v>
      </c>
      <c r="O38" s="15">
        <f t="shared" si="0"/>
        <v>98</v>
      </c>
      <c r="P38" s="15">
        <f t="shared" si="1"/>
        <v>231</v>
      </c>
    </row>
    <row r="39" spans="2:20" ht="23.1" customHeight="1" x14ac:dyDescent="0.25">
      <c r="B39" s="24" t="s">
        <v>66</v>
      </c>
      <c r="C39" s="50">
        <v>47</v>
      </c>
      <c r="D39" s="50">
        <v>20</v>
      </c>
      <c r="E39" s="50">
        <v>3</v>
      </c>
      <c r="F39" s="50">
        <v>37</v>
      </c>
      <c r="G39" s="50">
        <v>0</v>
      </c>
      <c r="H39" s="50">
        <v>1</v>
      </c>
      <c r="I39" s="50">
        <v>2</v>
      </c>
      <c r="J39" s="50">
        <v>1</v>
      </c>
      <c r="K39" s="50">
        <v>0</v>
      </c>
      <c r="L39" s="50">
        <v>0</v>
      </c>
      <c r="M39" s="50">
        <v>153</v>
      </c>
      <c r="N39" s="50">
        <v>0</v>
      </c>
      <c r="O39" s="15">
        <f t="shared" si="0"/>
        <v>111</v>
      </c>
      <c r="P39" s="15">
        <f t="shared" si="1"/>
        <v>264</v>
      </c>
    </row>
    <row r="40" spans="2:20" ht="23.1" customHeight="1" x14ac:dyDescent="0.25">
      <c r="B40" s="24" t="s">
        <v>67</v>
      </c>
      <c r="C40" s="50">
        <v>35</v>
      </c>
      <c r="D40" s="50">
        <v>9</v>
      </c>
      <c r="E40" s="50">
        <v>3</v>
      </c>
      <c r="F40" s="50">
        <v>39</v>
      </c>
      <c r="G40" s="50">
        <v>1</v>
      </c>
      <c r="H40" s="50">
        <v>2</v>
      </c>
      <c r="I40" s="50">
        <v>4</v>
      </c>
      <c r="J40" s="50">
        <v>4</v>
      </c>
      <c r="K40" s="50">
        <v>1</v>
      </c>
      <c r="L40" s="50">
        <v>0</v>
      </c>
      <c r="M40" s="50">
        <v>122</v>
      </c>
      <c r="N40" s="50">
        <v>0</v>
      </c>
      <c r="O40" s="15">
        <f t="shared" si="0"/>
        <v>98</v>
      </c>
      <c r="P40" s="15">
        <f t="shared" si="1"/>
        <v>220</v>
      </c>
    </row>
    <row r="41" spans="2:20" ht="23.1" customHeight="1" x14ac:dyDescent="0.25">
      <c r="B41" s="23" t="s">
        <v>68</v>
      </c>
      <c r="C41" s="50">
        <v>36</v>
      </c>
      <c r="D41" s="50">
        <v>14</v>
      </c>
      <c r="E41" s="50">
        <v>3</v>
      </c>
      <c r="F41" s="50">
        <v>51</v>
      </c>
      <c r="G41" s="50">
        <v>2</v>
      </c>
      <c r="H41" s="50">
        <v>0</v>
      </c>
      <c r="I41" s="50">
        <v>4</v>
      </c>
      <c r="J41" s="50">
        <v>0</v>
      </c>
      <c r="K41" s="50">
        <v>1</v>
      </c>
      <c r="L41" s="50"/>
      <c r="M41" s="50">
        <v>16</v>
      </c>
      <c r="N41" s="50">
        <v>1</v>
      </c>
      <c r="O41" s="15">
        <f t="shared" si="0"/>
        <v>112</v>
      </c>
      <c r="P41" s="15">
        <f t="shared" si="1"/>
        <v>128</v>
      </c>
    </row>
    <row r="42" spans="2:20" ht="23.1" customHeight="1" x14ac:dyDescent="0.25">
      <c r="B42" s="24" t="s">
        <v>69</v>
      </c>
      <c r="C42" s="50">
        <v>61</v>
      </c>
      <c r="D42" s="50">
        <v>12</v>
      </c>
      <c r="E42" s="50">
        <v>8</v>
      </c>
      <c r="F42" s="50">
        <v>27</v>
      </c>
      <c r="G42" s="50">
        <v>0</v>
      </c>
      <c r="H42" s="50">
        <v>1</v>
      </c>
      <c r="I42" s="50">
        <v>2</v>
      </c>
      <c r="J42" s="50">
        <v>4</v>
      </c>
      <c r="K42" s="50">
        <v>2</v>
      </c>
      <c r="L42" s="50">
        <v>1</v>
      </c>
      <c r="M42" s="50">
        <v>7</v>
      </c>
      <c r="N42" s="50">
        <v>0</v>
      </c>
      <c r="O42" s="15">
        <f t="shared" si="0"/>
        <v>118</v>
      </c>
      <c r="P42" s="15">
        <f t="shared" si="1"/>
        <v>125</v>
      </c>
    </row>
    <row r="43" spans="2:20" ht="23.1" customHeight="1" x14ac:dyDescent="0.25">
      <c r="B43" s="23" t="s">
        <v>70</v>
      </c>
      <c r="C43" s="50">
        <v>40</v>
      </c>
      <c r="D43" s="50">
        <v>6</v>
      </c>
      <c r="E43" s="50">
        <v>9</v>
      </c>
      <c r="F43" s="50">
        <v>40</v>
      </c>
      <c r="G43" s="50">
        <v>0</v>
      </c>
      <c r="H43" s="50">
        <v>0</v>
      </c>
      <c r="I43" s="50">
        <v>7</v>
      </c>
      <c r="J43" s="50">
        <v>1</v>
      </c>
      <c r="K43" s="50">
        <v>0</v>
      </c>
      <c r="L43" s="50">
        <v>0</v>
      </c>
      <c r="M43" s="50">
        <v>11</v>
      </c>
      <c r="N43" s="50">
        <v>0</v>
      </c>
      <c r="O43" s="15">
        <f t="shared" si="0"/>
        <v>103</v>
      </c>
      <c r="P43" s="15">
        <f t="shared" si="1"/>
        <v>114</v>
      </c>
    </row>
    <row r="44" spans="2:20" ht="23.1" customHeight="1" x14ac:dyDescent="0.25">
      <c r="B44" s="25" t="s">
        <v>71</v>
      </c>
      <c r="C44" s="50">
        <v>31</v>
      </c>
      <c r="D44" s="50">
        <v>4</v>
      </c>
      <c r="E44" s="50">
        <v>8</v>
      </c>
      <c r="F44" s="50">
        <v>23</v>
      </c>
      <c r="G44" s="50">
        <v>1</v>
      </c>
      <c r="H44" s="50">
        <v>2</v>
      </c>
      <c r="I44" s="50">
        <v>6</v>
      </c>
      <c r="J44" s="50">
        <v>4</v>
      </c>
      <c r="K44" s="50">
        <v>1</v>
      </c>
      <c r="L44" s="50">
        <v>0</v>
      </c>
      <c r="M44" s="50">
        <v>97</v>
      </c>
      <c r="N44" s="50">
        <v>0</v>
      </c>
      <c r="O44" s="15">
        <f t="shared" si="0"/>
        <v>80</v>
      </c>
      <c r="P44" s="15">
        <f t="shared" si="1"/>
        <v>177</v>
      </c>
    </row>
    <row r="45" spans="2:20" ht="23.1" customHeight="1" x14ac:dyDescent="0.25">
      <c r="B45" s="23" t="s">
        <v>72</v>
      </c>
      <c r="C45" s="50">
        <v>48</v>
      </c>
      <c r="D45" s="50">
        <v>8</v>
      </c>
      <c r="E45" s="50">
        <v>1</v>
      </c>
      <c r="F45" s="50">
        <v>18</v>
      </c>
      <c r="G45" s="50">
        <v>0</v>
      </c>
      <c r="H45" s="50">
        <v>0</v>
      </c>
      <c r="I45" s="50">
        <v>2</v>
      </c>
      <c r="J45" s="50">
        <v>2</v>
      </c>
      <c r="K45" s="50">
        <v>0</v>
      </c>
      <c r="L45" s="50">
        <v>0</v>
      </c>
      <c r="M45" s="50">
        <v>119</v>
      </c>
      <c r="N45" s="50">
        <v>0</v>
      </c>
      <c r="O45" s="15">
        <f t="shared" si="0"/>
        <v>79</v>
      </c>
      <c r="P45" s="15">
        <f t="shared" si="1"/>
        <v>198</v>
      </c>
    </row>
    <row r="46" spans="2:20" ht="23.1" customHeight="1" x14ac:dyDescent="0.25">
      <c r="B46" s="24" t="s">
        <v>73</v>
      </c>
      <c r="C46" s="50">
        <v>28</v>
      </c>
      <c r="D46" s="50">
        <v>10</v>
      </c>
      <c r="E46" s="50">
        <v>2</v>
      </c>
      <c r="F46" s="50">
        <v>29</v>
      </c>
      <c r="G46" s="50">
        <v>0</v>
      </c>
      <c r="H46" s="50">
        <v>0</v>
      </c>
      <c r="I46" s="50">
        <v>3</v>
      </c>
      <c r="J46" s="50">
        <v>1</v>
      </c>
      <c r="K46" s="50">
        <v>0</v>
      </c>
      <c r="L46" s="50">
        <v>0</v>
      </c>
      <c r="M46" s="50">
        <v>100</v>
      </c>
      <c r="N46" s="50">
        <v>0</v>
      </c>
      <c r="O46" s="15">
        <f t="shared" si="0"/>
        <v>73</v>
      </c>
      <c r="P46" s="15">
        <f t="shared" si="1"/>
        <v>173</v>
      </c>
      <c r="R46" s="8"/>
      <c r="T46"/>
    </row>
    <row r="47" spans="2:20" ht="23.1" customHeight="1" x14ac:dyDescent="0.25">
      <c r="B47" s="24" t="s">
        <v>74</v>
      </c>
      <c r="C47" s="50">
        <v>69</v>
      </c>
      <c r="D47" s="50">
        <v>9</v>
      </c>
      <c r="E47" s="50">
        <v>4</v>
      </c>
      <c r="F47" s="50">
        <v>45</v>
      </c>
      <c r="G47" s="50">
        <v>1</v>
      </c>
      <c r="H47" s="50">
        <v>1</v>
      </c>
      <c r="I47" s="50">
        <v>6</v>
      </c>
      <c r="J47" s="50">
        <v>2</v>
      </c>
      <c r="K47" s="50">
        <v>1</v>
      </c>
      <c r="L47" s="50">
        <v>0</v>
      </c>
      <c r="M47" s="50">
        <v>126</v>
      </c>
      <c r="N47" s="50">
        <v>0</v>
      </c>
      <c r="O47" s="15">
        <f t="shared" si="0"/>
        <v>138</v>
      </c>
      <c r="P47" s="15">
        <f t="shared" si="1"/>
        <v>264</v>
      </c>
      <c r="R47" s="8"/>
      <c r="T47"/>
    </row>
    <row r="48" spans="2:20" ht="23.1" customHeight="1" x14ac:dyDescent="0.25">
      <c r="B48" s="24" t="s">
        <v>75</v>
      </c>
      <c r="C48" s="50">
        <v>58</v>
      </c>
      <c r="D48" s="50">
        <v>27</v>
      </c>
      <c r="E48" s="50">
        <v>7</v>
      </c>
      <c r="F48" s="50">
        <v>36</v>
      </c>
      <c r="G48" s="50">
        <v>0</v>
      </c>
      <c r="H48" s="50">
        <v>1</v>
      </c>
      <c r="I48" s="50">
        <v>8</v>
      </c>
      <c r="J48" s="50">
        <v>4</v>
      </c>
      <c r="K48" s="50">
        <v>0</v>
      </c>
      <c r="L48" s="50">
        <v>1</v>
      </c>
      <c r="M48" s="50">
        <v>114</v>
      </c>
      <c r="N48" s="50">
        <v>0</v>
      </c>
      <c r="O48" s="15">
        <f t="shared" si="0"/>
        <v>142</v>
      </c>
      <c r="P48" s="15">
        <f t="shared" si="1"/>
        <v>256</v>
      </c>
      <c r="R48" s="8"/>
      <c r="T48"/>
    </row>
    <row r="49" spans="2:20" ht="23.1" customHeight="1" x14ac:dyDescent="0.25">
      <c r="B49" s="23" t="s">
        <v>76</v>
      </c>
      <c r="C49" s="50">
        <v>47</v>
      </c>
      <c r="D49" s="50">
        <v>10</v>
      </c>
      <c r="E49" s="50">
        <v>16</v>
      </c>
      <c r="F49" s="50">
        <v>50</v>
      </c>
      <c r="G49" s="50">
        <v>1</v>
      </c>
      <c r="H49" s="50">
        <v>0</v>
      </c>
      <c r="I49" s="50">
        <v>5</v>
      </c>
      <c r="J49" s="50">
        <v>5</v>
      </c>
      <c r="K49" s="50">
        <v>0</v>
      </c>
      <c r="L49" s="50">
        <v>0</v>
      </c>
      <c r="M49" s="50">
        <v>125</v>
      </c>
      <c r="N49" s="50">
        <v>0</v>
      </c>
      <c r="O49" s="15">
        <f t="shared" si="0"/>
        <v>134</v>
      </c>
      <c r="P49" s="15">
        <f t="shared" si="1"/>
        <v>259</v>
      </c>
      <c r="R49" s="8"/>
      <c r="T49"/>
    </row>
    <row r="50" spans="2:20" ht="23.1" customHeight="1" x14ac:dyDescent="0.25">
      <c r="B50" s="24" t="s">
        <v>77</v>
      </c>
      <c r="C50" s="50">
        <v>70</v>
      </c>
      <c r="D50" s="50">
        <v>14</v>
      </c>
      <c r="E50" s="50">
        <v>7</v>
      </c>
      <c r="F50" s="50">
        <v>47</v>
      </c>
      <c r="G50" s="50">
        <v>0</v>
      </c>
      <c r="H50" s="50">
        <v>0</v>
      </c>
      <c r="I50" s="50">
        <v>9</v>
      </c>
      <c r="J50" s="50">
        <v>4</v>
      </c>
      <c r="K50" s="50">
        <v>0</v>
      </c>
      <c r="L50" s="50">
        <v>0</v>
      </c>
      <c r="M50" s="50">
        <v>105</v>
      </c>
      <c r="N50" s="50">
        <v>0</v>
      </c>
      <c r="O50" s="15">
        <f t="shared" si="0"/>
        <v>151</v>
      </c>
      <c r="P50" s="15">
        <f t="shared" si="1"/>
        <v>256</v>
      </c>
      <c r="R50" s="8"/>
      <c r="T50"/>
    </row>
    <row r="51" spans="2:20" ht="23.1" customHeight="1" x14ac:dyDescent="0.25">
      <c r="B51" s="24" t="s">
        <v>78</v>
      </c>
      <c r="C51" s="50">
        <v>70</v>
      </c>
      <c r="D51" s="50">
        <v>18</v>
      </c>
      <c r="E51" s="50">
        <v>10</v>
      </c>
      <c r="F51" s="50">
        <v>37</v>
      </c>
      <c r="G51" s="50">
        <v>1</v>
      </c>
      <c r="H51" s="50">
        <v>0</v>
      </c>
      <c r="I51" s="50">
        <v>7</v>
      </c>
      <c r="J51" s="50">
        <v>2</v>
      </c>
      <c r="K51" s="50">
        <v>1</v>
      </c>
      <c r="L51" s="50">
        <v>0</v>
      </c>
      <c r="M51" s="50">
        <v>130</v>
      </c>
      <c r="N51" s="50">
        <v>0</v>
      </c>
      <c r="O51" s="15">
        <f t="shared" si="0"/>
        <v>146</v>
      </c>
      <c r="P51" s="15">
        <f t="shared" si="1"/>
        <v>276</v>
      </c>
      <c r="R51" s="8"/>
      <c r="T51"/>
    </row>
    <row r="52" spans="2:20" ht="23.1" customHeight="1" x14ac:dyDescent="0.25">
      <c r="B52" s="24" t="s">
        <v>79</v>
      </c>
      <c r="C52" s="50">
        <v>72</v>
      </c>
      <c r="D52" s="50">
        <v>20</v>
      </c>
      <c r="E52" s="50">
        <v>8</v>
      </c>
      <c r="F52" s="50">
        <v>45</v>
      </c>
      <c r="G52" s="50">
        <v>0</v>
      </c>
      <c r="H52" s="50">
        <v>0</v>
      </c>
      <c r="I52" s="50">
        <v>12</v>
      </c>
      <c r="J52" s="50">
        <v>2</v>
      </c>
      <c r="K52" s="50">
        <v>1</v>
      </c>
      <c r="L52" s="50">
        <v>0</v>
      </c>
      <c r="M52" s="50">
        <v>135</v>
      </c>
      <c r="N52" s="50">
        <v>0</v>
      </c>
      <c r="O52" s="15">
        <f t="shared" si="0"/>
        <v>160</v>
      </c>
      <c r="P52" s="15">
        <f t="shared" si="1"/>
        <v>295</v>
      </c>
      <c r="R52" s="8"/>
      <c r="T52"/>
    </row>
    <row r="53" spans="2:20" ht="23.1" customHeight="1" x14ac:dyDescent="0.25">
      <c r="B53" s="23" t="s">
        <v>80</v>
      </c>
      <c r="C53" s="50">
        <v>38</v>
      </c>
      <c r="D53" s="50">
        <v>5</v>
      </c>
      <c r="E53" s="50">
        <v>4</v>
      </c>
      <c r="F53" s="50">
        <v>40</v>
      </c>
      <c r="G53" s="50">
        <v>0</v>
      </c>
      <c r="H53" s="50">
        <v>0</v>
      </c>
      <c r="I53" s="50">
        <v>1</v>
      </c>
      <c r="J53" s="50">
        <v>1</v>
      </c>
      <c r="K53" s="50">
        <v>0</v>
      </c>
      <c r="L53" s="50">
        <v>0</v>
      </c>
      <c r="M53" s="50">
        <v>80</v>
      </c>
      <c r="N53" s="50">
        <v>0</v>
      </c>
      <c r="O53" s="15">
        <f t="shared" si="0"/>
        <v>89</v>
      </c>
      <c r="P53" s="15">
        <f t="shared" si="1"/>
        <v>169</v>
      </c>
      <c r="R53" s="8"/>
      <c r="T53"/>
    </row>
    <row r="54" spans="2:20" ht="23.1" customHeight="1" x14ac:dyDescent="0.25">
      <c r="B54" s="23" t="s">
        <v>81</v>
      </c>
      <c r="C54" s="50">
        <v>51</v>
      </c>
      <c r="D54" s="50">
        <v>19</v>
      </c>
      <c r="E54" s="50">
        <v>3</v>
      </c>
      <c r="F54" s="50">
        <v>57</v>
      </c>
      <c r="G54" s="50">
        <v>0</v>
      </c>
      <c r="H54" s="50">
        <v>0</v>
      </c>
      <c r="I54" s="50">
        <v>3</v>
      </c>
      <c r="J54" s="50">
        <v>2</v>
      </c>
      <c r="K54" s="50">
        <v>1</v>
      </c>
      <c r="L54" s="50">
        <v>2</v>
      </c>
      <c r="M54" s="50">
        <v>129</v>
      </c>
      <c r="N54" s="50">
        <v>0</v>
      </c>
      <c r="O54" s="15">
        <f t="shared" si="0"/>
        <v>138</v>
      </c>
      <c r="P54" s="15">
        <f t="shared" si="1"/>
        <v>267</v>
      </c>
      <c r="R54" s="8"/>
      <c r="T54"/>
    </row>
    <row r="55" spans="2:20" ht="23.1" customHeight="1" x14ac:dyDescent="0.25">
      <c r="B55" s="23" t="s">
        <v>82</v>
      </c>
      <c r="C55" s="50">
        <v>55</v>
      </c>
      <c r="D55" s="50">
        <v>3</v>
      </c>
      <c r="E55" s="50">
        <v>10</v>
      </c>
      <c r="F55" s="50">
        <v>46</v>
      </c>
      <c r="G55" s="50">
        <v>0</v>
      </c>
      <c r="H55" s="50">
        <v>2</v>
      </c>
      <c r="I55" s="50">
        <v>2</v>
      </c>
      <c r="J55" s="50">
        <v>0</v>
      </c>
      <c r="K55" s="50">
        <v>0</v>
      </c>
      <c r="L55" s="50">
        <v>0</v>
      </c>
      <c r="M55" s="50">
        <v>124</v>
      </c>
      <c r="N55" s="50">
        <v>0</v>
      </c>
      <c r="O55" s="15">
        <f t="shared" si="0"/>
        <v>118</v>
      </c>
      <c r="P55" s="15">
        <f t="shared" si="1"/>
        <v>242</v>
      </c>
      <c r="R55" s="8"/>
      <c r="T55"/>
    </row>
    <row r="56" spans="2:20" ht="23.1" customHeight="1" x14ac:dyDescent="0.25">
      <c r="B56" s="23" t="s">
        <v>83</v>
      </c>
      <c r="C56" s="50">
        <v>50</v>
      </c>
      <c r="D56" s="50">
        <v>7</v>
      </c>
      <c r="E56" s="50">
        <v>3</v>
      </c>
      <c r="F56" s="50">
        <v>31</v>
      </c>
      <c r="G56" s="50">
        <v>0</v>
      </c>
      <c r="H56" s="50">
        <v>2</v>
      </c>
      <c r="I56" s="50">
        <v>2</v>
      </c>
      <c r="J56" s="50">
        <v>0</v>
      </c>
      <c r="K56" s="50">
        <v>0</v>
      </c>
      <c r="L56" s="50">
        <v>0</v>
      </c>
      <c r="M56" s="50">
        <v>56</v>
      </c>
      <c r="N56" s="50">
        <v>0</v>
      </c>
      <c r="O56" s="15">
        <f t="shared" si="0"/>
        <v>95</v>
      </c>
      <c r="P56" s="15">
        <f t="shared" si="1"/>
        <v>151</v>
      </c>
      <c r="R56" s="8"/>
      <c r="T56"/>
    </row>
    <row r="57" spans="2:20" ht="23.1" customHeight="1" x14ac:dyDescent="0.25">
      <c r="B57" s="23" t="s">
        <v>84</v>
      </c>
      <c r="C57" s="50">
        <v>65</v>
      </c>
      <c r="D57" s="50">
        <v>12</v>
      </c>
      <c r="E57" s="50">
        <v>60</v>
      </c>
      <c r="F57" s="50">
        <v>4</v>
      </c>
      <c r="G57" s="50">
        <v>30</v>
      </c>
      <c r="H57" s="50">
        <v>5</v>
      </c>
      <c r="I57" s="50">
        <v>2</v>
      </c>
      <c r="J57" s="50">
        <v>0</v>
      </c>
      <c r="K57" s="50">
        <v>0</v>
      </c>
      <c r="L57" s="50">
        <v>0</v>
      </c>
      <c r="M57" s="50">
        <v>102</v>
      </c>
      <c r="N57" s="50">
        <v>0</v>
      </c>
      <c r="O57" s="15">
        <f t="shared" si="0"/>
        <v>178</v>
      </c>
      <c r="P57" s="15">
        <f t="shared" si="1"/>
        <v>280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1857</v>
      </c>
      <c r="D58" s="16">
        <f t="shared" si="21"/>
        <v>426</v>
      </c>
      <c r="E58" s="16">
        <f t="shared" si="21"/>
        <v>307</v>
      </c>
      <c r="F58" s="16">
        <f t="shared" si="21"/>
        <v>1976</v>
      </c>
      <c r="G58" s="16">
        <f t="shared" si="21"/>
        <v>64</v>
      </c>
      <c r="H58" s="16">
        <f t="shared" si="21"/>
        <v>66</v>
      </c>
      <c r="I58" s="16">
        <f t="shared" si="21"/>
        <v>243</v>
      </c>
      <c r="J58" s="16">
        <f t="shared" si="21"/>
        <v>91</v>
      </c>
      <c r="K58" s="16">
        <f t="shared" si="21"/>
        <v>31</v>
      </c>
      <c r="L58" s="16">
        <f t="shared" si="21"/>
        <v>12</v>
      </c>
      <c r="M58" s="16">
        <f t="shared" si="21"/>
        <v>7444</v>
      </c>
      <c r="N58" s="16">
        <f t="shared" si="21"/>
        <v>1</v>
      </c>
      <c r="O58" s="16">
        <f t="shared" si="21"/>
        <v>5074</v>
      </c>
      <c r="P58" s="16">
        <f t="shared" si="21"/>
        <v>12518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0.14834638121105609</v>
      </c>
      <c r="D59" s="43">
        <f t="shared" si="22"/>
        <v>3.4030995366671993E-2</v>
      </c>
      <c r="E59" s="43">
        <f t="shared" si="22"/>
        <v>2.4524684454385683E-2</v>
      </c>
      <c r="F59" s="43">
        <f t="shared" si="22"/>
        <v>0.15785269212334238</v>
      </c>
      <c r="G59" s="43">
        <f t="shared" si="22"/>
        <v>5.1126378015657449E-3</v>
      </c>
      <c r="H59" s="43">
        <f t="shared" si="22"/>
        <v>5.272407732864675E-3</v>
      </c>
      <c r="I59" s="43">
        <f t="shared" si="22"/>
        <v>1.9412046652819939E-2</v>
      </c>
      <c r="J59" s="43">
        <f t="shared" si="22"/>
        <v>7.269531874101294E-3</v>
      </c>
      <c r="K59" s="43">
        <f t="shared" si="22"/>
        <v>2.4764339351334079E-3</v>
      </c>
      <c r="L59" s="43">
        <f t="shared" si="22"/>
        <v>9.5861958779357723E-4</v>
      </c>
      <c r="M59" s="43">
        <f t="shared" si="22"/>
        <v>0.5946636842946158</v>
      </c>
      <c r="N59" s="43">
        <f t="shared" si="22"/>
        <v>7.9884965649464765E-5</v>
      </c>
      <c r="R59" s="8"/>
      <c r="T59"/>
    </row>
    <row r="60" spans="2:20" ht="23.1" customHeight="1" x14ac:dyDescent="0.25">
      <c r="B60" s="42" t="s">
        <v>94</v>
      </c>
      <c r="C60" s="44">
        <f>C58/$O$58</f>
        <v>0.36598344501379582</v>
      </c>
      <c r="D60" s="44">
        <f t="shared" ref="D60:N60" si="23">D58/$O$58</f>
        <v>8.395743003547497E-2</v>
      </c>
      <c r="E60" s="44">
        <f t="shared" si="23"/>
        <v>6.0504532912889236E-2</v>
      </c>
      <c r="F60" s="44">
        <f t="shared" si="23"/>
        <v>0.38943634213638156</v>
      </c>
      <c r="G60" s="44">
        <f t="shared" si="23"/>
        <v>1.2613322822230981E-2</v>
      </c>
      <c r="H60" s="44">
        <f t="shared" si="23"/>
        <v>1.3007489160425699E-2</v>
      </c>
      <c r="I60" s="44">
        <f t="shared" si="23"/>
        <v>4.7891210090658255E-2</v>
      </c>
      <c r="J60" s="44">
        <f t="shared" si="23"/>
        <v>1.7934568387859676E-2</v>
      </c>
      <c r="K60" s="44">
        <f t="shared" si="23"/>
        <v>6.1095782420181313E-3</v>
      </c>
      <c r="L60" s="44">
        <f t="shared" si="23"/>
        <v>2.3649980291683089E-3</v>
      </c>
      <c r="M60" s="44"/>
      <c r="N60" s="44">
        <f t="shared" si="23"/>
        <v>1.9708316909735908E-4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6:L6"/>
    <mergeCell ref="K5:L5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F126"/>
  <sheetViews>
    <sheetView view="pageBreakPreview" zoomScale="60" workbookViewId="0">
      <selection activeCell="J9" sqref="J9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64" t="s">
        <v>23</v>
      </c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  <c r="S1" s="64"/>
      <c r="T1" s="64"/>
      <c r="U1" s="64"/>
      <c r="V1" s="64"/>
      <c r="W1" s="64"/>
      <c r="X1" s="64"/>
      <c r="Y1" s="64"/>
      <c r="Z1" s="64"/>
      <c r="AA1" s="64"/>
      <c r="AB1" s="64"/>
      <c r="AC1" s="64"/>
      <c r="AD1" s="64"/>
      <c r="AE1" s="64"/>
    </row>
    <row r="2" spans="2:32" ht="20.100000000000001" customHeight="1" x14ac:dyDescent="0.25">
      <c r="B2" s="65" t="s">
        <v>95</v>
      </c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  <c r="AA2" s="65"/>
      <c r="AB2" s="65"/>
      <c r="AC2" s="65"/>
      <c r="AD2" s="65"/>
      <c r="AE2" s="65"/>
    </row>
    <row r="3" spans="2:32" ht="20.100000000000001" customHeight="1" x14ac:dyDescent="0.25">
      <c r="B3" s="22" t="s">
        <v>96</v>
      </c>
      <c r="C3" s="71" t="s">
        <v>179</v>
      </c>
      <c r="D3" s="71"/>
      <c r="E3" s="71"/>
      <c r="F3" s="71"/>
      <c r="G3" s="71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">
        <v>162</v>
      </c>
      <c r="E5" s="3"/>
      <c r="F5" s="41" t="s">
        <v>1</v>
      </c>
      <c r="G5" s="69" t="s">
        <v>176</v>
      </c>
      <c r="H5" s="70"/>
      <c r="I5" s="14"/>
      <c r="J5" s="2" t="s">
        <v>5</v>
      </c>
      <c r="K5" s="69" t="s">
        <v>181</v>
      </c>
      <c r="L5" s="70"/>
      <c r="M5" s="10"/>
      <c r="N5" s="10"/>
      <c r="O5" s="3"/>
      <c r="P5" s="3"/>
    </row>
    <row r="6" spans="2:32" ht="23.25" customHeight="1" x14ac:dyDescent="0.25">
      <c r="C6" s="2" t="s">
        <v>4</v>
      </c>
      <c r="D6" s="69" t="s">
        <v>169</v>
      </c>
      <c r="E6" s="70"/>
      <c r="F6" s="2" t="s">
        <v>2</v>
      </c>
      <c r="G6" s="69" t="s">
        <v>180</v>
      </c>
      <c r="H6" s="70"/>
      <c r="J6" s="2" t="s">
        <v>21</v>
      </c>
      <c r="K6" s="69" t="str">
        <f>'22.07 Bwaise-Makerere'!K6:L6</f>
        <v>SALIMAH</v>
      </c>
      <c r="L6" s="70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63" t="s">
        <v>88</v>
      </c>
      <c r="S8" s="63"/>
      <c r="T8" s="63"/>
      <c r="U8" s="63"/>
      <c r="V8" s="63"/>
      <c r="W8" s="63"/>
      <c r="X8" s="63"/>
      <c r="Y8" s="63"/>
      <c r="Z8" s="63"/>
      <c r="AA8" s="63"/>
      <c r="AB8" s="63"/>
      <c r="AC8" s="63"/>
      <c r="AD8" s="63"/>
      <c r="AE8" s="63"/>
      <c r="AF8" s="63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82</v>
      </c>
      <c r="D10" s="50">
        <v>29</v>
      </c>
      <c r="E10" s="50">
        <v>4</v>
      </c>
      <c r="F10" s="50">
        <v>55</v>
      </c>
      <c r="G10" s="50">
        <v>2</v>
      </c>
      <c r="H10" s="50">
        <v>0</v>
      </c>
      <c r="I10" s="50">
        <v>2</v>
      </c>
      <c r="J10" s="50">
        <v>1</v>
      </c>
      <c r="K10" s="50">
        <v>1</v>
      </c>
      <c r="L10" s="50">
        <v>0</v>
      </c>
      <c r="M10" s="50">
        <v>155</v>
      </c>
      <c r="N10" s="50">
        <v>0</v>
      </c>
      <c r="O10" s="15">
        <f t="shared" ref="O10:O57" si="0">SUM(C10:L10,N10)</f>
        <v>176</v>
      </c>
      <c r="P10" s="15">
        <f t="shared" ref="P10:P57" si="1">SUM(C10:N10)</f>
        <v>331</v>
      </c>
      <c r="R10" s="1" t="s">
        <v>6</v>
      </c>
      <c r="S10" s="17">
        <f t="shared" ref="S10:AF10" si="2">SUM(C10:C13)</f>
        <v>277</v>
      </c>
      <c r="T10" s="17">
        <f t="shared" si="2"/>
        <v>94</v>
      </c>
      <c r="U10" s="17">
        <f t="shared" si="2"/>
        <v>20</v>
      </c>
      <c r="V10" s="17">
        <f t="shared" si="2"/>
        <v>259</v>
      </c>
      <c r="W10" s="17">
        <f t="shared" si="2"/>
        <v>8</v>
      </c>
      <c r="X10" s="17">
        <f t="shared" si="2"/>
        <v>0</v>
      </c>
      <c r="Y10" s="17">
        <f t="shared" si="2"/>
        <v>10</v>
      </c>
      <c r="Z10" s="17">
        <f t="shared" si="2"/>
        <v>4</v>
      </c>
      <c r="AA10" s="17">
        <f t="shared" si="2"/>
        <v>3</v>
      </c>
      <c r="AB10" s="17">
        <f t="shared" si="2"/>
        <v>3</v>
      </c>
      <c r="AC10" s="17">
        <f t="shared" si="2"/>
        <v>985</v>
      </c>
      <c r="AD10" s="17">
        <f t="shared" si="2"/>
        <v>0</v>
      </c>
      <c r="AE10" s="31">
        <f t="shared" si="2"/>
        <v>678</v>
      </c>
      <c r="AF10" s="31">
        <f t="shared" si="2"/>
        <v>1663</v>
      </c>
    </row>
    <row r="11" spans="2:32" s="6" customFormat="1" ht="23.1" customHeight="1" x14ac:dyDescent="0.25">
      <c r="B11" s="23" t="s">
        <v>38</v>
      </c>
      <c r="C11" s="50">
        <v>78</v>
      </c>
      <c r="D11" s="50">
        <v>25</v>
      </c>
      <c r="E11" s="50">
        <v>5</v>
      </c>
      <c r="F11" s="50">
        <v>79</v>
      </c>
      <c r="G11" s="50">
        <v>2</v>
      </c>
      <c r="H11" s="50">
        <v>0</v>
      </c>
      <c r="I11" s="50">
        <v>3</v>
      </c>
      <c r="J11" s="50">
        <v>1</v>
      </c>
      <c r="K11" s="50">
        <v>2</v>
      </c>
      <c r="L11" s="50">
        <v>3</v>
      </c>
      <c r="M11" s="50">
        <v>270</v>
      </c>
      <c r="N11" s="50">
        <v>0</v>
      </c>
      <c r="O11" s="15">
        <f t="shared" si="0"/>
        <v>198</v>
      </c>
      <c r="P11" s="15">
        <f t="shared" si="1"/>
        <v>468</v>
      </c>
      <c r="R11" s="1" t="s">
        <v>7</v>
      </c>
      <c r="S11" s="17">
        <f t="shared" ref="S11:AF11" si="3">SUM(C14:C17)</f>
        <v>252</v>
      </c>
      <c r="T11" s="17">
        <f t="shared" si="3"/>
        <v>71</v>
      </c>
      <c r="U11" s="17">
        <f t="shared" si="3"/>
        <v>26</v>
      </c>
      <c r="V11" s="17">
        <f t="shared" si="3"/>
        <v>266</v>
      </c>
      <c r="W11" s="17">
        <f t="shared" si="3"/>
        <v>9</v>
      </c>
      <c r="X11" s="17">
        <f t="shared" si="3"/>
        <v>3</v>
      </c>
      <c r="Y11" s="17">
        <f t="shared" si="3"/>
        <v>16</v>
      </c>
      <c r="Z11" s="17">
        <f t="shared" si="3"/>
        <v>5</v>
      </c>
      <c r="AA11" s="17">
        <f t="shared" si="3"/>
        <v>10</v>
      </c>
      <c r="AB11" s="17">
        <f t="shared" si="3"/>
        <v>4</v>
      </c>
      <c r="AC11" s="17">
        <f t="shared" si="3"/>
        <v>1100</v>
      </c>
      <c r="AD11" s="17">
        <f t="shared" si="3"/>
        <v>0</v>
      </c>
      <c r="AE11" s="31">
        <f t="shared" si="3"/>
        <v>662</v>
      </c>
      <c r="AF11" s="31">
        <f t="shared" si="3"/>
        <v>1762</v>
      </c>
    </row>
    <row r="12" spans="2:32" ht="23.1" customHeight="1" x14ac:dyDescent="0.25">
      <c r="B12" s="23" t="s">
        <v>39</v>
      </c>
      <c r="C12" s="50">
        <v>67</v>
      </c>
      <c r="D12" s="50">
        <v>23</v>
      </c>
      <c r="E12" s="50">
        <v>4</v>
      </c>
      <c r="F12" s="50">
        <v>60</v>
      </c>
      <c r="G12" s="50">
        <v>3</v>
      </c>
      <c r="H12" s="50">
        <v>0</v>
      </c>
      <c r="I12" s="50">
        <v>2</v>
      </c>
      <c r="J12" s="50">
        <v>1</v>
      </c>
      <c r="K12" s="50">
        <v>0</v>
      </c>
      <c r="L12" s="50">
        <v>0</v>
      </c>
      <c r="M12" s="50">
        <v>265</v>
      </c>
      <c r="N12" s="50">
        <v>0</v>
      </c>
      <c r="O12" s="15">
        <f t="shared" si="0"/>
        <v>160</v>
      </c>
      <c r="P12" s="15">
        <f t="shared" si="1"/>
        <v>425</v>
      </c>
      <c r="R12" s="1" t="s">
        <v>8</v>
      </c>
      <c r="S12" s="17">
        <f t="shared" ref="S12:AF12" si="4">SUM(C18:C21)</f>
        <v>262</v>
      </c>
      <c r="T12" s="17">
        <f t="shared" si="4"/>
        <v>67</v>
      </c>
      <c r="U12" s="17">
        <f t="shared" si="4"/>
        <v>19</v>
      </c>
      <c r="V12" s="17">
        <f t="shared" si="4"/>
        <v>202</v>
      </c>
      <c r="W12" s="17">
        <f t="shared" si="4"/>
        <v>3</v>
      </c>
      <c r="X12" s="17">
        <f t="shared" si="4"/>
        <v>5</v>
      </c>
      <c r="Y12" s="17">
        <f t="shared" si="4"/>
        <v>31</v>
      </c>
      <c r="Z12" s="17">
        <f t="shared" si="4"/>
        <v>9</v>
      </c>
      <c r="AA12" s="17">
        <f t="shared" si="4"/>
        <v>10</v>
      </c>
      <c r="AB12" s="17">
        <f t="shared" si="4"/>
        <v>4</v>
      </c>
      <c r="AC12" s="17">
        <f t="shared" si="4"/>
        <v>1005</v>
      </c>
      <c r="AD12" s="17">
        <f t="shared" si="4"/>
        <v>0</v>
      </c>
      <c r="AE12" s="31">
        <f t="shared" si="4"/>
        <v>612</v>
      </c>
      <c r="AF12" s="31">
        <f t="shared" si="4"/>
        <v>1617</v>
      </c>
    </row>
    <row r="13" spans="2:32" ht="23.1" customHeight="1" x14ac:dyDescent="0.25">
      <c r="B13" s="23" t="s">
        <v>40</v>
      </c>
      <c r="C13" s="50">
        <v>50</v>
      </c>
      <c r="D13" s="50">
        <v>17</v>
      </c>
      <c r="E13" s="50">
        <v>7</v>
      </c>
      <c r="F13" s="50">
        <v>65</v>
      </c>
      <c r="G13" s="50">
        <v>1</v>
      </c>
      <c r="H13" s="50">
        <v>0</v>
      </c>
      <c r="I13" s="50">
        <v>3</v>
      </c>
      <c r="J13" s="50">
        <v>1</v>
      </c>
      <c r="K13" s="50">
        <v>0</v>
      </c>
      <c r="L13" s="50">
        <v>0</v>
      </c>
      <c r="M13" s="50">
        <v>295</v>
      </c>
      <c r="N13" s="50">
        <v>0</v>
      </c>
      <c r="O13" s="15">
        <f t="shared" si="0"/>
        <v>144</v>
      </c>
      <c r="P13" s="15">
        <f t="shared" si="1"/>
        <v>439</v>
      </c>
      <c r="R13" s="1" t="s">
        <v>9</v>
      </c>
      <c r="S13" s="17">
        <f t="shared" ref="S13:AF13" si="5">SUM(C22:C25)</f>
        <v>261</v>
      </c>
      <c r="T13" s="17">
        <f t="shared" si="5"/>
        <v>82</v>
      </c>
      <c r="U13" s="17">
        <f t="shared" si="5"/>
        <v>28</v>
      </c>
      <c r="V13" s="17">
        <f t="shared" si="5"/>
        <v>196</v>
      </c>
      <c r="W13" s="17">
        <f t="shared" si="5"/>
        <v>6</v>
      </c>
      <c r="X13" s="17">
        <f t="shared" si="5"/>
        <v>2</v>
      </c>
      <c r="Y13" s="17">
        <f t="shared" si="5"/>
        <v>30</v>
      </c>
      <c r="Z13" s="17">
        <f t="shared" si="5"/>
        <v>18</v>
      </c>
      <c r="AA13" s="17">
        <f t="shared" si="5"/>
        <v>13</v>
      </c>
      <c r="AB13" s="17">
        <f t="shared" si="5"/>
        <v>2</v>
      </c>
      <c r="AC13" s="17">
        <f t="shared" si="5"/>
        <v>796</v>
      </c>
      <c r="AD13" s="17">
        <f t="shared" si="5"/>
        <v>0</v>
      </c>
      <c r="AE13" s="31">
        <f t="shared" si="5"/>
        <v>638</v>
      </c>
      <c r="AF13" s="31">
        <f t="shared" si="5"/>
        <v>1434</v>
      </c>
    </row>
    <row r="14" spans="2:32" ht="23.1" customHeight="1" x14ac:dyDescent="0.25">
      <c r="B14" s="23" t="s">
        <v>41</v>
      </c>
      <c r="C14" s="50">
        <v>56</v>
      </c>
      <c r="D14" s="50">
        <v>19</v>
      </c>
      <c r="E14" s="50">
        <v>8</v>
      </c>
      <c r="F14" s="50">
        <v>61</v>
      </c>
      <c r="G14" s="50">
        <v>3</v>
      </c>
      <c r="H14" s="50">
        <v>0</v>
      </c>
      <c r="I14" s="50">
        <v>3</v>
      </c>
      <c r="J14" s="50">
        <v>2</v>
      </c>
      <c r="K14" s="50">
        <v>1</v>
      </c>
      <c r="L14" s="50">
        <v>0</v>
      </c>
      <c r="M14" s="50">
        <v>260</v>
      </c>
      <c r="N14" s="50">
        <v>0</v>
      </c>
      <c r="O14" s="15">
        <f t="shared" si="0"/>
        <v>153</v>
      </c>
      <c r="P14" s="15">
        <f t="shared" si="1"/>
        <v>413</v>
      </c>
      <c r="R14" s="1" t="s">
        <v>10</v>
      </c>
      <c r="S14" s="17">
        <f t="shared" ref="S14:AF14" si="6">SUM(C26:C29)</f>
        <v>183</v>
      </c>
      <c r="T14" s="17">
        <f t="shared" si="6"/>
        <v>74</v>
      </c>
      <c r="U14" s="17">
        <f t="shared" si="6"/>
        <v>19</v>
      </c>
      <c r="V14" s="17">
        <f t="shared" si="6"/>
        <v>144</v>
      </c>
      <c r="W14" s="17">
        <f t="shared" si="6"/>
        <v>4</v>
      </c>
      <c r="X14" s="17">
        <f t="shared" si="6"/>
        <v>1</v>
      </c>
      <c r="Y14" s="17">
        <f t="shared" si="6"/>
        <v>20</v>
      </c>
      <c r="Z14" s="17">
        <f t="shared" si="6"/>
        <v>9</v>
      </c>
      <c r="AA14" s="17">
        <f t="shared" si="6"/>
        <v>7</v>
      </c>
      <c r="AB14" s="17">
        <f t="shared" si="6"/>
        <v>5</v>
      </c>
      <c r="AC14" s="17">
        <f t="shared" si="6"/>
        <v>589</v>
      </c>
      <c r="AD14" s="17">
        <f t="shared" si="6"/>
        <v>1</v>
      </c>
      <c r="AE14" s="31">
        <f t="shared" si="6"/>
        <v>467</v>
      </c>
      <c r="AF14" s="31">
        <f t="shared" si="6"/>
        <v>1056</v>
      </c>
    </row>
    <row r="15" spans="2:32" ht="23.1" customHeight="1" x14ac:dyDescent="0.25">
      <c r="B15" s="23" t="s">
        <v>42</v>
      </c>
      <c r="C15" s="50">
        <v>57</v>
      </c>
      <c r="D15" s="50">
        <v>19</v>
      </c>
      <c r="E15" s="50">
        <v>3</v>
      </c>
      <c r="F15" s="50">
        <v>67</v>
      </c>
      <c r="G15" s="50">
        <v>1</v>
      </c>
      <c r="H15" s="50">
        <v>0</v>
      </c>
      <c r="I15" s="50">
        <v>3</v>
      </c>
      <c r="J15" s="50">
        <v>1</v>
      </c>
      <c r="K15" s="50">
        <v>4</v>
      </c>
      <c r="L15" s="50">
        <v>1</v>
      </c>
      <c r="M15" s="50">
        <v>260</v>
      </c>
      <c r="N15" s="50">
        <v>0</v>
      </c>
      <c r="O15" s="15">
        <f t="shared" si="0"/>
        <v>156</v>
      </c>
      <c r="P15" s="15">
        <f t="shared" si="1"/>
        <v>416</v>
      </c>
      <c r="R15" s="1" t="s">
        <v>11</v>
      </c>
      <c r="S15" s="17">
        <f t="shared" ref="S15:AF15" si="7">SUM(C30:C33)</f>
        <v>223</v>
      </c>
      <c r="T15" s="17">
        <f t="shared" si="7"/>
        <v>56</v>
      </c>
      <c r="U15" s="17">
        <f t="shared" si="7"/>
        <v>90</v>
      </c>
      <c r="V15" s="17">
        <f t="shared" si="7"/>
        <v>160</v>
      </c>
      <c r="W15" s="17">
        <f t="shared" si="7"/>
        <v>8</v>
      </c>
      <c r="X15" s="17">
        <f t="shared" si="7"/>
        <v>2</v>
      </c>
      <c r="Y15" s="17">
        <f t="shared" si="7"/>
        <v>36</v>
      </c>
      <c r="Z15" s="17">
        <f t="shared" si="7"/>
        <v>20</v>
      </c>
      <c r="AA15" s="17">
        <f t="shared" si="7"/>
        <v>12</v>
      </c>
      <c r="AB15" s="17">
        <f t="shared" si="7"/>
        <v>3</v>
      </c>
      <c r="AC15" s="17">
        <f t="shared" si="7"/>
        <v>741</v>
      </c>
      <c r="AD15" s="17">
        <f t="shared" si="7"/>
        <v>0</v>
      </c>
      <c r="AE15" s="31">
        <f t="shared" si="7"/>
        <v>610</v>
      </c>
      <c r="AF15" s="31">
        <f t="shared" si="7"/>
        <v>1351</v>
      </c>
    </row>
    <row r="16" spans="2:32" ht="23.1" customHeight="1" x14ac:dyDescent="0.25">
      <c r="B16" s="23" t="s">
        <v>43</v>
      </c>
      <c r="C16" s="50">
        <v>75</v>
      </c>
      <c r="D16" s="50">
        <v>14</v>
      </c>
      <c r="E16" s="50">
        <v>9</v>
      </c>
      <c r="F16" s="50">
        <v>59</v>
      </c>
      <c r="G16" s="50">
        <v>2</v>
      </c>
      <c r="H16" s="50">
        <v>2</v>
      </c>
      <c r="I16" s="50">
        <v>7</v>
      </c>
      <c r="J16" s="50">
        <v>1</v>
      </c>
      <c r="K16" s="50">
        <v>2</v>
      </c>
      <c r="L16" s="50">
        <v>2</v>
      </c>
      <c r="M16" s="50">
        <v>280</v>
      </c>
      <c r="N16" s="50">
        <v>0</v>
      </c>
      <c r="O16" s="15">
        <f t="shared" si="0"/>
        <v>173</v>
      </c>
      <c r="P16" s="15">
        <f t="shared" si="1"/>
        <v>453</v>
      </c>
      <c r="R16" s="1" t="s">
        <v>12</v>
      </c>
      <c r="S16" s="17">
        <f t="shared" ref="S16:AF16" si="8">SUM(C34:C37)</f>
        <v>194</v>
      </c>
      <c r="T16" s="17">
        <f t="shared" si="8"/>
        <v>68</v>
      </c>
      <c r="U16" s="17">
        <f t="shared" si="8"/>
        <v>20</v>
      </c>
      <c r="V16" s="17">
        <f t="shared" si="8"/>
        <v>144</v>
      </c>
      <c r="W16" s="17">
        <f t="shared" si="8"/>
        <v>2</v>
      </c>
      <c r="X16" s="17">
        <f t="shared" si="8"/>
        <v>9</v>
      </c>
      <c r="Y16" s="17">
        <f t="shared" si="8"/>
        <v>54</v>
      </c>
      <c r="Z16" s="17">
        <f t="shared" si="8"/>
        <v>14</v>
      </c>
      <c r="AA16" s="17">
        <f t="shared" si="8"/>
        <v>10</v>
      </c>
      <c r="AB16" s="17">
        <f t="shared" si="8"/>
        <v>4</v>
      </c>
      <c r="AC16" s="17">
        <f t="shared" si="8"/>
        <v>437</v>
      </c>
      <c r="AD16" s="17">
        <f t="shared" si="8"/>
        <v>0</v>
      </c>
      <c r="AE16" s="31">
        <f t="shared" si="8"/>
        <v>519</v>
      </c>
      <c r="AF16" s="31">
        <f t="shared" si="8"/>
        <v>956</v>
      </c>
    </row>
    <row r="17" spans="2:32" ht="23.1" customHeight="1" x14ac:dyDescent="0.25">
      <c r="B17" s="23" t="s">
        <v>44</v>
      </c>
      <c r="C17" s="50">
        <v>64</v>
      </c>
      <c r="D17" s="50">
        <v>19</v>
      </c>
      <c r="E17" s="50">
        <v>6</v>
      </c>
      <c r="F17" s="50">
        <v>79</v>
      </c>
      <c r="G17" s="50">
        <v>3</v>
      </c>
      <c r="H17" s="50">
        <v>1</v>
      </c>
      <c r="I17" s="50">
        <v>3</v>
      </c>
      <c r="J17" s="50">
        <v>1</v>
      </c>
      <c r="K17" s="50">
        <v>3</v>
      </c>
      <c r="L17" s="50">
        <v>1</v>
      </c>
      <c r="M17" s="50">
        <v>300</v>
      </c>
      <c r="N17" s="50">
        <v>0</v>
      </c>
      <c r="O17" s="15">
        <f t="shared" si="0"/>
        <v>180</v>
      </c>
      <c r="P17" s="15">
        <f t="shared" si="1"/>
        <v>480</v>
      </c>
      <c r="R17" s="1" t="s">
        <v>13</v>
      </c>
      <c r="S17" s="17">
        <f t="shared" ref="S17:AF17" si="9">SUM(C38:C41)</f>
        <v>144</v>
      </c>
      <c r="T17" s="17">
        <f t="shared" si="9"/>
        <v>67</v>
      </c>
      <c r="U17" s="17">
        <f t="shared" si="9"/>
        <v>23</v>
      </c>
      <c r="V17" s="17">
        <f t="shared" si="9"/>
        <v>127</v>
      </c>
      <c r="W17" s="17">
        <f t="shared" si="9"/>
        <v>5</v>
      </c>
      <c r="X17" s="17">
        <f t="shared" si="9"/>
        <v>7</v>
      </c>
      <c r="Y17" s="17">
        <f t="shared" si="9"/>
        <v>49</v>
      </c>
      <c r="Z17" s="17">
        <f t="shared" si="9"/>
        <v>16</v>
      </c>
      <c r="AA17" s="17">
        <f t="shared" si="9"/>
        <v>5</v>
      </c>
      <c r="AB17" s="17">
        <f t="shared" si="9"/>
        <v>5</v>
      </c>
      <c r="AC17" s="17">
        <f t="shared" si="9"/>
        <v>497</v>
      </c>
      <c r="AD17" s="17">
        <f t="shared" si="9"/>
        <v>0</v>
      </c>
      <c r="AE17" s="31">
        <f t="shared" si="9"/>
        <v>448</v>
      </c>
      <c r="AF17" s="31">
        <f t="shared" si="9"/>
        <v>945</v>
      </c>
    </row>
    <row r="18" spans="2:32" ht="23.1" customHeight="1" x14ac:dyDescent="0.25">
      <c r="B18" s="23" t="s">
        <v>45</v>
      </c>
      <c r="C18" s="50">
        <v>85</v>
      </c>
      <c r="D18" s="50">
        <v>14</v>
      </c>
      <c r="E18" s="50">
        <v>5</v>
      </c>
      <c r="F18" s="50">
        <v>65</v>
      </c>
      <c r="G18" s="50">
        <v>1</v>
      </c>
      <c r="H18" s="50">
        <v>0</v>
      </c>
      <c r="I18" s="50">
        <v>12</v>
      </c>
      <c r="J18" s="50">
        <v>1</v>
      </c>
      <c r="K18" s="50">
        <v>1</v>
      </c>
      <c r="L18" s="50">
        <v>0</v>
      </c>
      <c r="M18" s="50">
        <v>295</v>
      </c>
      <c r="N18" s="50">
        <v>0</v>
      </c>
      <c r="O18" s="15">
        <f t="shared" si="0"/>
        <v>184</v>
      </c>
      <c r="P18" s="15">
        <f t="shared" si="1"/>
        <v>479</v>
      </c>
      <c r="R18" s="1" t="s">
        <v>14</v>
      </c>
      <c r="S18" s="17">
        <f t="shared" ref="S18:AF18" si="10">SUM(C42:C45)</f>
        <v>171</v>
      </c>
      <c r="T18" s="17">
        <f t="shared" si="10"/>
        <v>58</v>
      </c>
      <c r="U18" s="17">
        <f t="shared" si="10"/>
        <v>27</v>
      </c>
      <c r="V18" s="17">
        <f t="shared" si="10"/>
        <v>136</v>
      </c>
      <c r="W18" s="17">
        <f t="shared" si="10"/>
        <v>0</v>
      </c>
      <c r="X18" s="17">
        <f t="shared" si="10"/>
        <v>5</v>
      </c>
      <c r="Y18" s="17">
        <f t="shared" si="10"/>
        <v>34</v>
      </c>
      <c r="Z18" s="17">
        <f t="shared" si="10"/>
        <v>14</v>
      </c>
      <c r="AA18" s="17">
        <f t="shared" si="10"/>
        <v>6</v>
      </c>
      <c r="AB18" s="17">
        <f t="shared" si="10"/>
        <v>3</v>
      </c>
      <c r="AC18" s="17">
        <f t="shared" si="10"/>
        <v>514</v>
      </c>
      <c r="AD18" s="17">
        <f t="shared" si="10"/>
        <v>0</v>
      </c>
      <c r="AE18" s="31">
        <f t="shared" si="10"/>
        <v>454</v>
      </c>
      <c r="AF18" s="31">
        <f t="shared" si="10"/>
        <v>968</v>
      </c>
    </row>
    <row r="19" spans="2:32" ht="23.1" customHeight="1" x14ac:dyDescent="0.25">
      <c r="B19" s="23" t="s">
        <v>46</v>
      </c>
      <c r="C19" s="50">
        <v>50</v>
      </c>
      <c r="D19" s="50">
        <v>21</v>
      </c>
      <c r="E19" s="50">
        <v>4</v>
      </c>
      <c r="F19" s="50">
        <v>40</v>
      </c>
      <c r="G19" s="50">
        <v>0</v>
      </c>
      <c r="H19" s="50">
        <v>2</v>
      </c>
      <c r="I19" s="50">
        <v>5</v>
      </c>
      <c r="J19" s="50">
        <v>2</v>
      </c>
      <c r="K19" s="50">
        <v>0</v>
      </c>
      <c r="L19" s="50">
        <v>0</v>
      </c>
      <c r="M19" s="50">
        <v>295</v>
      </c>
      <c r="N19" s="50">
        <v>0</v>
      </c>
      <c r="O19" s="15">
        <f t="shared" si="0"/>
        <v>124</v>
      </c>
      <c r="P19" s="15">
        <f t="shared" si="1"/>
        <v>419</v>
      </c>
      <c r="R19" s="1" t="s">
        <v>15</v>
      </c>
      <c r="S19" s="17">
        <f t="shared" ref="S19:AF19" si="11">SUM(C46:C49)</f>
        <v>199</v>
      </c>
      <c r="T19" s="17">
        <f t="shared" si="11"/>
        <v>73</v>
      </c>
      <c r="U19" s="17">
        <f t="shared" si="11"/>
        <v>29</v>
      </c>
      <c r="V19" s="17">
        <f t="shared" si="11"/>
        <v>128</v>
      </c>
      <c r="W19" s="17">
        <f t="shared" si="11"/>
        <v>3</v>
      </c>
      <c r="X19" s="17">
        <f t="shared" si="11"/>
        <v>2</v>
      </c>
      <c r="Y19" s="17">
        <f t="shared" si="11"/>
        <v>37</v>
      </c>
      <c r="Z19" s="17">
        <f t="shared" si="11"/>
        <v>15</v>
      </c>
      <c r="AA19" s="17">
        <f t="shared" si="11"/>
        <v>7</v>
      </c>
      <c r="AB19" s="17">
        <f t="shared" si="11"/>
        <v>0</v>
      </c>
      <c r="AC19" s="17">
        <f t="shared" si="11"/>
        <v>513</v>
      </c>
      <c r="AD19" s="17">
        <f t="shared" si="11"/>
        <v>0</v>
      </c>
      <c r="AE19" s="31">
        <f t="shared" si="11"/>
        <v>493</v>
      </c>
      <c r="AF19" s="31">
        <f t="shared" si="11"/>
        <v>1006</v>
      </c>
    </row>
    <row r="20" spans="2:32" ht="23.1" customHeight="1" x14ac:dyDescent="0.25">
      <c r="B20" s="23" t="s">
        <v>47</v>
      </c>
      <c r="C20" s="50">
        <v>70</v>
      </c>
      <c r="D20" s="50">
        <v>17</v>
      </c>
      <c r="E20" s="50">
        <v>8</v>
      </c>
      <c r="F20" s="50">
        <v>60</v>
      </c>
      <c r="G20" s="50">
        <v>1</v>
      </c>
      <c r="H20" s="50">
        <v>1</v>
      </c>
      <c r="I20" s="50">
        <v>7</v>
      </c>
      <c r="J20" s="50">
        <v>3</v>
      </c>
      <c r="K20" s="50">
        <v>4</v>
      </c>
      <c r="L20" s="50">
        <v>3</v>
      </c>
      <c r="M20" s="50">
        <v>220</v>
      </c>
      <c r="N20" s="50">
        <v>0</v>
      </c>
      <c r="O20" s="15">
        <f t="shared" si="0"/>
        <v>174</v>
      </c>
      <c r="P20" s="15">
        <f t="shared" si="1"/>
        <v>394</v>
      </c>
      <c r="R20" s="1" t="s">
        <v>16</v>
      </c>
      <c r="S20" s="17">
        <f t="shared" ref="S20:AF20" si="12">SUM(C50:C53)</f>
        <v>173</v>
      </c>
      <c r="T20" s="17">
        <f t="shared" si="12"/>
        <v>58</v>
      </c>
      <c r="U20" s="17">
        <f t="shared" si="12"/>
        <v>24</v>
      </c>
      <c r="V20" s="17">
        <f t="shared" si="12"/>
        <v>157</v>
      </c>
      <c r="W20" s="17">
        <f t="shared" si="12"/>
        <v>3</v>
      </c>
      <c r="X20" s="17">
        <f t="shared" si="12"/>
        <v>1</v>
      </c>
      <c r="Y20" s="17">
        <f t="shared" si="12"/>
        <v>33</v>
      </c>
      <c r="Z20" s="17">
        <f t="shared" si="12"/>
        <v>12</v>
      </c>
      <c r="AA20" s="17">
        <f t="shared" si="12"/>
        <v>8</v>
      </c>
      <c r="AB20" s="17">
        <f t="shared" si="12"/>
        <v>2</v>
      </c>
      <c r="AC20" s="17">
        <f t="shared" si="12"/>
        <v>573</v>
      </c>
      <c r="AD20" s="17">
        <f t="shared" si="12"/>
        <v>0</v>
      </c>
      <c r="AE20" s="31">
        <f t="shared" si="12"/>
        <v>471</v>
      </c>
      <c r="AF20" s="31">
        <f t="shared" si="12"/>
        <v>1044</v>
      </c>
    </row>
    <row r="21" spans="2:32" ht="23.1" customHeight="1" x14ac:dyDescent="0.25">
      <c r="B21" s="23" t="s">
        <v>48</v>
      </c>
      <c r="C21" s="50">
        <v>57</v>
      </c>
      <c r="D21" s="50">
        <v>15</v>
      </c>
      <c r="E21" s="50">
        <v>2</v>
      </c>
      <c r="F21" s="50">
        <v>37</v>
      </c>
      <c r="G21" s="50">
        <v>1</v>
      </c>
      <c r="H21" s="50">
        <v>2</v>
      </c>
      <c r="I21" s="50">
        <v>7</v>
      </c>
      <c r="J21" s="50">
        <v>3</v>
      </c>
      <c r="K21" s="50">
        <v>5</v>
      </c>
      <c r="L21" s="50">
        <v>1</v>
      </c>
      <c r="M21" s="50">
        <v>195</v>
      </c>
      <c r="N21" s="50">
        <v>0</v>
      </c>
      <c r="O21" s="15">
        <f t="shared" si="0"/>
        <v>130</v>
      </c>
      <c r="P21" s="15">
        <f t="shared" si="1"/>
        <v>325</v>
      </c>
      <c r="R21" s="36" t="s">
        <v>20</v>
      </c>
      <c r="S21" s="34">
        <f t="shared" ref="S21:AF21" si="13">SUM(C54:C57)</f>
        <v>101</v>
      </c>
      <c r="T21" s="17">
        <f t="shared" si="13"/>
        <v>35</v>
      </c>
      <c r="U21" s="17">
        <f t="shared" si="13"/>
        <v>17</v>
      </c>
      <c r="V21" s="17">
        <f t="shared" si="13"/>
        <v>99</v>
      </c>
      <c r="W21" s="17">
        <f t="shared" si="13"/>
        <v>7</v>
      </c>
      <c r="X21" s="17">
        <f t="shared" si="13"/>
        <v>3</v>
      </c>
      <c r="Y21" s="17">
        <f t="shared" si="13"/>
        <v>19</v>
      </c>
      <c r="Z21" s="17">
        <f t="shared" si="13"/>
        <v>3</v>
      </c>
      <c r="AA21" s="17">
        <f t="shared" si="13"/>
        <v>5</v>
      </c>
      <c r="AB21" s="17">
        <f t="shared" si="13"/>
        <v>3</v>
      </c>
      <c r="AC21" s="17">
        <f t="shared" si="13"/>
        <v>498</v>
      </c>
      <c r="AD21" s="17">
        <f t="shared" si="13"/>
        <v>0</v>
      </c>
      <c r="AE21" s="31">
        <f t="shared" si="13"/>
        <v>292</v>
      </c>
      <c r="AF21" s="31">
        <f t="shared" si="13"/>
        <v>790</v>
      </c>
    </row>
    <row r="22" spans="2:32" ht="23.1" customHeight="1" x14ac:dyDescent="0.25">
      <c r="B22" s="23" t="s">
        <v>49</v>
      </c>
      <c r="C22" s="50">
        <v>64</v>
      </c>
      <c r="D22" s="50">
        <v>16</v>
      </c>
      <c r="E22" s="50">
        <v>10</v>
      </c>
      <c r="F22" s="50">
        <v>46</v>
      </c>
      <c r="G22" s="50">
        <v>4</v>
      </c>
      <c r="H22" s="50">
        <v>0</v>
      </c>
      <c r="I22" s="50">
        <v>6</v>
      </c>
      <c r="J22" s="50">
        <v>5</v>
      </c>
      <c r="K22" s="50">
        <v>0</v>
      </c>
      <c r="L22" s="50">
        <v>0</v>
      </c>
      <c r="M22" s="50">
        <v>240</v>
      </c>
      <c r="N22" s="50">
        <v>0</v>
      </c>
      <c r="O22" s="15">
        <f t="shared" si="0"/>
        <v>151</v>
      </c>
      <c r="P22" s="15">
        <f t="shared" si="1"/>
        <v>391</v>
      </c>
      <c r="R22" s="38" t="s">
        <v>90</v>
      </c>
      <c r="S22" s="39">
        <f>MAX(S10:S12)</f>
        <v>277</v>
      </c>
      <c r="T22" s="39">
        <f t="shared" ref="T22:AF22" si="14">MAX(T10:T12)</f>
        <v>94</v>
      </c>
      <c r="U22" s="39">
        <f t="shared" si="14"/>
        <v>26</v>
      </c>
      <c r="V22" s="39">
        <f t="shared" si="14"/>
        <v>266</v>
      </c>
      <c r="W22" s="39">
        <f t="shared" si="14"/>
        <v>9</v>
      </c>
      <c r="X22" s="39">
        <f t="shared" si="14"/>
        <v>5</v>
      </c>
      <c r="Y22" s="39">
        <f t="shared" si="14"/>
        <v>31</v>
      </c>
      <c r="Z22" s="39">
        <f t="shared" si="14"/>
        <v>9</v>
      </c>
      <c r="AA22" s="39">
        <f t="shared" si="14"/>
        <v>10</v>
      </c>
      <c r="AB22" s="39">
        <f t="shared" si="14"/>
        <v>4</v>
      </c>
      <c r="AC22" s="39">
        <f t="shared" si="14"/>
        <v>1100</v>
      </c>
      <c r="AD22" s="39">
        <f t="shared" si="14"/>
        <v>0</v>
      </c>
      <c r="AE22" s="40">
        <f t="shared" si="14"/>
        <v>678</v>
      </c>
      <c r="AF22" s="40">
        <f t="shared" si="14"/>
        <v>1762</v>
      </c>
    </row>
    <row r="23" spans="2:32" ht="23.1" customHeight="1" x14ac:dyDescent="0.25">
      <c r="B23" s="23" t="s">
        <v>50</v>
      </c>
      <c r="C23" s="50">
        <v>64</v>
      </c>
      <c r="D23" s="50">
        <v>20</v>
      </c>
      <c r="E23" s="50">
        <v>5</v>
      </c>
      <c r="F23" s="50">
        <v>49</v>
      </c>
      <c r="G23" s="50">
        <v>0</v>
      </c>
      <c r="H23" s="50">
        <v>1</v>
      </c>
      <c r="I23" s="50">
        <v>5</v>
      </c>
      <c r="J23" s="50">
        <v>4</v>
      </c>
      <c r="K23" s="50">
        <v>4</v>
      </c>
      <c r="L23" s="50">
        <v>1</v>
      </c>
      <c r="M23" s="50">
        <v>225</v>
      </c>
      <c r="N23" s="50">
        <v>0</v>
      </c>
      <c r="O23" s="15">
        <f t="shared" si="0"/>
        <v>153</v>
      </c>
      <c r="P23" s="15">
        <f t="shared" si="1"/>
        <v>378</v>
      </c>
      <c r="R23" s="38" t="s">
        <v>91</v>
      </c>
      <c r="S23" s="39">
        <f>MAX(S13:S18)</f>
        <v>261</v>
      </c>
      <c r="T23" s="39">
        <f t="shared" ref="T23:AF23" si="15">MAX(T13:T18)</f>
        <v>82</v>
      </c>
      <c r="U23" s="39">
        <f t="shared" si="15"/>
        <v>90</v>
      </c>
      <c r="V23" s="39">
        <f t="shared" si="15"/>
        <v>196</v>
      </c>
      <c r="W23" s="39">
        <f t="shared" si="15"/>
        <v>8</v>
      </c>
      <c r="X23" s="39">
        <f t="shared" si="15"/>
        <v>9</v>
      </c>
      <c r="Y23" s="39">
        <f t="shared" si="15"/>
        <v>54</v>
      </c>
      <c r="Z23" s="39">
        <f t="shared" si="15"/>
        <v>20</v>
      </c>
      <c r="AA23" s="39">
        <f t="shared" si="15"/>
        <v>13</v>
      </c>
      <c r="AB23" s="39">
        <f t="shared" si="15"/>
        <v>5</v>
      </c>
      <c r="AC23" s="39">
        <f t="shared" si="15"/>
        <v>796</v>
      </c>
      <c r="AD23" s="39">
        <f t="shared" si="15"/>
        <v>1</v>
      </c>
      <c r="AE23" s="40">
        <f t="shared" si="15"/>
        <v>638</v>
      </c>
      <c r="AF23" s="40">
        <f t="shared" si="15"/>
        <v>1434</v>
      </c>
    </row>
    <row r="24" spans="2:32" ht="23.1" customHeight="1" x14ac:dyDescent="0.25">
      <c r="B24" s="23" t="s">
        <v>51</v>
      </c>
      <c r="C24" s="50">
        <v>78</v>
      </c>
      <c r="D24" s="50">
        <v>24</v>
      </c>
      <c r="E24" s="50">
        <v>9</v>
      </c>
      <c r="F24" s="50">
        <v>56</v>
      </c>
      <c r="G24" s="50">
        <v>2</v>
      </c>
      <c r="H24" s="50">
        <v>1</v>
      </c>
      <c r="I24" s="50">
        <v>11</v>
      </c>
      <c r="J24" s="50">
        <v>5</v>
      </c>
      <c r="K24" s="50">
        <v>4</v>
      </c>
      <c r="L24" s="50">
        <v>1</v>
      </c>
      <c r="M24" s="50">
        <v>164</v>
      </c>
      <c r="N24" s="50">
        <v>0</v>
      </c>
      <c r="O24" s="15">
        <f t="shared" si="0"/>
        <v>191</v>
      </c>
      <c r="P24" s="15">
        <f t="shared" si="1"/>
        <v>355</v>
      </c>
      <c r="R24" s="38" t="s">
        <v>92</v>
      </c>
      <c r="S24" s="39">
        <f>MAX(S19:S21)</f>
        <v>199</v>
      </c>
      <c r="T24" s="39">
        <f t="shared" ref="T24:AF24" si="16">MAX(T19:T21)</f>
        <v>73</v>
      </c>
      <c r="U24" s="39">
        <f t="shared" si="16"/>
        <v>29</v>
      </c>
      <c r="V24" s="39">
        <f t="shared" si="16"/>
        <v>157</v>
      </c>
      <c r="W24" s="39">
        <f t="shared" si="16"/>
        <v>7</v>
      </c>
      <c r="X24" s="39">
        <f t="shared" si="16"/>
        <v>3</v>
      </c>
      <c r="Y24" s="39">
        <f t="shared" si="16"/>
        <v>37</v>
      </c>
      <c r="Z24" s="39">
        <f t="shared" si="16"/>
        <v>15</v>
      </c>
      <c r="AA24" s="39">
        <f t="shared" si="16"/>
        <v>8</v>
      </c>
      <c r="AB24" s="39">
        <f t="shared" si="16"/>
        <v>3</v>
      </c>
      <c r="AC24" s="39">
        <f t="shared" si="16"/>
        <v>573</v>
      </c>
      <c r="AD24" s="39">
        <f t="shared" si="16"/>
        <v>0</v>
      </c>
      <c r="AE24" s="40">
        <f t="shared" si="16"/>
        <v>493</v>
      </c>
      <c r="AF24" s="40">
        <f t="shared" si="16"/>
        <v>1044</v>
      </c>
    </row>
    <row r="25" spans="2:32" ht="23.1" customHeight="1" x14ac:dyDescent="0.25">
      <c r="B25" s="23" t="s">
        <v>52</v>
      </c>
      <c r="C25" s="50">
        <v>55</v>
      </c>
      <c r="D25" s="50">
        <v>22</v>
      </c>
      <c r="E25" s="50">
        <v>4</v>
      </c>
      <c r="F25" s="50">
        <v>45</v>
      </c>
      <c r="G25" s="50">
        <v>0</v>
      </c>
      <c r="H25" s="50">
        <v>0</v>
      </c>
      <c r="I25" s="50">
        <v>8</v>
      </c>
      <c r="J25" s="50">
        <v>4</v>
      </c>
      <c r="K25" s="50">
        <v>5</v>
      </c>
      <c r="L25" s="50">
        <v>0</v>
      </c>
      <c r="M25" s="50">
        <v>167</v>
      </c>
      <c r="N25" s="50">
        <v>0</v>
      </c>
      <c r="O25" s="15">
        <f t="shared" si="0"/>
        <v>143</v>
      </c>
      <c r="P25" s="15">
        <f t="shared" si="1"/>
        <v>310</v>
      </c>
      <c r="R25" s="37" t="s">
        <v>85</v>
      </c>
      <c r="S25" s="35">
        <f t="shared" ref="S25:AF25" si="17">SUM(S10:S12)</f>
        <v>791</v>
      </c>
      <c r="T25" s="16">
        <f t="shared" si="17"/>
        <v>232</v>
      </c>
      <c r="U25" s="16">
        <f t="shared" si="17"/>
        <v>65</v>
      </c>
      <c r="V25" s="16">
        <f t="shared" si="17"/>
        <v>727</v>
      </c>
      <c r="W25" s="16">
        <f t="shared" si="17"/>
        <v>20</v>
      </c>
      <c r="X25" s="16">
        <f t="shared" si="17"/>
        <v>8</v>
      </c>
      <c r="Y25" s="16">
        <f t="shared" si="17"/>
        <v>57</v>
      </c>
      <c r="Z25" s="16">
        <f t="shared" si="17"/>
        <v>18</v>
      </c>
      <c r="AA25" s="16">
        <f t="shared" si="17"/>
        <v>23</v>
      </c>
      <c r="AB25" s="16">
        <f t="shared" si="17"/>
        <v>11</v>
      </c>
      <c r="AC25" s="16">
        <f t="shared" si="17"/>
        <v>3090</v>
      </c>
      <c r="AD25" s="16">
        <f t="shared" si="17"/>
        <v>0</v>
      </c>
      <c r="AE25" s="32">
        <f t="shared" si="17"/>
        <v>1952</v>
      </c>
      <c r="AF25" s="32">
        <f t="shared" si="17"/>
        <v>5042</v>
      </c>
    </row>
    <row r="26" spans="2:32" ht="23.1" customHeight="1" x14ac:dyDescent="0.25">
      <c r="B26" s="23" t="s">
        <v>53</v>
      </c>
      <c r="C26" s="50">
        <v>36</v>
      </c>
      <c r="D26" s="50">
        <v>18</v>
      </c>
      <c r="E26" s="50">
        <v>4</v>
      </c>
      <c r="F26" s="50">
        <v>33</v>
      </c>
      <c r="G26" s="50">
        <v>3</v>
      </c>
      <c r="H26" s="50">
        <v>0</v>
      </c>
      <c r="I26" s="50">
        <v>9</v>
      </c>
      <c r="J26" s="50">
        <v>5</v>
      </c>
      <c r="K26" s="50">
        <v>7</v>
      </c>
      <c r="L26" s="50">
        <v>1</v>
      </c>
      <c r="M26" s="50">
        <v>128</v>
      </c>
      <c r="N26" s="50">
        <v>0</v>
      </c>
      <c r="O26" s="15">
        <f t="shared" si="0"/>
        <v>116</v>
      </c>
      <c r="P26" s="15">
        <f t="shared" si="1"/>
        <v>244</v>
      </c>
      <c r="R26" s="28" t="s">
        <v>86</v>
      </c>
      <c r="S26" s="16">
        <f t="shared" ref="S26:AF26" si="18">SUM(S13:S18)</f>
        <v>1176</v>
      </c>
      <c r="T26" s="16">
        <f t="shared" si="18"/>
        <v>405</v>
      </c>
      <c r="U26" s="16">
        <f t="shared" si="18"/>
        <v>207</v>
      </c>
      <c r="V26" s="16">
        <f t="shared" si="18"/>
        <v>907</v>
      </c>
      <c r="W26" s="16">
        <f t="shared" si="18"/>
        <v>25</v>
      </c>
      <c r="X26" s="16">
        <f t="shared" si="18"/>
        <v>26</v>
      </c>
      <c r="Y26" s="16">
        <f t="shared" si="18"/>
        <v>223</v>
      </c>
      <c r="Z26" s="16">
        <f t="shared" si="18"/>
        <v>91</v>
      </c>
      <c r="AA26" s="16">
        <f t="shared" si="18"/>
        <v>53</v>
      </c>
      <c r="AB26" s="16">
        <f t="shared" si="18"/>
        <v>22</v>
      </c>
      <c r="AC26" s="16">
        <f t="shared" si="18"/>
        <v>3574</v>
      </c>
      <c r="AD26" s="16">
        <f t="shared" si="18"/>
        <v>1</v>
      </c>
      <c r="AE26" s="32">
        <f t="shared" si="18"/>
        <v>3136</v>
      </c>
      <c r="AF26" s="32">
        <f t="shared" si="18"/>
        <v>6710</v>
      </c>
    </row>
    <row r="27" spans="2:32" ht="23.1" customHeight="1" x14ac:dyDescent="0.25">
      <c r="B27" s="23" t="s">
        <v>54</v>
      </c>
      <c r="C27" s="50">
        <v>59</v>
      </c>
      <c r="D27" s="50">
        <v>21</v>
      </c>
      <c r="E27" s="50">
        <v>8</v>
      </c>
      <c r="F27" s="50">
        <v>43</v>
      </c>
      <c r="G27" s="50">
        <v>1</v>
      </c>
      <c r="H27" s="50">
        <v>1</v>
      </c>
      <c r="I27" s="50">
        <v>0</v>
      </c>
      <c r="J27" s="50">
        <v>1</v>
      </c>
      <c r="K27" s="50">
        <v>0</v>
      </c>
      <c r="L27" s="50">
        <v>2</v>
      </c>
      <c r="M27" s="50">
        <v>183</v>
      </c>
      <c r="N27" s="50">
        <v>1</v>
      </c>
      <c r="O27" s="15">
        <f t="shared" si="0"/>
        <v>137</v>
      </c>
      <c r="P27" s="15">
        <f t="shared" si="1"/>
        <v>320</v>
      </c>
      <c r="R27" s="29" t="s">
        <v>87</v>
      </c>
      <c r="S27" s="16">
        <f t="shared" ref="S27:AF27" si="19">SUM(S19:S21)</f>
        <v>473</v>
      </c>
      <c r="T27" s="16">
        <f t="shared" si="19"/>
        <v>166</v>
      </c>
      <c r="U27" s="16">
        <f t="shared" si="19"/>
        <v>70</v>
      </c>
      <c r="V27" s="16">
        <f t="shared" si="19"/>
        <v>384</v>
      </c>
      <c r="W27" s="16">
        <f t="shared" si="19"/>
        <v>13</v>
      </c>
      <c r="X27" s="16">
        <f t="shared" si="19"/>
        <v>6</v>
      </c>
      <c r="Y27" s="16">
        <f t="shared" si="19"/>
        <v>89</v>
      </c>
      <c r="Z27" s="16">
        <f t="shared" si="19"/>
        <v>30</v>
      </c>
      <c r="AA27" s="16">
        <f t="shared" si="19"/>
        <v>20</v>
      </c>
      <c r="AB27" s="16">
        <f t="shared" si="19"/>
        <v>5</v>
      </c>
      <c r="AC27" s="16">
        <f t="shared" si="19"/>
        <v>1584</v>
      </c>
      <c r="AD27" s="16">
        <f t="shared" si="19"/>
        <v>0</v>
      </c>
      <c r="AE27" s="32">
        <f t="shared" si="19"/>
        <v>1256</v>
      </c>
      <c r="AF27" s="32">
        <f t="shared" si="19"/>
        <v>2840</v>
      </c>
    </row>
    <row r="28" spans="2:32" ht="23.1" customHeight="1" x14ac:dyDescent="0.25">
      <c r="B28" s="23" t="s">
        <v>55</v>
      </c>
      <c r="C28" s="50">
        <v>43</v>
      </c>
      <c r="D28" s="50">
        <v>14</v>
      </c>
      <c r="E28" s="50">
        <v>4</v>
      </c>
      <c r="F28" s="50">
        <v>35</v>
      </c>
      <c r="G28" s="50">
        <v>0</v>
      </c>
      <c r="H28" s="50">
        <v>0</v>
      </c>
      <c r="I28" s="50">
        <v>3</v>
      </c>
      <c r="J28" s="50">
        <v>1</v>
      </c>
      <c r="K28" s="50">
        <v>0</v>
      </c>
      <c r="L28" s="50">
        <v>2</v>
      </c>
      <c r="M28" s="50">
        <v>155</v>
      </c>
      <c r="N28" s="50">
        <v>0</v>
      </c>
      <c r="O28" s="15">
        <f t="shared" si="0"/>
        <v>102</v>
      </c>
      <c r="P28" s="15">
        <f t="shared" si="1"/>
        <v>257</v>
      </c>
      <c r="R28" s="5" t="s">
        <v>17</v>
      </c>
      <c r="S28" s="16">
        <f t="shared" ref="S28:AF28" si="20">SUM(S10:S21)</f>
        <v>2440</v>
      </c>
      <c r="T28" s="16">
        <f t="shared" si="20"/>
        <v>803</v>
      </c>
      <c r="U28" s="16">
        <f t="shared" si="20"/>
        <v>342</v>
      </c>
      <c r="V28" s="16">
        <f t="shared" si="20"/>
        <v>2018</v>
      </c>
      <c r="W28" s="16">
        <f t="shared" si="20"/>
        <v>58</v>
      </c>
      <c r="X28" s="16">
        <f t="shared" si="20"/>
        <v>40</v>
      </c>
      <c r="Y28" s="16">
        <f t="shared" si="20"/>
        <v>369</v>
      </c>
      <c r="Z28" s="16">
        <f t="shared" si="20"/>
        <v>139</v>
      </c>
      <c r="AA28" s="16">
        <f t="shared" si="20"/>
        <v>96</v>
      </c>
      <c r="AB28" s="16">
        <f t="shared" si="20"/>
        <v>38</v>
      </c>
      <c r="AC28" s="16">
        <f t="shared" si="20"/>
        <v>8248</v>
      </c>
      <c r="AD28" s="16">
        <f t="shared" si="20"/>
        <v>1</v>
      </c>
      <c r="AE28" s="32">
        <f t="shared" si="20"/>
        <v>6344</v>
      </c>
      <c r="AF28" s="32">
        <f t="shared" si="20"/>
        <v>14592</v>
      </c>
    </row>
    <row r="29" spans="2:32" ht="23.1" customHeight="1" x14ac:dyDescent="0.25">
      <c r="B29" s="23" t="s">
        <v>56</v>
      </c>
      <c r="C29" s="50">
        <v>45</v>
      </c>
      <c r="D29" s="50">
        <v>21</v>
      </c>
      <c r="E29" s="50">
        <v>3</v>
      </c>
      <c r="F29" s="50">
        <v>33</v>
      </c>
      <c r="G29" s="50">
        <v>0</v>
      </c>
      <c r="H29" s="50">
        <v>0</v>
      </c>
      <c r="I29" s="50">
        <v>8</v>
      </c>
      <c r="J29" s="50">
        <v>2</v>
      </c>
      <c r="K29" s="50">
        <v>0</v>
      </c>
      <c r="L29" s="50">
        <v>0</v>
      </c>
      <c r="M29" s="50">
        <v>123</v>
      </c>
      <c r="N29" s="50">
        <v>0</v>
      </c>
      <c r="O29" s="15">
        <f t="shared" si="0"/>
        <v>112</v>
      </c>
      <c r="P29" s="15">
        <f t="shared" si="1"/>
        <v>235</v>
      </c>
      <c r="R29"/>
      <c r="S29" s="20"/>
      <c r="T29" s="19"/>
    </row>
    <row r="30" spans="2:32" ht="23.1" customHeight="1" x14ac:dyDescent="0.25">
      <c r="B30" s="23" t="s">
        <v>57</v>
      </c>
      <c r="C30" s="50">
        <v>39</v>
      </c>
      <c r="D30" s="50">
        <v>10</v>
      </c>
      <c r="E30" s="50">
        <v>14</v>
      </c>
      <c r="F30" s="50">
        <v>39</v>
      </c>
      <c r="G30" s="50">
        <v>1</v>
      </c>
      <c r="H30" s="50">
        <v>1</v>
      </c>
      <c r="I30" s="50">
        <v>7</v>
      </c>
      <c r="J30" s="50">
        <v>6</v>
      </c>
      <c r="K30" s="50">
        <v>1</v>
      </c>
      <c r="L30" s="50">
        <v>0</v>
      </c>
      <c r="M30" s="50">
        <v>170</v>
      </c>
      <c r="N30" s="50">
        <v>0</v>
      </c>
      <c r="O30" s="15">
        <f t="shared" si="0"/>
        <v>118</v>
      </c>
      <c r="P30" s="15">
        <f t="shared" si="1"/>
        <v>288</v>
      </c>
    </row>
    <row r="31" spans="2:32" ht="23.1" customHeight="1" x14ac:dyDescent="0.25">
      <c r="B31" s="24" t="s">
        <v>58</v>
      </c>
      <c r="C31" s="50">
        <v>63</v>
      </c>
      <c r="D31" s="50">
        <v>15</v>
      </c>
      <c r="E31" s="50">
        <v>11</v>
      </c>
      <c r="F31" s="50">
        <v>40</v>
      </c>
      <c r="G31" s="50">
        <v>4</v>
      </c>
      <c r="H31" s="50">
        <v>0</v>
      </c>
      <c r="I31" s="50">
        <v>10</v>
      </c>
      <c r="J31" s="50">
        <v>0</v>
      </c>
      <c r="K31" s="50">
        <v>3</v>
      </c>
      <c r="L31" s="50">
        <v>0</v>
      </c>
      <c r="M31" s="50">
        <v>210</v>
      </c>
      <c r="N31" s="50">
        <v>0</v>
      </c>
      <c r="O31" s="15">
        <f t="shared" si="0"/>
        <v>146</v>
      </c>
      <c r="P31" s="15">
        <f t="shared" si="1"/>
        <v>356</v>
      </c>
    </row>
    <row r="32" spans="2:32" ht="23.1" customHeight="1" x14ac:dyDescent="0.25">
      <c r="B32" s="24" t="s">
        <v>59</v>
      </c>
      <c r="C32" s="50">
        <v>72</v>
      </c>
      <c r="D32" s="50">
        <v>20</v>
      </c>
      <c r="E32" s="50">
        <v>60</v>
      </c>
      <c r="F32" s="50">
        <v>43</v>
      </c>
      <c r="G32" s="50">
        <v>3</v>
      </c>
      <c r="H32" s="50">
        <v>0</v>
      </c>
      <c r="I32" s="50">
        <v>2</v>
      </c>
      <c r="J32" s="50">
        <v>10</v>
      </c>
      <c r="K32" s="50">
        <v>4</v>
      </c>
      <c r="L32" s="50">
        <v>0</v>
      </c>
      <c r="M32" s="50">
        <v>191</v>
      </c>
      <c r="N32" s="50">
        <v>0</v>
      </c>
      <c r="O32" s="15">
        <f t="shared" si="0"/>
        <v>214</v>
      </c>
      <c r="P32" s="15">
        <f t="shared" si="1"/>
        <v>405</v>
      </c>
    </row>
    <row r="33" spans="2:20" ht="23.1" customHeight="1" x14ac:dyDescent="0.25">
      <c r="B33" s="23" t="s">
        <v>60</v>
      </c>
      <c r="C33" s="50">
        <v>49</v>
      </c>
      <c r="D33" s="50">
        <v>11</v>
      </c>
      <c r="E33" s="50">
        <v>5</v>
      </c>
      <c r="F33" s="50">
        <v>38</v>
      </c>
      <c r="G33" s="50">
        <v>0</v>
      </c>
      <c r="H33" s="50">
        <v>1</v>
      </c>
      <c r="I33" s="50">
        <v>17</v>
      </c>
      <c r="J33" s="50">
        <v>4</v>
      </c>
      <c r="K33" s="50">
        <v>4</v>
      </c>
      <c r="L33" s="50">
        <v>3</v>
      </c>
      <c r="M33" s="50">
        <v>170</v>
      </c>
      <c r="N33" s="50">
        <v>0</v>
      </c>
      <c r="O33" s="15">
        <f t="shared" si="0"/>
        <v>132</v>
      </c>
      <c r="P33" s="15">
        <f t="shared" si="1"/>
        <v>302</v>
      </c>
    </row>
    <row r="34" spans="2:20" ht="23.1" customHeight="1" x14ac:dyDescent="0.25">
      <c r="B34" s="24" t="s">
        <v>61</v>
      </c>
      <c r="C34" s="50">
        <v>49</v>
      </c>
      <c r="D34" s="50">
        <v>12</v>
      </c>
      <c r="E34" s="50">
        <v>2</v>
      </c>
      <c r="F34" s="50">
        <v>30</v>
      </c>
      <c r="G34" s="50">
        <v>0</v>
      </c>
      <c r="H34" s="50">
        <v>4</v>
      </c>
      <c r="I34" s="50">
        <v>8</v>
      </c>
      <c r="J34" s="50">
        <v>2</v>
      </c>
      <c r="K34" s="50">
        <v>5</v>
      </c>
      <c r="L34" s="50">
        <v>3</v>
      </c>
      <c r="M34" s="50">
        <v>120</v>
      </c>
      <c r="N34" s="50">
        <v>0</v>
      </c>
      <c r="O34" s="15">
        <f t="shared" si="0"/>
        <v>115</v>
      </c>
      <c r="P34" s="15">
        <f t="shared" si="1"/>
        <v>235</v>
      </c>
    </row>
    <row r="35" spans="2:20" ht="23.1" customHeight="1" x14ac:dyDescent="0.25">
      <c r="B35" s="24" t="s">
        <v>62</v>
      </c>
      <c r="C35" s="50">
        <v>31</v>
      </c>
      <c r="D35" s="50">
        <v>16</v>
      </c>
      <c r="E35" s="50">
        <v>9</v>
      </c>
      <c r="F35" s="50">
        <v>25</v>
      </c>
      <c r="G35" s="50">
        <v>1</v>
      </c>
      <c r="H35" s="50">
        <v>2</v>
      </c>
      <c r="I35" s="50">
        <v>16</v>
      </c>
      <c r="J35" s="50">
        <v>5</v>
      </c>
      <c r="K35" s="50">
        <v>1</v>
      </c>
      <c r="L35" s="50">
        <v>0</v>
      </c>
      <c r="M35" s="50">
        <v>135</v>
      </c>
      <c r="N35" s="50">
        <v>0</v>
      </c>
      <c r="O35" s="15">
        <f t="shared" si="0"/>
        <v>106</v>
      </c>
      <c r="P35" s="15">
        <f t="shared" si="1"/>
        <v>241</v>
      </c>
    </row>
    <row r="36" spans="2:20" ht="23.1" customHeight="1" x14ac:dyDescent="0.25">
      <c r="B36" s="24" t="s">
        <v>63</v>
      </c>
      <c r="C36" s="50">
        <v>68</v>
      </c>
      <c r="D36" s="50">
        <v>18</v>
      </c>
      <c r="E36" s="50">
        <v>5</v>
      </c>
      <c r="F36" s="50">
        <v>42</v>
      </c>
      <c r="G36" s="50">
        <v>1</v>
      </c>
      <c r="H36" s="50">
        <v>2</v>
      </c>
      <c r="I36" s="50">
        <v>16</v>
      </c>
      <c r="J36" s="50">
        <v>5</v>
      </c>
      <c r="K36" s="50">
        <v>1</v>
      </c>
      <c r="L36" s="50">
        <v>0</v>
      </c>
      <c r="M36" s="50">
        <v>134</v>
      </c>
      <c r="N36" s="50">
        <v>0</v>
      </c>
      <c r="O36" s="15">
        <f t="shared" si="0"/>
        <v>158</v>
      </c>
      <c r="P36" s="15">
        <f t="shared" si="1"/>
        <v>292</v>
      </c>
    </row>
    <row r="37" spans="2:20" ht="23.1" customHeight="1" x14ac:dyDescent="0.25">
      <c r="B37" s="23" t="s">
        <v>64</v>
      </c>
      <c r="C37" s="50">
        <v>46</v>
      </c>
      <c r="D37" s="50">
        <v>22</v>
      </c>
      <c r="E37" s="50">
        <v>4</v>
      </c>
      <c r="F37" s="50">
        <v>47</v>
      </c>
      <c r="G37" s="50">
        <v>0</v>
      </c>
      <c r="H37" s="50">
        <v>1</v>
      </c>
      <c r="I37" s="50">
        <v>14</v>
      </c>
      <c r="J37" s="50">
        <v>2</v>
      </c>
      <c r="K37" s="50">
        <v>3</v>
      </c>
      <c r="L37" s="50">
        <v>1</v>
      </c>
      <c r="M37" s="50">
        <v>48</v>
      </c>
      <c r="N37" s="50">
        <v>0</v>
      </c>
      <c r="O37" s="15">
        <f t="shared" si="0"/>
        <v>140</v>
      </c>
      <c r="P37" s="15">
        <f t="shared" si="1"/>
        <v>188</v>
      </c>
    </row>
    <row r="38" spans="2:20" ht="23.1" customHeight="1" x14ac:dyDescent="0.25">
      <c r="B38" s="24" t="s">
        <v>65</v>
      </c>
      <c r="C38" s="50">
        <v>36</v>
      </c>
      <c r="D38" s="50">
        <v>4</v>
      </c>
      <c r="E38" s="50">
        <v>9</v>
      </c>
      <c r="F38" s="50">
        <v>30</v>
      </c>
      <c r="G38" s="50">
        <v>1</v>
      </c>
      <c r="H38" s="50">
        <v>1</v>
      </c>
      <c r="I38" s="50">
        <v>6</v>
      </c>
      <c r="J38" s="50">
        <v>1</v>
      </c>
      <c r="K38" s="50">
        <v>1</v>
      </c>
      <c r="L38" s="50">
        <v>2</v>
      </c>
      <c r="M38" s="50">
        <v>85</v>
      </c>
      <c r="N38" s="50">
        <v>0</v>
      </c>
      <c r="O38" s="15">
        <f t="shared" si="0"/>
        <v>91</v>
      </c>
      <c r="P38" s="15">
        <f t="shared" si="1"/>
        <v>176</v>
      </c>
    </row>
    <row r="39" spans="2:20" ht="23.1" customHeight="1" x14ac:dyDescent="0.25">
      <c r="B39" s="24" t="s">
        <v>66</v>
      </c>
      <c r="C39" s="50">
        <v>34</v>
      </c>
      <c r="D39" s="50">
        <v>20</v>
      </c>
      <c r="E39" s="50">
        <v>0</v>
      </c>
      <c r="F39" s="50">
        <v>25</v>
      </c>
      <c r="G39" s="50">
        <v>1</v>
      </c>
      <c r="H39" s="50">
        <v>1</v>
      </c>
      <c r="I39" s="50">
        <v>17</v>
      </c>
      <c r="J39" s="50">
        <v>2</v>
      </c>
      <c r="K39" s="50">
        <v>1</v>
      </c>
      <c r="L39" s="50">
        <v>0</v>
      </c>
      <c r="M39" s="50">
        <v>103</v>
      </c>
      <c r="N39" s="50">
        <v>0</v>
      </c>
      <c r="O39" s="15">
        <f t="shared" si="0"/>
        <v>101</v>
      </c>
      <c r="P39" s="15">
        <f t="shared" si="1"/>
        <v>204</v>
      </c>
    </row>
    <row r="40" spans="2:20" ht="23.1" customHeight="1" x14ac:dyDescent="0.25">
      <c r="B40" s="24" t="s">
        <v>67</v>
      </c>
      <c r="C40" s="50">
        <v>26</v>
      </c>
      <c r="D40" s="50">
        <v>12</v>
      </c>
      <c r="E40" s="50">
        <v>4</v>
      </c>
      <c r="F40" s="50">
        <v>24</v>
      </c>
      <c r="G40" s="50">
        <v>0</v>
      </c>
      <c r="H40" s="50">
        <v>2</v>
      </c>
      <c r="I40" s="50">
        <v>10</v>
      </c>
      <c r="J40" s="50">
        <v>6</v>
      </c>
      <c r="K40" s="50">
        <v>0</v>
      </c>
      <c r="L40" s="50">
        <v>1</v>
      </c>
      <c r="M40" s="50">
        <v>132</v>
      </c>
      <c r="N40" s="50">
        <v>0</v>
      </c>
      <c r="O40" s="15">
        <f t="shared" si="0"/>
        <v>85</v>
      </c>
      <c r="P40" s="15">
        <f t="shared" si="1"/>
        <v>217</v>
      </c>
    </row>
    <row r="41" spans="2:20" ht="23.1" customHeight="1" x14ac:dyDescent="0.25">
      <c r="B41" s="23" t="s">
        <v>68</v>
      </c>
      <c r="C41" s="50">
        <v>48</v>
      </c>
      <c r="D41" s="50">
        <v>31</v>
      </c>
      <c r="E41" s="50">
        <v>10</v>
      </c>
      <c r="F41" s="50">
        <v>48</v>
      </c>
      <c r="G41" s="50">
        <v>3</v>
      </c>
      <c r="H41" s="50">
        <v>3</v>
      </c>
      <c r="I41" s="50">
        <v>16</v>
      </c>
      <c r="J41" s="50">
        <v>7</v>
      </c>
      <c r="K41" s="50">
        <v>3</v>
      </c>
      <c r="L41" s="50">
        <v>2</v>
      </c>
      <c r="M41" s="50">
        <v>177</v>
      </c>
      <c r="N41" s="50">
        <v>0</v>
      </c>
      <c r="O41" s="15">
        <f t="shared" si="0"/>
        <v>171</v>
      </c>
      <c r="P41" s="15">
        <f t="shared" si="1"/>
        <v>348</v>
      </c>
    </row>
    <row r="42" spans="2:20" ht="23.1" customHeight="1" x14ac:dyDescent="0.25">
      <c r="B42" s="24" t="s">
        <v>69</v>
      </c>
      <c r="C42" s="50">
        <v>45</v>
      </c>
      <c r="D42" s="50">
        <v>16</v>
      </c>
      <c r="E42" s="50">
        <v>7</v>
      </c>
      <c r="F42" s="50">
        <v>49</v>
      </c>
      <c r="G42" s="50">
        <v>0</v>
      </c>
      <c r="H42" s="50">
        <v>3</v>
      </c>
      <c r="I42" s="50">
        <v>10</v>
      </c>
      <c r="J42" s="50">
        <v>1</v>
      </c>
      <c r="K42" s="50">
        <v>2</v>
      </c>
      <c r="L42" s="50">
        <v>1</v>
      </c>
      <c r="M42" s="50">
        <v>110</v>
      </c>
      <c r="N42" s="50">
        <v>0</v>
      </c>
      <c r="O42" s="15">
        <f t="shared" si="0"/>
        <v>134</v>
      </c>
      <c r="P42" s="15">
        <f t="shared" si="1"/>
        <v>244</v>
      </c>
    </row>
    <row r="43" spans="2:20" ht="23.1" customHeight="1" x14ac:dyDescent="0.25">
      <c r="B43" s="23" t="s">
        <v>70</v>
      </c>
      <c r="C43" s="50">
        <v>31</v>
      </c>
      <c r="D43" s="50">
        <v>6</v>
      </c>
      <c r="E43" s="50">
        <v>6</v>
      </c>
      <c r="F43" s="50">
        <v>16</v>
      </c>
      <c r="G43" s="50">
        <v>0</v>
      </c>
      <c r="H43" s="50">
        <v>1</v>
      </c>
      <c r="I43" s="50">
        <v>1</v>
      </c>
      <c r="J43" s="50">
        <v>8</v>
      </c>
      <c r="K43" s="50">
        <v>1</v>
      </c>
      <c r="L43" s="50">
        <v>1</v>
      </c>
      <c r="M43" s="50">
        <v>98</v>
      </c>
      <c r="N43" s="50">
        <v>0</v>
      </c>
      <c r="O43" s="15">
        <f t="shared" si="0"/>
        <v>71</v>
      </c>
      <c r="P43" s="15">
        <f t="shared" si="1"/>
        <v>169</v>
      </c>
    </row>
    <row r="44" spans="2:20" ht="23.1" customHeight="1" x14ac:dyDescent="0.25">
      <c r="B44" s="25" t="s">
        <v>71</v>
      </c>
      <c r="C44" s="50">
        <v>48</v>
      </c>
      <c r="D44" s="50">
        <v>21</v>
      </c>
      <c r="E44" s="50">
        <v>4</v>
      </c>
      <c r="F44" s="50">
        <v>38</v>
      </c>
      <c r="G44" s="50">
        <v>0</v>
      </c>
      <c r="H44" s="50">
        <v>0</v>
      </c>
      <c r="I44" s="50">
        <v>9</v>
      </c>
      <c r="J44" s="50">
        <v>5</v>
      </c>
      <c r="K44" s="50">
        <v>0</v>
      </c>
      <c r="L44" s="50">
        <v>0</v>
      </c>
      <c r="M44" s="50">
        <v>150</v>
      </c>
      <c r="N44" s="50">
        <v>0</v>
      </c>
      <c r="O44" s="15">
        <f t="shared" si="0"/>
        <v>125</v>
      </c>
      <c r="P44" s="15">
        <f t="shared" si="1"/>
        <v>275</v>
      </c>
    </row>
    <row r="45" spans="2:20" ht="23.1" customHeight="1" x14ac:dyDescent="0.25">
      <c r="B45" s="23" t="s">
        <v>72</v>
      </c>
      <c r="C45" s="50">
        <v>47</v>
      </c>
      <c r="D45" s="50">
        <v>15</v>
      </c>
      <c r="E45" s="50">
        <v>10</v>
      </c>
      <c r="F45" s="50">
        <v>33</v>
      </c>
      <c r="G45" s="50">
        <v>0</v>
      </c>
      <c r="H45" s="50">
        <v>1</v>
      </c>
      <c r="I45" s="50">
        <v>14</v>
      </c>
      <c r="J45" s="50">
        <v>0</v>
      </c>
      <c r="K45" s="50">
        <v>3</v>
      </c>
      <c r="L45" s="50">
        <v>1</v>
      </c>
      <c r="M45" s="50">
        <v>156</v>
      </c>
      <c r="N45" s="50">
        <v>0</v>
      </c>
      <c r="O45" s="15">
        <f t="shared" si="0"/>
        <v>124</v>
      </c>
      <c r="P45" s="15">
        <f t="shared" si="1"/>
        <v>280</v>
      </c>
    </row>
    <row r="46" spans="2:20" ht="23.1" customHeight="1" x14ac:dyDescent="0.25">
      <c r="B46" s="24" t="s">
        <v>73</v>
      </c>
      <c r="C46" s="50">
        <v>60</v>
      </c>
      <c r="D46" s="50">
        <v>18</v>
      </c>
      <c r="E46" s="50">
        <v>6</v>
      </c>
      <c r="F46" s="50">
        <v>40</v>
      </c>
      <c r="G46" s="50">
        <v>1</v>
      </c>
      <c r="H46" s="50">
        <v>0</v>
      </c>
      <c r="I46" s="50">
        <v>12</v>
      </c>
      <c r="J46" s="50">
        <v>6</v>
      </c>
      <c r="K46" s="50">
        <v>1</v>
      </c>
      <c r="L46" s="50">
        <v>0</v>
      </c>
      <c r="M46" s="50">
        <v>135</v>
      </c>
      <c r="N46" s="50">
        <v>0</v>
      </c>
      <c r="O46" s="15">
        <f t="shared" si="0"/>
        <v>144</v>
      </c>
      <c r="P46" s="15">
        <f t="shared" si="1"/>
        <v>279</v>
      </c>
      <c r="R46" s="8"/>
      <c r="T46"/>
    </row>
    <row r="47" spans="2:20" ht="23.1" customHeight="1" x14ac:dyDescent="0.25">
      <c r="B47" s="24" t="s">
        <v>74</v>
      </c>
      <c r="C47" s="50">
        <v>38</v>
      </c>
      <c r="D47" s="50">
        <v>16</v>
      </c>
      <c r="E47" s="50">
        <v>3</v>
      </c>
      <c r="F47" s="50">
        <v>23</v>
      </c>
      <c r="G47" s="50">
        <v>2</v>
      </c>
      <c r="H47" s="50">
        <v>0</v>
      </c>
      <c r="I47" s="50">
        <v>8</v>
      </c>
      <c r="J47" s="50">
        <v>3</v>
      </c>
      <c r="K47" s="50">
        <v>3</v>
      </c>
      <c r="L47" s="50">
        <v>0</v>
      </c>
      <c r="M47" s="50">
        <v>108</v>
      </c>
      <c r="N47" s="50">
        <v>0</v>
      </c>
      <c r="O47" s="15">
        <f t="shared" si="0"/>
        <v>96</v>
      </c>
      <c r="P47" s="15">
        <f t="shared" si="1"/>
        <v>204</v>
      </c>
      <c r="R47" s="8"/>
      <c r="T47"/>
    </row>
    <row r="48" spans="2:20" ht="23.1" customHeight="1" x14ac:dyDescent="0.25">
      <c r="B48" s="24" t="s">
        <v>75</v>
      </c>
      <c r="C48" s="50">
        <v>56</v>
      </c>
      <c r="D48" s="50">
        <v>20</v>
      </c>
      <c r="E48" s="50">
        <v>12</v>
      </c>
      <c r="F48" s="50">
        <v>29</v>
      </c>
      <c r="G48" s="50">
        <v>0</v>
      </c>
      <c r="H48" s="50">
        <v>1</v>
      </c>
      <c r="I48" s="50">
        <v>5</v>
      </c>
      <c r="J48" s="50">
        <v>3</v>
      </c>
      <c r="K48" s="50">
        <v>2</v>
      </c>
      <c r="L48" s="50">
        <v>0</v>
      </c>
      <c r="M48" s="50">
        <v>150</v>
      </c>
      <c r="N48" s="50">
        <v>0</v>
      </c>
      <c r="O48" s="15">
        <f t="shared" si="0"/>
        <v>128</v>
      </c>
      <c r="P48" s="15">
        <f t="shared" si="1"/>
        <v>278</v>
      </c>
      <c r="R48" s="8"/>
      <c r="T48"/>
    </row>
    <row r="49" spans="2:20" ht="23.1" customHeight="1" x14ac:dyDescent="0.25">
      <c r="B49" s="23" t="s">
        <v>76</v>
      </c>
      <c r="C49" s="50">
        <v>45</v>
      </c>
      <c r="D49" s="50">
        <v>19</v>
      </c>
      <c r="E49" s="50">
        <v>8</v>
      </c>
      <c r="F49" s="50">
        <v>36</v>
      </c>
      <c r="G49" s="50">
        <v>0</v>
      </c>
      <c r="H49" s="50">
        <v>1</v>
      </c>
      <c r="I49" s="50">
        <v>12</v>
      </c>
      <c r="J49" s="50">
        <v>3</v>
      </c>
      <c r="K49" s="50">
        <v>1</v>
      </c>
      <c r="L49" s="50">
        <v>0</v>
      </c>
      <c r="M49" s="50">
        <v>120</v>
      </c>
      <c r="N49" s="50">
        <v>0</v>
      </c>
      <c r="O49" s="15">
        <f t="shared" si="0"/>
        <v>125</v>
      </c>
      <c r="P49" s="15">
        <f t="shared" si="1"/>
        <v>245</v>
      </c>
      <c r="R49" s="8"/>
      <c r="T49"/>
    </row>
    <row r="50" spans="2:20" ht="23.1" customHeight="1" x14ac:dyDescent="0.25">
      <c r="B50" s="24" t="s">
        <v>77</v>
      </c>
      <c r="C50" s="50">
        <v>48</v>
      </c>
      <c r="D50" s="50">
        <v>15</v>
      </c>
      <c r="E50" s="50">
        <v>4</v>
      </c>
      <c r="F50" s="50">
        <v>34</v>
      </c>
      <c r="G50" s="50">
        <v>0</v>
      </c>
      <c r="H50" s="50">
        <v>0</v>
      </c>
      <c r="I50" s="50">
        <v>10</v>
      </c>
      <c r="J50" s="50">
        <v>6</v>
      </c>
      <c r="K50" s="50">
        <v>1</v>
      </c>
      <c r="L50" s="50">
        <v>0</v>
      </c>
      <c r="M50" s="50">
        <v>150</v>
      </c>
      <c r="N50" s="50">
        <v>0</v>
      </c>
      <c r="O50" s="15">
        <f t="shared" si="0"/>
        <v>118</v>
      </c>
      <c r="P50" s="15">
        <f t="shared" si="1"/>
        <v>268</v>
      </c>
      <c r="R50" s="8"/>
      <c r="T50"/>
    </row>
    <row r="51" spans="2:20" ht="23.1" customHeight="1" x14ac:dyDescent="0.25">
      <c r="B51" s="24" t="s">
        <v>78</v>
      </c>
      <c r="C51" s="50">
        <v>33</v>
      </c>
      <c r="D51" s="50">
        <v>15</v>
      </c>
      <c r="E51" s="50">
        <v>9</v>
      </c>
      <c r="F51" s="50">
        <v>36</v>
      </c>
      <c r="G51" s="50">
        <v>2</v>
      </c>
      <c r="H51" s="50">
        <v>0</v>
      </c>
      <c r="I51" s="50">
        <v>5</v>
      </c>
      <c r="J51" s="50">
        <v>4</v>
      </c>
      <c r="K51" s="50">
        <v>2</v>
      </c>
      <c r="L51" s="50">
        <v>1</v>
      </c>
      <c r="M51" s="50">
        <v>140</v>
      </c>
      <c r="N51" s="50">
        <v>0</v>
      </c>
      <c r="O51" s="15">
        <f t="shared" si="0"/>
        <v>107</v>
      </c>
      <c r="P51" s="15">
        <f t="shared" si="1"/>
        <v>247</v>
      </c>
      <c r="R51" s="8"/>
      <c r="T51"/>
    </row>
    <row r="52" spans="2:20" ht="23.1" customHeight="1" x14ac:dyDescent="0.25">
      <c r="B52" s="24" t="s">
        <v>79</v>
      </c>
      <c r="C52" s="50">
        <v>57</v>
      </c>
      <c r="D52" s="50">
        <v>14</v>
      </c>
      <c r="E52" s="50">
        <v>7</v>
      </c>
      <c r="F52" s="50">
        <v>50</v>
      </c>
      <c r="G52" s="50">
        <v>0</v>
      </c>
      <c r="H52" s="50">
        <v>1</v>
      </c>
      <c r="I52" s="50">
        <v>12</v>
      </c>
      <c r="J52" s="50">
        <v>1</v>
      </c>
      <c r="K52" s="50">
        <v>2</v>
      </c>
      <c r="L52" s="50">
        <v>0</v>
      </c>
      <c r="M52" s="50">
        <v>130</v>
      </c>
      <c r="N52" s="50">
        <v>0</v>
      </c>
      <c r="O52" s="15">
        <f t="shared" si="0"/>
        <v>144</v>
      </c>
      <c r="P52" s="15">
        <f t="shared" si="1"/>
        <v>274</v>
      </c>
      <c r="R52" s="8"/>
      <c r="T52"/>
    </row>
    <row r="53" spans="2:20" ht="23.1" customHeight="1" x14ac:dyDescent="0.25">
      <c r="B53" s="23" t="s">
        <v>80</v>
      </c>
      <c r="C53" s="50">
        <v>35</v>
      </c>
      <c r="D53" s="50">
        <v>14</v>
      </c>
      <c r="E53" s="50">
        <v>4</v>
      </c>
      <c r="F53" s="50">
        <v>37</v>
      </c>
      <c r="G53" s="50">
        <v>1</v>
      </c>
      <c r="H53" s="50">
        <v>0</v>
      </c>
      <c r="I53" s="50">
        <v>6</v>
      </c>
      <c r="J53" s="50">
        <v>1</v>
      </c>
      <c r="K53" s="50">
        <v>3</v>
      </c>
      <c r="L53" s="50">
        <v>1</v>
      </c>
      <c r="M53" s="50">
        <v>153</v>
      </c>
      <c r="N53" s="50">
        <v>0</v>
      </c>
      <c r="O53" s="15">
        <f t="shared" si="0"/>
        <v>102</v>
      </c>
      <c r="P53" s="15">
        <f t="shared" si="1"/>
        <v>255</v>
      </c>
      <c r="R53" s="8"/>
      <c r="T53"/>
    </row>
    <row r="54" spans="2:20" ht="23.1" customHeight="1" x14ac:dyDescent="0.25">
      <c r="B54" s="23" t="s">
        <v>81</v>
      </c>
      <c r="C54" s="50">
        <v>29</v>
      </c>
      <c r="D54" s="50">
        <v>10</v>
      </c>
      <c r="E54" s="50">
        <v>4</v>
      </c>
      <c r="F54" s="50">
        <v>25</v>
      </c>
      <c r="G54" s="50">
        <v>3</v>
      </c>
      <c r="H54" s="50">
        <v>0</v>
      </c>
      <c r="I54" s="50">
        <v>5</v>
      </c>
      <c r="J54" s="50">
        <v>0</v>
      </c>
      <c r="K54" s="50">
        <v>0</v>
      </c>
      <c r="L54" s="50">
        <v>0</v>
      </c>
      <c r="M54" s="50">
        <v>135</v>
      </c>
      <c r="N54" s="50">
        <v>0</v>
      </c>
      <c r="O54" s="15">
        <f t="shared" si="0"/>
        <v>76</v>
      </c>
      <c r="P54" s="15">
        <f t="shared" si="1"/>
        <v>211</v>
      </c>
      <c r="R54" s="8"/>
      <c r="T54"/>
    </row>
    <row r="55" spans="2:20" ht="23.1" customHeight="1" x14ac:dyDescent="0.25">
      <c r="B55" s="23" t="s">
        <v>82</v>
      </c>
      <c r="C55" s="50">
        <v>38</v>
      </c>
      <c r="D55" s="50">
        <v>11</v>
      </c>
      <c r="E55" s="50">
        <v>8</v>
      </c>
      <c r="F55" s="50">
        <v>35</v>
      </c>
      <c r="G55" s="50">
        <v>4</v>
      </c>
      <c r="H55" s="50">
        <v>2</v>
      </c>
      <c r="I55" s="50">
        <v>6</v>
      </c>
      <c r="J55" s="50">
        <v>2</v>
      </c>
      <c r="K55" s="50">
        <v>2</v>
      </c>
      <c r="L55" s="50">
        <v>2</v>
      </c>
      <c r="M55" s="50">
        <v>125</v>
      </c>
      <c r="N55" s="50">
        <v>0</v>
      </c>
      <c r="O55" s="15">
        <f t="shared" si="0"/>
        <v>110</v>
      </c>
      <c r="P55" s="15">
        <f t="shared" si="1"/>
        <v>235</v>
      </c>
      <c r="R55" s="8"/>
      <c r="T55"/>
    </row>
    <row r="56" spans="2:20" ht="23.1" customHeight="1" x14ac:dyDescent="0.25">
      <c r="B56" s="23" t="s">
        <v>83</v>
      </c>
      <c r="C56" s="50">
        <v>20</v>
      </c>
      <c r="D56" s="50">
        <v>11</v>
      </c>
      <c r="E56" s="50">
        <v>4</v>
      </c>
      <c r="F56" s="50">
        <v>26</v>
      </c>
      <c r="G56" s="50">
        <v>0</v>
      </c>
      <c r="H56" s="50">
        <v>1</v>
      </c>
      <c r="I56" s="50">
        <v>7</v>
      </c>
      <c r="J56" s="50">
        <v>0</v>
      </c>
      <c r="K56" s="50">
        <v>2</v>
      </c>
      <c r="L56" s="50">
        <v>1</v>
      </c>
      <c r="M56" s="50">
        <v>103</v>
      </c>
      <c r="N56" s="50">
        <v>0</v>
      </c>
      <c r="O56" s="15">
        <f t="shared" si="0"/>
        <v>72</v>
      </c>
      <c r="P56" s="15">
        <f t="shared" si="1"/>
        <v>175</v>
      </c>
      <c r="R56" s="8"/>
      <c r="T56"/>
    </row>
    <row r="57" spans="2:20" ht="23.1" customHeight="1" x14ac:dyDescent="0.25">
      <c r="B57" s="23" t="s">
        <v>84</v>
      </c>
      <c r="C57" s="50">
        <v>14</v>
      </c>
      <c r="D57" s="50">
        <v>3</v>
      </c>
      <c r="E57" s="50">
        <v>1</v>
      </c>
      <c r="F57" s="50">
        <v>13</v>
      </c>
      <c r="G57" s="50">
        <v>0</v>
      </c>
      <c r="H57" s="50">
        <v>0</v>
      </c>
      <c r="I57" s="50">
        <v>1</v>
      </c>
      <c r="J57" s="50">
        <v>1</v>
      </c>
      <c r="K57" s="50">
        <v>1</v>
      </c>
      <c r="L57" s="50">
        <v>0</v>
      </c>
      <c r="M57" s="50">
        <v>135</v>
      </c>
      <c r="N57" s="50">
        <v>0</v>
      </c>
      <c r="O57" s="15">
        <f t="shared" si="0"/>
        <v>34</v>
      </c>
      <c r="P57" s="15">
        <f t="shared" si="1"/>
        <v>169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2440</v>
      </c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>
        <f t="shared" si="21"/>
        <v>1</v>
      </c>
      <c r="O58" s="16">
        <f t="shared" si="21"/>
        <v>6344</v>
      </c>
      <c r="P58" s="16">
        <f t="shared" si="21"/>
        <v>14592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0.16721491228070176</v>
      </c>
      <c r="D59" s="43"/>
      <c r="E59" s="43"/>
      <c r="F59" s="43"/>
      <c r="G59" s="43"/>
      <c r="H59" s="43"/>
      <c r="I59" s="43"/>
      <c r="J59" s="43"/>
      <c r="K59" s="43"/>
      <c r="L59" s="43"/>
      <c r="M59" s="43"/>
      <c r="N59" s="43">
        <f t="shared" si="22"/>
        <v>6.8530701754385961E-5</v>
      </c>
      <c r="R59" s="8"/>
      <c r="T59"/>
    </row>
    <row r="60" spans="2:20" ht="23.1" customHeight="1" x14ac:dyDescent="0.25">
      <c r="B60" s="42" t="s">
        <v>94</v>
      </c>
      <c r="C60" s="44">
        <f>C58/$O$58</f>
        <v>0.38461538461538464</v>
      </c>
      <c r="D60" s="44"/>
      <c r="E60" s="44"/>
      <c r="F60" s="44"/>
      <c r="G60" s="44"/>
      <c r="H60" s="44"/>
      <c r="I60" s="44"/>
      <c r="J60" s="44"/>
      <c r="K60" s="44"/>
      <c r="L60" s="44"/>
      <c r="M60" s="44"/>
      <c r="N60" s="44">
        <f t="shared" ref="N60" si="23">N58/$O$58</f>
        <v>1.5762925598991173E-4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F126"/>
  <sheetViews>
    <sheetView view="pageBreakPreview" zoomScale="60" workbookViewId="0">
      <selection activeCell="C10" sqref="C10:N57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64" t="s">
        <v>23</v>
      </c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  <c r="S1" s="64"/>
      <c r="T1" s="64"/>
      <c r="U1" s="64"/>
      <c r="V1" s="64"/>
      <c r="W1" s="64"/>
      <c r="X1" s="64"/>
      <c r="Y1" s="64"/>
      <c r="Z1" s="64"/>
      <c r="AA1" s="64"/>
      <c r="AB1" s="64"/>
      <c r="AC1" s="64"/>
      <c r="AD1" s="64"/>
      <c r="AE1" s="64"/>
    </row>
    <row r="2" spans="2:32" ht="20.100000000000001" customHeight="1" x14ac:dyDescent="0.25">
      <c r="B2" s="65" t="s">
        <v>95</v>
      </c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  <c r="AA2" s="65"/>
      <c r="AB2" s="65"/>
      <c r="AC2" s="65"/>
      <c r="AD2" s="65"/>
      <c r="AE2" s="65"/>
    </row>
    <row r="3" spans="2:32" ht="20.100000000000001" customHeight="1" x14ac:dyDescent="0.25">
      <c r="B3" s="22" t="s">
        <v>96</v>
      </c>
      <c r="C3" s="71" t="str">
        <f>'22.07 MAKERERE-BWAISE'!C3:G3</f>
        <v>MCC - C1 - STN021- SIR APOLLO ROAD</v>
      </c>
      <c r="D3" s="71"/>
      <c r="E3" s="71"/>
      <c r="F3" s="71"/>
      <c r="G3" s="71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tr">
        <f>'23.07 BWAISE-MAKERERE'!D5</f>
        <v>23.07.19</v>
      </c>
      <c r="E5" s="3"/>
      <c r="F5" s="41" t="s">
        <v>1</v>
      </c>
      <c r="G5" s="69" t="str">
        <f>'22.07 Bwaise-Makerere'!G5:H5</f>
        <v>SAHSEN PLAZA</v>
      </c>
      <c r="H5" s="70"/>
      <c r="I5" s="14"/>
      <c r="J5" s="2" t="s">
        <v>5</v>
      </c>
      <c r="K5" s="69" t="s">
        <v>173</v>
      </c>
      <c r="L5" s="70"/>
      <c r="M5" s="10"/>
      <c r="N5" s="10"/>
      <c r="O5" s="3"/>
      <c r="P5" s="3"/>
    </row>
    <row r="6" spans="2:32" ht="23.25" customHeight="1" x14ac:dyDescent="0.25">
      <c r="C6" s="2" t="s">
        <v>4</v>
      </c>
      <c r="D6" s="69" t="str">
        <f>'22.07 MAKERERE-BWAISE'!D6:E6</f>
        <v>MAKARERE</v>
      </c>
      <c r="E6" s="70"/>
      <c r="F6" s="2" t="s">
        <v>2</v>
      </c>
      <c r="G6" s="69" t="str">
        <f>'22.07 MAKERERE-BWAISE'!G6:H6</f>
        <v>BWAISE</v>
      </c>
      <c r="H6" s="70"/>
      <c r="J6" s="2" t="s">
        <v>21</v>
      </c>
      <c r="K6" s="69" t="str">
        <f>'22.07 Bwaise-Makerere'!K6:L6</f>
        <v>SALIMAH</v>
      </c>
      <c r="L6" s="70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63" t="s">
        <v>88</v>
      </c>
      <c r="S8" s="63"/>
      <c r="T8" s="63"/>
      <c r="U8" s="63"/>
      <c r="V8" s="63"/>
      <c r="W8" s="63"/>
      <c r="X8" s="63"/>
      <c r="Y8" s="63"/>
      <c r="Z8" s="63"/>
      <c r="AA8" s="63"/>
      <c r="AB8" s="63"/>
      <c r="AC8" s="63"/>
      <c r="AD8" s="63"/>
      <c r="AE8" s="63"/>
      <c r="AF8" s="63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27</v>
      </c>
      <c r="D10" s="50">
        <v>6</v>
      </c>
      <c r="E10" s="50">
        <v>3</v>
      </c>
      <c r="F10" s="50">
        <v>37</v>
      </c>
      <c r="G10" s="50">
        <v>4</v>
      </c>
      <c r="H10" s="50">
        <v>1</v>
      </c>
      <c r="I10" s="50">
        <v>2</v>
      </c>
      <c r="J10" s="50">
        <v>2</v>
      </c>
      <c r="K10" s="50">
        <v>1</v>
      </c>
      <c r="L10" s="50">
        <v>0</v>
      </c>
      <c r="M10" s="50">
        <v>83</v>
      </c>
      <c r="N10" s="50">
        <v>0</v>
      </c>
      <c r="O10" s="15">
        <f t="shared" ref="O10:O57" si="0">SUM(C10:L10,N10)</f>
        <v>83</v>
      </c>
      <c r="P10" s="15">
        <f t="shared" ref="P10:P57" si="1">SUM(C10:N10)</f>
        <v>166</v>
      </c>
      <c r="R10" s="1" t="s">
        <v>6</v>
      </c>
      <c r="S10" s="17">
        <f t="shared" ref="S10:AF10" si="2">SUM(C10:C13)</f>
        <v>115</v>
      </c>
      <c r="T10" s="17">
        <f t="shared" si="2"/>
        <v>20</v>
      </c>
      <c r="U10" s="17">
        <f t="shared" si="2"/>
        <v>10</v>
      </c>
      <c r="V10" s="17">
        <f t="shared" si="2"/>
        <v>155</v>
      </c>
      <c r="W10" s="17">
        <f t="shared" si="2"/>
        <v>8</v>
      </c>
      <c r="X10" s="17">
        <f t="shared" si="2"/>
        <v>4</v>
      </c>
      <c r="Y10" s="17">
        <f t="shared" si="2"/>
        <v>9</v>
      </c>
      <c r="Z10" s="17">
        <f t="shared" si="2"/>
        <v>8</v>
      </c>
      <c r="AA10" s="17">
        <f t="shared" si="2"/>
        <v>2</v>
      </c>
      <c r="AB10" s="17">
        <f t="shared" si="2"/>
        <v>2</v>
      </c>
      <c r="AC10" s="17">
        <f t="shared" si="2"/>
        <v>509</v>
      </c>
      <c r="AD10" s="17">
        <f t="shared" si="2"/>
        <v>0</v>
      </c>
      <c r="AE10" s="31">
        <f t="shared" si="2"/>
        <v>333</v>
      </c>
      <c r="AF10" s="31">
        <f t="shared" si="2"/>
        <v>842</v>
      </c>
    </row>
    <row r="11" spans="2:32" s="6" customFormat="1" ht="23.1" customHeight="1" x14ac:dyDescent="0.25">
      <c r="B11" s="23" t="s">
        <v>38</v>
      </c>
      <c r="C11" s="50">
        <v>40</v>
      </c>
      <c r="D11" s="50">
        <v>3</v>
      </c>
      <c r="E11" s="50">
        <v>2</v>
      </c>
      <c r="F11" s="50">
        <v>42</v>
      </c>
      <c r="G11" s="50">
        <v>3</v>
      </c>
      <c r="H11" s="50">
        <v>3</v>
      </c>
      <c r="I11" s="50">
        <v>2</v>
      </c>
      <c r="J11" s="50">
        <v>4</v>
      </c>
      <c r="K11" s="50">
        <v>0</v>
      </c>
      <c r="L11" s="50">
        <v>0</v>
      </c>
      <c r="M11" s="50">
        <v>135</v>
      </c>
      <c r="N11" s="50">
        <v>0</v>
      </c>
      <c r="O11" s="15">
        <f t="shared" si="0"/>
        <v>99</v>
      </c>
      <c r="P11" s="15">
        <f t="shared" si="1"/>
        <v>234</v>
      </c>
      <c r="R11" s="1" t="s">
        <v>7</v>
      </c>
      <c r="S11" s="17">
        <f t="shared" ref="S11:AF11" si="3">SUM(C14:C17)</f>
        <v>109</v>
      </c>
      <c r="T11" s="17">
        <f t="shared" si="3"/>
        <v>25</v>
      </c>
      <c r="U11" s="17">
        <f t="shared" si="3"/>
        <v>9</v>
      </c>
      <c r="V11" s="17">
        <f t="shared" si="3"/>
        <v>136</v>
      </c>
      <c r="W11" s="17">
        <f t="shared" si="3"/>
        <v>4</v>
      </c>
      <c r="X11" s="17">
        <f t="shared" si="3"/>
        <v>59</v>
      </c>
      <c r="Y11" s="17">
        <f t="shared" si="3"/>
        <v>5</v>
      </c>
      <c r="Z11" s="17">
        <f t="shared" si="3"/>
        <v>6</v>
      </c>
      <c r="AA11" s="17">
        <f t="shared" si="3"/>
        <v>6</v>
      </c>
      <c r="AB11" s="17">
        <f t="shared" si="3"/>
        <v>5</v>
      </c>
      <c r="AC11" s="17">
        <f t="shared" si="3"/>
        <v>753</v>
      </c>
      <c r="AD11" s="17">
        <f t="shared" si="3"/>
        <v>0</v>
      </c>
      <c r="AE11" s="31">
        <f t="shared" si="3"/>
        <v>364</v>
      </c>
      <c r="AF11" s="31">
        <f t="shared" si="3"/>
        <v>1117</v>
      </c>
    </row>
    <row r="12" spans="2:32" ht="23.1" customHeight="1" x14ac:dyDescent="0.25">
      <c r="B12" s="23" t="s">
        <v>39</v>
      </c>
      <c r="C12" s="50">
        <v>29</v>
      </c>
      <c r="D12" s="50">
        <v>8</v>
      </c>
      <c r="E12" s="50">
        <v>3</v>
      </c>
      <c r="F12" s="50">
        <v>51</v>
      </c>
      <c r="G12" s="50">
        <v>1</v>
      </c>
      <c r="H12" s="50">
        <v>0</v>
      </c>
      <c r="I12" s="50">
        <v>3</v>
      </c>
      <c r="J12" s="50">
        <v>2</v>
      </c>
      <c r="K12" s="50">
        <v>1</v>
      </c>
      <c r="L12" s="50">
        <v>1</v>
      </c>
      <c r="M12" s="50">
        <v>160</v>
      </c>
      <c r="N12" s="50">
        <v>0</v>
      </c>
      <c r="O12" s="15">
        <f t="shared" si="0"/>
        <v>99</v>
      </c>
      <c r="P12" s="15">
        <f t="shared" si="1"/>
        <v>259</v>
      </c>
      <c r="R12" s="1" t="s">
        <v>8</v>
      </c>
      <c r="S12" s="17">
        <f t="shared" ref="S12:AF12" si="4">SUM(C18:C21)</f>
        <v>115</v>
      </c>
      <c r="T12" s="17">
        <f t="shared" si="4"/>
        <v>20</v>
      </c>
      <c r="U12" s="17">
        <f t="shared" si="4"/>
        <v>14</v>
      </c>
      <c r="V12" s="17">
        <f t="shared" si="4"/>
        <v>714</v>
      </c>
      <c r="W12" s="17">
        <f t="shared" si="4"/>
        <v>36</v>
      </c>
      <c r="X12" s="17">
        <f t="shared" si="4"/>
        <v>2</v>
      </c>
      <c r="Y12" s="17">
        <f t="shared" si="4"/>
        <v>14</v>
      </c>
      <c r="Z12" s="17">
        <f t="shared" si="4"/>
        <v>8</v>
      </c>
      <c r="AA12" s="17">
        <f t="shared" si="4"/>
        <v>4</v>
      </c>
      <c r="AB12" s="17">
        <f t="shared" si="4"/>
        <v>2</v>
      </c>
      <c r="AC12" s="17">
        <f t="shared" si="4"/>
        <v>740</v>
      </c>
      <c r="AD12" s="17">
        <f t="shared" si="4"/>
        <v>0</v>
      </c>
      <c r="AE12" s="31">
        <f t="shared" si="4"/>
        <v>929</v>
      </c>
      <c r="AF12" s="31">
        <f t="shared" si="4"/>
        <v>1669</v>
      </c>
    </row>
    <row r="13" spans="2:32" ht="23.1" customHeight="1" x14ac:dyDescent="0.25">
      <c r="B13" s="23" t="s">
        <v>40</v>
      </c>
      <c r="C13" s="50">
        <v>19</v>
      </c>
      <c r="D13" s="50">
        <v>3</v>
      </c>
      <c r="E13" s="50">
        <v>2</v>
      </c>
      <c r="F13" s="50">
        <v>25</v>
      </c>
      <c r="G13" s="50">
        <v>0</v>
      </c>
      <c r="H13" s="50">
        <v>0</v>
      </c>
      <c r="I13" s="50">
        <v>2</v>
      </c>
      <c r="J13" s="50">
        <v>0</v>
      </c>
      <c r="K13" s="50">
        <v>0</v>
      </c>
      <c r="L13" s="50">
        <v>1</v>
      </c>
      <c r="M13" s="50">
        <v>131</v>
      </c>
      <c r="N13" s="50">
        <v>0</v>
      </c>
      <c r="O13" s="15">
        <f t="shared" si="0"/>
        <v>52</v>
      </c>
      <c r="P13" s="15">
        <f t="shared" si="1"/>
        <v>183</v>
      </c>
      <c r="R13" s="1" t="s">
        <v>9</v>
      </c>
      <c r="S13" s="17">
        <f t="shared" ref="S13:AF13" si="5">SUM(C22:C25)</f>
        <v>105</v>
      </c>
      <c r="T13" s="17">
        <f t="shared" si="5"/>
        <v>21</v>
      </c>
      <c r="U13" s="17">
        <f t="shared" si="5"/>
        <v>18</v>
      </c>
      <c r="V13" s="17">
        <f t="shared" si="5"/>
        <v>165</v>
      </c>
      <c r="W13" s="17">
        <f t="shared" si="5"/>
        <v>1</v>
      </c>
      <c r="X13" s="17">
        <f t="shared" si="5"/>
        <v>1</v>
      </c>
      <c r="Y13" s="17">
        <f t="shared" si="5"/>
        <v>10</v>
      </c>
      <c r="Z13" s="17">
        <f t="shared" si="5"/>
        <v>15</v>
      </c>
      <c r="AA13" s="17">
        <f t="shared" si="5"/>
        <v>4</v>
      </c>
      <c r="AB13" s="17">
        <f t="shared" si="5"/>
        <v>4</v>
      </c>
      <c r="AC13" s="17">
        <f t="shared" si="5"/>
        <v>686</v>
      </c>
      <c r="AD13" s="17">
        <f t="shared" si="5"/>
        <v>0</v>
      </c>
      <c r="AE13" s="31">
        <f t="shared" si="5"/>
        <v>344</v>
      </c>
      <c r="AF13" s="31">
        <f t="shared" si="5"/>
        <v>1030</v>
      </c>
    </row>
    <row r="14" spans="2:32" ht="23.1" customHeight="1" x14ac:dyDescent="0.25">
      <c r="B14" s="23" t="s">
        <v>41</v>
      </c>
      <c r="C14" s="50">
        <v>30</v>
      </c>
      <c r="D14" s="50">
        <v>8</v>
      </c>
      <c r="E14" s="50">
        <v>3</v>
      </c>
      <c r="F14" s="50">
        <v>43</v>
      </c>
      <c r="G14" s="50">
        <v>0</v>
      </c>
      <c r="H14" s="50">
        <v>1</v>
      </c>
      <c r="I14" s="50">
        <v>2</v>
      </c>
      <c r="J14" s="50">
        <v>3</v>
      </c>
      <c r="K14" s="50">
        <v>0</v>
      </c>
      <c r="L14" s="50">
        <v>1</v>
      </c>
      <c r="M14" s="50">
        <v>190</v>
      </c>
      <c r="N14" s="50">
        <v>0</v>
      </c>
      <c r="O14" s="15">
        <f t="shared" si="0"/>
        <v>91</v>
      </c>
      <c r="P14" s="15">
        <f t="shared" si="1"/>
        <v>281</v>
      </c>
      <c r="R14" s="1" t="s">
        <v>10</v>
      </c>
      <c r="S14" s="17">
        <f t="shared" ref="S14:AF14" si="6">SUM(C26:C29)</f>
        <v>125</v>
      </c>
      <c r="T14" s="17">
        <f t="shared" si="6"/>
        <v>35</v>
      </c>
      <c r="U14" s="17">
        <f t="shared" si="6"/>
        <v>17</v>
      </c>
      <c r="V14" s="17">
        <f t="shared" si="6"/>
        <v>168</v>
      </c>
      <c r="W14" s="17">
        <f t="shared" si="6"/>
        <v>0</v>
      </c>
      <c r="X14" s="17">
        <f t="shared" si="6"/>
        <v>5</v>
      </c>
      <c r="Y14" s="17">
        <f t="shared" si="6"/>
        <v>17</v>
      </c>
      <c r="Z14" s="17">
        <f t="shared" si="6"/>
        <v>14</v>
      </c>
      <c r="AA14" s="17">
        <f t="shared" si="6"/>
        <v>8</v>
      </c>
      <c r="AB14" s="17">
        <f t="shared" si="6"/>
        <v>5</v>
      </c>
      <c r="AC14" s="17">
        <f t="shared" si="6"/>
        <v>542</v>
      </c>
      <c r="AD14" s="17">
        <f t="shared" si="6"/>
        <v>1</v>
      </c>
      <c r="AE14" s="31">
        <f t="shared" si="6"/>
        <v>395</v>
      </c>
      <c r="AF14" s="31">
        <f t="shared" si="6"/>
        <v>937</v>
      </c>
    </row>
    <row r="15" spans="2:32" ht="23.1" customHeight="1" x14ac:dyDescent="0.25">
      <c r="B15" s="23" t="s">
        <v>42</v>
      </c>
      <c r="C15" s="50">
        <v>41</v>
      </c>
      <c r="D15" s="50">
        <v>6</v>
      </c>
      <c r="E15" s="50">
        <v>1</v>
      </c>
      <c r="F15" s="50">
        <v>56</v>
      </c>
      <c r="G15" s="50">
        <v>2</v>
      </c>
      <c r="H15" s="50">
        <v>2</v>
      </c>
      <c r="I15" s="50">
        <v>1</v>
      </c>
      <c r="J15" s="50">
        <v>1</v>
      </c>
      <c r="K15" s="50">
        <v>0</v>
      </c>
      <c r="L15" s="50">
        <v>1</v>
      </c>
      <c r="M15" s="50">
        <v>163</v>
      </c>
      <c r="N15" s="50">
        <v>0</v>
      </c>
      <c r="O15" s="15">
        <f t="shared" si="0"/>
        <v>111</v>
      </c>
      <c r="P15" s="15">
        <f t="shared" si="1"/>
        <v>274</v>
      </c>
      <c r="R15" s="1" t="s">
        <v>11</v>
      </c>
      <c r="S15" s="17">
        <f t="shared" ref="S15:AF15" si="7">SUM(C30:C33)</f>
        <v>145</v>
      </c>
      <c r="T15" s="17">
        <f t="shared" si="7"/>
        <v>40</v>
      </c>
      <c r="U15" s="17">
        <f t="shared" si="7"/>
        <v>20</v>
      </c>
      <c r="V15" s="17">
        <f t="shared" si="7"/>
        <v>162</v>
      </c>
      <c r="W15" s="17">
        <f t="shared" si="7"/>
        <v>5</v>
      </c>
      <c r="X15" s="17">
        <f t="shared" si="7"/>
        <v>3</v>
      </c>
      <c r="Y15" s="17">
        <f t="shared" si="7"/>
        <v>18</v>
      </c>
      <c r="Z15" s="17">
        <f t="shared" si="7"/>
        <v>13</v>
      </c>
      <c r="AA15" s="17">
        <f t="shared" si="7"/>
        <v>5</v>
      </c>
      <c r="AB15" s="17">
        <f t="shared" si="7"/>
        <v>5</v>
      </c>
      <c r="AC15" s="17">
        <f t="shared" si="7"/>
        <v>557</v>
      </c>
      <c r="AD15" s="17">
        <f t="shared" si="7"/>
        <v>0</v>
      </c>
      <c r="AE15" s="31">
        <f t="shared" si="7"/>
        <v>416</v>
      </c>
      <c r="AF15" s="31">
        <f t="shared" si="7"/>
        <v>973</v>
      </c>
    </row>
    <row r="16" spans="2:32" ht="23.1" customHeight="1" x14ac:dyDescent="0.25">
      <c r="B16" s="23" t="s">
        <v>43</v>
      </c>
      <c r="C16" s="50">
        <v>23</v>
      </c>
      <c r="D16" s="50">
        <v>3</v>
      </c>
      <c r="E16" s="50">
        <v>0</v>
      </c>
      <c r="F16" s="50">
        <v>3</v>
      </c>
      <c r="G16" s="50">
        <v>2</v>
      </c>
      <c r="H16" s="50">
        <v>54</v>
      </c>
      <c r="I16" s="50">
        <v>1</v>
      </c>
      <c r="J16" s="50">
        <v>0</v>
      </c>
      <c r="K16" s="50">
        <v>6</v>
      </c>
      <c r="L16" s="50">
        <v>3</v>
      </c>
      <c r="M16" s="50">
        <v>190</v>
      </c>
      <c r="N16" s="50">
        <v>0</v>
      </c>
      <c r="O16" s="15">
        <f t="shared" si="0"/>
        <v>95</v>
      </c>
      <c r="P16" s="15">
        <f t="shared" si="1"/>
        <v>285</v>
      </c>
      <c r="R16" s="1" t="s">
        <v>12</v>
      </c>
      <c r="S16" s="17">
        <f t="shared" ref="S16:AF16" si="8">SUM(C34:C37)</f>
        <v>137</v>
      </c>
      <c r="T16" s="17">
        <f t="shared" si="8"/>
        <v>33</v>
      </c>
      <c r="U16" s="17">
        <f t="shared" si="8"/>
        <v>14</v>
      </c>
      <c r="V16" s="17">
        <f t="shared" si="8"/>
        <v>134</v>
      </c>
      <c r="W16" s="17">
        <f t="shared" si="8"/>
        <v>1</v>
      </c>
      <c r="X16" s="17">
        <f t="shared" si="8"/>
        <v>2</v>
      </c>
      <c r="Y16" s="17">
        <f t="shared" si="8"/>
        <v>14</v>
      </c>
      <c r="Z16" s="17">
        <f t="shared" si="8"/>
        <v>31</v>
      </c>
      <c r="AA16" s="17">
        <f t="shared" si="8"/>
        <v>3</v>
      </c>
      <c r="AB16" s="17">
        <f t="shared" si="8"/>
        <v>2</v>
      </c>
      <c r="AC16" s="17">
        <f t="shared" si="8"/>
        <v>512</v>
      </c>
      <c r="AD16" s="17">
        <f t="shared" si="8"/>
        <v>0</v>
      </c>
      <c r="AE16" s="31">
        <f t="shared" si="8"/>
        <v>371</v>
      </c>
      <c r="AF16" s="31">
        <f t="shared" si="8"/>
        <v>883</v>
      </c>
    </row>
    <row r="17" spans="2:32" ht="23.1" customHeight="1" x14ac:dyDescent="0.25">
      <c r="B17" s="23" t="s">
        <v>44</v>
      </c>
      <c r="C17" s="50">
        <v>15</v>
      </c>
      <c r="D17" s="50">
        <v>8</v>
      </c>
      <c r="E17" s="50">
        <v>5</v>
      </c>
      <c r="F17" s="50">
        <v>34</v>
      </c>
      <c r="G17" s="50">
        <v>0</v>
      </c>
      <c r="H17" s="50">
        <v>2</v>
      </c>
      <c r="I17" s="50">
        <v>1</v>
      </c>
      <c r="J17" s="50">
        <v>2</v>
      </c>
      <c r="K17" s="50">
        <v>0</v>
      </c>
      <c r="L17" s="50">
        <v>0</v>
      </c>
      <c r="M17" s="50">
        <v>210</v>
      </c>
      <c r="N17" s="50">
        <v>0</v>
      </c>
      <c r="O17" s="15">
        <f t="shared" si="0"/>
        <v>67</v>
      </c>
      <c r="P17" s="15">
        <f t="shared" si="1"/>
        <v>277</v>
      </c>
      <c r="R17" s="1" t="s">
        <v>13</v>
      </c>
      <c r="S17" s="17">
        <f t="shared" ref="S17:AF17" si="9">SUM(C38:C41)</f>
        <v>149</v>
      </c>
      <c r="T17" s="17">
        <f t="shared" si="9"/>
        <v>28</v>
      </c>
      <c r="U17" s="17">
        <f t="shared" si="9"/>
        <v>21</v>
      </c>
      <c r="V17" s="17">
        <f t="shared" si="9"/>
        <v>137</v>
      </c>
      <c r="W17" s="17">
        <f t="shared" si="9"/>
        <v>42</v>
      </c>
      <c r="X17" s="17">
        <f t="shared" si="9"/>
        <v>3</v>
      </c>
      <c r="Y17" s="17">
        <f t="shared" si="9"/>
        <v>11</v>
      </c>
      <c r="Z17" s="17">
        <f t="shared" si="9"/>
        <v>31</v>
      </c>
      <c r="AA17" s="17">
        <f t="shared" si="9"/>
        <v>9</v>
      </c>
      <c r="AB17" s="17">
        <f t="shared" si="9"/>
        <v>3</v>
      </c>
      <c r="AC17" s="17">
        <f t="shared" si="9"/>
        <v>442</v>
      </c>
      <c r="AD17" s="17">
        <f t="shared" si="9"/>
        <v>0</v>
      </c>
      <c r="AE17" s="31">
        <f t="shared" si="9"/>
        <v>434</v>
      </c>
      <c r="AF17" s="31">
        <f t="shared" si="9"/>
        <v>876</v>
      </c>
    </row>
    <row r="18" spans="2:32" ht="23.1" customHeight="1" x14ac:dyDescent="0.25">
      <c r="B18" s="23" t="s">
        <v>45</v>
      </c>
      <c r="C18" s="50">
        <v>36</v>
      </c>
      <c r="D18" s="50">
        <v>7</v>
      </c>
      <c r="E18" s="50">
        <v>2</v>
      </c>
      <c r="F18" s="50">
        <v>62</v>
      </c>
      <c r="G18" s="50">
        <v>0</v>
      </c>
      <c r="H18" s="50">
        <v>2</v>
      </c>
      <c r="I18" s="50">
        <v>3</v>
      </c>
      <c r="J18" s="50">
        <v>2</v>
      </c>
      <c r="K18" s="50">
        <v>1</v>
      </c>
      <c r="L18" s="50">
        <v>1</v>
      </c>
      <c r="M18" s="50">
        <v>182</v>
      </c>
      <c r="N18" s="50">
        <v>0</v>
      </c>
      <c r="O18" s="15">
        <f t="shared" si="0"/>
        <v>116</v>
      </c>
      <c r="P18" s="15">
        <f t="shared" si="1"/>
        <v>298</v>
      </c>
      <c r="R18" s="1" t="s">
        <v>14</v>
      </c>
      <c r="S18" s="17">
        <f t="shared" ref="S18:AF18" si="10">SUM(C42:C45)</f>
        <v>185</v>
      </c>
      <c r="T18" s="17">
        <f t="shared" si="10"/>
        <v>56</v>
      </c>
      <c r="U18" s="17">
        <f t="shared" si="10"/>
        <v>24</v>
      </c>
      <c r="V18" s="17">
        <f t="shared" si="10"/>
        <v>152</v>
      </c>
      <c r="W18" s="17">
        <f t="shared" si="10"/>
        <v>0</v>
      </c>
      <c r="X18" s="17">
        <f t="shared" si="10"/>
        <v>5</v>
      </c>
      <c r="Y18" s="17">
        <f t="shared" si="10"/>
        <v>16</v>
      </c>
      <c r="Z18" s="17">
        <f t="shared" si="10"/>
        <v>42</v>
      </c>
      <c r="AA18" s="17">
        <f t="shared" si="10"/>
        <v>1</v>
      </c>
      <c r="AB18" s="17">
        <f t="shared" si="10"/>
        <v>0</v>
      </c>
      <c r="AC18" s="17">
        <f t="shared" si="10"/>
        <v>459</v>
      </c>
      <c r="AD18" s="17">
        <f t="shared" si="10"/>
        <v>0</v>
      </c>
      <c r="AE18" s="31">
        <f t="shared" si="10"/>
        <v>481</v>
      </c>
      <c r="AF18" s="31">
        <f t="shared" si="10"/>
        <v>940</v>
      </c>
    </row>
    <row r="19" spans="2:32" ht="23.1" customHeight="1" x14ac:dyDescent="0.25">
      <c r="B19" s="23" t="s">
        <v>46</v>
      </c>
      <c r="C19" s="50">
        <v>26</v>
      </c>
      <c r="D19" s="50">
        <v>3</v>
      </c>
      <c r="E19" s="50">
        <v>4</v>
      </c>
      <c r="F19" s="50">
        <v>602</v>
      </c>
      <c r="G19" s="50">
        <v>0</v>
      </c>
      <c r="H19" s="50">
        <v>0</v>
      </c>
      <c r="I19" s="50">
        <v>6</v>
      </c>
      <c r="J19" s="50">
        <v>2</v>
      </c>
      <c r="K19" s="50">
        <v>1</v>
      </c>
      <c r="L19" s="50">
        <v>1</v>
      </c>
      <c r="M19" s="50">
        <v>195</v>
      </c>
      <c r="N19" s="50">
        <v>0</v>
      </c>
      <c r="O19" s="15">
        <f t="shared" si="0"/>
        <v>645</v>
      </c>
      <c r="P19" s="15">
        <f t="shared" si="1"/>
        <v>840</v>
      </c>
      <c r="R19" s="1" t="s">
        <v>15</v>
      </c>
      <c r="S19" s="17">
        <f t="shared" ref="S19:AF19" si="11">SUM(C46:C49)</f>
        <v>218</v>
      </c>
      <c r="T19" s="17">
        <f t="shared" si="11"/>
        <v>57</v>
      </c>
      <c r="U19" s="17">
        <f t="shared" si="11"/>
        <v>17</v>
      </c>
      <c r="V19" s="17">
        <f t="shared" si="11"/>
        <v>168</v>
      </c>
      <c r="W19" s="17">
        <f t="shared" si="11"/>
        <v>6</v>
      </c>
      <c r="X19" s="17">
        <f t="shared" si="11"/>
        <v>1</v>
      </c>
      <c r="Y19" s="17">
        <f t="shared" si="11"/>
        <v>15</v>
      </c>
      <c r="Z19" s="17">
        <f t="shared" si="11"/>
        <v>13</v>
      </c>
      <c r="AA19" s="17">
        <f t="shared" si="11"/>
        <v>7</v>
      </c>
      <c r="AB19" s="17">
        <f t="shared" si="11"/>
        <v>1</v>
      </c>
      <c r="AC19" s="17">
        <f t="shared" si="11"/>
        <v>525</v>
      </c>
      <c r="AD19" s="17">
        <f t="shared" si="11"/>
        <v>0</v>
      </c>
      <c r="AE19" s="31">
        <f t="shared" si="11"/>
        <v>503</v>
      </c>
      <c r="AF19" s="31">
        <f t="shared" si="11"/>
        <v>1028</v>
      </c>
    </row>
    <row r="20" spans="2:32" ht="23.1" customHeight="1" x14ac:dyDescent="0.25">
      <c r="B20" s="23" t="s">
        <v>47</v>
      </c>
      <c r="C20" s="50">
        <v>21</v>
      </c>
      <c r="D20" s="50">
        <v>10</v>
      </c>
      <c r="E20" s="50">
        <v>3</v>
      </c>
      <c r="F20" s="50">
        <v>49</v>
      </c>
      <c r="G20" s="50">
        <v>0</v>
      </c>
      <c r="H20" s="50">
        <v>0</v>
      </c>
      <c r="I20" s="50">
        <v>4</v>
      </c>
      <c r="J20" s="50">
        <v>2</v>
      </c>
      <c r="K20" s="50">
        <v>1</v>
      </c>
      <c r="L20" s="50">
        <v>0</v>
      </c>
      <c r="M20" s="50">
        <v>200</v>
      </c>
      <c r="N20" s="50">
        <v>0</v>
      </c>
      <c r="O20" s="15">
        <f t="shared" si="0"/>
        <v>90</v>
      </c>
      <c r="P20" s="15">
        <f t="shared" si="1"/>
        <v>290</v>
      </c>
      <c r="R20" s="1" t="s">
        <v>16</v>
      </c>
      <c r="S20" s="17">
        <f t="shared" ref="S20:AF20" si="12">SUM(C50:C53)</f>
        <v>281</v>
      </c>
      <c r="T20" s="17">
        <f t="shared" si="12"/>
        <v>57</v>
      </c>
      <c r="U20" s="17">
        <f t="shared" si="12"/>
        <v>21</v>
      </c>
      <c r="V20" s="17">
        <f t="shared" si="12"/>
        <v>142</v>
      </c>
      <c r="W20" s="17">
        <f t="shared" si="12"/>
        <v>3</v>
      </c>
      <c r="X20" s="17">
        <f t="shared" si="12"/>
        <v>0</v>
      </c>
      <c r="Y20" s="17">
        <f t="shared" si="12"/>
        <v>13</v>
      </c>
      <c r="Z20" s="17">
        <f t="shared" si="12"/>
        <v>29</v>
      </c>
      <c r="AA20" s="17">
        <f t="shared" si="12"/>
        <v>0</v>
      </c>
      <c r="AB20" s="17">
        <f t="shared" si="12"/>
        <v>1</v>
      </c>
      <c r="AC20" s="17">
        <f t="shared" si="12"/>
        <v>471</v>
      </c>
      <c r="AD20" s="17">
        <f t="shared" si="12"/>
        <v>0</v>
      </c>
      <c r="AE20" s="31">
        <f t="shared" si="12"/>
        <v>547</v>
      </c>
      <c r="AF20" s="31">
        <f t="shared" si="12"/>
        <v>1018</v>
      </c>
    </row>
    <row r="21" spans="2:32" ht="23.1" customHeight="1" x14ac:dyDescent="0.25">
      <c r="B21" s="23" t="s">
        <v>48</v>
      </c>
      <c r="C21" s="50">
        <v>32</v>
      </c>
      <c r="D21" s="50">
        <v>0</v>
      </c>
      <c r="E21" s="50">
        <v>5</v>
      </c>
      <c r="F21" s="50">
        <v>1</v>
      </c>
      <c r="G21" s="50">
        <v>36</v>
      </c>
      <c r="H21" s="50">
        <v>0</v>
      </c>
      <c r="I21" s="50">
        <v>1</v>
      </c>
      <c r="J21" s="50">
        <v>2</v>
      </c>
      <c r="K21" s="50">
        <v>1</v>
      </c>
      <c r="L21" s="50">
        <v>0</v>
      </c>
      <c r="M21" s="50">
        <v>163</v>
      </c>
      <c r="N21" s="50">
        <v>0</v>
      </c>
      <c r="O21" s="15">
        <f t="shared" si="0"/>
        <v>78</v>
      </c>
      <c r="P21" s="15">
        <f t="shared" si="1"/>
        <v>241</v>
      </c>
      <c r="R21" s="36" t="s">
        <v>20</v>
      </c>
      <c r="S21" s="34">
        <f t="shared" ref="S21:AF21" si="13">SUM(C54:C57)</f>
        <v>203</v>
      </c>
      <c r="T21" s="17">
        <f t="shared" si="13"/>
        <v>32</v>
      </c>
      <c r="U21" s="17">
        <f t="shared" si="13"/>
        <v>17</v>
      </c>
      <c r="V21" s="17">
        <f t="shared" si="13"/>
        <v>160</v>
      </c>
      <c r="W21" s="17">
        <f t="shared" si="13"/>
        <v>3</v>
      </c>
      <c r="X21" s="17">
        <f t="shared" si="13"/>
        <v>2</v>
      </c>
      <c r="Y21" s="17">
        <f t="shared" si="13"/>
        <v>4</v>
      </c>
      <c r="Z21" s="17">
        <f t="shared" si="13"/>
        <v>15</v>
      </c>
      <c r="AA21" s="17">
        <f t="shared" si="13"/>
        <v>0</v>
      </c>
      <c r="AB21" s="17">
        <f t="shared" si="13"/>
        <v>0</v>
      </c>
      <c r="AC21" s="17">
        <f t="shared" si="13"/>
        <v>455</v>
      </c>
      <c r="AD21" s="17">
        <f t="shared" si="13"/>
        <v>0</v>
      </c>
      <c r="AE21" s="31">
        <f t="shared" si="13"/>
        <v>436</v>
      </c>
      <c r="AF21" s="31">
        <f t="shared" si="13"/>
        <v>891</v>
      </c>
    </row>
    <row r="22" spans="2:32" ht="23.1" customHeight="1" x14ac:dyDescent="0.25">
      <c r="B22" s="23" t="s">
        <v>49</v>
      </c>
      <c r="C22" s="50">
        <v>33</v>
      </c>
      <c r="D22" s="50">
        <v>1</v>
      </c>
      <c r="E22" s="50">
        <v>6</v>
      </c>
      <c r="F22" s="50">
        <v>36</v>
      </c>
      <c r="G22" s="50">
        <v>0</v>
      </c>
      <c r="H22" s="50">
        <v>0</v>
      </c>
      <c r="I22" s="50">
        <v>2</v>
      </c>
      <c r="J22" s="50">
        <v>4</v>
      </c>
      <c r="K22" s="50">
        <v>0</v>
      </c>
      <c r="L22" s="50">
        <v>1</v>
      </c>
      <c r="M22" s="50">
        <v>195</v>
      </c>
      <c r="N22" s="50">
        <v>0</v>
      </c>
      <c r="O22" s="15">
        <f t="shared" si="0"/>
        <v>83</v>
      </c>
      <c r="P22" s="15">
        <f t="shared" si="1"/>
        <v>278</v>
      </c>
      <c r="R22" s="38" t="s">
        <v>90</v>
      </c>
      <c r="S22" s="39">
        <f>MAX(S10:S12)</f>
        <v>115</v>
      </c>
      <c r="T22" s="39">
        <f t="shared" ref="T22:AF22" si="14">MAX(T10:T12)</f>
        <v>25</v>
      </c>
      <c r="U22" s="39">
        <f t="shared" si="14"/>
        <v>14</v>
      </c>
      <c r="V22" s="39">
        <f t="shared" si="14"/>
        <v>714</v>
      </c>
      <c r="W22" s="39">
        <f t="shared" si="14"/>
        <v>36</v>
      </c>
      <c r="X22" s="39">
        <f t="shared" si="14"/>
        <v>59</v>
      </c>
      <c r="Y22" s="39">
        <f t="shared" si="14"/>
        <v>14</v>
      </c>
      <c r="Z22" s="39">
        <f t="shared" si="14"/>
        <v>8</v>
      </c>
      <c r="AA22" s="39">
        <f t="shared" si="14"/>
        <v>6</v>
      </c>
      <c r="AB22" s="39">
        <f t="shared" si="14"/>
        <v>5</v>
      </c>
      <c r="AC22" s="39">
        <f t="shared" si="14"/>
        <v>753</v>
      </c>
      <c r="AD22" s="39">
        <f t="shared" si="14"/>
        <v>0</v>
      </c>
      <c r="AE22" s="40">
        <f t="shared" si="14"/>
        <v>929</v>
      </c>
      <c r="AF22" s="40">
        <f t="shared" si="14"/>
        <v>1669</v>
      </c>
    </row>
    <row r="23" spans="2:32" ht="23.1" customHeight="1" x14ac:dyDescent="0.25">
      <c r="B23" s="23" t="s">
        <v>50</v>
      </c>
      <c r="C23" s="50">
        <v>28</v>
      </c>
      <c r="D23" s="50">
        <v>6</v>
      </c>
      <c r="E23" s="50">
        <v>9</v>
      </c>
      <c r="F23" s="50">
        <v>45</v>
      </c>
      <c r="G23" s="50">
        <v>1</v>
      </c>
      <c r="H23" s="50">
        <v>1</v>
      </c>
      <c r="I23" s="50">
        <v>3</v>
      </c>
      <c r="J23" s="50">
        <v>4</v>
      </c>
      <c r="K23" s="50">
        <v>0</v>
      </c>
      <c r="L23" s="50">
        <v>0</v>
      </c>
      <c r="M23" s="50">
        <v>190</v>
      </c>
      <c r="N23" s="50">
        <v>0</v>
      </c>
      <c r="O23" s="15">
        <f t="shared" si="0"/>
        <v>97</v>
      </c>
      <c r="P23" s="15">
        <f t="shared" si="1"/>
        <v>287</v>
      </c>
      <c r="R23" s="38" t="s">
        <v>91</v>
      </c>
      <c r="S23" s="39">
        <f>MAX(S13:S18)</f>
        <v>185</v>
      </c>
      <c r="T23" s="39">
        <f t="shared" ref="T23:AF23" si="15">MAX(T13:T18)</f>
        <v>56</v>
      </c>
      <c r="U23" s="39">
        <f t="shared" si="15"/>
        <v>24</v>
      </c>
      <c r="V23" s="39">
        <f t="shared" si="15"/>
        <v>168</v>
      </c>
      <c r="W23" s="39">
        <f t="shared" si="15"/>
        <v>42</v>
      </c>
      <c r="X23" s="39">
        <f t="shared" si="15"/>
        <v>5</v>
      </c>
      <c r="Y23" s="39">
        <f t="shared" si="15"/>
        <v>18</v>
      </c>
      <c r="Z23" s="39">
        <f t="shared" si="15"/>
        <v>42</v>
      </c>
      <c r="AA23" s="39">
        <f t="shared" si="15"/>
        <v>9</v>
      </c>
      <c r="AB23" s="39">
        <f t="shared" si="15"/>
        <v>5</v>
      </c>
      <c r="AC23" s="39">
        <f t="shared" si="15"/>
        <v>686</v>
      </c>
      <c r="AD23" s="39">
        <f t="shared" si="15"/>
        <v>1</v>
      </c>
      <c r="AE23" s="40">
        <f t="shared" si="15"/>
        <v>481</v>
      </c>
      <c r="AF23" s="40">
        <f t="shared" si="15"/>
        <v>1030</v>
      </c>
    </row>
    <row r="24" spans="2:32" ht="23.1" customHeight="1" x14ac:dyDescent="0.25">
      <c r="B24" s="23" t="s">
        <v>51</v>
      </c>
      <c r="C24" s="50">
        <v>41</v>
      </c>
      <c r="D24" s="50">
        <v>3</v>
      </c>
      <c r="E24" s="50">
        <v>3</v>
      </c>
      <c r="F24" s="50">
        <v>52</v>
      </c>
      <c r="G24" s="50">
        <v>0</v>
      </c>
      <c r="H24" s="50">
        <v>0</v>
      </c>
      <c r="I24" s="50">
        <v>1</v>
      </c>
      <c r="J24" s="50">
        <v>3</v>
      </c>
      <c r="K24" s="50">
        <v>3</v>
      </c>
      <c r="L24" s="50">
        <v>2</v>
      </c>
      <c r="M24" s="50">
        <v>174</v>
      </c>
      <c r="N24" s="50">
        <v>0</v>
      </c>
      <c r="O24" s="15">
        <f t="shared" si="0"/>
        <v>108</v>
      </c>
      <c r="P24" s="15">
        <f t="shared" si="1"/>
        <v>282</v>
      </c>
      <c r="R24" s="38" t="s">
        <v>92</v>
      </c>
      <c r="S24" s="39">
        <f>MAX(S19:S21)</f>
        <v>281</v>
      </c>
      <c r="T24" s="39">
        <f t="shared" ref="T24:AF24" si="16">MAX(T19:T21)</f>
        <v>57</v>
      </c>
      <c r="U24" s="39">
        <f t="shared" si="16"/>
        <v>21</v>
      </c>
      <c r="V24" s="39">
        <f t="shared" si="16"/>
        <v>168</v>
      </c>
      <c r="W24" s="39">
        <f t="shared" si="16"/>
        <v>6</v>
      </c>
      <c r="X24" s="39">
        <f t="shared" si="16"/>
        <v>2</v>
      </c>
      <c r="Y24" s="39">
        <f t="shared" si="16"/>
        <v>15</v>
      </c>
      <c r="Z24" s="39">
        <f t="shared" si="16"/>
        <v>29</v>
      </c>
      <c r="AA24" s="39">
        <f t="shared" si="16"/>
        <v>7</v>
      </c>
      <c r="AB24" s="39">
        <f t="shared" si="16"/>
        <v>1</v>
      </c>
      <c r="AC24" s="39">
        <f t="shared" si="16"/>
        <v>525</v>
      </c>
      <c r="AD24" s="39">
        <f t="shared" si="16"/>
        <v>0</v>
      </c>
      <c r="AE24" s="40">
        <f t="shared" si="16"/>
        <v>547</v>
      </c>
      <c r="AF24" s="40">
        <f t="shared" si="16"/>
        <v>1028</v>
      </c>
    </row>
    <row r="25" spans="2:32" ht="23.1" customHeight="1" x14ac:dyDescent="0.25">
      <c r="B25" s="23" t="s">
        <v>52</v>
      </c>
      <c r="C25" s="50">
        <v>3</v>
      </c>
      <c r="D25" s="50">
        <v>11</v>
      </c>
      <c r="E25" s="50">
        <v>0</v>
      </c>
      <c r="F25" s="50">
        <v>32</v>
      </c>
      <c r="G25" s="50">
        <v>0</v>
      </c>
      <c r="H25" s="50">
        <v>0</v>
      </c>
      <c r="I25" s="50">
        <v>4</v>
      </c>
      <c r="J25" s="50">
        <v>4</v>
      </c>
      <c r="K25" s="50">
        <v>1</v>
      </c>
      <c r="L25" s="50">
        <v>1</v>
      </c>
      <c r="M25" s="50">
        <v>127</v>
      </c>
      <c r="N25" s="50">
        <v>0</v>
      </c>
      <c r="O25" s="15">
        <f t="shared" si="0"/>
        <v>56</v>
      </c>
      <c r="P25" s="15">
        <f t="shared" si="1"/>
        <v>183</v>
      </c>
      <c r="R25" s="37" t="s">
        <v>85</v>
      </c>
      <c r="S25" s="35">
        <f t="shared" ref="S25:AF25" si="17">SUM(S10:S12)</f>
        <v>339</v>
      </c>
      <c r="T25" s="16">
        <f t="shared" si="17"/>
        <v>65</v>
      </c>
      <c r="U25" s="16">
        <f t="shared" si="17"/>
        <v>33</v>
      </c>
      <c r="V25" s="16">
        <f t="shared" si="17"/>
        <v>1005</v>
      </c>
      <c r="W25" s="16">
        <f t="shared" si="17"/>
        <v>48</v>
      </c>
      <c r="X25" s="16">
        <f t="shared" si="17"/>
        <v>65</v>
      </c>
      <c r="Y25" s="16">
        <f t="shared" si="17"/>
        <v>28</v>
      </c>
      <c r="Z25" s="16">
        <f t="shared" si="17"/>
        <v>22</v>
      </c>
      <c r="AA25" s="16">
        <f t="shared" si="17"/>
        <v>12</v>
      </c>
      <c r="AB25" s="16">
        <f t="shared" si="17"/>
        <v>9</v>
      </c>
      <c r="AC25" s="16">
        <f t="shared" si="17"/>
        <v>2002</v>
      </c>
      <c r="AD25" s="16">
        <f t="shared" si="17"/>
        <v>0</v>
      </c>
      <c r="AE25" s="32">
        <f t="shared" si="17"/>
        <v>1626</v>
      </c>
      <c r="AF25" s="32">
        <f t="shared" si="17"/>
        <v>3628</v>
      </c>
    </row>
    <row r="26" spans="2:32" ht="23.1" customHeight="1" x14ac:dyDescent="0.25">
      <c r="B26" s="23" t="s">
        <v>53</v>
      </c>
      <c r="C26" s="50">
        <v>25</v>
      </c>
      <c r="D26" s="50">
        <v>19</v>
      </c>
      <c r="E26" s="50">
        <v>5</v>
      </c>
      <c r="F26" s="50">
        <v>38</v>
      </c>
      <c r="G26" s="50">
        <v>0</v>
      </c>
      <c r="H26" s="50">
        <v>1</v>
      </c>
      <c r="I26" s="50">
        <v>12</v>
      </c>
      <c r="J26" s="50">
        <v>2</v>
      </c>
      <c r="K26" s="50">
        <v>1</v>
      </c>
      <c r="L26" s="50">
        <v>2</v>
      </c>
      <c r="M26" s="50">
        <v>182</v>
      </c>
      <c r="N26" s="50">
        <v>1</v>
      </c>
      <c r="O26" s="15">
        <f t="shared" si="0"/>
        <v>106</v>
      </c>
      <c r="P26" s="15">
        <f t="shared" si="1"/>
        <v>288</v>
      </c>
      <c r="R26" s="28" t="s">
        <v>86</v>
      </c>
      <c r="S26" s="16">
        <f t="shared" ref="S26:AF26" si="18">SUM(S13:S18)</f>
        <v>846</v>
      </c>
      <c r="T26" s="16">
        <f t="shared" si="18"/>
        <v>213</v>
      </c>
      <c r="U26" s="16">
        <f t="shared" si="18"/>
        <v>114</v>
      </c>
      <c r="V26" s="16">
        <f t="shared" si="18"/>
        <v>918</v>
      </c>
      <c r="W26" s="16">
        <f t="shared" si="18"/>
        <v>49</v>
      </c>
      <c r="X26" s="16">
        <f t="shared" si="18"/>
        <v>19</v>
      </c>
      <c r="Y26" s="16">
        <f t="shared" si="18"/>
        <v>86</v>
      </c>
      <c r="Z26" s="16">
        <f t="shared" si="18"/>
        <v>146</v>
      </c>
      <c r="AA26" s="16">
        <f t="shared" si="18"/>
        <v>30</v>
      </c>
      <c r="AB26" s="16">
        <f t="shared" si="18"/>
        <v>19</v>
      </c>
      <c r="AC26" s="16">
        <f t="shared" si="18"/>
        <v>3198</v>
      </c>
      <c r="AD26" s="16">
        <f t="shared" si="18"/>
        <v>1</v>
      </c>
      <c r="AE26" s="32">
        <f t="shared" si="18"/>
        <v>2441</v>
      </c>
      <c r="AF26" s="32">
        <f t="shared" si="18"/>
        <v>5639</v>
      </c>
    </row>
    <row r="27" spans="2:32" ht="23.1" customHeight="1" x14ac:dyDescent="0.25">
      <c r="B27" s="23" t="s">
        <v>54</v>
      </c>
      <c r="C27" s="50">
        <v>37</v>
      </c>
      <c r="D27" s="50">
        <v>8</v>
      </c>
      <c r="E27" s="50">
        <v>6</v>
      </c>
      <c r="F27" s="50">
        <v>51</v>
      </c>
      <c r="G27" s="50"/>
      <c r="H27" s="50">
        <v>0</v>
      </c>
      <c r="I27" s="50">
        <v>0</v>
      </c>
      <c r="J27" s="50">
        <v>5</v>
      </c>
      <c r="K27" s="50">
        <v>5</v>
      </c>
      <c r="L27" s="50">
        <v>1</v>
      </c>
      <c r="M27" s="50">
        <v>110</v>
      </c>
      <c r="N27" s="50">
        <v>0</v>
      </c>
      <c r="O27" s="15">
        <f t="shared" si="0"/>
        <v>113</v>
      </c>
      <c r="P27" s="15">
        <f t="shared" si="1"/>
        <v>223</v>
      </c>
      <c r="R27" s="29" t="s">
        <v>87</v>
      </c>
      <c r="S27" s="16">
        <f t="shared" ref="S27:AF27" si="19">SUM(S19:S21)</f>
        <v>702</v>
      </c>
      <c r="T27" s="16">
        <f t="shared" si="19"/>
        <v>146</v>
      </c>
      <c r="U27" s="16">
        <f t="shared" si="19"/>
        <v>55</v>
      </c>
      <c r="V27" s="16">
        <f t="shared" si="19"/>
        <v>470</v>
      </c>
      <c r="W27" s="16">
        <f t="shared" si="19"/>
        <v>12</v>
      </c>
      <c r="X27" s="16">
        <f t="shared" si="19"/>
        <v>3</v>
      </c>
      <c r="Y27" s="16">
        <f t="shared" si="19"/>
        <v>32</v>
      </c>
      <c r="Z27" s="16">
        <f t="shared" si="19"/>
        <v>57</v>
      </c>
      <c r="AA27" s="16">
        <f t="shared" si="19"/>
        <v>7</v>
      </c>
      <c r="AB27" s="16">
        <f t="shared" si="19"/>
        <v>2</v>
      </c>
      <c r="AC27" s="16">
        <f t="shared" si="19"/>
        <v>1451</v>
      </c>
      <c r="AD27" s="16">
        <f t="shared" si="19"/>
        <v>0</v>
      </c>
      <c r="AE27" s="32">
        <f t="shared" si="19"/>
        <v>1486</v>
      </c>
      <c r="AF27" s="32">
        <f t="shared" si="19"/>
        <v>2937</v>
      </c>
    </row>
    <row r="28" spans="2:32" ht="23.1" customHeight="1" x14ac:dyDescent="0.25">
      <c r="B28" s="23" t="s">
        <v>55</v>
      </c>
      <c r="C28" s="50">
        <v>35</v>
      </c>
      <c r="D28" s="50">
        <v>6</v>
      </c>
      <c r="E28" s="50">
        <v>3</v>
      </c>
      <c r="F28" s="50">
        <v>41</v>
      </c>
      <c r="G28" s="50">
        <v>0</v>
      </c>
      <c r="H28" s="50">
        <v>2</v>
      </c>
      <c r="I28" s="50">
        <v>3</v>
      </c>
      <c r="J28" s="50">
        <v>6</v>
      </c>
      <c r="K28" s="50">
        <v>1</v>
      </c>
      <c r="L28" s="50">
        <v>1</v>
      </c>
      <c r="M28" s="50">
        <v>140</v>
      </c>
      <c r="N28" s="50">
        <v>0</v>
      </c>
      <c r="O28" s="15">
        <f t="shared" si="0"/>
        <v>98</v>
      </c>
      <c r="P28" s="15">
        <f t="shared" si="1"/>
        <v>238</v>
      </c>
      <c r="R28" s="5" t="s">
        <v>17</v>
      </c>
      <c r="S28" s="16">
        <f t="shared" ref="S28:AF28" si="20">SUM(S10:S21)</f>
        <v>1887</v>
      </c>
      <c r="T28" s="16">
        <f t="shared" si="20"/>
        <v>424</v>
      </c>
      <c r="U28" s="16">
        <f t="shared" si="20"/>
        <v>202</v>
      </c>
      <c r="V28" s="16">
        <f t="shared" si="20"/>
        <v>2393</v>
      </c>
      <c r="W28" s="16">
        <f t="shared" si="20"/>
        <v>109</v>
      </c>
      <c r="X28" s="16">
        <f t="shared" si="20"/>
        <v>87</v>
      </c>
      <c r="Y28" s="16">
        <f t="shared" si="20"/>
        <v>146</v>
      </c>
      <c r="Z28" s="16">
        <f t="shared" si="20"/>
        <v>225</v>
      </c>
      <c r="AA28" s="16">
        <f t="shared" si="20"/>
        <v>49</v>
      </c>
      <c r="AB28" s="16">
        <f t="shared" si="20"/>
        <v>30</v>
      </c>
      <c r="AC28" s="16">
        <f t="shared" si="20"/>
        <v>6651</v>
      </c>
      <c r="AD28" s="16">
        <f t="shared" si="20"/>
        <v>1</v>
      </c>
      <c r="AE28" s="32">
        <f t="shared" si="20"/>
        <v>5553</v>
      </c>
      <c r="AF28" s="32">
        <f t="shared" si="20"/>
        <v>12204</v>
      </c>
    </row>
    <row r="29" spans="2:32" ht="23.1" customHeight="1" x14ac:dyDescent="0.25">
      <c r="B29" s="23" t="s">
        <v>56</v>
      </c>
      <c r="C29" s="50">
        <v>28</v>
      </c>
      <c r="D29" s="50">
        <v>2</v>
      </c>
      <c r="E29" s="50">
        <v>3</v>
      </c>
      <c r="F29" s="50">
        <v>38</v>
      </c>
      <c r="G29" s="50">
        <v>0</v>
      </c>
      <c r="H29" s="50">
        <v>2</v>
      </c>
      <c r="I29" s="50">
        <v>2</v>
      </c>
      <c r="J29" s="50">
        <v>1</v>
      </c>
      <c r="K29" s="50">
        <v>1</v>
      </c>
      <c r="L29" s="50">
        <v>1</v>
      </c>
      <c r="M29" s="50">
        <v>110</v>
      </c>
      <c r="N29" s="50">
        <v>0</v>
      </c>
      <c r="O29" s="15">
        <f t="shared" si="0"/>
        <v>78</v>
      </c>
      <c r="P29" s="15">
        <f t="shared" si="1"/>
        <v>188</v>
      </c>
      <c r="R29"/>
      <c r="S29" s="20"/>
      <c r="T29" s="19"/>
    </row>
    <row r="30" spans="2:32" ht="23.1" customHeight="1" x14ac:dyDescent="0.25">
      <c r="B30" s="23" t="s">
        <v>57</v>
      </c>
      <c r="C30" s="50">
        <v>33</v>
      </c>
      <c r="D30" s="50">
        <v>19</v>
      </c>
      <c r="E30" s="50">
        <v>7</v>
      </c>
      <c r="F30" s="50">
        <v>50</v>
      </c>
      <c r="G30" s="50">
        <v>1</v>
      </c>
      <c r="H30" s="50">
        <v>1</v>
      </c>
      <c r="I30" s="50">
        <v>4</v>
      </c>
      <c r="J30" s="50">
        <v>3</v>
      </c>
      <c r="K30" s="50">
        <v>3</v>
      </c>
      <c r="L30" s="50">
        <v>2</v>
      </c>
      <c r="M30" s="50">
        <v>160</v>
      </c>
      <c r="N30" s="50">
        <v>0</v>
      </c>
      <c r="O30" s="15">
        <f t="shared" si="0"/>
        <v>123</v>
      </c>
      <c r="P30" s="15">
        <f t="shared" si="1"/>
        <v>283</v>
      </c>
    </row>
    <row r="31" spans="2:32" ht="23.1" customHeight="1" x14ac:dyDescent="0.25">
      <c r="B31" s="24" t="s">
        <v>58</v>
      </c>
      <c r="C31" s="50">
        <v>45</v>
      </c>
      <c r="D31" s="50">
        <v>7</v>
      </c>
      <c r="E31" s="50">
        <v>3</v>
      </c>
      <c r="F31" s="50">
        <v>43</v>
      </c>
      <c r="G31" s="50">
        <v>0</v>
      </c>
      <c r="H31" s="50">
        <v>2</v>
      </c>
      <c r="I31" s="50">
        <v>3</v>
      </c>
      <c r="J31" s="50">
        <v>1</v>
      </c>
      <c r="K31" s="50">
        <v>1</v>
      </c>
      <c r="L31" s="50">
        <v>1</v>
      </c>
      <c r="M31" s="50">
        <v>140</v>
      </c>
      <c r="N31" s="50">
        <v>0</v>
      </c>
      <c r="O31" s="15">
        <f t="shared" si="0"/>
        <v>106</v>
      </c>
      <c r="P31" s="15">
        <f t="shared" si="1"/>
        <v>246</v>
      </c>
    </row>
    <row r="32" spans="2:32" ht="23.1" customHeight="1" x14ac:dyDescent="0.25">
      <c r="B32" s="24" t="s">
        <v>59</v>
      </c>
      <c r="C32" s="50">
        <v>32</v>
      </c>
      <c r="D32" s="50">
        <v>6</v>
      </c>
      <c r="E32" s="50">
        <v>5</v>
      </c>
      <c r="F32" s="50">
        <v>37</v>
      </c>
      <c r="G32" s="50">
        <v>4</v>
      </c>
      <c r="H32" s="50">
        <v>0</v>
      </c>
      <c r="I32" s="50">
        <v>7</v>
      </c>
      <c r="J32" s="50">
        <v>6</v>
      </c>
      <c r="K32" s="50">
        <v>0</v>
      </c>
      <c r="L32" s="50">
        <v>1</v>
      </c>
      <c r="M32" s="50">
        <v>142</v>
      </c>
      <c r="N32" s="50">
        <v>0</v>
      </c>
      <c r="O32" s="15">
        <f t="shared" si="0"/>
        <v>98</v>
      </c>
      <c r="P32" s="15">
        <f t="shared" si="1"/>
        <v>240</v>
      </c>
    </row>
    <row r="33" spans="2:20" ht="23.1" customHeight="1" x14ac:dyDescent="0.25">
      <c r="B33" s="23" t="s">
        <v>60</v>
      </c>
      <c r="C33" s="50">
        <v>35</v>
      </c>
      <c r="D33" s="50">
        <v>8</v>
      </c>
      <c r="E33" s="50">
        <v>5</v>
      </c>
      <c r="F33" s="50">
        <v>32</v>
      </c>
      <c r="G33" s="50">
        <v>0</v>
      </c>
      <c r="H33" s="50">
        <v>0</v>
      </c>
      <c r="I33" s="50">
        <v>4</v>
      </c>
      <c r="J33" s="50">
        <v>3</v>
      </c>
      <c r="K33" s="50">
        <v>1</v>
      </c>
      <c r="L33" s="50">
        <v>1</v>
      </c>
      <c r="M33" s="50">
        <v>115</v>
      </c>
      <c r="N33" s="50">
        <v>0</v>
      </c>
      <c r="O33" s="15">
        <f t="shared" si="0"/>
        <v>89</v>
      </c>
      <c r="P33" s="15">
        <f t="shared" si="1"/>
        <v>204</v>
      </c>
    </row>
    <row r="34" spans="2:20" ht="23.1" customHeight="1" x14ac:dyDescent="0.25">
      <c r="B34" s="24" t="s">
        <v>61</v>
      </c>
      <c r="C34" s="50">
        <v>32</v>
      </c>
      <c r="D34" s="50">
        <v>7</v>
      </c>
      <c r="E34" s="50">
        <v>4</v>
      </c>
      <c r="F34" s="50">
        <v>32</v>
      </c>
      <c r="G34" s="50">
        <v>0</v>
      </c>
      <c r="H34" s="50">
        <v>0</v>
      </c>
      <c r="I34" s="50">
        <v>3</v>
      </c>
      <c r="J34" s="50">
        <v>6</v>
      </c>
      <c r="K34" s="50">
        <v>0</v>
      </c>
      <c r="L34" s="50">
        <v>0</v>
      </c>
      <c r="M34" s="50">
        <v>142</v>
      </c>
      <c r="N34" s="50">
        <v>0</v>
      </c>
      <c r="O34" s="15">
        <f t="shared" si="0"/>
        <v>84</v>
      </c>
      <c r="P34" s="15">
        <f t="shared" si="1"/>
        <v>226</v>
      </c>
    </row>
    <row r="35" spans="2:20" ht="23.1" customHeight="1" x14ac:dyDescent="0.25">
      <c r="B35" s="24" t="s">
        <v>62</v>
      </c>
      <c r="C35" s="50">
        <v>53</v>
      </c>
      <c r="D35" s="50">
        <v>2</v>
      </c>
      <c r="E35" s="50">
        <v>4</v>
      </c>
      <c r="F35" s="50">
        <v>31</v>
      </c>
      <c r="G35" s="50">
        <v>1</v>
      </c>
      <c r="H35" s="50">
        <v>0</v>
      </c>
      <c r="I35" s="50">
        <v>2</v>
      </c>
      <c r="J35" s="50">
        <v>3</v>
      </c>
      <c r="K35" s="50">
        <v>1</v>
      </c>
      <c r="L35" s="50">
        <v>0</v>
      </c>
      <c r="M35" s="50">
        <v>137</v>
      </c>
      <c r="N35" s="50">
        <v>0</v>
      </c>
      <c r="O35" s="15">
        <f t="shared" si="0"/>
        <v>97</v>
      </c>
      <c r="P35" s="15">
        <f t="shared" si="1"/>
        <v>234</v>
      </c>
    </row>
    <row r="36" spans="2:20" ht="23.1" customHeight="1" x14ac:dyDescent="0.25">
      <c r="B36" s="24" t="s">
        <v>63</v>
      </c>
      <c r="C36" s="50">
        <v>28</v>
      </c>
      <c r="D36" s="50">
        <v>16</v>
      </c>
      <c r="E36" s="50">
        <v>5</v>
      </c>
      <c r="F36" s="50">
        <v>33</v>
      </c>
      <c r="G36" s="50">
        <v>0</v>
      </c>
      <c r="H36" s="50">
        <v>1</v>
      </c>
      <c r="I36" s="50">
        <v>6</v>
      </c>
      <c r="J36" s="50">
        <v>11</v>
      </c>
      <c r="K36" s="50">
        <v>2</v>
      </c>
      <c r="L36" s="50">
        <v>2</v>
      </c>
      <c r="M36" s="50">
        <v>150</v>
      </c>
      <c r="N36" s="50">
        <v>0</v>
      </c>
      <c r="O36" s="15">
        <f t="shared" si="0"/>
        <v>104</v>
      </c>
      <c r="P36" s="15">
        <f t="shared" si="1"/>
        <v>254</v>
      </c>
    </row>
    <row r="37" spans="2:20" ht="23.1" customHeight="1" x14ac:dyDescent="0.25">
      <c r="B37" s="23" t="s">
        <v>64</v>
      </c>
      <c r="C37" s="50">
        <v>24</v>
      </c>
      <c r="D37" s="50">
        <v>8</v>
      </c>
      <c r="E37" s="50">
        <v>1</v>
      </c>
      <c r="F37" s="50">
        <v>38</v>
      </c>
      <c r="G37" s="50">
        <v>0</v>
      </c>
      <c r="H37" s="50">
        <v>1</v>
      </c>
      <c r="I37" s="50">
        <v>3</v>
      </c>
      <c r="J37" s="50">
        <v>11</v>
      </c>
      <c r="K37" s="50">
        <v>0</v>
      </c>
      <c r="L37" s="50">
        <v>0</v>
      </c>
      <c r="M37" s="50">
        <v>83</v>
      </c>
      <c r="N37" s="50">
        <v>0</v>
      </c>
      <c r="O37" s="15">
        <f t="shared" si="0"/>
        <v>86</v>
      </c>
      <c r="P37" s="15">
        <f t="shared" si="1"/>
        <v>169</v>
      </c>
    </row>
    <row r="38" spans="2:20" ht="23.1" customHeight="1" x14ac:dyDescent="0.25">
      <c r="B38" s="24" t="s">
        <v>65</v>
      </c>
      <c r="C38" s="50">
        <v>44</v>
      </c>
      <c r="D38" s="50">
        <v>7</v>
      </c>
      <c r="E38" s="50">
        <v>6</v>
      </c>
      <c r="F38" s="50">
        <v>47</v>
      </c>
      <c r="G38" s="50">
        <v>1</v>
      </c>
      <c r="H38" s="50">
        <v>1</v>
      </c>
      <c r="I38" s="50">
        <v>3</v>
      </c>
      <c r="J38" s="50">
        <v>5</v>
      </c>
      <c r="K38" s="50">
        <v>0</v>
      </c>
      <c r="L38" s="50">
        <v>0</v>
      </c>
      <c r="M38" s="50">
        <v>132</v>
      </c>
      <c r="N38" s="50">
        <v>0</v>
      </c>
      <c r="O38" s="15">
        <f t="shared" si="0"/>
        <v>114</v>
      </c>
      <c r="P38" s="15">
        <f t="shared" si="1"/>
        <v>246</v>
      </c>
    </row>
    <row r="39" spans="2:20" ht="23.1" customHeight="1" x14ac:dyDescent="0.25">
      <c r="B39" s="24" t="s">
        <v>66</v>
      </c>
      <c r="C39" s="50">
        <v>40</v>
      </c>
      <c r="D39" s="50">
        <v>4</v>
      </c>
      <c r="E39" s="50">
        <v>7</v>
      </c>
      <c r="F39" s="50">
        <v>43</v>
      </c>
      <c r="G39" s="50">
        <v>0</v>
      </c>
      <c r="H39" s="50">
        <v>0</v>
      </c>
      <c r="I39" s="50">
        <v>2</v>
      </c>
      <c r="J39" s="50">
        <v>8</v>
      </c>
      <c r="K39" s="50">
        <v>0</v>
      </c>
      <c r="L39" s="50">
        <v>2</v>
      </c>
      <c r="M39" s="50">
        <v>107</v>
      </c>
      <c r="N39" s="50">
        <v>0</v>
      </c>
      <c r="O39" s="15">
        <f t="shared" si="0"/>
        <v>106</v>
      </c>
      <c r="P39" s="15">
        <f t="shared" si="1"/>
        <v>213</v>
      </c>
    </row>
    <row r="40" spans="2:20" ht="23.1" customHeight="1" x14ac:dyDescent="0.25">
      <c r="B40" s="24" t="s">
        <v>67</v>
      </c>
      <c r="C40" s="50">
        <v>33</v>
      </c>
      <c r="D40" s="50">
        <v>10</v>
      </c>
      <c r="E40" s="50">
        <v>4</v>
      </c>
      <c r="F40" s="50">
        <v>0</v>
      </c>
      <c r="G40" s="50">
        <v>41</v>
      </c>
      <c r="H40" s="50">
        <v>0</v>
      </c>
      <c r="I40" s="50">
        <v>0</v>
      </c>
      <c r="J40" s="50">
        <v>6</v>
      </c>
      <c r="K40" s="50">
        <v>8</v>
      </c>
      <c r="L40" s="50">
        <v>1</v>
      </c>
      <c r="M40" s="50">
        <v>88</v>
      </c>
      <c r="N40" s="50">
        <v>0</v>
      </c>
      <c r="O40" s="15">
        <f t="shared" si="0"/>
        <v>103</v>
      </c>
      <c r="P40" s="15">
        <f t="shared" si="1"/>
        <v>191</v>
      </c>
    </row>
    <row r="41" spans="2:20" ht="23.1" customHeight="1" x14ac:dyDescent="0.25">
      <c r="B41" s="23" t="s">
        <v>68</v>
      </c>
      <c r="C41" s="50">
        <v>32</v>
      </c>
      <c r="D41" s="50">
        <v>7</v>
      </c>
      <c r="E41" s="50">
        <v>4</v>
      </c>
      <c r="F41" s="50">
        <v>47</v>
      </c>
      <c r="G41" s="50">
        <v>0</v>
      </c>
      <c r="H41" s="50">
        <v>2</v>
      </c>
      <c r="I41" s="50">
        <v>6</v>
      </c>
      <c r="J41" s="50">
        <v>12</v>
      </c>
      <c r="K41" s="50">
        <v>1</v>
      </c>
      <c r="L41" s="50">
        <v>0</v>
      </c>
      <c r="M41" s="50">
        <v>115</v>
      </c>
      <c r="N41" s="50">
        <v>0</v>
      </c>
      <c r="O41" s="15">
        <f t="shared" si="0"/>
        <v>111</v>
      </c>
      <c r="P41" s="15">
        <f t="shared" si="1"/>
        <v>226</v>
      </c>
    </row>
    <row r="42" spans="2:20" ht="23.1" customHeight="1" x14ac:dyDescent="0.25">
      <c r="B42" s="24" t="s">
        <v>69</v>
      </c>
      <c r="C42" s="50">
        <v>55</v>
      </c>
      <c r="D42" s="50">
        <v>9</v>
      </c>
      <c r="E42" s="50">
        <v>7</v>
      </c>
      <c r="F42" s="50">
        <v>46</v>
      </c>
      <c r="G42" s="50">
        <v>0</v>
      </c>
      <c r="H42" s="50">
        <v>0</v>
      </c>
      <c r="I42" s="50">
        <v>5</v>
      </c>
      <c r="J42" s="50">
        <v>14</v>
      </c>
      <c r="K42" s="50">
        <v>0</v>
      </c>
      <c r="L42" s="50">
        <v>0</v>
      </c>
      <c r="M42" s="50">
        <v>104</v>
      </c>
      <c r="N42" s="50">
        <v>0</v>
      </c>
      <c r="O42" s="15">
        <f t="shared" si="0"/>
        <v>136</v>
      </c>
      <c r="P42" s="15">
        <f t="shared" si="1"/>
        <v>240</v>
      </c>
    </row>
    <row r="43" spans="2:20" ht="23.1" customHeight="1" x14ac:dyDescent="0.25">
      <c r="B43" s="23" t="s">
        <v>70</v>
      </c>
      <c r="C43" s="50">
        <v>40</v>
      </c>
      <c r="D43" s="50">
        <v>12</v>
      </c>
      <c r="E43" s="50">
        <v>5</v>
      </c>
      <c r="F43" s="50">
        <v>33</v>
      </c>
      <c r="G43" s="50">
        <v>0</v>
      </c>
      <c r="H43" s="50">
        <v>3</v>
      </c>
      <c r="I43" s="50">
        <v>3</v>
      </c>
      <c r="J43" s="50">
        <v>7</v>
      </c>
      <c r="K43" s="50">
        <v>0</v>
      </c>
      <c r="L43" s="50">
        <v>0</v>
      </c>
      <c r="M43" s="50">
        <v>125</v>
      </c>
      <c r="N43" s="50">
        <v>0</v>
      </c>
      <c r="O43" s="15">
        <f t="shared" si="0"/>
        <v>103</v>
      </c>
      <c r="P43" s="15">
        <f t="shared" si="1"/>
        <v>228</v>
      </c>
    </row>
    <row r="44" spans="2:20" ht="23.1" customHeight="1" x14ac:dyDescent="0.25">
      <c r="B44" s="25" t="s">
        <v>71</v>
      </c>
      <c r="C44" s="50">
        <v>43</v>
      </c>
      <c r="D44" s="50">
        <v>13</v>
      </c>
      <c r="E44" s="50">
        <v>6</v>
      </c>
      <c r="F44" s="50">
        <v>33</v>
      </c>
      <c r="G44" s="50">
        <v>0</v>
      </c>
      <c r="H44" s="50">
        <v>1</v>
      </c>
      <c r="I44" s="50">
        <v>4</v>
      </c>
      <c r="J44" s="50">
        <v>10</v>
      </c>
      <c r="K44" s="50">
        <v>0</v>
      </c>
      <c r="L44" s="50">
        <v>0</v>
      </c>
      <c r="M44" s="50">
        <v>105</v>
      </c>
      <c r="N44" s="50">
        <v>0</v>
      </c>
      <c r="O44" s="15">
        <f t="shared" si="0"/>
        <v>110</v>
      </c>
      <c r="P44" s="15">
        <f t="shared" si="1"/>
        <v>215</v>
      </c>
    </row>
    <row r="45" spans="2:20" ht="23.1" customHeight="1" x14ac:dyDescent="0.25">
      <c r="B45" s="23" t="s">
        <v>72</v>
      </c>
      <c r="C45" s="50">
        <v>47</v>
      </c>
      <c r="D45" s="50">
        <v>22</v>
      </c>
      <c r="E45" s="50">
        <v>6</v>
      </c>
      <c r="F45" s="50">
        <v>40</v>
      </c>
      <c r="G45" s="50">
        <v>0</v>
      </c>
      <c r="H45" s="50">
        <v>1</v>
      </c>
      <c r="I45" s="50">
        <v>4</v>
      </c>
      <c r="J45" s="50">
        <v>11</v>
      </c>
      <c r="K45" s="50">
        <v>1</v>
      </c>
      <c r="L45" s="50">
        <v>0</v>
      </c>
      <c r="M45" s="50">
        <v>125</v>
      </c>
      <c r="N45" s="50">
        <v>0</v>
      </c>
      <c r="O45" s="15">
        <f t="shared" si="0"/>
        <v>132</v>
      </c>
      <c r="P45" s="15">
        <f t="shared" si="1"/>
        <v>257</v>
      </c>
    </row>
    <row r="46" spans="2:20" ht="23.1" customHeight="1" x14ac:dyDescent="0.25">
      <c r="B46" s="24" t="s">
        <v>73</v>
      </c>
      <c r="C46" s="50">
        <v>45</v>
      </c>
      <c r="D46" s="50">
        <v>10</v>
      </c>
      <c r="E46" s="50">
        <v>4</v>
      </c>
      <c r="F46" s="50">
        <v>45</v>
      </c>
      <c r="G46" s="50">
        <v>2</v>
      </c>
      <c r="H46" s="50">
        <v>0</v>
      </c>
      <c r="I46" s="50">
        <v>1</v>
      </c>
      <c r="J46" s="50">
        <v>7</v>
      </c>
      <c r="K46" s="50">
        <v>0</v>
      </c>
      <c r="L46" s="50">
        <v>0</v>
      </c>
      <c r="M46" s="50">
        <v>131</v>
      </c>
      <c r="N46" s="50">
        <v>0</v>
      </c>
      <c r="O46" s="15">
        <f t="shared" si="0"/>
        <v>114</v>
      </c>
      <c r="P46" s="15">
        <f t="shared" si="1"/>
        <v>245</v>
      </c>
      <c r="R46" s="8"/>
      <c r="T46"/>
    </row>
    <row r="47" spans="2:20" ht="23.1" customHeight="1" x14ac:dyDescent="0.25">
      <c r="B47" s="24" t="s">
        <v>74</v>
      </c>
      <c r="C47" s="50">
        <v>67</v>
      </c>
      <c r="D47" s="50">
        <v>15</v>
      </c>
      <c r="E47" s="50">
        <v>4</v>
      </c>
      <c r="F47" s="50">
        <v>36</v>
      </c>
      <c r="G47" s="50">
        <v>2</v>
      </c>
      <c r="H47" s="50">
        <v>0</v>
      </c>
      <c r="I47" s="50">
        <v>11</v>
      </c>
      <c r="J47" s="50">
        <v>0</v>
      </c>
      <c r="K47" s="50">
        <v>0</v>
      </c>
      <c r="L47" s="50">
        <v>0</v>
      </c>
      <c r="M47" s="50">
        <v>126</v>
      </c>
      <c r="N47" s="50">
        <v>0</v>
      </c>
      <c r="O47" s="15">
        <f t="shared" si="0"/>
        <v>135</v>
      </c>
      <c r="P47" s="15">
        <f t="shared" si="1"/>
        <v>261</v>
      </c>
      <c r="R47" s="8"/>
      <c r="T47"/>
    </row>
    <row r="48" spans="2:20" ht="23.1" customHeight="1" x14ac:dyDescent="0.25">
      <c r="B48" s="24" t="s">
        <v>75</v>
      </c>
      <c r="C48" s="50">
        <v>49</v>
      </c>
      <c r="D48" s="50">
        <v>12</v>
      </c>
      <c r="E48" s="50">
        <v>6</v>
      </c>
      <c r="F48" s="50">
        <v>50</v>
      </c>
      <c r="G48" s="50">
        <v>2</v>
      </c>
      <c r="H48" s="50">
        <v>0</v>
      </c>
      <c r="I48" s="50">
        <v>0</v>
      </c>
      <c r="J48" s="50"/>
      <c r="K48" s="50">
        <v>6</v>
      </c>
      <c r="L48" s="50">
        <v>1</v>
      </c>
      <c r="M48" s="50">
        <v>150</v>
      </c>
      <c r="N48" s="50">
        <v>0</v>
      </c>
      <c r="O48" s="15">
        <f t="shared" si="0"/>
        <v>126</v>
      </c>
      <c r="P48" s="15">
        <f t="shared" si="1"/>
        <v>276</v>
      </c>
      <c r="R48" s="8"/>
      <c r="T48"/>
    </row>
    <row r="49" spans="2:20" ht="23.1" customHeight="1" x14ac:dyDescent="0.25">
      <c r="B49" s="23" t="s">
        <v>76</v>
      </c>
      <c r="C49" s="50">
        <v>57</v>
      </c>
      <c r="D49" s="50">
        <v>20</v>
      </c>
      <c r="E49" s="50">
        <v>3</v>
      </c>
      <c r="F49" s="50">
        <v>37</v>
      </c>
      <c r="G49" s="50">
        <v>0</v>
      </c>
      <c r="H49" s="50">
        <v>1</v>
      </c>
      <c r="I49" s="50">
        <v>3</v>
      </c>
      <c r="J49" s="50">
        <v>6</v>
      </c>
      <c r="K49" s="50">
        <v>1</v>
      </c>
      <c r="L49" s="50">
        <v>0</v>
      </c>
      <c r="M49" s="50">
        <v>118</v>
      </c>
      <c r="N49" s="50">
        <v>0</v>
      </c>
      <c r="O49" s="15">
        <f t="shared" si="0"/>
        <v>128</v>
      </c>
      <c r="P49" s="15">
        <f t="shared" si="1"/>
        <v>246</v>
      </c>
      <c r="R49" s="8"/>
      <c r="T49"/>
    </row>
    <row r="50" spans="2:20" ht="23.1" customHeight="1" x14ac:dyDescent="0.25">
      <c r="B50" s="24" t="s">
        <v>77</v>
      </c>
      <c r="C50" s="50">
        <v>58</v>
      </c>
      <c r="D50" s="50">
        <v>12</v>
      </c>
      <c r="E50" s="50">
        <v>5</v>
      </c>
      <c r="F50" s="50">
        <v>41</v>
      </c>
      <c r="G50" s="50">
        <v>1</v>
      </c>
      <c r="H50" s="50">
        <v>0</v>
      </c>
      <c r="I50" s="50">
        <v>7</v>
      </c>
      <c r="J50" s="50">
        <v>8</v>
      </c>
      <c r="K50" s="50">
        <v>0</v>
      </c>
      <c r="L50" s="50">
        <v>0</v>
      </c>
      <c r="M50" s="50">
        <v>148</v>
      </c>
      <c r="N50" s="50">
        <v>0</v>
      </c>
      <c r="O50" s="15">
        <f t="shared" si="0"/>
        <v>132</v>
      </c>
      <c r="P50" s="15">
        <f t="shared" si="1"/>
        <v>280</v>
      </c>
      <c r="R50" s="8"/>
      <c r="T50"/>
    </row>
    <row r="51" spans="2:20" ht="23.1" customHeight="1" x14ac:dyDescent="0.25">
      <c r="B51" s="24" t="s">
        <v>78</v>
      </c>
      <c r="C51" s="50">
        <v>51</v>
      </c>
      <c r="D51" s="50">
        <v>12</v>
      </c>
      <c r="E51" s="50">
        <v>8</v>
      </c>
      <c r="F51" s="50">
        <v>30</v>
      </c>
      <c r="G51" s="50">
        <v>0</v>
      </c>
      <c r="H51" s="50">
        <v>0</v>
      </c>
      <c r="I51" s="50">
        <v>2</v>
      </c>
      <c r="J51" s="50">
        <v>10</v>
      </c>
      <c r="K51" s="50">
        <v>0</v>
      </c>
      <c r="L51" s="50">
        <v>1</v>
      </c>
      <c r="M51" s="50">
        <v>118</v>
      </c>
      <c r="N51" s="50">
        <v>0</v>
      </c>
      <c r="O51" s="15">
        <f t="shared" si="0"/>
        <v>114</v>
      </c>
      <c r="P51" s="15">
        <f t="shared" si="1"/>
        <v>232</v>
      </c>
      <c r="R51" s="8"/>
      <c r="T51"/>
    </row>
    <row r="52" spans="2:20" ht="23.1" customHeight="1" x14ac:dyDescent="0.25">
      <c r="B52" s="24" t="s">
        <v>79</v>
      </c>
      <c r="C52" s="50">
        <v>92</v>
      </c>
      <c r="D52" s="50">
        <v>14</v>
      </c>
      <c r="E52" s="50">
        <v>8</v>
      </c>
      <c r="F52" s="50">
        <v>35</v>
      </c>
      <c r="G52" s="50">
        <v>2</v>
      </c>
      <c r="H52" s="50">
        <v>0</v>
      </c>
      <c r="I52" s="50">
        <v>2</v>
      </c>
      <c r="J52" s="50">
        <v>7</v>
      </c>
      <c r="K52" s="50">
        <v>0</v>
      </c>
      <c r="L52" s="50">
        <v>0</v>
      </c>
      <c r="M52" s="50">
        <v>125</v>
      </c>
      <c r="N52" s="50">
        <v>0</v>
      </c>
      <c r="O52" s="15">
        <f t="shared" si="0"/>
        <v>160</v>
      </c>
      <c r="P52" s="15">
        <f t="shared" si="1"/>
        <v>285</v>
      </c>
      <c r="R52" s="8"/>
      <c r="T52"/>
    </row>
    <row r="53" spans="2:20" ht="23.1" customHeight="1" x14ac:dyDescent="0.25">
      <c r="B53" s="23" t="s">
        <v>80</v>
      </c>
      <c r="C53" s="50">
        <v>80</v>
      </c>
      <c r="D53" s="50">
        <v>19</v>
      </c>
      <c r="E53" s="50" t="s">
        <v>178</v>
      </c>
      <c r="F53" s="50">
        <v>36</v>
      </c>
      <c r="G53" s="50">
        <v>0</v>
      </c>
      <c r="H53" s="50">
        <v>0</v>
      </c>
      <c r="I53" s="50">
        <v>2</v>
      </c>
      <c r="J53" s="50">
        <v>4</v>
      </c>
      <c r="K53" s="50">
        <v>0</v>
      </c>
      <c r="L53" s="50">
        <v>0</v>
      </c>
      <c r="M53" s="50">
        <v>80</v>
      </c>
      <c r="N53" s="50">
        <v>0</v>
      </c>
      <c r="O53" s="15">
        <f t="shared" si="0"/>
        <v>141</v>
      </c>
      <c r="P53" s="15">
        <f t="shared" si="1"/>
        <v>221</v>
      </c>
      <c r="R53" s="8"/>
      <c r="T53"/>
    </row>
    <row r="54" spans="2:20" ht="23.1" customHeight="1" x14ac:dyDescent="0.25">
      <c r="B54" s="23" t="s">
        <v>81</v>
      </c>
      <c r="C54" s="50">
        <v>70</v>
      </c>
      <c r="D54" s="50">
        <v>13</v>
      </c>
      <c r="E54" s="50">
        <v>5</v>
      </c>
      <c r="F54" s="50">
        <v>42</v>
      </c>
      <c r="G54" s="50">
        <v>1</v>
      </c>
      <c r="H54" s="50">
        <v>0</v>
      </c>
      <c r="I54" s="50">
        <v>0</v>
      </c>
      <c r="J54" s="50">
        <v>7</v>
      </c>
      <c r="K54" s="50">
        <v>0</v>
      </c>
      <c r="L54" s="50">
        <v>0</v>
      </c>
      <c r="M54" s="50">
        <v>160</v>
      </c>
      <c r="N54" s="50">
        <v>0</v>
      </c>
      <c r="O54" s="15">
        <f t="shared" si="0"/>
        <v>138</v>
      </c>
      <c r="P54" s="15">
        <f t="shared" si="1"/>
        <v>298</v>
      </c>
      <c r="R54" s="8"/>
      <c r="T54"/>
    </row>
    <row r="55" spans="2:20" ht="23.1" customHeight="1" x14ac:dyDescent="0.25">
      <c r="B55" s="23" t="s">
        <v>82</v>
      </c>
      <c r="C55" s="50">
        <v>60</v>
      </c>
      <c r="D55" s="50">
        <v>7</v>
      </c>
      <c r="E55" s="50">
        <v>4</v>
      </c>
      <c r="F55" s="50">
        <v>38</v>
      </c>
      <c r="G55" s="50">
        <v>1</v>
      </c>
      <c r="H55" s="50">
        <v>1</v>
      </c>
      <c r="I55" s="50">
        <v>3</v>
      </c>
      <c r="J55" s="50">
        <v>6</v>
      </c>
      <c r="K55" s="50">
        <v>0</v>
      </c>
      <c r="L55" s="50">
        <v>0</v>
      </c>
      <c r="M55" s="50">
        <v>115</v>
      </c>
      <c r="N55" s="50">
        <v>0</v>
      </c>
      <c r="O55" s="15">
        <f t="shared" si="0"/>
        <v>120</v>
      </c>
      <c r="P55" s="15">
        <f t="shared" si="1"/>
        <v>235</v>
      </c>
      <c r="R55" s="8"/>
      <c r="T55"/>
    </row>
    <row r="56" spans="2:20" ht="23.1" customHeight="1" x14ac:dyDescent="0.25">
      <c r="B56" s="23" t="s">
        <v>83</v>
      </c>
      <c r="C56" s="50">
        <v>40</v>
      </c>
      <c r="D56" s="50">
        <v>5</v>
      </c>
      <c r="E56" s="50">
        <v>5</v>
      </c>
      <c r="F56" s="50">
        <v>35</v>
      </c>
      <c r="G56" s="50">
        <v>1</v>
      </c>
      <c r="H56" s="50">
        <v>1</v>
      </c>
      <c r="I56" s="50">
        <v>0</v>
      </c>
      <c r="J56" s="50">
        <v>2</v>
      </c>
      <c r="K56" s="50">
        <v>0</v>
      </c>
      <c r="L56" s="50">
        <v>0</v>
      </c>
      <c r="M56" s="50">
        <v>110</v>
      </c>
      <c r="N56" s="50">
        <v>0</v>
      </c>
      <c r="O56" s="15">
        <f t="shared" si="0"/>
        <v>89</v>
      </c>
      <c r="P56" s="15">
        <f t="shared" si="1"/>
        <v>199</v>
      </c>
      <c r="R56" s="8"/>
      <c r="T56"/>
    </row>
    <row r="57" spans="2:20" ht="23.1" customHeight="1" x14ac:dyDescent="0.25">
      <c r="B57" s="23" t="s">
        <v>84</v>
      </c>
      <c r="C57" s="50">
        <v>33</v>
      </c>
      <c r="D57" s="50">
        <v>7</v>
      </c>
      <c r="E57" s="50">
        <v>3</v>
      </c>
      <c r="F57" s="50">
        <v>45</v>
      </c>
      <c r="G57" s="50">
        <v>0</v>
      </c>
      <c r="H57" s="50">
        <v>0</v>
      </c>
      <c r="I57" s="50">
        <v>1</v>
      </c>
      <c r="J57" s="50">
        <v>0</v>
      </c>
      <c r="K57" s="50">
        <v>0</v>
      </c>
      <c r="L57" s="50">
        <v>0</v>
      </c>
      <c r="M57" s="50">
        <v>70</v>
      </c>
      <c r="N57" s="50">
        <v>0</v>
      </c>
      <c r="O57" s="15">
        <f t="shared" si="0"/>
        <v>89</v>
      </c>
      <c r="P57" s="15">
        <f t="shared" si="1"/>
        <v>159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1887</v>
      </c>
      <c r="D58" s="16">
        <f t="shared" si="21"/>
        <v>424</v>
      </c>
      <c r="E58" s="16">
        <f t="shared" si="21"/>
        <v>202</v>
      </c>
      <c r="F58" s="16">
        <f t="shared" si="21"/>
        <v>2393</v>
      </c>
      <c r="G58" s="16">
        <f t="shared" si="21"/>
        <v>109</v>
      </c>
      <c r="H58" s="16">
        <f t="shared" si="21"/>
        <v>87</v>
      </c>
      <c r="I58" s="16">
        <f t="shared" si="21"/>
        <v>146</v>
      </c>
      <c r="J58" s="16">
        <f t="shared" si="21"/>
        <v>225</v>
      </c>
      <c r="K58" s="16">
        <f t="shared" si="21"/>
        <v>49</v>
      </c>
      <c r="L58" s="16">
        <f t="shared" si="21"/>
        <v>30</v>
      </c>
      <c r="M58" s="16">
        <f t="shared" si="21"/>
        <v>6651</v>
      </c>
      <c r="N58" s="16">
        <f t="shared" si="21"/>
        <v>1</v>
      </c>
      <c r="O58" s="16">
        <f t="shared" si="21"/>
        <v>5553</v>
      </c>
      <c r="P58" s="16">
        <f t="shared" si="21"/>
        <v>12204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0.15462143559488692</v>
      </c>
      <c r="D59" s="43">
        <f t="shared" si="22"/>
        <v>3.4742707309078989E-2</v>
      </c>
      <c r="E59" s="43">
        <f t="shared" si="22"/>
        <v>1.6551950180268764E-2</v>
      </c>
      <c r="F59" s="43">
        <f t="shared" si="22"/>
        <v>0.19608325139298591</v>
      </c>
      <c r="G59" s="43">
        <f t="shared" si="22"/>
        <v>8.9314978695509677E-3</v>
      </c>
      <c r="H59" s="43">
        <f t="shared" si="22"/>
        <v>7.1288102261553585E-3</v>
      </c>
      <c r="I59" s="43">
        <f t="shared" si="22"/>
        <v>1.1963290724352671E-2</v>
      </c>
      <c r="J59" s="43">
        <f t="shared" si="22"/>
        <v>1.8436578171091445E-2</v>
      </c>
      <c r="K59" s="43">
        <f t="shared" si="22"/>
        <v>4.0150770239265818E-3</v>
      </c>
      <c r="L59" s="43">
        <f t="shared" si="22"/>
        <v>2.4582104228121925E-3</v>
      </c>
      <c r="M59" s="43">
        <f t="shared" si="22"/>
        <v>0.54498525073746318</v>
      </c>
      <c r="N59" s="43">
        <f t="shared" si="22"/>
        <v>8.1940347427073091E-5</v>
      </c>
      <c r="R59" s="8"/>
      <c r="T59"/>
    </row>
    <row r="60" spans="2:20" ht="23.1" customHeight="1" x14ac:dyDescent="0.25">
      <c r="B60" s="42" t="s">
        <v>94</v>
      </c>
      <c r="C60" s="44">
        <f>C58/$O$58</f>
        <v>0.33981631550513236</v>
      </c>
      <c r="D60" s="44">
        <f t="shared" ref="D60:N60" si="23">D58/$O$58</f>
        <v>7.6355123356744103E-2</v>
      </c>
      <c r="E60" s="44">
        <f t="shared" si="23"/>
        <v>3.6376733297316763E-2</v>
      </c>
      <c r="F60" s="44">
        <f t="shared" si="23"/>
        <v>0.43093823158652983</v>
      </c>
      <c r="G60" s="44">
        <f t="shared" si="23"/>
        <v>1.9629029353502612E-2</v>
      </c>
      <c r="H60" s="44">
        <f t="shared" si="23"/>
        <v>1.5667206915180983E-2</v>
      </c>
      <c r="I60" s="44">
        <f t="shared" si="23"/>
        <v>2.6292094363407167E-2</v>
      </c>
      <c r="J60" s="44">
        <f t="shared" si="23"/>
        <v>4.0518638573743923E-2</v>
      </c>
      <c r="K60" s="44">
        <f t="shared" si="23"/>
        <v>8.8240590671708995E-3</v>
      </c>
      <c r="L60" s="44">
        <f t="shared" si="23"/>
        <v>5.4024851431658562E-3</v>
      </c>
      <c r="M60" s="44"/>
      <c r="N60" s="44">
        <f t="shared" si="23"/>
        <v>1.8008283810552856E-4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F126"/>
  <sheetViews>
    <sheetView view="pageBreakPreview" zoomScale="60" workbookViewId="0">
      <selection activeCell="C10" sqref="C10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64" t="s">
        <v>23</v>
      </c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  <c r="S1" s="64"/>
      <c r="T1" s="64"/>
      <c r="U1" s="64"/>
      <c r="V1" s="64"/>
      <c r="W1" s="64"/>
      <c r="X1" s="64"/>
      <c r="Y1" s="64"/>
      <c r="Z1" s="64"/>
      <c r="AA1" s="64"/>
      <c r="AB1" s="64"/>
      <c r="AC1" s="64"/>
      <c r="AD1" s="64"/>
      <c r="AE1" s="64"/>
    </row>
    <row r="2" spans="2:32" ht="20.100000000000001" customHeight="1" x14ac:dyDescent="0.25">
      <c r="B2" s="65" t="s">
        <v>95</v>
      </c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  <c r="AA2" s="65"/>
      <c r="AB2" s="65"/>
      <c r="AC2" s="65"/>
      <c r="AD2" s="65"/>
      <c r="AE2" s="65"/>
    </row>
    <row r="3" spans="2:32" ht="20.100000000000001" customHeight="1" x14ac:dyDescent="0.25">
      <c r="B3" s="22" t="s">
        <v>96</v>
      </c>
      <c r="C3" s="71" t="s">
        <v>184</v>
      </c>
      <c r="D3" s="71"/>
      <c r="E3" s="71"/>
      <c r="F3" s="71"/>
      <c r="G3" s="71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">
        <v>163</v>
      </c>
      <c r="E5" s="3"/>
      <c r="F5" s="41" t="s">
        <v>1</v>
      </c>
      <c r="G5" s="69" t="s">
        <v>185</v>
      </c>
      <c r="H5" s="70"/>
      <c r="I5" s="14"/>
      <c r="J5" s="2" t="s">
        <v>5</v>
      </c>
      <c r="K5" s="69" t="s">
        <v>181</v>
      </c>
      <c r="L5" s="70"/>
      <c r="M5" s="10"/>
      <c r="N5" s="10"/>
      <c r="O5" s="3"/>
      <c r="P5" s="3"/>
    </row>
    <row r="6" spans="2:32" ht="23.25" customHeight="1" x14ac:dyDescent="0.25">
      <c r="C6" s="2" t="s">
        <v>4</v>
      </c>
      <c r="D6" s="69" t="str">
        <f>'22.07 Bwaise-Makerere'!D6:E6</f>
        <v>Bwaise</v>
      </c>
      <c r="E6" s="70"/>
      <c r="F6" s="2" t="s">
        <v>2</v>
      </c>
      <c r="G6" s="69" t="str">
        <f>'22.07 Bwaise-Makerere'!G6:H6</f>
        <v>Makerere</v>
      </c>
      <c r="H6" s="70"/>
      <c r="J6" s="2" t="s">
        <v>21</v>
      </c>
      <c r="K6" s="69" t="str">
        <f>'22.07 Bwaise-Makerere'!K6:L6</f>
        <v>SALIMAH</v>
      </c>
      <c r="L6" s="70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63" t="s">
        <v>88</v>
      </c>
      <c r="S8" s="63"/>
      <c r="T8" s="63"/>
      <c r="U8" s="63"/>
      <c r="V8" s="63"/>
      <c r="W8" s="63"/>
      <c r="X8" s="63"/>
      <c r="Y8" s="63"/>
      <c r="Z8" s="63"/>
      <c r="AA8" s="63"/>
      <c r="AB8" s="63"/>
      <c r="AC8" s="63"/>
      <c r="AD8" s="63"/>
      <c r="AE8" s="63"/>
      <c r="AF8" s="63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160</v>
      </c>
      <c r="D10" s="50">
        <v>32</v>
      </c>
      <c r="E10" s="50">
        <v>7</v>
      </c>
      <c r="F10" s="50">
        <v>94</v>
      </c>
      <c r="G10" s="50">
        <v>3</v>
      </c>
      <c r="H10" s="50">
        <v>0</v>
      </c>
      <c r="I10" s="50">
        <v>3</v>
      </c>
      <c r="J10" s="50">
        <v>1</v>
      </c>
      <c r="K10" s="50">
        <v>2</v>
      </c>
      <c r="L10" s="50">
        <v>0</v>
      </c>
      <c r="M10" s="50">
        <v>267</v>
      </c>
      <c r="N10" s="50">
        <v>0</v>
      </c>
      <c r="O10" s="15">
        <f t="shared" ref="O10:O57" si="0">SUM(C10:L10,N10)</f>
        <v>302</v>
      </c>
      <c r="P10" s="15">
        <f t="shared" ref="P10:P57" si="1">SUM(C10:N10)</f>
        <v>569</v>
      </c>
      <c r="R10" s="1" t="s">
        <v>6</v>
      </c>
      <c r="S10" s="17">
        <f t="shared" ref="S10:AF10" si="2">SUM(C10:C13)</f>
        <v>362</v>
      </c>
      <c r="T10" s="17">
        <f t="shared" si="2"/>
        <v>83</v>
      </c>
      <c r="U10" s="17">
        <f t="shared" si="2"/>
        <v>27</v>
      </c>
      <c r="V10" s="17">
        <f t="shared" si="2"/>
        <v>219</v>
      </c>
      <c r="W10" s="17">
        <f t="shared" si="2"/>
        <v>12</v>
      </c>
      <c r="X10" s="17">
        <f t="shared" si="2"/>
        <v>3</v>
      </c>
      <c r="Y10" s="17">
        <f t="shared" si="2"/>
        <v>16</v>
      </c>
      <c r="Z10" s="17">
        <f t="shared" si="2"/>
        <v>4</v>
      </c>
      <c r="AA10" s="17">
        <f t="shared" si="2"/>
        <v>4</v>
      </c>
      <c r="AB10" s="17">
        <f t="shared" si="2"/>
        <v>0</v>
      </c>
      <c r="AC10" s="17">
        <f t="shared" si="2"/>
        <v>965</v>
      </c>
      <c r="AD10" s="17">
        <f t="shared" si="2"/>
        <v>0</v>
      </c>
      <c r="AE10" s="31">
        <f t="shared" si="2"/>
        <v>730</v>
      </c>
      <c r="AF10" s="31">
        <f t="shared" si="2"/>
        <v>1695</v>
      </c>
    </row>
    <row r="11" spans="2:32" s="6" customFormat="1" ht="23.1" customHeight="1" x14ac:dyDescent="0.25">
      <c r="B11" s="23" t="s">
        <v>38</v>
      </c>
      <c r="C11" s="50">
        <v>60</v>
      </c>
      <c r="D11" s="50">
        <v>18</v>
      </c>
      <c r="E11" s="50">
        <v>2</v>
      </c>
      <c r="F11" s="50">
        <v>65</v>
      </c>
      <c r="G11" s="50">
        <v>4</v>
      </c>
      <c r="H11" s="50">
        <v>0</v>
      </c>
      <c r="I11" s="50">
        <v>4</v>
      </c>
      <c r="J11" s="50">
        <v>2</v>
      </c>
      <c r="K11" s="50">
        <v>0</v>
      </c>
      <c r="L11" s="50">
        <v>0</v>
      </c>
      <c r="M11" s="50">
        <v>200</v>
      </c>
      <c r="N11" s="50">
        <v>0</v>
      </c>
      <c r="O11" s="15">
        <f t="shared" si="0"/>
        <v>155</v>
      </c>
      <c r="P11" s="15">
        <f t="shared" si="1"/>
        <v>355</v>
      </c>
      <c r="R11" s="1" t="s">
        <v>7</v>
      </c>
      <c r="S11" s="17">
        <f t="shared" ref="S11:AF11" si="3">SUM(C14:C17)</f>
        <v>303</v>
      </c>
      <c r="T11" s="17">
        <f t="shared" si="3"/>
        <v>53</v>
      </c>
      <c r="U11" s="17">
        <f t="shared" si="3"/>
        <v>24</v>
      </c>
      <c r="V11" s="17">
        <f t="shared" si="3"/>
        <v>245</v>
      </c>
      <c r="W11" s="17">
        <f t="shared" si="3"/>
        <v>5</v>
      </c>
      <c r="X11" s="17">
        <f t="shared" si="3"/>
        <v>1</v>
      </c>
      <c r="Y11" s="17">
        <f t="shared" si="3"/>
        <v>7</v>
      </c>
      <c r="Z11" s="17">
        <f t="shared" si="3"/>
        <v>2</v>
      </c>
      <c r="AA11" s="17">
        <f t="shared" si="3"/>
        <v>8</v>
      </c>
      <c r="AB11" s="17">
        <f t="shared" si="3"/>
        <v>3</v>
      </c>
      <c r="AC11" s="17">
        <f t="shared" si="3"/>
        <v>1104</v>
      </c>
      <c r="AD11" s="17">
        <f t="shared" si="3"/>
        <v>0</v>
      </c>
      <c r="AE11" s="31">
        <f t="shared" si="3"/>
        <v>651</v>
      </c>
      <c r="AF11" s="31">
        <f t="shared" si="3"/>
        <v>1755</v>
      </c>
    </row>
    <row r="12" spans="2:32" ht="23.1" customHeight="1" x14ac:dyDescent="0.25">
      <c r="B12" s="23" t="s">
        <v>39</v>
      </c>
      <c r="C12" s="50">
        <v>68</v>
      </c>
      <c r="D12" s="50">
        <v>14</v>
      </c>
      <c r="E12" s="50">
        <v>8</v>
      </c>
      <c r="F12" s="50">
        <v>59</v>
      </c>
      <c r="G12" s="50">
        <v>4</v>
      </c>
      <c r="H12" s="50">
        <v>0</v>
      </c>
      <c r="I12" s="50">
        <v>7</v>
      </c>
      <c r="J12" s="50">
        <v>0</v>
      </c>
      <c r="K12" s="50">
        <v>2</v>
      </c>
      <c r="L12" s="50">
        <v>0</v>
      </c>
      <c r="M12" s="50">
        <v>223</v>
      </c>
      <c r="N12" s="50">
        <v>0</v>
      </c>
      <c r="O12" s="15">
        <f t="shared" si="0"/>
        <v>162</v>
      </c>
      <c r="P12" s="15">
        <f t="shared" si="1"/>
        <v>385</v>
      </c>
      <c r="R12" s="1" t="s">
        <v>8</v>
      </c>
      <c r="S12" s="17">
        <f t="shared" ref="S12:AF12" si="4">SUM(C18:C21)</f>
        <v>243</v>
      </c>
      <c r="T12" s="17">
        <f t="shared" si="4"/>
        <v>63</v>
      </c>
      <c r="U12" s="17">
        <f t="shared" si="4"/>
        <v>28</v>
      </c>
      <c r="V12" s="17">
        <f t="shared" si="4"/>
        <v>213</v>
      </c>
      <c r="W12" s="17">
        <f t="shared" si="4"/>
        <v>64</v>
      </c>
      <c r="X12" s="17">
        <f t="shared" si="4"/>
        <v>2</v>
      </c>
      <c r="Y12" s="17">
        <f t="shared" si="4"/>
        <v>14</v>
      </c>
      <c r="Z12" s="17">
        <f t="shared" si="4"/>
        <v>8</v>
      </c>
      <c r="AA12" s="17">
        <f t="shared" si="4"/>
        <v>10</v>
      </c>
      <c r="AB12" s="17">
        <f t="shared" si="4"/>
        <v>1</v>
      </c>
      <c r="AC12" s="17">
        <f t="shared" si="4"/>
        <v>1050</v>
      </c>
      <c r="AD12" s="17">
        <f t="shared" si="4"/>
        <v>0</v>
      </c>
      <c r="AE12" s="31">
        <f t="shared" si="4"/>
        <v>646</v>
      </c>
      <c r="AF12" s="31">
        <f t="shared" si="4"/>
        <v>1696</v>
      </c>
    </row>
    <row r="13" spans="2:32" ht="23.1" customHeight="1" x14ac:dyDescent="0.25">
      <c r="B13" s="23" t="s">
        <v>40</v>
      </c>
      <c r="C13" s="50">
        <v>74</v>
      </c>
      <c r="D13" s="50">
        <v>19</v>
      </c>
      <c r="E13" s="50">
        <v>10</v>
      </c>
      <c r="F13" s="50">
        <v>1</v>
      </c>
      <c r="G13" s="50">
        <v>1</v>
      </c>
      <c r="H13" s="50">
        <v>3</v>
      </c>
      <c r="I13" s="50">
        <v>2</v>
      </c>
      <c r="J13" s="50">
        <v>1</v>
      </c>
      <c r="K13" s="50">
        <v>0</v>
      </c>
      <c r="L13" s="50">
        <v>0</v>
      </c>
      <c r="M13" s="50">
        <v>275</v>
      </c>
      <c r="N13" s="50">
        <v>0</v>
      </c>
      <c r="O13" s="15">
        <f t="shared" si="0"/>
        <v>111</v>
      </c>
      <c r="P13" s="15">
        <f t="shared" si="1"/>
        <v>386</v>
      </c>
      <c r="R13" s="1" t="s">
        <v>9</v>
      </c>
      <c r="S13" s="17">
        <f t="shared" ref="S13:AF13" si="5">SUM(C22:C25)</f>
        <v>247</v>
      </c>
      <c r="T13" s="17">
        <f t="shared" si="5"/>
        <v>70</v>
      </c>
      <c r="U13" s="17">
        <f t="shared" si="5"/>
        <v>36</v>
      </c>
      <c r="V13" s="17">
        <f t="shared" si="5"/>
        <v>212</v>
      </c>
      <c r="W13" s="17">
        <f t="shared" si="5"/>
        <v>6</v>
      </c>
      <c r="X13" s="17">
        <f t="shared" si="5"/>
        <v>2</v>
      </c>
      <c r="Y13" s="17">
        <f t="shared" si="5"/>
        <v>34</v>
      </c>
      <c r="Z13" s="17">
        <f t="shared" si="5"/>
        <v>6</v>
      </c>
      <c r="AA13" s="17">
        <f t="shared" si="5"/>
        <v>6</v>
      </c>
      <c r="AB13" s="17">
        <f t="shared" si="5"/>
        <v>2</v>
      </c>
      <c r="AC13" s="17">
        <f t="shared" si="5"/>
        <v>971</v>
      </c>
      <c r="AD13" s="17">
        <f t="shared" si="5"/>
        <v>0</v>
      </c>
      <c r="AE13" s="31">
        <f t="shared" si="5"/>
        <v>621</v>
      </c>
      <c r="AF13" s="31">
        <f t="shared" si="5"/>
        <v>1592</v>
      </c>
    </row>
    <row r="14" spans="2:32" ht="23.1" customHeight="1" x14ac:dyDescent="0.25">
      <c r="B14" s="23" t="s">
        <v>41</v>
      </c>
      <c r="C14" s="50">
        <v>88</v>
      </c>
      <c r="D14" s="50">
        <v>15</v>
      </c>
      <c r="E14" s="50">
        <v>2</v>
      </c>
      <c r="F14" s="50">
        <v>55</v>
      </c>
      <c r="G14" s="50">
        <v>1</v>
      </c>
      <c r="H14" s="50">
        <v>0</v>
      </c>
      <c r="I14" s="50">
        <v>3</v>
      </c>
      <c r="J14" s="50">
        <v>1</v>
      </c>
      <c r="K14" s="50">
        <v>3</v>
      </c>
      <c r="L14" s="50">
        <v>2</v>
      </c>
      <c r="M14" s="50">
        <v>250</v>
      </c>
      <c r="N14" s="50">
        <v>0</v>
      </c>
      <c r="O14" s="15">
        <f t="shared" si="0"/>
        <v>170</v>
      </c>
      <c r="P14" s="15">
        <f t="shared" si="1"/>
        <v>420</v>
      </c>
      <c r="R14" s="1" t="s">
        <v>10</v>
      </c>
      <c r="S14" s="17">
        <f t="shared" ref="S14:AF14" si="6">SUM(C26:C29)</f>
        <v>212</v>
      </c>
      <c r="T14" s="17">
        <f t="shared" si="6"/>
        <v>46</v>
      </c>
      <c r="U14" s="17">
        <f t="shared" si="6"/>
        <v>42</v>
      </c>
      <c r="V14" s="17">
        <f t="shared" si="6"/>
        <v>144</v>
      </c>
      <c r="W14" s="17">
        <f t="shared" si="6"/>
        <v>2</v>
      </c>
      <c r="X14" s="17">
        <f t="shared" si="6"/>
        <v>10</v>
      </c>
      <c r="Y14" s="17">
        <f t="shared" si="6"/>
        <v>21</v>
      </c>
      <c r="Z14" s="17">
        <f t="shared" si="6"/>
        <v>5</v>
      </c>
      <c r="AA14" s="17">
        <f t="shared" si="6"/>
        <v>10</v>
      </c>
      <c r="AB14" s="17">
        <f t="shared" si="6"/>
        <v>34</v>
      </c>
      <c r="AC14" s="17">
        <f t="shared" si="6"/>
        <v>824</v>
      </c>
      <c r="AD14" s="17">
        <f t="shared" si="6"/>
        <v>0</v>
      </c>
      <c r="AE14" s="31">
        <f t="shared" si="6"/>
        <v>526</v>
      </c>
      <c r="AF14" s="31">
        <f t="shared" si="6"/>
        <v>1350</v>
      </c>
    </row>
    <row r="15" spans="2:32" ht="23.1" customHeight="1" x14ac:dyDescent="0.25">
      <c r="B15" s="23" t="s">
        <v>42</v>
      </c>
      <c r="C15" s="50">
        <v>57</v>
      </c>
      <c r="D15" s="50">
        <v>7</v>
      </c>
      <c r="E15" s="50">
        <v>3</v>
      </c>
      <c r="F15" s="50">
        <v>57</v>
      </c>
      <c r="G15" s="50">
        <v>2</v>
      </c>
      <c r="H15" s="50">
        <v>0</v>
      </c>
      <c r="I15" s="50">
        <v>1</v>
      </c>
      <c r="J15" s="50">
        <v>0</v>
      </c>
      <c r="K15" s="50">
        <v>1</v>
      </c>
      <c r="L15" s="50">
        <v>0</v>
      </c>
      <c r="M15" s="50">
        <v>275</v>
      </c>
      <c r="N15" s="50">
        <v>0</v>
      </c>
      <c r="O15" s="15">
        <f t="shared" si="0"/>
        <v>128</v>
      </c>
      <c r="P15" s="15">
        <f t="shared" si="1"/>
        <v>403</v>
      </c>
      <c r="R15" s="1" t="s">
        <v>11</v>
      </c>
      <c r="S15" s="17">
        <f t="shared" ref="S15:AF15" si="7">SUM(C30:C33)</f>
        <v>220</v>
      </c>
      <c r="T15" s="17">
        <f t="shared" si="7"/>
        <v>69</v>
      </c>
      <c r="U15" s="17">
        <f t="shared" si="7"/>
        <v>39</v>
      </c>
      <c r="V15" s="17">
        <f t="shared" si="7"/>
        <v>109</v>
      </c>
      <c r="W15" s="17">
        <f t="shared" si="7"/>
        <v>4</v>
      </c>
      <c r="X15" s="17">
        <f t="shared" si="7"/>
        <v>18</v>
      </c>
      <c r="Y15" s="17">
        <f t="shared" si="7"/>
        <v>21</v>
      </c>
      <c r="Z15" s="17">
        <f t="shared" si="7"/>
        <v>16</v>
      </c>
      <c r="AA15" s="17">
        <f t="shared" si="7"/>
        <v>9</v>
      </c>
      <c r="AB15" s="17">
        <f t="shared" si="7"/>
        <v>3</v>
      </c>
      <c r="AC15" s="17">
        <f t="shared" si="7"/>
        <v>699</v>
      </c>
      <c r="AD15" s="17">
        <f t="shared" si="7"/>
        <v>0</v>
      </c>
      <c r="AE15" s="31">
        <f t="shared" si="7"/>
        <v>508</v>
      </c>
      <c r="AF15" s="31">
        <f t="shared" si="7"/>
        <v>1207</v>
      </c>
    </row>
    <row r="16" spans="2:32" ht="23.1" customHeight="1" x14ac:dyDescent="0.25">
      <c r="B16" s="23" t="s">
        <v>43</v>
      </c>
      <c r="C16" s="50">
        <v>75</v>
      </c>
      <c r="D16" s="50">
        <v>15</v>
      </c>
      <c r="E16" s="50">
        <v>7</v>
      </c>
      <c r="F16" s="50">
        <v>63</v>
      </c>
      <c r="G16" s="50">
        <v>1</v>
      </c>
      <c r="H16" s="50">
        <v>0</v>
      </c>
      <c r="I16" s="50">
        <v>0</v>
      </c>
      <c r="J16" s="50">
        <v>0</v>
      </c>
      <c r="K16" s="50">
        <v>0</v>
      </c>
      <c r="L16" s="50">
        <v>0</v>
      </c>
      <c r="M16" s="50">
        <v>279</v>
      </c>
      <c r="N16" s="50">
        <v>0</v>
      </c>
      <c r="O16" s="15">
        <f t="shared" si="0"/>
        <v>161</v>
      </c>
      <c r="P16" s="15">
        <f t="shared" si="1"/>
        <v>440</v>
      </c>
      <c r="R16" s="1" t="s">
        <v>12</v>
      </c>
      <c r="S16" s="17">
        <f t="shared" ref="S16:AF16" si="8">SUM(C34:C37)</f>
        <v>158</v>
      </c>
      <c r="T16" s="17">
        <f t="shared" si="8"/>
        <v>50</v>
      </c>
      <c r="U16" s="17">
        <f t="shared" si="8"/>
        <v>44</v>
      </c>
      <c r="V16" s="17">
        <f t="shared" si="8"/>
        <v>95</v>
      </c>
      <c r="W16" s="17">
        <f t="shared" si="8"/>
        <v>47</v>
      </c>
      <c r="X16" s="17">
        <f t="shared" si="8"/>
        <v>11</v>
      </c>
      <c r="Y16" s="17">
        <f t="shared" si="8"/>
        <v>29</v>
      </c>
      <c r="Z16" s="17">
        <f t="shared" si="8"/>
        <v>10</v>
      </c>
      <c r="AA16" s="17">
        <f t="shared" si="8"/>
        <v>7</v>
      </c>
      <c r="AB16" s="17">
        <f t="shared" si="8"/>
        <v>3</v>
      </c>
      <c r="AC16" s="17">
        <f t="shared" si="8"/>
        <v>774</v>
      </c>
      <c r="AD16" s="17">
        <f t="shared" si="8"/>
        <v>0</v>
      </c>
      <c r="AE16" s="31">
        <f t="shared" si="8"/>
        <v>454</v>
      </c>
      <c r="AF16" s="31">
        <f t="shared" si="8"/>
        <v>1228</v>
      </c>
    </row>
    <row r="17" spans="2:32" ht="23.1" customHeight="1" x14ac:dyDescent="0.25">
      <c r="B17" s="23" t="s">
        <v>44</v>
      </c>
      <c r="C17" s="50">
        <v>83</v>
      </c>
      <c r="D17" s="50">
        <v>16</v>
      </c>
      <c r="E17" s="50">
        <v>12</v>
      </c>
      <c r="F17" s="50">
        <v>70</v>
      </c>
      <c r="G17" s="50">
        <v>1</v>
      </c>
      <c r="H17" s="50">
        <v>1</v>
      </c>
      <c r="I17" s="50">
        <v>3</v>
      </c>
      <c r="J17" s="50">
        <v>1</v>
      </c>
      <c r="K17" s="50">
        <v>4</v>
      </c>
      <c r="L17" s="50">
        <v>1</v>
      </c>
      <c r="M17" s="50">
        <v>300</v>
      </c>
      <c r="N17" s="50">
        <v>0</v>
      </c>
      <c r="O17" s="15">
        <f t="shared" si="0"/>
        <v>192</v>
      </c>
      <c r="P17" s="15">
        <f t="shared" si="1"/>
        <v>492</v>
      </c>
      <c r="R17" s="1" t="s">
        <v>13</v>
      </c>
      <c r="S17" s="17">
        <f t="shared" ref="S17:AF17" si="9">SUM(C38:C41)</f>
        <v>183</v>
      </c>
      <c r="T17" s="17">
        <f t="shared" si="9"/>
        <v>64</v>
      </c>
      <c r="U17" s="17">
        <f t="shared" si="9"/>
        <v>38</v>
      </c>
      <c r="V17" s="17">
        <f t="shared" si="9"/>
        <v>134</v>
      </c>
      <c r="W17" s="17">
        <f t="shared" si="9"/>
        <v>3</v>
      </c>
      <c r="X17" s="17">
        <f t="shared" si="9"/>
        <v>4</v>
      </c>
      <c r="Y17" s="17">
        <f t="shared" si="9"/>
        <v>26</v>
      </c>
      <c r="Z17" s="17">
        <f t="shared" si="9"/>
        <v>7</v>
      </c>
      <c r="AA17" s="17">
        <f t="shared" si="9"/>
        <v>15</v>
      </c>
      <c r="AB17" s="17">
        <f t="shared" si="9"/>
        <v>2</v>
      </c>
      <c r="AC17" s="17">
        <f t="shared" si="9"/>
        <v>782</v>
      </c>
      <c r="AD17" s="17">
        <f t="shared" si="9"/>
        <v>0</v>
      </c>
      <c r="AE17" s="31">
        <f t="shared" si="9"/>
        <v>476</v>
      </c>
      <c r="AF17" s="31">
        <f t="shared" si="9"/>
        <v>1258</v>
      </c>
    </row>
    <row r="18" spans="2:32" ht="23.1" customHeight="1" x14ac:dyDescent="0.25">
      <c r="B18" s="23" t="s">
        <v>45</v>
      </c>
      <c r="C18" s="50">
        <v>60</v>
      </c>
      <c r="D18" s="50">
        <v>21</v>
      </c>
      <c r="E18" s="50">
        <v>8</v>
      </c>
      <c r="F18" s="50">
        <v>64</v>
      </c>
      <c r="G18" s="50">
        <v>0</v>
      </c>
      <c r="H18" s="50">
        <v>0</v>
      </c>
      <c r="I18" s="50">
        <v>5</v>
      </c>
      <c r="J18" s="50">
        <v>1</v>
      </c>
      <c r="K18" s="50">
        <v>2</v>
      </c>
      <c r="L18" s="50">
        <v>0</v>
      </c>
      <c r="M18" s="50">
        <v>300</v>
      </c>
      <c r="N18" s="50">
        <v>0</v>
      </c>
      <c r="O18" s="15">
        <f t="shared" si="0"/>
        <v>161</v>
      </c>
      <c r="P18" s="15">
        <f t="shared" si="1"/>
        <v>461</v>
      </c>
      <c r="R18" s="1" t="s">
        <v>14</v>
      </c>
      <c r="S18" s="17">
        <f t="shared" ref="S18:AF18" si="10">SUM(C42:C45)</f>
        <v>217</v>
      </c>
      <c r="T18" s="17">
        <f t="shared" si="10"/>
        <v>63</v>
      </c>
      <c r="U18" s="17">
        <f t="shared" si="10"/>
        <v>30</v>
      </c>
      <c r="V18" s="17">
        <f t="shared" si="10"/>
        <v>131</v>
      </c>
      <c r="W18" s="17">
        <f t="shared" si="10"/>
        <v>8</v>
      </c>
      <c r="X18" s="17">
        <f t="shared" si="10"/>
        <v>2</v>
      </c>
      <c r="Y18" s="17">
        <f t="shared" si="10"/>
        <v>43</v>
      </c>
      <c r="Z18" s="17">
        <f t="shared" si="10"/>
        <v>5</v>
      </c>
      <c r="AA18" s="17">
        <f t="shared" si="10"/>
        <v>5</v>
      </c>
      <c r="AB18" s="17">
        <f t="shared" si="10"/>
        <v>1</v>
      </c>
      <c r="AC18" s="17">
        <f t="shared" si="10"/>
        <v>668</v>
      </c>
      <c r="AD18" s="17">
        <f t="shared" si="10"/>
        <v>0</v>
      </c>
      <c r="AE18" s="31">
        <f t="shared" si="10"/>
        <v>505</v>
      </c>
      <c r="AF18" s="31">
        <f t="shared" si="10"/>
        <v>1173</v>
      </c>
    </row>
    <row r="19" spans="2:32" ht="23.1" customHeight="1" x14ac:dyDescent="0.25">
      <c r="B19" s="23" t="s">
        <v>46</v>
      </c>
      <c r="C19" s="50">
        <v>67</v>
      </c>
      <c r="D19" s="50">
        <v>18</v>
      </c>
      <c r="E19" s="50">
        <v>9</v>
      </c>
      <c r="F19" s="50">
        <v>66</v>
      </c>
      <c r="G19" s="50">
        <v>60</v>
      </c>
      <c r="H19" s="50">
        <v>0</v>
      </c>
      <c r="I19" s="50">
        <v>1</v>
      </c>
      <c r="J19" s="50">
        <v>6</v>
      </c>
      <c r="K19" s="50">
        <v>5</v>
      </c>
      <c r="L19" s="50">
        <v>0</v>
      </c>
      <c r="M19" s="50">
        <v>300</v>
      </c>
      <c r="N19" s="50">
        <v>0</v>
      </c>
      <c r="O19" s="15">
        <f t="shared" si="0"/>
        <v>232</v>
      </c>
      <c r="P19" s="15">
        <f t="shared" si="1"/>
        <v>532</v>
      </c>
      <c r="R19" s="1" t="s">
        <v>15</v>
      </c>
      <c r="S19" s="17">
        <f t="shared" ref="S19:AF19" si="11">SUM(C46:C49)</f>
        <v>201</v>
      </c>
      <c r="T19" s="17">
        <f t="shared" si="11"/>
        <v>77</v>
      </c>
      <c r="U19" s="17">
        <f t="shared" si="11"/>
        <v>39</v>
      </c>
      <c r="V19" s="17">
        <f t="shared" si="11"/>
        <v>133</v>
      </c>
      <c r="W19" s="17">
        <f t="shared" si="11"/>
        <v>8</v>
      </c>
      <c r="X19" s="17">
        <f t="shared" si="11"/>
        <v>4</v>
      </c>
      <c r="Y19" s="17">
        <f t="shared" si="11"/>
        <v>43</v>
      </c>
      <c r="Z19" s="17">
        <f t="shared" si="11"/>
        <v>2</v>
      </c>
      <c r="AA19" s="17">
        <f t="shared" si="11"/>
        <v>7</v>
      </c>
      <c r="AB19" s="17">
        <f t="shared" si="11"/>
        <v>5</v>
      </c>
      <c r="AC19" s="17">
        <f t="shared" si="11"/>
        <v>784</v>
      </c>
      <c r="AD19" s="17">
        <f t="shared" si="11"/>
        <v>0</v>
      </c>
      <c r="AE19" s="31">
        <f t="shared" si="11"/>
        <v>519</v>
      </c>
      <c r="AF19" s="31">
        <f t="shared" si="11"/>
        <v>1303</v>
      </c>
    </row>
    <row r="20" spans="2:32" ht="23.1" customHeight="1" x14ac:dyDescent="0.25">
      <c r="B20" s="23" t="s">
        <v>47</v>
      </c>
      <c r="C20" s="50">
        <v>65</v>
      </c>
      <c r="D20" s="50">
        <v>12</v>
      </c>
      <c r="E20" s="50">
        <v>8</v>
      </c>
      <c r="F20" s="50">
        <v>47</v>
      </c>
      <c r="G20" s="50">
        <v>0</v>
      </c>
      <c r="H20" s="50">
        <v>0</v>
      </c>
      <c r="I20" s="50">
        <v>3</v>
      </c>
      <c r="J20" s="50">
        <v>1</v>
      </c>
      <c r="K20" s="50">
        <v>2</v>
      </c>
      <c r="L20" s="50">
        <v>1</v>
      </c>
      <c r="M20" s="50">
        <v>250</v>
      </c>
      <c r="N20" s="50">
        <v>0</v>
      </c>
      <c r="O20" s="15">
        <f t="shared" si="0"/>
        <v>139</v>
      </c>
      <c r="P20" s="15">
        <f t="shared" si="1"/>
        <v>389</v>
      </c>
      <c r="R20" s="1" t="s">
        <v>16</v>
      </c>
      <c r="S20" s="17">
        <f t="shared" ref="S20:AF20" si="12">SUM(C50:C53)</f>
        <v>174</v>
      </c>
      <c r="T20" s="17">
        <f t="shared" si="12"/>
        <v>66</v>
      </c>
      <c r="U20" s="17">
        <f t="shared" si="12"/>
        <v>24</v>
      </c>
      <c r="V20" s="17">
        <f t="shared" si="12"/>
        <v>135</v>
      </c>
      <c r="W20" s="17">
        <f t="shared" si="12"/>
        <v>5</v>
      </c>
      <c r="X20" s="17">
        <f t="shared" si="12"/>
        <v>3</v>
      </c>
      <c r="Y20" s="17">
        <f t="shared" si="12"/>
        <v>28</v>
      </c>
      <c r="Z20" s="17">
        <f t="shared" si="12"/>
        <v>3</v>
      </c>
      <c r="AA20" s="17">
        <f t="shared" si="12"/>
        <v>7</v>
      </c>
      <c r="AB20" s="17">
        <f t="shared" si="12"/>
        <v>2</v>
      </c>
      <c r="AC20" s="17">
        <f t="shared" si="12"/>
        <v>747</v>
      </c>
      <c r="AD20" s="17">
        <f t="shared" si="12"/>
        <v>0</v>
      </c>
      <c r="AE20" s="31">
        <f t="shared" si="12"/>
        <v>447</v>
      </c>
      <c r="AF20" s="31">
        <f t="shared" si="12"/>
        <v>1194</v>
      </c>
    </row>
    <row r="21" spans="2:32" ht="23.1" customHeight="1" x14ac:dyDescent="0.25">
      <c r="B21" s="23" t="s">
        <v>48</v>
      </c>
      <c r="C21" s="50">
        <v>51</v>
      </c>
      <c r="D21" s="50">
        <v>12</v>
      </c>
      <c r="E21" s="50">
        <v>3</v>
      </c>
      <c r="F21" s="50">
        <v>36</v>
      </c>
      <c r="G21" s="50">
        <v>4</v>
      </c>
      <c r="H21" s="50">
        <v>2</v>
      </c>
      <c r="I21" s="50">
        <v>5</v>
      </c>
      <c r="J21" s="50">
        <v>0</v>
      </c>
      <c r="K21" s="50">
        <v>1</v>
      </c>
      <c r="L21" s="50">
        <v>0</v>
      </c>
      <c r="M21" s="50">
        <v>200</v>
      </c>
      <c r="N21" s="50">
        <v>0</v>
      </c>
      <c r="O21" s="15">
        <f t="shared" si="0"/>
        <v>114</v>
      </c>
      <c r="P21" s="15">
        <f t="shared" si="1"/>
        <v>314</v>
      </c>
      <c r="R21" s="36" t="s">
        <v>20</v>
      </c>
      <c r="S21" s="34">
        <f t="shared" ref="S21:AF21" si="13">SUM(C54:C57)</f>
        <v>123</v>
      </c>
      <c r="T21" s="17">
        <f t="shared" si="13"/>
        <v>38</v>
      </c>
      <c r="U21" s="17">
        <f t="shared" si="13"/>
        <v>17</v>
      </c>
      <c r="V21" s="17">
        <f t="shared" si="13"/>
        <v>107</v>
      </c>
      <c r="W21" s="17">
        <f t="shared" si="13"/>
        <v>6</v>
      </c>
      <c r="X21" s="17">
        <f t="shared" si="13"/>
        <v>5</v>
      </c>
      <c r="Y21" s="17">
        <f t="shared" si="13"/>
        <v>22</v>
      </c>
      <c r="Z21" s="17">
        <f t="shared" si="13"/>
        <v>1</v>
      </c>
      <c r="AA21" s="17">
        <f t="shared" si="13"/>
        <v>2</v>
      </c>
      <c r="AB21" s="17">
        <f t="shared" si="13"/>
        <v>1</v>
      </c>
      <c r="AC21" s="17">
        <f t="shared" si="13"/>
        <v>521</v>
      </c>
      <c r="AD21" s="17">
        <f t="shared" si="13"/>
        <v>0</v>
      </c>
      <c r="AE21" s="31">
        <f t="shared" si="13"/>
        <v>322</v>
      </c>
      <c r="AF21" s="31">
        <f t="shared" si="13"/>
        <v>843</v>
      </c>
    </row>
    <row r="22" spans="2:32" ht="23.1" customHeight="1" x14ac:dyDescent="0.25">
      <c r="B22" s="23" t="s">
        <v>49</v>
      </c>
      <c r="C22" s="50">
        <v>62</v>
      </c>
      <c r="D22" s="50">
        <v>13</v>
      </c>
      <c r="E22" s="50">
        <v>6</v>
      </c>
      <c r="F22" s="50">
        <v>58</v>
      </c>
      <c r="G22" s="50">
        <v>2</v>
      </c>
      <c r="H22" s="50">
        <v>0</v>
      </c>
      <c r="I22" s="50">
        <v>19</v>
      </c>
      <c r="J22" s="50">
        <v>2</v>
      </c>
      <c r="K22" s="50">
        <v>5</v>
      </c>
      <c r="L22" s="50">
        <v>1</v>
      </c>
      <c r="M22" s="50">
        <v>250</v>
      </c>
      <c r="N22" s="50">
        <v>0</v>
      </c>
      <c r="O22" s="15">
        <f t="shared" si="0"/>
        <v>168</v>
      </c>
      <c r="P22" s="15">
        <f t="shared" si="1"/>
        <v>418</v>
      </c>
      <c r="R22" s="38" t="s">
        <v>90</v>
      </c>
      <c r="S22" s="39">
        <f>MAX(S10:S12)</f>
        <v>362</v>
      </c>
      <c r="T22" s="39">
        <f t="shared" ref="T22:AF22" si="14">MAX(T10:T12)</f>
        <v>83</v>
      </c>
      <c r="U22" s="39">
        <f t="shared" si="14"/>
        <v>28</v>
      </c>
      <c r="V22" s="39">
        <f t="shared" si="14"/>
        <v>245</v>
      </c>
      <c r="W22" s="39">
        <f t="shared" si="14"/>
        <v>64</v>
      </c>
      <c r="X22" s="39">
        <f t="shared" si="14"/>
        <v>3</v>
      </c>
      <c r="Y22" s="39">
        <f t="shared" si="14"/>
        <v>16</v>
      </c>
      <c r="Z22" s="39">
        <f t="shared" si="14"/>
        <v>8</v>
      </c>
      <c r="AA22" s="39">
        <f t="shared" si="14"/>
        <v>10</v>
      </c>
      <c r="AB22" s="39">
        <f t="shared" si="14"/>
        <v>3</v>
      </c>
      <c r="AC22" s="39">
        <f t="shared" si="14"/>
        <v>1104</v>
      </c>
      <c r="AD22" s="39">
        <f t="shared" si="14"/>
        <v>0</v>
      </c>
      <c r="AE22" s="40">
        <f t="shared" si="14"/>
        <v>730</v>
      </c>
      <c r="AF22" s="40">
        <f t="shared" si="14"/>
        <v>1755</v>
      </c>
    </row>
    <row r="23" spans="2:32" ht="23.1" customHeight="1" x14ac:dyDescent="0.25">
      <c r="B23" s="23" t="s">
        <v>50</v>
      </c>
      <c r="C23" s="50">
        <v>64</v>
      </c>
      <c r="D23" s="50">
        <v>23</v>
      </c>
      <c r="E23" s="50">
        <v>11</v>
      </c>
      <c r="F23" s="50">
        <v>46</v>
      </c>
      <c r="G23" s="50">
        <v>2</v>
      </c>
      <c r="H23" s="50">
        <v>1</v>
      </c>
      <c r="I23" s="50">
        <v>7</v>
      </c>
      <c r="J23" s="50">
        <v>1</v>
      </c>
      <c r="K23" s="50">
        <v>0</v>
      </c>
      <c r="L23" s="50">
        <v>0</v>
      </c>
      <c r="M23" s="50">
        <v>253</v>
      </c>
      <c r="N23" s="50">
        <v>0</v>
      </c>
      <c r="O23" s="15">
        <f t="shared" si="0"/>
        <v>155</v>
      </c>
      <c r="P23" s="15">
        <f t="shared" si="1"/>
        <v>408</v>
      </c>
      <c r="R23" s="38" t="s">
        <v>91</v>
      </c>
      <c r="S23" s="39">
        <f>MAX(S13:S18)</f>
        <v>247</v>
      </c>
      <c r="T23" s="39">
        <f t="shared" ref="T23:AF23" si="15">MAX(T13:T18)</f>
        <v>70</v>
      </c>
      <c r="U23" s="39">
        <f t="shared" si="15"/>
        <v>44</v>
      </c>
      <c r="V23" s="39">
        <f t="shared" si="15"/>
        <v>212</v>
      </c>
      <c r="W23" s="39">
        <f t="shared" si="15"/>
        <v>47</v>
      </c>
      <c r="X23" s="39">
        <f t="shared" si="15"/>
        <v>18</v>
      </c>
      <c r="Y23" s="39">
        <f t="shared" si="15"/>
        <v>43</v>
      </c>
      <c r="Z23" s="39">
        <f t="shared" si="15"/>
        <v>16</v>
      </c>
      <c r="AA23" s="39">
        <f t="shared" si="15"/>
        <v>15</v>
      </c>
      <c r="AB23" s="39">
        <f t="shared" si="15"/>
        <v>34</v>
      </c>
      <c r="AC23" s="39">
        <f t="shared" si="15"/>
        <v>971</v>
      </c>
      <c r="AD23" s="39">
        <f t="shared" si="15"/>
        <v>0</v>
      </c>
      <c r="AE23" s="40">
        <f t="shared" si="15"/>
        <v>621</v>
      </c>
      <c r="AF23" s="40">
        <f t="shared" si="15"/>
        <v>1592</v>
      </c>
    </row>
    <row r="24" spans="2:32" ht="23.1" customHeight="1" x14ac:dyDescent="0.25">
      <c r="B24" s="23" t="s">
        <v>51</v>
      </c>
      <c r="C24" s="50">
        <v>61</v>
      </c>
      <c r="D24" s="50">
        <v>15</v>
      </c>
      <c r="E24" s="50">
        <v>10</v>
      </c>
      <c r="F24" s="50">
        <v>53</v>
      </c>
      <c r="G24" s="50">
        <v>2</v>
      </c>
      <c r="H24" s="50">
        <v>1</v>
      </c>
      <c r="I24" s="50">
        <v>1</v>
      </c>
      <c r="J24" s="50">
        <v>2</v>
      </c>
      <c r="K24" s="50">
        <v>0</v>
      </c>
      <c r="L24" s="50">
        <v>0</v>
      </c>
      <c r="M24" s="50">
        <v>260</v>
      </c>
      <c r="N24" s="50">
        <v>0</v>
      </c>
      <c r="O24" s="15">
        <f t="shared" si="0"/>
        <v>145</v>
      </c>
      <c r="P24" s="15">
        <f t="shared" si="1"/>
        <v>405</v>
      </c>
      <c r="R24" s="38" t="s">
        <v>92</v>
      </c>
      <c r="S24" s="39">
        <f>MAX(S19:S21)</f>
        <v>201</v>
      </c>
      <c r="T24" s="39">
        <f t="shared" ref="T24:AF24" si="16">MAX(T19:T21)</f>
        <v>77</v>
      </c>
      <c r="U24" s="39">
        <f t="shared" si="16"/>
        <v>39</v>
      </c>
      <c r="V24" s="39">
        <f t="shared" si="16"/>
        <v>135</v>
      </c>
      <c r="W24" s="39">
        <f t="shared" si="16"/>
        <v>8</v>
      </c>
      <c r="X24" s="39">
        <f t="shared" si="16"/>
        <v>5</v>
      </c>
      <c r="Y24" s="39">
        <f t="shared" si="16"/>
        <v>43</v>
      </c>
      <c r="Z24" s="39">
        <f t="shared" si="16"/>
        <v>3</v>
      </c>
      <c r="AA24" s="39">
        <f t="shared" si="16"/>
        <v>7</v>
      </c>
      <c r="AB24" s="39">
        <f t="shared" si="16"/>
        <v>5</v>
      </c>
      <c r="AC24" s="39">
        <f t="shared" si="16"/>
        <v>784</v>
      </c>
      <c r="AD24" s="39">
        <f t="shared" si="16"/>
        <v>0</v>
      </c>
      <c r="AE24" s="40">
        <f t="shared" si="16"/>
        <v>519</v>
      </c>
      <c r="AF24" s="40">
        <f t="shared" si="16"/>
        <v>1303</v>
      </c>
    </row>
    <row r="25" spans="2:32" ht="23.1" customHeight="1" x14ac:dyDescent="0.25">
      <c r="B25" s="23" t="s">
        <v>52</v>
      </c>
      <c r="C25" s="50">
        <v>60</v>
      </c>
      <c r="D25" s="50">
        <v>19</v>
      </c>
      <c r="E25" s="50">
        <v>9</v>
      </c>
      <c r="F25" s="50">
        <v>55</v>
      </c>
      <c r="G25" s="50">
        <v>0</v>
      </c>
      <c r="H25" s="50">
        <v>0</v>
      </c>
      <c r="I25" s="50">
        <v>7</v>
      </c>
      <c r="J25" s="50">
        <v>1</v>
      </c>
      <c r="K25" s="50">
        <v>1</v>
      </c>
      <c r="L25" s="50">
        <v>1</v>
      </c>
      <c r="M25" s="50">
        <v>208</v>
      </c>
      <c r="N25" s="50">
        <v>0</v>
      </c>
      <c r="O25" s="15">
        <f t="shared" si="0"/>
        <v>153</v>
      </c>
      <c r="P25" s="15">
        <f t="shared" si="1"/>
        <v>361</v>
      </c>
      <c r="R25" s="37" t="s">
        <v>85</v>
      </c>
      <c r="S25" s="35">
        <f t="shared" ref="S25:AF25" si="17">SUM(S10:S12)</f>
        <v>908</v>
      </c>
      <c r="T25" s="16">
        <f t="shared" si="17"/>
        <v>199</v>
      </c>
      <c r="U25" s="16">
        <f t="shared" si="17"/>
        <v>79</v>
      </c>
      <c r="V25" s="16">
        <f t="shared" si="17"/>
        <v>677</v>
      </c>
      <c r="W25" s="16">
        <f t="shared" si="17"/>
        <v>81</v>
      </c>
      <c r="X25" s="16">
        <f t="shared" si="17"/>
        <v>6</v>
      </c>
      <c r="Y25" s="16">
        <f t="shared" si="17"/>
        <v>37</v>
      </c>
      <c r="Z25" s="16">
        <f t="shared" si="17"/>
        <v>14</v>
      </c>
      <c r="AA25" s="16">
        <f t="shared" si="17"/>
        <v>22</v>
      </c>
      <c r="AB25" s="16">
        <f t="shared" si="17"/>
        <v>4</v>
      </c>
      <c r="AC25" s="16">
        <f t="shared" si="17"/>
        <v>3119</v>
      </c>
      <c r="AD25" s="16">
        <f t="shared" si="17"/>
        <v>0</v>
      </c>
      <c r="AE25" s="32">
        <f t="shared" si="17"/>
        <v>2027</v>
      </c>
      <c r="AF25" s="32">
        <f t="shared" si="17"/>
        <v>5146</v>
      </c>
    </row>
    <row r="26" spans="2:32" ht="23.1" customHeight="1" x14ac:dyDescent="0.25">
      <c r="B26" s="23" t="s">
        <v>53</v>
      </c>
      <c r="C26" s="50">
        <v>47</v>
      </c>
      <c r="D26" s="50">
        <v>10</v>
      </c>
      <c r="E26" s="50">
        <v>15</v>
      </c>
      <c r="F26" s="50">
        <v>33</v>
      </c>
      <c r="G26" s="50">
        <v>0</v>
      </c>
      <c r="H26" s="50">
        <v>1</v>
      </c>
      <c r="I26" s="50">
        <v>7</v>
      </c>
      <c r="J26" s="50">
        <v>2</v>
      </c>
      <c r="K26" s="50">
        <v>3</v>
      </c>
      <c r="L26" s="50">
        <v>0</v>
      </c>
      <c r="M26" s="50">
        <v>207</v>
      </c>
      <c r="N26" s="50">
        <v>0</v>
      </c>
      <c r="O26" s="15">
        <f t="shared" si="0"/>
        <v>118</v>
      </c>
      <c r="P26" s="15">
        <f t="shared" si="1"/>
        <v>325</v>
      </c>
      <c r="R26" s="28" t="s">
        <v>86</v>
      </c>
      <c r="S26" s="16">
        <f t="shared" ref="S26:AF26" si="18">SUM(S13:S18)</f>
        <v>1237</v>
      </c>
      <c r="T26" s="16">
        <f t="shared" si="18"/>
        <v>362</v>
      </c>
      <c r="U26" s="16">
        <f t="shared" si="18"/>
        <v>229</v>
      </c>
      <c r="V26" s="16">
        <f t="shared" si="18"/>
        <v>825</v>
      </c>
      <c r="W26" s="16">
        <f t="shared" si="18"/>
        <v>70</v>
      </c>
      <c r="X26" s="16">
        <f t="shared" si="18"/>
        <v>47</v>
      </c>
      <c r="Y26" s="16">
        <f t="shared" si="18"/>
        <v>174</v>
      </c>
      <c r="Z26" s="16">
        <f t="shared" si="18"/>
        <v>49</v>
      </c>
      <c r="AA26" s="16">
        <f t="shared" si="18"/>
        <v>52</v>
      </c>
      <c r="AB26" s="16">
        <f t="shared" si="18"/>
        <v>45</v>
      </c>
      <c r="AC26" s="16">
        <f t="shared" si="18"/>
        <v>4718</v>
      </c>
      <c r="AD26" s="16">
        <f t="shared" si="18"/>
        <v>0</v>
      </c>
      <c r="AE26" s="32">
        <f t="shared" si="18"/>
        <v>3090</v>
      </c>
      <c r="AF26" s="32">
        <f t="shared" si="18"/>
        <v>7808</v>
      </c>
    </row>
    <row r="27" spans="2:32" ht="23.1" customHeight="1" x14ac:dyDescent="0.25">
      <c r="B27" s="23" t="s">
        <v>54</v>
      </c>
      <c r="C27" s="50">
        <v>49</v>
      </c>
      <c r="D27" s="50">
        <v>15</v>
      </c>
      <c r="E27" s="50">
        <v>9</v>
      </c>
      <c r="F27" s="50">
        <v>30</v>
      </c>
      <c r="G27" s="50">
        <v>0</v>
      </c>
      <c r="H27" s="50">
        <v>0</v>
      </c>
      <c r="I27" s="50">
        <v>10</v>
      </c>
      <c r="J27" s="50">
        <v>1</v>
      </c>
      <c r="K27" s="50">
        <v>3</v>
      </c>
      <c r="L27" s="50">
        <v>0</v>
      </c>
      <c r="M27" s="50">
        <v>233</v>
      </c>
      <c r="N27" s="50">
        <v>0</v>
      </c>
      <c r="O27" s="15">
        <f t="shared" si="0"/>
        <v>117</v>
      </c>
      <c r="P27" s="15">
        <f t="shared" si="1"/>
        <v>350</v>
      </c>
      <c r="R27" s="29" t="s">
        <v>87</v>
      </c>
      <c r="S27" s="16">
        <f t="shared" ref="S27:AF27" si="19">SUM(S19:S21)</f>
        <v>498</v>
      </c>
      <c r="T27" s="16">
        <f t="shared" si="19"/>
        <v>181</v>
      </c>
      <c r="U27" s="16">
        <f t="shared" si="19"/>
        <v>80</v>
      </c>
      <c r="V27" s="16">
        <f t="shared" si="19"/>
        <v>375</v>
      </c>
      <c r="W27" s="16">
        <f t="shared" si="19"/>
        <v>19</v>
      </c>
      <c r="X27" s="16">
        <f t="shared" si="19"/>
        <v>12</v>
      </c>
      <c r="Y27" s="16">
        <f t="shared" si="19"/>
        <v>93</v>
      </c>
      <c r="Z27" s="16">
        <f t="shared" si="19"/>
        <v>6</v>
      </c>
      <c r="AA27" s="16">
        <f t="shared" si="19"/>
        <v>16</v>
      </c>
      <c r="AB27" s="16">
        <f t="shared" si="19"/>
        <v>8</v>
      </c>
      <c r="AC27" s="16">
        <f t="shared" si="19"/>
        <v>2052</v>
      </c>
      <c r="AD27" s="16">
        <f t="shared" si="19"/>
        <v>0</v>
      </c>
      <c r="AE27" s="32">
        <f t="shared" si="19"/>
        <v>1288</v>
      </c>
      <c r="AF27" s="32">
        <f t="shared" si="19"/>
        <v>3340</v>
      </c>
    </row>
    <row r="28" spans="2:32" ht="23.1" customHeight="1" x14ac:dyDescent="0.25">
      <c r="B28" s="23" t="s">
        <v>55</v>
      </c>
      <c r="C28" s="50">
        <v>53</v>
      </c>
      <c r="D28" s="50">
        <v>8</v>
      </c>
      <c r="E28" s="50">
        <v>7</v>
      </c>
      <c r="F28" s="50">
        <v>46</v>
      </c>
      <c r="G28" s="50">
        <v>1</v>
      </c>
      <c r="H28" s="50">
        <v>0</v>
      </c>
      <c r="I28" s="50">
        <v>3</v>
      </c>
      <c r="J28" s="50">
        <v>1</v>
      </c>
      <c r="K28" s="50">
        <v>2</v>
      </c>
      <c r="L28" s="50">
        <v>32</v>
      </c>
      <c r="M28" s="50">
        <v>182</v>
      </c>
      <c r="N28" s="50">
        <v>0</v>
      </c>
      <c r="O28" s="15">
        <f t="shared" si="0"/>
        <v>153</v>
      </c>
      <c r="P28" s="15">
        <f t="shared" si="1"/>
        <v>335</v>
      </c>
      <c r="R28" s="5" t="s">
        <v>17</v>
      </c>
      <c r="S28" s="16">
        <f t="shared" ref="S28:AF28" si="20">SUM(S10:S21)</f>
        <v>2643</v>
      </c>
      <c r="T28" s="16">
        <f t="shared" si="20"/>
        <v>742</v>
      </c>
      <c r="U28" s="16">
        <f t="shared" si="20"/>
        <v>388</v>
      </c>
      <c r="V28" s="16">
        <f t="shared" si="20"/>
        <v>1877</v>
      </c>
      <c r="W28" s="16">
        <f t="shared" si="20"/>
        <v>170</v>
      </c>
      <c r="X28" s="16">
        <f t="shared" si="20"/>
        <v>65</v>
      </c>
      <c r="Y28" s="16">
        <f t="shared" si="20"/>
        <v>304</v>
      </c>
      <c r="Z28" s="16">
        <f t="shared" si="20"/>
        <v>69</v>
      </c>
      <c r="AA28" s="16">
        <f t="shared" si="20"/>
        <v>90</v>
      </c>
      <c r="AB28" s="16">
        <f t="shared" si="20"/>
        <v>57</v>
      </c>
      <c r="AC28" s="16">
        <f t="shared" si="20"/>
        <v>9889</v>
      </c>
      <c r="AD28" s="16">
        <f t="shared" si="20"/>
        <v>0</v>
      </c>
      <c r="AE28" s="32">
        <f t="shared" si="20"/>
        <v>6405</v>
      </c>
      <c r="AF28" s="32">
        <f t="shared" si="20"/>
        <v>16294</v>
      </c>
    </row>
    <row r="29" spans="2:32" ht="23.1" customHeight="1" x14ac:dyDescent="0.25">
      <c r="B29" s="23" t="s">
        <v>56</v>
      </c>
      <c r="C29" s="50">
        <v>63</v>
      </c>
      <c r="D29" s="50">
        <v>13</v>
      </c>
      <c r="E29" s="50">
        <v>11</v>
      </c>
      <c r="F29" s="50">
        <v>35</v>
      </c>
      <c r="G29" s="50">
        <v>1</v>
      </c>
      <c r="H29" s="50">
        <v>9</v>
      </c>
      <c r="I29" s="50">
        <v>1</v>
      </c>
      <c r="J29" s="50">
        <v>1</v>
      </c>
      <c r="K29" s="50">
        <v>2</v>
      </c>
      <c r="L29" s="50">
        <v>2</v>
      </c>
      <c r="M29" s="50">
        <v>202</v>
      </c>
      <c r="N29" s="50">
        <v>0</v>
      </c>
      <c r="O29" s="15">
        <f t="shared" si="0"/>
        <v>138</v>
      </c>
      <c r="P29" s="15">
        <f t="shared" si="1"/>
        <v>340</v>
      </c>
      <c r="R29"/>
      <c r="S29" s="20"/>
      <c r="T29" s="19"/>
    </row>
    <row r="30" spans="2:32" ht="23.1" customHeight="1" x14ac:dyDescent="0.25">
      <c r="B30" s="23" t="s">
        <v>57</v>
      </c>
      <c r="C30" s="50">
        <v>61</v>
      </c>
      <c r="D30" s="50">
        <v>23</v>
      </c>
      <c r="E30" s="50">
        <v>6</v>
      </c>
      <c r="F30" s="50">
        <v>44</v>
      </c>
      <c r="G30" s="50">
        <v>0</v>
      </c>
      <c r="H30" s="50">
        <v>1</v>
      </c>
      <c r="I30" s="50">
        <v>3</v>
      </c>
      <c r="J30" s="50">
        <v>0</v>
      </c>
      <c r="K30" s="50">
        <v>1</v>
      </c>
      <c r="L30" s="50">
        <v>1</v>
      </c>
      <c r="M30" s="50">
        <v>165</v>
      </c>
      <c r="N30" s="50">
        <v>0</v>
      </c>
      <c r="O30" s="15">
        <f t="shared" si="0"/>
        <v>140</v>
      </c>
      <c r="P30" s="15">
        <f t="shared" si="1"/>
        <v>305</v>
      </c>
    </row>
    <row r="31" spans="2:32" ht="23.1" customHeight="1" x14ac:dyDescent="0.25">
      <c r="B31" s="24" t="s">
        <v>58</v>
      </c>
      <c r="C31" s="50">
        <v>50</v>
      </c>
      <c r="D31" s="50">
        <v>10</v>
      </c>
      <c r="E31" s="50">
        <v>15</v>
      </c>
      <c r="F31" s="50">
        <v>35</v>
      </c>
      <c r="G31" s="50">
        <v>1</v>
      </c>
      <c r="H31" s="50">
        <v>2</v>
      </c>
      <c r="I31" s="50">
        <v>12</v>
      </c>
      <c r="J31" s="50">
        <v>0</v>
      </c>
      <c r="K31" s="50">
        <v>1</v>
      </c>
      <c r="L31" s="50">
        <v>2</v>
      </c>
      <c r="M31" s="50">
        <v>180</v>
      </c>
      <c r="N31" s="50">
        <v>0</v>
      </c>
      <c r="O31" s="15">
        <f t="shared" si="0"/>
        <v>128</v>
      </c>
      <c r="P31" s="15">
        <f t="shared" si="1"/>
        <v>308</v>
      </c>
    </row>
    <row r="32" spans="2:32" ht="23.1" customHeight="1" x14ac:dyDescent="0.25">
      <c r="B32" s="24" t="s">
        <v>59</v>
      </c>
      <c r="C32" s="50">
        <v>54</v>
      </c>
      <c r="D32" s="50">
        <v>18</v>
      </c>
      <c r="E32" s="50">
        <v>9</v>
      </c>
      <c r="F32" s="50">
        <v>30</v>
      </c>
      <c r="G32" s="50">
        <v>1</v>
      </c>
      <c r="H32" s="50">
        <v>0</v>
      </c>
      <c r="I32" s="50">
        <v>6</v>
      </c>
      <c r="J32" s="50">
        <v>1</v>
      </c>
      <c r="K32" s="50">
        <v>2</v>
      </c>
      <c r="L32" s="50">
        <v>0</v>
      </c>
      <c r="M32" s="50">
        <v>153</v>
      </c>
      <c r="N32" s="50">
        <v>0</v>
      </c>
      <c r="O32" s="15">
        <f t="shared" si="0"/>
        <v>121</v>
      </c>
      <c r="P32" s="15">
        <f t="shared" si="1"/>
        <v>274</v>
      </c>
    </row>
    <row r="33" spans="2:20" ht="23.1" customHeight="1" x14ac:dyDescent="0.25">
      <c r="B33" s="23" t="s">
        <v>60</v>
      </c>
      <c r="C33" s="50">
        <v>55</v>
      </c>
      <c r="D33" s="50">
        <v>18</v>
      </c>
      <c r="E33" s="50">
        <v>9</v>
      </c>
      <c r="F33" s="50">
        <v>0</v>
      </c>
      <c r="G33" s="50">
        <v>2</v>
      </c>
      <c r="H33" s="50">
        <v>15</v>
      </c>
      <c r="I33" s="50">
        <v>0</v>
      </c>
      <c r="J33" s="50">
        <v>15</v>
      </c>
      <c r="K33" s="50">
        <v>5</v>
      </c>
      <c r="L33" s="50">
        <v>0</v>
      </c>
      <c r="M33" s="50">
        <v>201</v>
      </c>
      <c r="N33" s="50">
        <v>0</v>
      </c>
      <c r="O33" s="15">
        <f t="shared" si="0"/>
        <v>119</v>
      </c>
      <c r="P33" s="15">
        <f t="shared" si="1"/>
        <v>320</v>
      </c>
    </row>
    <row r="34" spans="2:20" ht="23.1" customHeight="1" x14ac:dyDescent="0.25">
      <c r="B34" s="24" t="s">
        <v>61</v>
      </c>
      <c r="C34" s="50">
        <v>38</v>
      </c>
      <c r="D34" s="50">
        <v>10</v>
      </c>
      <c r="E34" s="50">
        <v>10</v>
      </c>
      <c r="F34" s="50">
        <v>32</v>
      </c>
      <c r="G34" s="50">
        <v>1</v>
      </c>
      <c r="H34" s="50">
        <v>1</v>
      </c>
      <c r="I34" s="50">
        <v>8</v>
      </c>
      <c r="J34" s="50">
        <v>0</v>
      </c>
      <c r="K34" s="50">
        <v>1</v>
      </c>
      <c r="L34" s="50">
        <v>0</v>
      </c>
      <c r="M34" s="50">
        <v>209</v>
      </c>
      <c r="N34" s="50">
        <v>0</v>
      </c>
      <c r="O34" s="15">
        <f t="shared" si="0"/>
        <v>101</v>
      </c>
      <c r="P34" s="15">
        <f t="shared" si="1"/>
        <v>310</v>
      </c>
    </row>
    <row r="35" spans="2:20" ht="23.1" customHeight="1" x14ac:dyDescent="0.25">
      <c r="B35" s="24" t="s">
        <v>62</v>
      </c>
      <c r="C35" s="50">
        <v>32</v>
      </c>
      <c r="D35" s="50">
        <v>15</v>
      </c>
      <c r="E35" s="50">
        <v>12</v>
      </c>
      <c r="F35" s="50">
        <v>21</v>
      </c>
      <c r="G35" s="50">
        <v>0</v>
      </c>
      <c r="H35" s="50">
        <v>4</v>
      </c>
      <c r="I35" s="50">
        <v>10</v>
      </c>
      <c r="J35" s="50">
        <v>0</v>
      </c>
      <c r="K35" s="50">
        <v>2</v>
      </c>
      <c r="L35" s="50">
        <v>2</v>
      </c>
      <c r="M35" s="50">
        <v>175</v>
      </c>
      <c r="N35" s="50">
        <v>0</v>
      </c>
      <c r="O35" s="15">
        <f t="shared" si="0"/>
        <v>98</v>
      </c>
      <c r="P35" s="15">
        <f t="shared" si="1"/>
        <v>273</v>
      </c>
    </row>
    <row r="36" spans="2:20" ht="23.1" customHeight="1" x14ac:dyDescent="0.25">
      <c r="B36" s="24" t="s">
        <v>63</v>
      </c>
      <c r="C36" s="50">
        <v>56</v>
      </c>
      <c r="D36" s="50">
        <v>10</v>
      </c>
      <c r="E36" s="50">
        <v>10</v>
      </c>
      <c r="F36" s="50">
        <v>11</v>
      </c>
      <c r="G36" s="50">
        <v>45</v>
      </c>
      <c r="H36" s="50">
        <v>4</v>
      </c>
      <c r="I36" s="50">
        <v>0</v>
      </c>
      <c r="J36" s="50">
        <v>10</v>
      </c>
      <c r="K36" s="50">
        <v>2</v>
      </c>
      <c r="L36" s="50">
        <v>0</v>
      </c>
      <c r="M36" s="50">
        <v>185</v>
      </c>
      <c r="N36" s="50">
        <v>0</v>
      </c>
      <c r="O36" s="15">
        <f t="shared" si="0"/>
        <v>148</v>
      </c>
      <c r="P36" s="15">
        <f t="shared" si="1"/>
        <v>333</v>
      </c>
    </row>
    <row r="37" spans="2:20" ht="23.1" customHeight="1" x14ac:dyDescent="0.25">
      <c r="B37" s="23" t="s">
        <v>64</v>
      </c>
      <c r="C37" s="50">
        <v>32</v>
      </c>
      <c r="D37" s="50">
        <v>15</v>
      </c>
      <c r="E37" s="50">
        <v>12</v>
      </c>
      <c r="F37" s="50">
        <v>31</v>
      </c>
      <c r="G37" s="50">
        <v>1</v>
      </c>
      <c r="H37" s="50">
        <v>2</v>
      </c>
      <c r="I37" s="50">
        <v>11</v>
      </c>
      <c r="J37" s="50">
        <v>0</v>
      </c>
      <c r="K37" s="50">
        <v>2</v>
      </c>
      <c r="L37" s="50">
        <v>1</v>
      </c>
      <c r="M37" s="50">
        <v>205</v>
      </c>
      <c r="N37" s="50">
        <v>0</v>
      </c>
      <c r="O37" s="15">
        <f t="shared" si="0"/>
        <v>107</v>
      </c>
      <c r="P37" s="15">
        <f t="shared" si="1"/>
        <v>312</v>
      </c>
    </row>
    <row r="38" spans="2:20" ht="23.1" customHeight="1" x14ac:dyDescent="0.25">
      <c r="B38" s="24" t="s">
        <v>65</v>
      </c>
      <c r="C38" s="50">
        <v>30</v>
      </c>
      <c r="D38" s="50">
        <v>11</v>
      </c>
      <c r="E38" s="50">
        <v>8</v>
      </c>
      <c r="F38" s="50">
        <v>29</v>
      </c>
      <c r="G38" s="50">
        <v>1</v>
      </c>
      <c r="H38" s="50">
        <v>0</v>
      </c>
      <c r="I38" s="50">
        <v>6</v>
      </c>
      <c r="J38" s="50">
        <v>2</v>
      </c>
      <c r="K38" s="50">
        <v>5</v>
      </c>
      <c r="L38" s="50">
        <v>0</v>
      </c>
      <c r="M38" s="50">
        <v>175</v>
      </c>
      <c r="N38" s="50">
        <v>0</v>
      </c>
      <c r="O38" s="15">
        <f t="shared" si="0"/>
        <v>92</v>
      </c>
      <c r="P38" s="15">
        <f t="shared" si="1"/>
        <v>267</v>
      </c>
    </row>
    <row r="39" spans="2:20" ht="23.1" customHeight="1" x14ac:dyDescent="0.25">
      <c r="B39" s="24" t="s">
        <v>66</v>
      </c>
      <c r="C39" s="50">
        <v>53</v>
      </c>
      <c r="D39" s="50">
        <v>19</v>
      </c>
      <c r="E39" s="50">
        <v>13</v>
      </c>
      <c r="F39" s="50">
        <v>37</v>
      </c>
      <c r="G39" s="50">
        <v>0</v>
      </c>
      <c r="H39" s="50">
        <v>0</v>
      </c>
      <c r="I39" s="50">
        <v>6</v>
      </c>
      <c r="J39" s="50">
        <v>2</v>
      </c>
      <c r="K39" s="50">
        <v>5</v>
      </c>
      <c r="L39" s="50">
        <v>0</v>
      </c>
      <c r="M39" s="50">
        <v>217</v>
      </c>
      <c r="N39" s="50">
        <v>0</v>
      </c>
      <c r="O39" s="15">
        <f t="shared" si="0"/>
        <v>135</v>
      </c>
      <c r="P39" s="15">
        <f t="shared" si="1"/>
        <v>352</v>
      </c>
    </row>
    <row r="40" spans="2:20" ht="23.1" customHeight="1" x14ac:dyDescent="0.25">
      <c r="B40" s="24" t="s">
        <v>67</v>
      </c>
      <c r="C40" s="50">
        <v>42</v>
      </c>
      <c r="D40" s="50">
        <v>20</v>
      </c>
      <c r="E40" s="50">
        <v>5</v>
      </c>
      <c r="F40" s="50">
        <v>30</v>
      </c>
      <c r="G40" s="50">
        <v>1</v>
      </c>
      <c r="H40" s="50">
        <v>2</v>
      </c>
      <c r="I40" s="50">
        <v>4</v>
      </c>
      <c r="J40" s="50">
        <v>0</v>
      </c>
      <c r="K40" s="50">
        <v>3</v>
      </c>
      <c r="L40" s="50">
        <v>2</v>
      </c>
      <c r="M40" s="50">
        <v>215</v>
      </c>
      <c r="N40" s="50">
        <v>0</v>
      </c>
      <c r="O40" s="15">
        <f t="shared" si="0"/>
        <v>109</v>
      </c>
      <c r="P40" s="15">
        <f t="shared" si="1"/>
        <v>324</v>
      </c>
    </row>
    <row r="41" spans="2:20" ht="23.1" customHeight="1" x14ac:dyDescent="0.25">
      <c r="B41" s="23" t="s">
        <v>68</v>
      </c>
      <c r="C41" s="50">
        <v>58</v>
      </c>
      <c r="D41" s="50">
        <v>14</v>
      </c>
      <c r="E41" s="50">
        <v>12</v>
      </c>
      <c r="F41" s="50">
        <v>38</v>
      </c>
      <c r="G41" s="50">
        <v>1</v>
      </c>
      <c r="H41" s="50">
        <v>2</v>
      </c>
      <c r="I41" s="50">
        <v>10</v>
      </c>
      <c r="J41" s="50">
        <v>3</v>
      </c>
      <c r="K41" s="50">
        <v>2</v>
      </c>
      <c r="L41" s="50">
        <v>0</v>
      </c>
      <c r="M41" s="50">
        <v>175</v>
      </c>
      <c r="N41" s="50">
        <v>0</v>
      </c>
      <c r="O41" s="15">
        <f t="shared" si="0"/>
        <v>140</v>
      </c>
      <c r="P41" s="15">
        <f t="shared" si="1"/>
        <v>315</v>
      </c>
    </row>
    <row r="42" spans="2:20" ht="23.1" customHeight="1" x14ac:dyDescent="0.25">
      <c r="B42" s="24" t="s">
        <v>69</v>
      </c>
      <c r="C42" s="50">
        <v>72</v>
      </c>
      <c r="D42" s="50">
        <v>15</v>
      </c>
      <c r="E42" s="50">
        <v>13</v>
      </c>
      <c r="F42" s="50">
        <v>34</v>
      </c>
      <c r="G42" s="50">
        <v>0</v>
      </c>
      <c r="H42" s="50">
        <v>0</v>
      </c>
      <c r="I42" s="50">
        <v>6</v>
      </c>
      <c r="J42" s="50">
        <v>0</v>
      </c>
      <c r="K42" s="50">
        <v>1</v>
      </c>
      <c r="L42" s="50">
        <v>0</v>
      </c>
      <c r="M42" s="50">
        <v>209</v>
      </c>
      <c r="N42" s="50">
        <v>0</v>
      </c>
      <c r="O42" s="15">
        <f t="shared" si="0"/>
        <v>141</v>
      </c>
      <c r="P42" s="15">
        <f t="shared" si="1"/>
        <v>350</v>
      </c>
    </row>
    <row r="43" spans="2:20" ht="23.1" customHeight="1" x14ac:dyDescent="0.25">
      <c r="B43" s="23" t="s">
        <v>70</v>
      </c>
      <c r="C43" s="50">
        <v>45</v>
      </c>
      <c r="D43" s="50">
        <v>9</v>
      </c>
      <c r="E43" s="50">
        <v>6</v>
      </c>
      <c r="F43" s="50">
        <v>34</v>
      </c>
      <c r="G43" s="50">
        <v>1</v>
      </c>
      <c r="H43" s="50">
        <v>0</v>
      </c>
      <c r="I43" s="50">
        <v>14</v>
      </c>
      <c r="J43" s="50">
        <v>2</v>
      </c>
      <c r="K43" s="50">
        <v>1</v>
      </c>
      <c r="L43" s="50">
        <v>1</v>
      </c>
      <c r="M43" s="50">
        <v>150</v>
      </c>
      <c r="N43" s="50">
        <v>0</v>
      </c>
      <c r="O43" s="15">
        <f t="shared" si="0"/>
        <v>113</v>
      </c>
      <c r="P43" s="15">
        <f t="shared" si="1"/>
        <v>263</v>
      </c>
    </row>
    <row r="44" spans="2:20" ht="23.1" customHeight="1" x14ac:dyDescent="0.25">
      <c r="B44" s="25" t="s">
        <v>71</v>
      </c>
      <c r="C44" s="50">
        <v>47</v>
      </c>
      <c r="D44" s="50">
        <v>18</v>
      </c>
      <c r="E44" s="50">
        <v>4</v>
      </c>
      <c r="F44" s="50">
        <v>36</v>
      </c>
      <c r="G44" s="50">
        <v>2</v>
      </c>
      <c r="H44" s="50">
        <v>2</v>
      </c>
      <c r="I44" s="50">
        <v>8</v>
      </c>
      <c r="J44" s="50">
        <v>0</v>
      </c>
      <c r="K44" s="50">
        <v>2</v>
      </c>
      <c r="L44" s="50">
        <v>0</v>
      </c>
      <c r="M44" s="50">
        <v>150</v>
      </c>
      <c r="N44" s="50">
        <v>0</v>
      </c>
      <c r="O44" s="15">
        <f t="shared" si="0"/>
        <v>119</v>
      </c>
      <c r="P44" s="15">
        <f t="shared" si="1"/>
        <v>269</v>
      </c>
    </row>
    <row r="45" spans="2:20" ht="23.1" customHeight="1" x14ac:dyDescent="0.25">
      <c r="B45" s="23" t="s">
        <v>72</v>
      </c>
      <c r="C45" s="50">
        <v>53</v>
      </c>
      <c r="D45" s="50">
        <v>21</v>
      </c>
      <c r="E45" s="50">
        <v>7</v>
      </c>
      <c r="F45" s="50">
        <v>27</v>
      </c>
      <c r="G45" s="50">
        <v>5</v>
      </c>
      <c r="H45" s="50">
        <v>0</v>
      </c>
      <c r="I45" s="50">
        <v>15</v>
      </c>
      <c r="J45" s="50">
        <v>3</v>
      </c>
      <c r="K45" s="50">
        <v>1</v>
      </c>
      <c r="L45" s="50">
        <v>0</v>
      </c>
      <c r="M45" s="50">
        <v>159</v>
      </c>
      <c r="N45" s="50">
        <v>0</v>
      </c>
      <c r="O45" s="15">
        <f t="shared" si="0"/>
        <v>132</v>
      </c>
      <c r="P45" s="15">
        <f t="shared" si="1"/>
        <v>291</v>
      </c>
    </row>
    <row r="46" spans="2:20" ht="23.1" customHeight="1" x14ac:dyDescent="0.25">
      <c r="B46" s="24" t="s">
        <v>73</v>
      </c>
      <c r="C46" s="50">
        <v>52</v>
      </c>
      <c r="D46" s="50">
        <v>19</v>
      </c>
      <c r="E46" s="50">
        <v>16</v>
      </c>
      <c r="F46" s="50">
        <v>30</v>
      </c>
      <c r="G46" s="50">
        <v>1</v>
      </c>
      <c r="H46" s="50">
        <v>1</v>
      </c>
      <c r="I46" s="50">
        <v>11</v>
      </c>
      <c r="J46" s="50">
        <v>2</v>
      </c>
      <c r="K46" s="50">
        <v>1</v>
      </c>
      <c r="L46" s="50">
        <v>1</v>
      </c>
      <c r="M46" s="50">
        <v>225</v>
      </c>
      <c r="N46" s="50">
        <v>0</v>
      </c>
      <c r="O46" s="15">
        <f t="shared" si="0"/>
        <v>134</v>
      </c>
      <c r="P46" s="15">
        <f t="shared" si="1"/>
        <v>359</v>
      </c>
      <c r="R46" s="8"/>
      <c r="T46"/>
    </row>
    <row r="47" spans="2:20" ht="23.1" customHeight="1" x14ac:dyDescent="0.25">
      <c r="B47" s="24" t="s">
        <v>74</v>
      </c>
      <c r="C47" s="50">
        <v>53</v>
      </c>
      <c r="D47" s="50">
        <v>20</v>
      </c>
      <c r="E47" s="50">
        <v>7</v>
      </c>
      <c r="F47" s="50">
        <v>32</v>
      </c>
      <c r="G47" s="50">
        <v>1</v>
      </c>
      <c r="H47" s="50">
        <v>0</v>
      </c>
      <c r="I47" s="50">
        <v>12</v>
      </c>
      <c r="J47" s="50">
        <v>0</v>
      </c>
      <c r="K47" s="50">
        <v>2</v>
      </c>
      <c r="L47" s="50">
        <v>2</v>
      </c>
      <c r="M47" s="50">
        <v>158</v>
      </c>
      <c r="N47" s="50">
        <v>0</v>
      </c>
      <c r="O47" s="15">
        <f t="shared" si="0"/>
        <v>129</v>
      </c>
      <c r="P47" s="15">
        <f t="shared" si="1"/>
        <v>287</v>
      </c>
      <c r="R47" s="8"/>
      <c r="T47"/>
    </row>
    <row r="48" spans="2:20" ht="23.1" customHeight="1" x14ac:dyDescent="0.25">
      <c r="B48" s="24" t="s">
        <v>75</v>
      </c>
      <c r="C48" s="50">
        <v>60</v>
      </c>
      <c r="D48" s="50">
        <v>20</v>
      </c>
      <c r="E48" s="50">
        <v>9</v>
      </c>
      <c r="F48" s="50">
        <v>31</v>
      </c>
      <c r="G48" s="50">
        <v>5</v>
      </c>
      <c r="H48" s="50">
        <v>3</v>
      </c>
      <c r="I48" s="50">
        <v>8</v>
      </c>
      <c r="J48" s="50">
        <v>0</v>
      </c>
      <c r="K48" s="50">
        <v>3</v>
      </c>
      <c r="L48" s="50">
        <v>0</v>
      </c>
      <c r="M48" s="50">
        <v>200</v>
      </c>
      <c r="N48" s="50">
        <v>0</v>
      </c>
      <c r="O48" s="15">
        <f t="shared" si="0"/>
        <v>139</v>
      </c>
      <c r="P48" s="15">
        <f t="shared" si="1"/>
        <v>339</v>
      </c>
      <c r="R48" s="8"/>
      <c r="T48"/>
    </row>
    <row r="49" spans="2:20" ht="23.1" customHeight="1" x14ac:dyDescent="0.25">
      <c r="B49" s="23" t="s">
        <v>76</v>
      </c>
      <c r="C49" s="50">
        <v>36</v>
      </c>
      <c r="D49" s="50">
        <v>18</v>
      </c>
      <c r="E49" s="50">
        <v>7</v>
      </c>
      <c r="F49" s="50">
        <v>40</v>
      </c>
      <c r="G49" s="50">
        <v>1</v>
      </c>
      <c r="H49" s="50">
        <v>0</v>
      </c>
      <c r="I49" s="50">
        <v>12</v>
      </c>
      <c r="J49" s="50">
        <v>0</v>
      </c>
      <c r="K49" s="50">
        <v>1</v>
      </c>
      <c r="L49" s="50">
        <v>2</v>
      </c>
      <c r="M49" s="50">
        <v>201</v>
      </c>
      <c r="N49" s="50">
        <v>0</v>
      </c>
      <c r="O49" s="15">
        <f t="shared" si="0"/>
        <v>117</v>
      </c>
      <c r="P49" s="15">
        <f t="shared" si="1"/>
        <v>318</v>
      </c>
      <c r="R49" s="8"/>
      <c r="T49"/>
    </row>
    <row r="50" spans="2:20" ht="23.1" customHeight="1" x14ac:dyDescent="0.25">
      <c r="B50" s="24" t="s">
        <v>77</v>
      </c>
      <c r="C50" s="50">
        <v>28</v>
      </c>
      <c r="D50" s="50">
        <v>19</v>
      </c>
      <c r="E50" s="50">
        <v>9</v>
      </c>
      <c r="F50" s="50">
        <v>29</v>
      </c>
      <c r="G50" s="50">
        <v>0</v>
      </c>
      <c r="H50" s="50">
        <v>1</v>
      </c>
      <c r="I50" s="50">
        <v>5</v>
      </c>
      <c r="J50" s="50">
        <v>1</v>
      </c>
      <c r="K50" s="50">
        <v>3</v>
      </c>
      <c r="L50" s="50">
        <v>1</v>
      </c>
      <c r="M50" s="50">
        <v>200</v>
      </c>
      <c r="N50" s="50">
        <v>0</v>
      </c>
      <c r="O50" s="15">
        <f t="shared" si="0"/>
        <v>96</v>
      </c>
      <c r="P50" s="15">
        <f t="shared" si="1"/>
        <v>296</v>
      </c>
      <c r="R50" s="8"/>
      <c r="T50"/>
    </row>
    <row r="51" spans="2:20" ht="23.1" customHeight="1" x14ac:dyDescent="0.25">
      <c r="B51" s="24" t="s">
        <v>78</v>
      </c>
      <c r="C51" s="50">
        <v>45</v>
      </c>
      <c r="D51" s="50">
        <v>16</v>
      </c>
      <c r="E51" s="50">
        <v>7</v>
      </c>
      <c r="F51" s="50">
        <v>26</v>
      </c>
      <c r="G51" s="50">
        <v>1</v>
      </c>
      <c r="H51" s="50">
        <v>0</v>
      </c>
      <c r="I51" s="50">
        <v>9</v>
      </c>
      <c r="J51" s="50">
        <v>0</v>
      </c>
      <c r="K51" s="50">
        <v>1</v>
      </c>
      <c r="L51" s="50">
        <v>1</v>
      </c>
      <c r="M51" s="50">
        <v>147</v>
      </c>
      <c r="N51" s="50">
        <v>0</v>
      </c>
      <c r="O51" s="15">
        <f t="shared" si="0"/>
        <v>106</v>
      </c>
      <c r="P51" s="15">
        <f t="shared" si="1"/>
        <v>253</v>
      </c>
      <c r="R51" s="8"/>
      <c r="T51"/>
    </row>
    <row r="52" spans="2:20" ht="23.1" customHeight="1" x14ac:dyDescent="0.25">
      <c r="B52" s="24" t="s">
        <v>79</v>
      </c>
      <c r="C52" s="50">
        <v>44</v>
      </c>
      <c r="D52" s="50">
        <v>15</v>
      </c>
      <c r="E52" s="50">
        <v>5</v>
      </c>
      <c r="F52" s="50">
        <v>41</v>
      </c>
      <c r="G52" s="50">
        <v>2</v>
      </c>
      <c r="H52" s="50">
        <v>0</v>
      </c>
      <c r="I52" s="50">
        <v>6</v>
      </c>
      <c r="J52" s="50">
        <v>1</v>
      </c>
      <c r="K52" s="50">
        <v>2</v>
      </c>
      <c r="L52" s="50">
        <v>0</v>
      </c>
      <c r="M52" s="50">
        <v>200</v>
      </c>
      <c r="N52" s="50">
        <v>0</v>
      </c>
      <c r="O52" s="15">
        <f t="shared" si="0"/>
        <v>116</v>
      </c>
      <c r="P52" s="15">
        <f t="shared" si="1"/>
        <v>316</v>
      </c>
      <c r="R52" s="8"/>
      <c r="T52"/>
    </row>
    <row r="53" spans="2:20" ht="23.1" customHeight="1" x14ac:dyDescent="0.25">
      <c r="B53" s="23" t="s">
        <v>80</v>
      </c>
      <c r="C53" s="50">
        <v>57</v>
      </c>
      <c r="D53" s="50">
        <v>16</v>
      </c>
      <c r="E53" s="50">
        <v>3</v>
      </c>
      <c r="F53" s="50">
        <v>39</v>
      </c>
      <c r="G53" s="50">
        <v>2</v>
      </c>
      <c r="H53" s="50">
        <v>2</v>
      </c>
      <c r="I53" s="50">
        <v>8</v>
      </c>
      <c r="J53" s="50">
        <v>1</v>
      </c>
      <c r="K53" s="50">
        <v>1</v>
      </c>
      <c r="L53" s="50">
        <v>0</v>
      </c>
      <c r="M53" s="50">
        <v>200</v>
      </c>
      <c r="N53" s="50">
        <v>0</v>
      </c>
      <c r="O53" s="15">
        <f t="shared" si="0"/>
        <v>129</v>
      </c>
      <c r="P53" s="15">
        <f t="shared" si="1"/>
        <v>329</v>
      </c>
      <c r="R53" s="8"/>
      <c r="T53"/>
    </row>
    <row r="54" spans="2:20" ht="23.1" customHeight="1" x14ac:dyDescent="0.25">
      <c r="B54" s="23" t="s">
        <v>81</v>
      </c>
      <c r="C54" s="50">
        <v>41</v>
      </c>
      <c r="D54" s="50">
        <v>12</v>
      </c>
      <c r="E54" s="50">
        <v>7</v>
      </c>
      <c r="F54" s="50">
        <v>42</v>
      </c>
      <c r="G54" s="50">
        <v>3</v>
      </c>
      <c r="H54" s="50">
        <v>1</v>
      </c>
      <c r="I54" s="50">
        <v>3</v>
      </c>
      <c r="J54" s="50">
        <v>0</v>
      </c>
      <c r="K54" s="50">
        <v>1</v>
      </c>
      <c r="L54" s="50">
        <v>1</v>
      </c>
      <c r="M54" s="50">
        <v>205</v>
      </c>
      <c r="N54" s="50">
        <v>0</v>
      </c>
      <c r="O54" s="15">
        <f t="shared" si="0"/>
        <v>111</v>
      </c>
      <c r="P54" s="15">
        <f t="shared" si="1"/>
        <v>316</v>
      </c>
      <c r="R54" s="8"/>
      <c r="T54"/>
    </row>
    <row r="55" spans="2:20" ht="23.1" customHeight="1" x14ac:dyDescent="0.25">
      <c r="B55" s="23" t="s">
        <v>82</v>
      </c>
      <c r="C55" s="50">
        <v>35</v>
      </c>
      <c r="D55" s="50">
        <v>12</v>
      </c>
      <c r="E55" s="50">
        <v>2</v>
      </c>
      <c r="F55" s="50">
        <v>26</v>
      </c>
      <c r="G55" s="50">
        <v>1</v>
      </c>
      <c r="H55" s="50">
        <v>0</v>
      </c>
      <c r="I55" s="50">
        <v>10</v>
      </c>
      <c r="J55" s="50">
        <v>0</v>
      </c>
      <c r="K55" s="50">
        <v>0</v>
      </c>
      <c r="L55" s="50">
        <v>0</v>
      </c>
      <c r="M55" s="50">
        <v>175</v>
      </c>
      <c r="N55" s="50">
        <v>0</v>
      </c>
      <c r="O55" s="15">
        <f t="shared" si="0"/>
        <v>86</v>
      </c>
      <c r="P55" s="15">
        <f t="shared" si="1"/>
        <v>261</v>
      </c>
      <c r="R55" s="8"/>
      <c r="T55"/>
    </row>
    <row r="56" spans="2:20" ht="23.1" customHeight="1" x14ac:dyDescent="0.25">
      <c r="B56" s="23" t="s">
        <v>83</v>
      </c>
      <c r="C56" s="50">
        <v>20</v>
      </c>
      <c r="D56" s="50">
        <v>7</v>
      </c>
      <c r="E56" s="50">
        <v>2</v>
      </c>
      <c r="F56" s="50">
        <v>19</v>
      </c>
      <c r="G56" s="50">
        <v>2</v>
      </c>
      <c r="H56" s="50">
        <v>1</v>
      </c>
      <c r="I56" s="50">
        <v>3</v>
      </c>
      <c r="J56" s="50">
        <v>1</v>
      </c>
      <c r="K56" s="50">
        <v>1</v>
      </c>
      <c r="L56" s="50">
        <v>0</v>
      </c>
      <c r="M56" s="50">
        <v>121</v>
      </c>
      <c r="N56" s="50">
        <v>0</v>
      </c>
      <c r="O56" s="15">
        <f t="shared" si="0"/>
        <v>56</v>
      </c>
      <c r="P56" s="15">
        <f t="shared" si="1"/>
        <v>177</v>
      </c>
      <c r="R56" s="8"/>
      <c r="T56"/>
    </row>
    <row r="57" spans="2:20" ht="23.1" customHeight="1" x14ac:dyDescent="0.25">
      <c r="B57" s="23" t="s">
        <v>84</v>
      </c>
      <c r="C57" s="50">
        <v>27</v>
      </c>
      <c r="D57" s="50">
        <v>7</v>
      </c>
      <c r="E57" s="50">
        <v>6</v>
      </c>
      <c r="F57" s="50">
        <v>20</v>
      </c>
      <c r="G57" s="50">
        <v>0</v>
      </c>
      <c r="H57" s="50">
        <v>3</v>
      </c>
      <c r="I57" s="50">
        <v>6</v>
      </c>
      <c r="J57" s="50">
        <v>0</v>
      </c>
      <c r="K57" s="50">
        <v>0</v>
      </c>
      <c r="L57" s="50">
        <v>0</v>
      </c>
      <c r="M57" s="50">
        <v>20</v>
      </c>
      <c r="N57" s="50">
        <v>0</v>
      </c>
      <c r="O57" s="15">
        <f t="shared" si="0"/>
        <v>69</v>
      </c>
      <c r="P57" s="15">
        <f t="shared" si="1"/>
        <v>89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2643</v>
      </c>
      <c r="D58" s="16">
        <f t="shared" si="21"/>
        <v>742</v>
      </c>
      <c r="E58" s="16">
        <f t="shared" si="21"/>
        <v>388</v>
      </c>
      <c r="F58" s="16">
        <f t="shared" si="21"/>
        <v>1877</v>
      </c>
      <c r="G58" s="16">
        <f t="shared" si="21"/>
        <v>170</v>
      </c>
      <c r="H58" s="16">
        <f t="shared" si="21"/>
        <v>65</v>
      </c>
      <c r="I58" s="16">
        <f t="shared" si="21"/>
        <v>304</v>
      </c>
      <c r="J58" s="16">
        <f t="shared" si="21"/>
        <v>69</v>
      </c>
      <c r="K58" s="16">
        <f t="shared" si="21"/>
        <v>90</v>
      </c>
      <c r="L58" s="16">
        <f t="shared" si="21"/>
        <v>57</v>
      </c>
      <c r="M58" s="16">
        <f t="shared" si="21"/>
        <v>9889</v>
      </c>
      <c r="N58" s="16">
        <f t="shared" si="21"/>
        <v>0</v>
      </c>
      <c r="O58" s="16">
        <f t="shared" si="21"/>
        <v>6405</v>
      </c>
      <c r="P58" s="16">
        <f t="shared" si="21"/>
        <v>16294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0.16220694734258009</v>
      </c>
      <c r="D59" s="43">
        <f t="shared" si="22"/>
        <v>4.5538234933104209E-2</v>
      </c>
      <c r="E59" s="43">
        <f t="shared" si="22"/>
        <v>2.3812446299251257E-2</v>
      </c>
      <c r="F59" s="43">
        <f t="shared" si="22"/>
        <v>0.11519577758684178</v>
      </c>
      <c r="G59" s="43">
        <f t="shared" si="22"/>
        <v>1.043328832699153E-2</v>
      </c>
      <c r="H59" s="43">
        <f t="shared" si="22"/>
        <v>3.9891984779673499E-3</v>
      </c>
      <c r="I59" s="43">
        <f t="shared" si="22"/>
        <v>1.8657174420031914E-2</v>
      </c>
      <c r="J59" s="43">
        <f t="shared" si="22"/>
        <v>4.2346876150730333E-3</v>
      </c>
      <c r="K59" s="43">
        <f t="shared" si="22"/>
        <v>5.523505584877869E-3</v>
      </c>
      <c r="L59" s="43">
        <f t="shared" si="22"/>
        <v>3.4982202037559837E-3</v>
      </c>
      <c r="M59" s="43">
        <f t="shared" si="22"/>
        <v>0.60691051920952499</v>
      </c>
      <c r="N59" s="43">
        <f t="shared" si="22"/>
        <v>0</v>
      </c>
      <c r="R59" s="8"/>
      <c r="T59"/>
    </row>
    <row r="60" spans="2:20" ht="23.1" customHeight="1" x14ac:dyDescent="0.25">
      <c r="B60" s="42" t="s">
        <v>94</v>
      </c>
      <c r="C60" s="44">
        <f>C58/$O$58</f>
        <v>0.4126463700234192</v>
      </c>
      <c r="D60" s="44">
        <f t="shared" ref="D60:N60" si="23">D58/$O$58</f>
        <v>0.11584699453551912</v>
      </c>
      <c r="E60" s="44">
        <f t="shared" si="23"/>
        <v>6.0577673692427794E-2</v>
      </c>
      <c r="F60" s="44">
        <f t="shared" si="23"/>
        <v>0.29305230288836848</v>
      </c>
      <c r="G60" s="44">
        <f t="shared" si="23"/>
        <v>2.6541764246682281E-2</v>
      </c>
      <c r="H60" s="44">
        <f t="shared" si="23"/>
        <v>1.0148321623731461E-2</v>
      </c>
      <c r="I60" s="44">
        <f t="shared" si="23"/>
        <v>4.7462919594067135E-2</v>
      </c>
      <c r="J60" s="44">
        <f t="shared" si="23"/>
        <v>1.0772833723653397E-2</v>
      </c>
      <c r="K60" s="44">
        <f t="shared" si="23"/>
        <v>1.405152224824356E-2</v>
      </c>
      <c r="L60" s="44">
        <f t="shared" si="23"/>
        <v>8.8992974238875887E-3</v>
      </c>
      <c r="M60" s="44"/>
      <c r="N60" s="44">
        <f t="shared" si="23"/>
        <v>0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F126"/>
  <sheetViews>
    <sheetView view="pageBreakPreview" topLeftCell="A28" zoomScale="60" workbookViewId="0">
      <selection activeCell="M57" sqref="M57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64" t="s">
        <v>23</v>
      </c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  <c r="S1" s="64"/>
      <c r="T1" s="64"/>
      <c r="U1" s="64"/>
      <c r="V1" s="64"/>
      <c r="W1" s="64"/>
      <c r="X1" s="64"/>
      <c r="Y1" s="64"/>
      <c r="Z1" s="64"/>
      <c r="AA1" s="64"/>
      <c r="AB1" s="64"/>
      <c r="AC1" s="64"/>
      <c r="AD1" s="64"/>
      <c r="AE1" s="64"/>
    </row>
    <row r="2" spans="2:32" ht="20.100000000000001" customHeight="1" x14ac:dyDescent="0.25">
      <c r="B2" s="65" t="s">
        <v>95</v>
      </c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  <c r="AA2" s="65"/>
      <c r="AB2" s="65"/>
      <c r="AC2" s="65"/>
      <c r="AD2" s="65"/>
      <c r="AE2" s="65"/>
    </row>
    <row r="3" spans="2:32" ht="20.100000000000001" customHeight="1" x14ac:dyDescent="0.25">
      <c r="B3" s="22" t="s">
        <v>96</v>
      </c>
      <c r="C3" s="71" t="str">
        <f>'22.07 MAKERERE-BWAISE'!C3:G3</f>
        <v>MCC - C1 - STN021- SIR APOLLO ROAD</v>
      </c>
      <c r="D3" s="71"/>
      <c r="E3" s="71"/>
      <c r="F3" s="71"/>
      <c r="G3" s="71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tr">
        <f>'24.07 Bwaise-Makerere'!D5</f>
        <v>24.07.19</v>
      </c>
      <c r="E5" s="3"/>
      <c r="F5" s="41" t="s">
        <v>1</v>
      </c>
      <c r="G5" s="69" t="str">
        <f>'22.07 Bwaise-Makerere'!G5:H5</f>
        <v>SAHSEN PLAZA</v>
      </c>
      <c r="H5" s="70"/>
      <c r="I5" s="14"/>
      <c r="J5" s="2" t="s">
        <v>5</v>
      </c>
      <c r="K5" s="69" t="s">
        <v>181</v>
      </c>
      <c r="L5" s="70"/>
      <c r="M5" s="10"/>
      <c r="N5" s="10"/>
      <c r="O5" s="3"/>
      <c r="P5" s="3"/>
    </row>
    <row r="6" spans="2:32" ht="23.25" customHeight="1" x14ac:dyDescent="0.25">
      <c r="C6" s="2" t="s">
        <v>4</v>
      </c>
      <c r="D6" s="69" t="str">
        <f>'22.07 MAKERERE-BWAISE'!D6:E6</f>
        <v>MAKARERE</v>
      </c>
      <c r="E6" s="70"/>
      <c r="F6" s="2" t="s">
        <v>2</v>
      </c>
      <c r="G6" s="69" t="str">
        <f>'22.07 MAKERERE-BWAISE'!G6:H6</f>
        <v>BWAISE</v>
      </c>
      <c r="H6" s="70"/>
      <c r="J6" s="2" t="s">
        <v>21</v>
      </c>
      <c r="K6" s="69" t="str">
        <f>'22.07 Bwaise-Makerere'!K6:L6</f>
        <v>SALIMAH</v>
      </c>
      <c r="L6" s="70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63" t="s">
        <v>88</v>
      </c>
      <c r="S8" s="63"/>
      <c r="T8" s="63"/>
      <c r="U8" s="63"/>
      <c r="V8" s="63"/>
      <c r="W8" s="63"/>
      <c r="X8" s="63"/>
      <c r="Y8" s="63"/>
      <c r="Z8" s="63"/>
      <c r="AA8" s="63"/>
      <c r="AB8" s="63"/>
      <c r="AC8" s="63"/>
      <c r="AD8" s="63"/>
      <c r="AE8" s="63"/>
      <c r="AF8" s="63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35</v>
      </c>
      <c r="D10" s="50">
        <v>3</v>
      </c>
      <c r="E10" s="50">
        <v>4</v>
      </c>
      <c r="F10" s="50">
        <v>43</v>
      </c>
      <c r="G10" s="50">
        <v>0</v>
      </c>
      <c r="H10" s="50">
        <v>1</v>
      </c>
      <c r="I10" s="50">
        <v>3</v>
      </c>
      <c r="J10" s="50">
        <v>1</v>
      </c>
      <c r="K10" s="50">
        <v>0</v>
      </c>
      <c r="L10" s="50">
        <v>0</v>
      </c>
      <c r="M10" s="50">
        <v>136</v>
      </c>
      <c r="N10" s="50">
        <v>0</v>
      </c>
      <c r="O10" s="15">
        <f t="shared" ref="O10:O57" si="0">SUM(C10:L10,N10)</f>
        <v>90</v>
      </c>
      <c r="P10" s="15">
        <f t="shared" ref="P10:P57" si="1">SUM(C10:N10)</f>
        <v>226</v>
      </c>
      <c r="R10" s="1" t="s">
        <v>6</v>
      </c>
      <c r="S10" s="17">
        <f t="shared" ref="S10:AF10" si="2">SUM(C10:C13)</f>
        <v>148</v>
      </c>
      <c r="T10" s="17">
        <f t="shared" si="2"/>
        <v>20</v>
      </c>
      <c r="U10" s="17">
        <f t="shared" si="2"/>
        <v>10</v>
      </c>
      <c r="V10" s="17">
        <f t="shared" si="2"/>
        <v>172</v>
      </c>
      <c r="W10" s="17">
        <f t="shared" si="2"/>
        <v>5</v>
      </c>
      <c r="X10" s="17">
        <f t="shared" si="2"/>
        <v>5</v>
      </c>
      <c r="Y10" s="17">
        <f t="shared" si="2"/>
        <v>8</v>
      </c>
      <c r="Z10" s="17">
        <f t="shared" si="2"/>
        <v>16</v>
      </c>
      <c r="AA10" s="17">
        <f t="shared" si="2"/>
        <v>2</v>
      </c>
      <c r="AB10" s="17">
        <f t="shared" si="2"/>
        <v>3</v>
      </c>
      <c r="AC10" s="17">
        <f t="shared" si="2"/>
        <v>747</v>
      </c>
      <c r="AD10" s="17">
        <f t="shared" si="2"/>
        <v>0</v>
      </c>
      <c r="AE10" s="31">
        <f t="shared" si="2"/>
        <v>389</v>
      </c>
      <c r="AF10" s="31">
        <f t="shared" si="2"/>
        <v>1136</v>
      </c>
    </row>
    <row r="11" spans="2:32" s="6" customFormat="1" ht="23.1" customHeight="1" x14ac:dyDescent="0.25">
      <c r="B11" s="23" t="s">
        <v>38</v>
      </c>
      <c r="C11" s="50">
        <v>47</v>
      </c>
      <c r="D11" s="50">
        <v>7</v>
      </c>
      <c r="E11" s="50">
        <v>3</v>
      </c>
      <c r="F11" s="50">
        <v>37</v>
      </c>
      <c r="G11" s="50">
        <v>3</v>
      </c>
      <c r="H11" s="50">
        <v>3</v>
      </c>
      <c r="I11" s="50">
        <v>2</v>
      </c>
      <c r="J11" s="50">
        <v>3</v>
      </c>
      <c r="K11" s="50">
        <v>0</v>
      </c>
      <c r="L11" s="50">
        <v>3</v>
      </c>
      <c r="M11" s="50">
        <v>163</v>
      </c>
      <c r="N11" s="50">
        <v>0</v>
      </c>
      <c r="O11" s="15">
        <f t="shared" si="0"/>
        <v>108</v>
      </c>
      <c r="P11" s="15">
        <f t="shared" si="1"/>
        <v>271</v>
      </c>
      <c r="R11" s="1" t="s">
        <v>7</v>
      </c>
      <c r="S11" s="17">
        <f t="shared" ref="S11:AF11" si="3">SUM(C14:C17)</f>
        <v>105</v>
      </c>
      <c r="T11" s="17">
        <f t="shared" si="3"/>
        <v>21</v>
      </c>
      <c r="U11" s="17">
        <f t="shared" si="3"/>
        <v>8</v>
      </c>
      <c r="V11" s="17">
        <f t="shared" si="3"/>
        <v>228</v>
      </c>
      <c r="W11" s="17">
        <f t="shared" si="3"/>
        <v>6</v>
      </c>
      <c r="X11" s="17">
        <f t="shared" si="3"/>
        <v>1</v>
      </c>
      <c r="Y11" s="17">
        <f t="shared" si="3"/>
        <v>9</v>
      </c>
      <c r="Z11" s="17">
        <f t="shared" si="3"/>
        <v>8</v>
      </c>
      <c r="AA11" s="17">
        <f t="shared" si="3"/>
        <v>0</v>
      </c>
      <c r="AB11" s="17">
        <f t="shared" si="3"/>
        <v>1</v>
      </c>
      <c r="AC11" s="17">
        <f t="shared" si="3"/>
        <v>890</v>
      </c>
      <c r="AD11" s="17">
        <f t="shared" si="3"/>
        <v>0</v>
      </c>
      <c r="AE11" s="31">
        <f t="shared" si="3"/>
        <v>387</v>
      </c>
      <c r="AF11" s="31">
        <f t="shared" si="3"/>
        <v>1277</v>
      </c>
    </row>
    <row r="12" spans="2:32" ht="23.1" customHeight="1" x14ac:dyDescent="0.25">
      <c r="B12" s="23" t="s">
        <v>39</v>
      </c>
      <c r="C12" s="50">
        <v>30</v>
      </c>
      <c r="D12" s="50">
        <v>5</v>
      </c>
      <c r="E12" s="50">
        <v>2</v>
      </c>
      <c r="F12" s="50">
        <v>42</v>
      </c>
      <c r="G12" s="50">
        <v>2</v>
      </c>
      <c r="H12" s="50">
        <v>0</v>
      </c>
      <c r="I12" s="50">
        <v>2</v>
      </c>
      <c r="J12" s="50">
        <v>4</v>
      </c>
      <c r="K12" s="50">
        <v>2</v>
      </c>
      <c r="L12" s="50">
        <v>0</v>
      </c>
      <c r="M12" s="50">
        <v>220</v>
      </c>
      <c r="N12" s="50">
        <v>0</v>
      </c>
      <c r="O12" s="15">
        <f t="shared" si="0"/>
        <v>89</v>
      </c>
      <c r="P12" s="15">
        <f t="shared" si="1"/>
        <v>309</v>
      </c>
      <c r="R12" s="1" t="s">
        <v>8</v>
      </c>
      <c r="S12" s="17">
        <f t="shared" ref="S12:AF12" si="4">SUM(C18:C21)</f>
        <v>107</v>
      </c>
      <c r="T12" s="17">
        <f t="shared" si="4"/>
        <v>31</v>
      </c>
      <c r="U12" s="17">
        <f t="shared" si="4"/>
        <v>15</v>
      </c>
      <c r="V12" s="17">
        <f t="shared" si="4"/>
        <v>166</v>
      </c>
      <c r="W12" s="17">
        <f t="shared" si="4"/>
        <v>1</v>
      </c>
      <c r="X12" s="17">
        <f t="shared" si="4"/>
        <v>2</v>
      </c>
      <c r="Y12" s="17">
        <f t="shared" si="4"/>
        <v>15</v>
      </c>
      <c r="Z12" s="17">
        <f t="shared" si="4"/>
        <v>17</v>
      </c>
      <c r="AA12" s="17">
        <f t="shared" si="4"/>
        <v>0</v>
      </c>
      <c r="AB12" s="17">
        <f t="shared" si="4"/>
        <v>2</v>
      </c>
      <c r="AC12" s="17">
        <f t="shared" si="4"/>
        <v>826</v>
      </c>
      <c r="AD12" s="17">
        <f t="shared" si="4"/>
        <v>0</v>
      </c>
      <c r="AE12" s="31">
        <f t="shared" si="4"/>
        <v>356</v>
      </c>
      <c r="AF12" s="31">
        <f t="shared" si="4"/>
        <v>1182</v>
      </c>
    </row>
    <row r="13" spans="2:32" ht="23.1" customHeight="1" x14ac:dyDescent="0.25">
      <c r="B13" s="23" t="s">
        <v>40</v>
      </c>
      <c r="C13" s="50">
        <v>36</v>
      </c>
      <c r="D13" s="50">
        <v>5</v>
      </c>
      <c r="E13" s="50">
        <v>1</v>
      </c>
      <c r="F13" s="50">
        <v>50</v>
      </c>
      <c r="G13" s="50"/>
      <c r="H13" s="50">
        <v>1</v>
      </c>
      <c r="I13" s="50">
        <v>1</v>
      </c>
      <c r="J13" s="50">
        <v>8</v>
      </c>
      <c r="K13" s="50">
        <v>0</v>
      </c>
      <c r="L13" s="50">
        <v>0</v>
      </c>
      <c r="M13" s="50">
        <v>228</v>
      </c>
      <c r="N13" s="50">
        <v>0</v>
      </c>
      <c r="O13" s="15">
        <f t="shared" si="0"/>
        <v>102</v>
      </c>
      <c r="P13" s="15">
        <f t="shared" si="1"/>
        <v>330</v>
      </c>
      <c r="R13" s="1" t="s">
        <v>9</v>
      </c>
      <c r="S13" s="17">
        <f t="shared" ref="S13:AF13" si="5">SUM(C22:C25)</f>
        <v>134</v>
      </c>
      <c r="T13" s="17">
        <f t="shared" si="5"/>
        <v>28</v>
      </c>
      <c r="U13" s="17">
        <f t="shared" si="5"/>
        <v>14</v>
      </c>
      <c r="V13" s="17">
        <f t="shared" si="5"/>
        <v>172</v>
      </c>
      <c r="W13" s="17">
        <f t="shared" si="5"/>
        <v>2</v>
      </c>
      <c r="X13" s="17">
        <f t="shared" si="5"/>
        <v>2</v>
      </c>
      <c r="Y13" s="17">
        <f t="shared" si="5"/>
        <v>13</v>
      </c>
      <c r="Z13" s="17">
        <f t="shared" si="5"/>
        <v>23</v>
      </c>
      <c r="AA13" s="17">
        <f t="shared" si="5"/>
        <v>0</v>
      </c>
      <c r="AB13" s="17">
        <f t="shared" si="5"/>
        <v>8</v>
      </c>
      <c r="AC13" s="17">
        <f t="shared" si="5"/>
        <v>745</v>
      </c>
      <c r="AD13" s="17">
        <f t="shared" si="5"/>
        <v>1</v>
      </c>
      <c r="AE13" s="31">
        <f t="shared" si="5"/>
        <v>397</v>
      </c>
      <c r="AF13" s="31">
        <f t="shared" si="5"/>
        <v>1142</v>
      </c>
    </row>
    <row r="14" spans="2:32" ht="23.1" customHeight="1" x14ac:dyDescent="0.25">
      <c r="B14" s="23" t="s">
        <v>41</v>
      </c>
      <c r="C14" s="50">
        <v>30</v>
      </c>
      <c r="D14" s="50">
        <v>2</v>
      </c>
      <c r="E14" s="50">
        <v>2</v>
      </c>
      <c r="F14" s="50">
        <v>50</v>
      </c>
      <c r="G14" s="50">
        <v>4</v>
      </c>
      <c r="H14" s="50">
        <v>0</v>
      </c>
      <c r="I14" s="50">
        <v>1</v>
      </c>
      <c r="J14" s="50">
        <v>2</v>
      </c>
      <c r="K14" s="50">
        <v>0</v>
      </c>
      <c r="L14" s="50">
        <v>0</v>
      </c>
      <c r="M14" s="50">
        <v>215</v>
      </c>
      <c r="N14" s="50">
        <v>0</v>
      </c>
      <c r="O14" s="15">
        <f t="shared" si="0"/>
        <v>91</v>
      </c>
      <c r="P14" s="15">
        <f t="shared" si="1"/>
        <v>306</v>
      </c>
      <c r="R14" s="1" t="s">
        <v>10</v>
      </c>
      <c r="S14" s="17">
        <f t="shared" ref="S14:AF14" si="6">SUM(C26:C29)</f>
        <v>156</v>
      </c>
      <c r="T14" s="17">
        <f t="shared" si="6"/>
        <v>38</v>
      </c>
      <c r="U14" s="17">
        <f t="shared" si="6"/>
        <v>18</v>
      </c>
      <c r="V14" s="17">
        <f t="shared" si="6"/>
        <v>168</v>
      </c>
      <c r="W14" s="17">
        <f t="shared" si="6"/>
        <v>1</v>
      </c>
      <c r="X14" s="17">
        <f t="shared" si="6"/>
        <v>3</v>
      </c>
      <c r="Y14" s="17">
        <f t="shared" si="6"/>
        <v>18</v>
      </c>
      <c r="Z14" s="17">
        <f t="shared" si="6"/>
        <v>18</v>
      </c>
      <c r="AA14" s="17">
        <f t="shared" si="6"/>
        <v>2</v>
      </c>
      <c r="AB14" s="17">
        <f t="shared" si="6"/>
        <v>6</v>
      </c>
      <c r="AC14" s="17">
        <f t="shared" si="6"/>
        <v>732</v>
      </c>
      <c r="AD14" s="17">
        <f t="shared" si="6"/>
        <v>0</v>
      </c>
      <c r="AE14" s="31">
        <f t="shared" si="6"/>
        <v>428</v>
      </c>
      <c r="AF14" s="31">
        <f t="shared" si="6"/>
        <v>1160</v>
      </c>
    </row>
    <row r="15" spans="2:32" ht="23.1" customHeight="1" x14ac:dyDescent="0.25">
      <c r="B15" s="23" t="s">
        <v>42</v>
      </c>
      <c r="C15" s="50">
        <v>30</v>
      </c>
      <c r="D15" s="50">
        <v>6</v>
      </c>
      <c r="E15" s="50">
        <v>1</v>
      </c>
      <c r="F15" s="50">
        <v>68</v>
      </c>
      <c r="G15" s="50">
        <v>1</v>
      </c>
      <c r="H15" s="50">
        <v>0</v>
      </c>
      <c r="I15" s="50">
        <v>2</v>
      </c>
      <c r="J15" s="50">
        <v>1</v>
      </c>
      <c r="K15" s="50">
        <v>0</v>
      </c>
      <c r="L15" s="50">
        <v>0</v>
      </c>
      <c r="M15" s="50">
        <v>210</v>
      </c>
      <c r="N15" s="50">
        <v>0</v>
      </c>
      <c r="O15" s="15">
        <f t="shared" si="0"/>
        <v>109</v>
      </c>
      <c r="P15" s="15">
        <f t="shared" si="1"/>
        <v>319</v>
      </c>
      <c r="R15" s="1" t="s">
        <v>11</v>
      </c>
      <c r="S15" s="17">
        <f t="shared" ref="S15:AF15" si="7">SUM(C30:C33)</f>
        <v>160</v>
      </c>
      <c r="T15" s="17">
        <f t="shared" si="7"/>
        <v>42</v>
      </c>
      <c r="U15" s="17">
        <f t="shared" si="7"/>
        <v>12</v>
      </c>
      <c r="V15" s="17">
        <f t="shared" si="7"/>
        <v>125</v>
      </c>
      <c r="W15" s="17">
        <f t="shared" si="7"/>
        <v>8</v>
      </c>
      <c r="X15" s="17">
        <f t="shared" si="7"/>
        <v>10</v>
      </c>
      <c r="Y15" s="17">
        <f t="shared" si="7"/>
        <v>12</v>
      </c>
      <c r="Z15" s="17">
        <f t="shared" si="7"/>
        <v>19</v>
      </c>
      <c r="AA15" s="17">
        <f t="shared" si="7"/>
        <v>0</v>
      </c>
      <c r="AB15" s="17">
        <f t="shared" si="7"/>
        <v>0</v>
      </c>
      <c r="AC15" s="17">
        <f t="shared" si="7"/>
        <v>622</v>
      </c>
      <c r="AD15" s="17">
        <f t="shared" si="7"/>
        <v>0</v>
      </c>
      <c r="AE15" s="31">
        <f t="shared" si="7"/>
        <v>388</v>
      </c>
      <c r="AF15" s="31">
        <f t="shared" si="7"/>
        <v>1010</v>
      </c>
    </row>
    <row r="16" spans="2:32" ht="23.1" customHeight="1" x14ac:dyDescent="0.25">
      <c r="B16" s="23" t="s">
        <v>43</v>
      </c>
      <c r="C16" s="50">
        <v>31</v>
      </c>
      <c r="D16" s="50">
        <v>5</v>
      </c>
      <c r="E16" s="50">
        <v>2</v>
      </c>
      <c r="F16" s="50">
        <v>63</v>
      </c>
      <c r="G16" s="50">
        <v>1</v>
      </c>
      <c r="H16" s="50">
        <v>1</v>
      </c>
      <c r="I16" s="50">
        <v>4</v>
      </c>
      <c r="J16" s="50">
        <v>5</v>
      </c>
      <c r="K16" s="50">
        <v>0</v>
      </c>
      <c r="L16" s="50">
        <v>0</v>
      </c>
      <c r="M16" s="50">
        <v>235</v>
      </c>
      <c r="N16" s="50">
        <v>0</v>
      </c>
      <c r="O16" s="15">
        <f t="shared" si="0"/>
        <v>112</v>
      </c>
      <c r="P16" s="15">
        <f t="shared" si="1"/>
        <v>347</v>
      </c>
      <c r="R16" s="1" t="s">
        <v>12</v>
      </c>
      <c r="S16" s="17">
        <f t="shared" ref="S16:AF16" si="8">SUM(C34:C37)</f>
        <v>117</v>
      </c>
      <c r="T16" s="17">
        <f t="shared" si="8"/>
        <v>33</v>
      </c>
      <c r="U16" s="17">
        <f t="shared" si="8"/>
        <v>15</v>
      </c>
      <c r="V16" s="17">
        <f t="shared" si="8"/>
        <v>129</v>
      </c>
      <c r="W16" s="17">
        <f t="shared" si="8"/>
        <v>1</v>
      </c>
      <c r="X16" s="17">
        <f t="shared" si="8"/>
        <v>4</v>
      </c>
      <c r="Y16" s="17">
        <f t="shared" si="8"/>
        <v>11</v>
      </c>
      <c r="Z16" s="17">
        <f t="shared" si="8"/>
        <v>14</v>
      </c>
      <c r="AA16" s="17">
        <f t="shared" si="8"/>
        <v>1</v>
      </c>
      <c r="AB16" s="17">
        <f t="shared" si="8"/>
        <v>0</v>
      </c>
      <c r="AC16" s="17">
        <f t="shared" si="8"/>
        <v>512</v>
      </c>
      <c r="AD16" s="17">
        <f t="shared" si="8"/>
        <v>0</v>
      </c>
      <c r="AE16" s="31">
        <f t="shared" si="8"/>
        <v>325</v>
      </c>
      <c r="AF16" s="31">
        <f t="shared" si="8"/>
        <v>837</v>
      </c>
    </row>
    <row r="17" spans="2:32" ht="23.1" customHeight="1" x14ac:dyDescent="0.25">
      <c r="B17" s="23" t="s">
        <v>44</v>
      </c>
      <c r="C17" s="50">
        <v>14</v>
      </c>
      <c r="D17" s="50">
        <v>8</v>
      </c>
      <c r="E17" s="50">
        <v>3</v>
      </c>
      <c r="F17" s="50">
        <v>47</v>
      </c>
      <c r="G17" s="50">
        <v>0</v>
      </c>
      <c r="H17" s="50">
        <v>0</v>
      </c>
      <c r="I17" s="50">
        <v>2</v>
      </c>
      <c r="J17" s="50">
        <v>0</v>
      </c>
      <c r="K17" s="50">
        <v>0</v>
      </c>
      <c r="L17" s="50">
        <v>1</v>
      </c>
      <c r="M17" s="50">
        <v>230</v>
      </c>
      <c r="N17" s="50">
        <v>0</v>
      </c>
      <c r="O17" s="15">
        <f t="shared" si="0"/>
        <v>75</v>
      </c>
      <c r="P17" s="15">
        <f t="shared" si="1"/>
        <v>305</v>
      </c>
      <c r="R17" s="1" t="s">
        <v>13</v>
      </c>
      <c r="S17" s="17">
        <f t="shared" ref="S17:AF17" si="9">SUM(C38:C41)</f>
        <v>163</v>
      </c>
      <c r="T17" s="17">
        <f t="shared" si="9"/>
        <v>44</v>
      </c>
      <c r="U17" s="17">
        <f t="shared" si="9"/>
        <v>12</v>
      </c>
      <c r="V17" s="17">
        <f t="shared" si="9"/>
        <v>103</v>
      </c>
      <c r="W17" s="17">
        <f t="shared" si="9"/>
        <v>3</v>
      </c>
      <c r="X17" s="17">
        <f t="shared" si="9"/>
        <v>4</v>
      </c>
      <c r="Y17" s="17">
        <f t="shared" si="9"/>
        <v>27</v>
      </c>
      <c r="Z17" s="17">
        <f t="shared" si="9"/>
        <v>18</v>
      </c>
      <c r="AA17" s="17">
        <f t="shared" si="9"/>
        <v>3</v>
      </c>
      <c r="AB17" s="17">
        <f t="shared" si="9"/>
        <v>3</v>
      </c>
      <c r="AC17" s="17">
        <f t="shared" si="9"/>
        <v>569</v>
      </c>
      <c r="AD17" s="17">
        <f t="shared" si="9"/>
        <v>0</v>
      </c>
      <c r="AE17" s="31">
        <f t="shared" si="9"/>
        <v>380</v>
      </c>
      <c r="AF17" s="31">
        <f t="shared" si="9"/>
        <v>949</v>
      </c>
    </row>
    <row r="18" spans="2:32" ht="23.1" customHeight="1" x14ac:dyDescent="0.25">
      <c r="B18" s="23" t="s">
        <v>45</v>
      </c>
      <c r="C18" s="50">
        <v>31</v>
      </c>
      <c r="D18" s="50">
        <v>7</v>
      </c>
      <c r="E18" s="50">
        <v>5</v>
      </c>
      <c r="F18" s="50">
        <v>62</v>
      </c>
      <c r="G18" s="50">
        <v>1</v>
      </c>
      <c r="H18" s="50">
        <v>1</v>
      </c>
      <c r="I18" s="50">
        <v>4</v>
      </c>
      <c r="J18" s="50">
        <v>8</v>
      </c>
      <c r="K18" s="50">
        <v>0</v>
      </c>
      <c r="L18" s="50">
        <v>1</v>
      </c>
      <c r="M18" s="50">
        <v>250</v>
      </c>
      <c r="N18" s="50">
        <v>0</v>
      </c>
      <c r="O18" s="15">
        <f t="shared" si="0"/>
        <v>120</v>
      </c>
      <c r="P18" s="15">
        <f t="shared" si="1"/>
        <v>370</v>
      </c>
      <c r="R18" s="1" t="s">
        <v>14</v>
      </c>
      <c r="S18" s="17">
        <f t="shared" ref="S18:AF18" si="10">SUM(C42:C45)</f>
        <v>191</v>
      </c>
      <c r="T18" s="17">
        <f t="shared" si="10"/>
        <v>43</v>
      </c>
      <c r="U18" s="17">
        <f t="shared" si="10"/>
        <v>23</v>
      </c>
      <c r="V18" s="17">
        <f t="shared" si="10"/>
        <v>132</v>
      </c>
      <c r="W18" s="17">
        <f t="shared" si="10"/>
        <v>2</v>
      </c>
      <c r="X18" s="17">
        <f t="shared" si="10"/>
        <v>3</v>
      </c>
      <c r="Y18" s="17">
        <f t="shared" si="10"/>
        <v>14</v>
      </c>
      <c r="Z18" s="17">
        <f t="shared" si="10"/>
        <v>15</v>
      </c>
      <c r="AA18" s="17">
        <f t="shared" si="10"/>
        <v>6</v>
      </c>
      <c r="AB18" s="17">
        <f t="shared" si="10"/>
        <v>1</v>
      </c>
      <c r="AC18" s="17">
        <f t="shared" si="10"/>
        <v>529</v>
      </c>
      <c r="AD18" s="17">
        <f t="shared" si="10"/>
        <v>0</v>
      </c>
      <c r="AE18" s="31">
        <f t="shared" si="10"/>
        <v>430</v>
      </c>
      <c r="AF18" s="31">
        <f t="shared" si="10"/>
        <v>959</v>
      </c>
    </row>
    <row r="19" spans="2:32" ht="23.1" customHeight="1" x14ac:dyDescent="0.25">
      <c r="B19" s="23" t="s">
        <v>46</v>
      </c>
      <c r="C19" s="50">
        <v>24</v>
      </c>
      <c r="D19" s="50">
        <v>8</v>
      </c>
      <c r="E19" s="50">
        <v>5</v>
      </c>
      <c r="F19" s="50">
        <v>58</v>
      </c>
      <c r="G19" s="50">
        <v>0</v>
      </c>
      <c r="H19" s="50">
        <v>1</v>
      </c>
      <c r="I19" s="50">
        <v>5</v>
      </c>
      <c r="J19" s="50">
        <v>2</v>
      </c>
      <c r="K19" s="50">
        <v>0</v>
      </c>
      <c r="L19" s="50">
        <v>0</v>
      </c>
      <c r="M19" s="50">
        <v>210</v>
      </c>
      <c r="N19" s="50">
        <v>0</v>
      </c>
      <c r="O19" s="15">
        <f t="shared" si="0"/>
        <v>103</v>
      </c>
      <c r="P19" s="15">
        <f t="shared" si="1"/>
        <v>313</v>
      </c>
      <c r="R19" s="1" t="s">
        <v>15</v>
      </c>
      <c r="S19" s="17">
        <f t="shared" ref="S19:AF19" si="11">SUM(C46:C49)</f>
        <v>241</v>
      </c>
      <c r="T19" s="17">
        <f t="shared" si="11"/>
        <v>61</v>
      </c>
      <c r="U19" s="17">
        <f t="shared" si="11"/>
        <v>23</v>
      </c>
      <c r="V19" s="17">
        <f t="shared" si="11"/>
        <v>163</v>
      </c>
      <c r="W19" s="17">
        <f t="shared" si="11"/>
        <v>4</v>
      </c>
      <c r="X19" s="17">
        <f t="shared" si="11"/>
        <v>4</v>
      </c>
      <c r="Y19" s="17">
        <f t="shared" si="11"/>
        <v>23</v>
      </c>
      <c r="Z19" s="17">
        <f t="shared" si="11"/>
        <v>9</v>
      </c>
      <c r="AA19" s="17">
        <f t="shared" si="11"/>
        <v>7</v>
      </c>
      <c r="AB19" s="17">
        <f t="shared" si="11"/>
        <v>4</v>
      </c>
      <c r="AC19" s="17">
        <f t="shared" si="11"/>
        <v>565</v>
      </c>
      <c r="AD19" s="17">
        <f t="shared" si="11"/>
        <v>0</v>
      </c>
      <c r="AE19" s="31">
        <f t="shared" si="11"/>
        <v>539</v>
      </c>
      <c r="AF19" s="31">
        <f t="shared" si="11"/>
        <v>1104</v>
      </c>
    </row>
    <row r="20" spans="2:32" ht="23.1" customHeight="1" x14ac:dyDescent="0.25">
      <c r="B20" s="23" t="s">
        <v>47</v>
      </c>
      <c r="C20" s="50">
        <v>31</v>
      </c>
      <c r="D20" s="50">
        <v>6</v>
      </c>
      <c r="E20" s="50">
        <v>1</v>
      </c>
      <c r="F20" s="50">
        <v>42</v>
      </c>
      <c r="G20" s="50">
        <v>0</v>
      </c>
      <c r="H20" s="50">
        <v>0</v>
      </c>
      <c r="I20" s="50">
        <v>4</v>
      </c>
      <c r="J20" s="50">
        <v>4</v>
      </c>
      <c r="K20" s="50">
        <v>0</v>
      </c>
      <c r="L20" s="50">
        <v>1</v>
      </c>
      <c r="M20" s="50">
        <v>188</v>
      </c>
      <c r="N20" s="50">
        <v>0</v>
      </c>
      <c r="O20" s="15">
        <f t="shared" si="0"/>
        <v>89</v>
      </c>
      <c r="P20" s="15">
        <f t="shared" si="1"/>
        <v>277</v>
      </c>
      <c r="R20" s="1" t="s">
        <v>16</v>
      </c>
      <c r="S20" s="17">
        <f t="shared" ref="S20:AF20" si="12">SUM(C50:C53)</f>
        <v>293</v>
      </c>
      <c r="T20" s="17">
        <f t="shared" si="12"/>
        <v>68</v>
      </c>
      <c r="U20" s="17">
        <f t="shared" si="12"/>
        <v>19</v>
      </c>
      <c r="V20" s="17">
        <f t="shared" si="12"/>
        <v>157</v>
      </c>
      <c r="W20" s="17">
        <f t="shared" si="12"/>
        <v>8</v>
      </c>
      <c r="X20" s="17">
        <f t="shared" si="12"/>
        <v>3</v>
      </c>
      <c r="Y20" s="17">
        <f t="shared" si="12"/>
        <v>18</v>
      </c>
      <c r="Z20" s="17">
        <f t="shared" si="12"/>
        <v>15</v>
      </c>
      <c r="AA20" s="17">
        <f t="shared" si="12"/>
        <v>0</v>
      </c>
      <c r="AB20" s="17">
        <f t="shared" si="12"/>
        <v>3</v>
      </c>
      <c r="AC20" s="17">
        <f t="shared" si="12"/>
        <v>629</v>
      </c>
      <c r="AD20" s="17">
        <f t="shared" si="12"/>
        <v>1</v>
      </c>
      <c r="AE20" s="31">
        <f t="shared" si="12"/>
        <v>585</v>
      </c>
      <c r="AF20" s="31">
        <f t="shared" si="12"/>
        <v>1214</v>
      </c>
    </row>
    <row r="21" spans="2:32" ht="23.1" customHeight="1" x14ac:dyDescent="0.25">
      <c r="B21" s="23" t="s">
        <v>48</v>
      </c>
      <c r="C21" s="50">
        <v>21</v>
      </c>
      <c r="D21" s="50">
        <v>10</v>
      </c>
      <c r="E21" s="50">
        <v>4</v>
      </c>
      <c r="F21" s="50">
        <v>4</v>
      </c>
      <c r="G21" s="50">
        <v>0</v>
      </c>
      <c r="H21" s="50">
        <v>0</v>
      </c>
      <c r="I21" s="50">
        <v>2</v>
      </c>
      <c r="J21" s="50">
        <v>3</v>
      </c>
      <c r="K21" s="50">
        <v>0</v>
      </c>
      <c r="L21" s="50">
        <v>0</v>
      </c>
      <c r="M21" s="50">
        <v>178</v>
      </c>
      <c r="N21" s="50">
        <v>0</v>
      </c>
      <c r="O21" s="15">
        <f t="shared" si="0"/>
        <v>44</v>
      </c>
      <c r="P21" s="15">
        <f t="shared" si="1"/>
        <v>222</v>
      </c>
      <c r="R21" s="36" t="s">
        <v>20</v>
      </c>
      <c r="S21" s="34">
        <f t="shared" ref="S21:AF21" si="13">SUM(C54:C57)</f>
        <v>182</v>
      </c>
      <c r="T21" s="17">
        <f t="shared" si="13"/>
        <v>23</v>
      </c>
      <c r="U21" s="17">
        <f t="shared" si="13"/>
        <v>50</v>
      </c>
      <c r="V21" s="17">
        <f t="shared" si="13"/>
        <v>86</v>
      </c>
      <c r="W21" s="17">
        <f t="shared" si="13"/>
        <v>8</v>
      </c>
      <c r="X21" s="17">
        <f t="shared" si="13"/>
        <v>2</v>
      </c>
      <c r="Y21" s="17">
        <f t="shared" si="13"/>
        <v>9</v>
      </c>
      <c r="Z21" s="17">
        <f t="shared" si="13"/>
        <v>6</v>
      </c>
      <c r="AA21" s="17">
        <f t="shared" si="13"/>
        <v>0</v>
      </c>
      <c r="AB21" s="17">
        <f t="shared" si="13"/>
        <v>3</v>
      </c>
      <c r="AC21" s="17">
        <f t="shared" si="13"/>
        <v>558</v>
      </c>
      <c r="AD21" s="17">
        <f t="shared" si="13"/>
        <v>0</v>
      </c>
      <c r="AE21" s="31">
        <f t="shared" si="13"/>
        <v>369</v>
      </c>
      <c r="AF21" s="31">
        <f t="shared" si="13"/>
        <v>927</v>
      </c>
    </row>
    <row r="22" spans="2:32" ht="23.1" customHeight="1" x14ac:dyDescent="0.25">
      <c r="B22" s="23" t="s">
        <v>49</v>
      </c>
      <c r="C22" s="50">
        <v>28</v>
      </c>
      <c r="D22" s="50">
        <v>3</v>
      </c>
      <c r="E22" s="50">
        <v>3</v>
      </c>
      <c r="F22" s="50">
        <v>42</v>
      </c>
      <c r="G22" s="50">
        <v>1</v>
      </c>
      <c r="H22" s="50">
        <v>1</v>
      </c>
      <c r="I22" s="50">
        <v>2</v>
      </c>
      <c r="J22" s="50">
        <v>7</v>
      </c>
      <c r="K22" s="50">
        <v>0</v>
      </c>
      <c r="L22" s="50">
        <v>3</v>
      </c>
      <c r="M22" s="50">
        <v>215</v>
      </c>
      <c r="N22" s="50">
        <v>0</v>
      </c>
      <c r="O22" s="15">
        <f t="shared" si="0"/>
        <v>90</v>
      </c>
      <c r="P22" s="15">
        <f t="shared" si="1"/>
        <v>305</v>
      </c>
      <c r="R22" s="38" t="s">
        <v>90</v>
      </c>
      <c r="S22" s="39">
        <f>MAX(S10:S12)</f>
        <v>148</v>
      </c>
      <c r="T22" s="39">
        <f t="shared" ref="T22:AF22" si="14">MAX(T10:T12)</f>
        <v>31</v>
      </c>
      <c r="U22" s="39">
        <f t="shared" si="14"/>
        <v>15</v>
      </c>
      <c r="V22" s="39">
        <f t="shared" si="14"/>
        <v>228</v>
      </c>
      <c r="W22" s="39">
        <f t="shared" si="14"/>
        <v>6</v>
      </c>
      <c r="X22" s="39">
        <f t="shared" si="14"/>
        <v>5</v>
      </c>
      <c r="Y22" s="39">
        <f t="shared" si="14"/>
        <v>15</v>
      </c>
      <c r="Z22" s="39">
        <f t="shared" si="14"/>
        <v>17</v>
      </c>
      <c r="AA22" s="39">
        <f t="shared" si="14"/>
        <v>2</v>
      </c>
      <c r="AB22" s="39">
        <f t="shared" si="14"/>
        <v>3</v>
      </c>
      <c r="AC22" s="39">
        <f t="shared" si="14"/>
        <v>890</v>
      </c>
      <c r="AD22" s="39">
        <f t="shared" si="14"/>
        <v>0</v>
      </c>
      <c r="AE22" s="40">
        <f t="shared" si="14"/>
        <v>389</v>
      </c>
      <c r="AF22" s="40">
        <f t="shared" si="14"/>
        <v>1277</v>
      </c>
    </row>
    <row r="23" spans="2:32" ht="23.1" customHeight="1" x14ac:dyDescent="0.25">
      <c r="B23" s="23" t="s">
        <v>50</v>
      </c>
      <c r="C23" s="50">
        <v>44</v>
      </c>
      <c r="D23" s="50">
        <v>10</v>
      </c>
      <c r="E23" s="50">
        <v>5</v>
      </c>
      <c r="F23" s="50">
        <v>41</v>
      </c>
      <c r="G23" s="50">
        <v>0</v>
      </c>
      <c r="H23" s="50">
        <v>1</v>
      </c>
      <c r="I23" s="50">
        <v>4</v>
      </c>
      <c r="J23" s="50">
        <v>7</v>
      </c>
      <c r="K23" s="50">
        <v>0</v>
      </c>
      <c r="L23" s="50">
        <v>2</v>
      </c>
      <c r="M23" s="50">
        <v>185</v>
      </c>
      <c r="N23" s="50">
        <v>0</v>
      </c>
      <c r="O23" s="15">
        <f t="shared" si="0"/>
        <v>114</v>
      </c>
      <c r="P23" s="15">
        <f t="shared" si="1"/>
        <v>299</v>
      </c>
      <c r="R23" s="38" t="s">
        <v>91</v>
      </c>
      <c r="S23" s="39">
        <f>MAX(S13:S18)</f>
        <v>191</v>
      </c>
      <c r="T23" s="39">
        <f t="shared" ref="T23:AF23" si="15">MAX(T13:T18)</f>
        <v>44</v>
      </c>
      <c r="U23" s="39">
        <f t="shared" si="15"/>
        <v>23</v>
      </c>
      <c r="V23" s="39">
        <f t="shared" si="15"/>
        <v>172</v>
      </c>
      <c r="W23" s="39">
        <f t="shared" si="15"/>
        <v>8</v>
      </c>
      <c r="X23" s="39">
        <f t="shared" si="15"/>
        <v>10</v>
      </c>
      <c r="Y23" s="39">
        <f t="shared" si="15"/>
        <v>27</v>
      </c>
      <c r="Z23" s="39">
        <f t="shared" si="15"/>
        <v>23</v>
      </c>
      <c r="AA23" s="39">
        <f t="shared" si="15"/>
        <v>6</v>
      </c>
      <c r="AB23" s="39">
        <f t="shared" si="15"/>
        <v>8</v>
      </c>
      <c r="AC23" s="39">
        <f t="shared" si="15"/>
        <v>745</v>
      </c>
      <c r="AD23" s="39">
        <f t="shared" si="15"/>
        <v>1</v>
      </c>
      <c r="AE23" s="40">
        <f t="shared" si="15"/>
        <v>430</v>
      </c>
      <c r="AF23" s="40">
        <f t="shared" si="15"/>
        <v>1160</v>
      </c>
    </row>
    <row r="24" spans="2:32" ht="23.1" customHeight="1" x14ac:dyDescent="0.25">
      <c r="B24" s="23" t="s">
        <v>51</v>
      </c>
      <c r="C24" s="50">
        <v>30</v>
      </c>
      <c r="D24" s="50">
        <v>6</v>
      </c>
      <c r="E24" s="50">
        <v>3</v>
      </c>
      <c r="F24" s="50">
        <v>41</v>
      </c>
      <c r="G24" s="50">
        <v>0</v>
      </c>
      <c r="H24" s="50">
        <v>0</v>
      </c>
      <c r="I24" s="50">
        <v>2</v>
      </c>
      <c r="J24" s="50">
        <v>5</v>
      </c>
      <c r="K24" s="50">
        <v>0</v>
      </c>
      <c r="L24" s="50">
        <v>0</v>
      </c>
      <c r="M24" s="50">
        <v>190</v>
      </c>
      <c r="N24" s="50">
        <v>1</v>
      </c>
      <c r="O24" s="15">
        <f t="shared" si="0"/>
        <v>88</v>
      </c>
      <c r="P24" s="15">
        <f t="shared" si="1"/>
        <v>278</v>
      </c>
      <c r="R24" s="38" t="s">
        <v>92</v>
      </c>
      <c r="S24" s="39">
        <f>MAX(S19:S21)</f>
        <v>293</v>
      </c>
      <c r="T24" s="39">
        <f t="shared" ref="T24:AF24" si="16">MAX(T19:T21)</f>
        <v>68</v>
      </c>
      <c r="U24" s="39">
        <f t="shared" si="16"/>
        <v>50</v>
      </c>
      <c r="V24" s="39">
        <f t="shared" si="16"/>
        <v>163</v>
      </c>
      <c r="W24" s="39">
        <f t="shared" si="16"/>
        <v>8</v>
      </c>
      <c r="X24" s="39">
        <f t="shared" si="16"/>
        <v>4</v>
      </c>
      <c r="Y24" s="39">
        <f t="shared" si="16"/>
        <v>23</v>
      </c>
      <c r="Z24" s="39">
        <f t="shared" si="16"/>
        <v>15</v>
      </c>
      <c r="AA24" s="39">
        <f t="shared" si="16"/>
        <v>7</v>
      </c>
      <c r="AB24" s="39">
        <f t="shared" si="16"/>
        <v>4</v>
      </c>
      <c r="AC24" s="39">
        <f t="shared" si="16"/>
        <v>629</v>
      </c>
      <c r="AD24" s="39">
        <f t="shared" si="16"/>
        <v>1</v>
      </c>
      <c r="AE24" s="40">
        <f t="shared" si="16"/>
        <v>585</v>
      </c>
      <c r="AF24" s="40">
        <f t="shared" si="16"/>
        <v>1214</v>
      </c>
    </row>
    <row r="25" spans="2:32" ht="23.1" customHeight="1" x14ac:dyDescent="0.25">
      <c r="B25" s="23" t="s">
        <v>52</v>
      </c>
      <c r="C25" s="50">
        <v>32</v>
      </c>
      <c r="D25" s="50">
        <v>9</v>
      </c>
      <c r="E25" s="50">
        <v>3</v>
      </c>
      <c r="F25" s="50">
        <v>48</v>
      </c>
      <c r="G25" s="50">
        <v>1</v>
      </c>
      <c r="H25" s="50">
        <v>0</v>
      </c>
      <c r="I25" s="50">
        <v>5</v>
      </c>
      <c r="J25" s="50">
        <v>4</v>
      </c>
      <c r="K25" s="50">
        <v>0</v>
      </c>
      <c r="L25" s="50">
        <v>3</v>
      </c>
      <c r="M25" s="50">
        <v>155</v>
      </c>
      <c r="N25" s="50">
        <v>0</v>
      </c>
      <c r="O25" s="15">
        <f t="shared" si="0"/>
        <v>105</v>
      </c>
      <c r="P25" s="15">
        <f t="shared" si="1"/>
        <v>260</v>
      </c>
      <c r="R25" s="37" t="s">
        <v>85</v>
      </c>
      <c r="S25" s="35">
        <f t="shared" ref="S25:AF25" si="17">SUM(S10:S12)</f>
        <v>360</v>
      </c>
      <c r="T25" s="16">
        <f t="shared" si="17"/>
        <v>72</v>
      </c>
      <c r="U25" s="16">
        <f t="shared" si="17"/>
        <v>33</v>
      </c>
      <c r="V25" s="16">
        <f t="shared" si="17"/>
        <v>566</v>
      </c>
      <c r="W25" s="16">
        <f t="shared" si="17"/>
        <v>12</v>
      </c>
      <c r="X25" s="16">
        <f t="shared" si="17"/>
        <v>8</v>
      </c>
      <c r="Y25" s="16">
        <f t="shared" si="17"/>
        <v>32</v>
      </c>
      <c r="Z25" s="16">
        <f t="shared" si="17"/>
        <v>41</v>
      </c>
      <c r="AA25" s="16">
        <f t="shared" si="17"/>
        <v>2</v>
      </c>
      <c r="AB25" s="16">
        <f t="shared" si="17"/>
        <v>6</v>
      </c>
      <c r="AC25" s="16">
        <f t="shared" si="17"/>
        <v>2463</v>
      </c>
      <c r="AD25" s="16">
        <f t="shared" si="17"/>
        <v>0</v>
      </c>
      <c r="AE25" s="32">
        <f t="shared" si="17"/>
        <v>1132</v>
      </c>
      <c r="AF25" s="32">
        <f t="shared" si="17"/>
        <v>3595</v>
      </c>
    </row>
    <row r="26" spans="2:32" ht="23.1" customHeight="1" x14ac:dyDescent="0.25">
      <c r="B26" s="23" t="s">
        <v>53</v>
      </c>
      <c r="C26" s="50">
        <v>43</v>
      </c>
      <c r="D26" s="50">
        <v>11</v>
      </c>
      <c r="E26" s="50">
        <v>3</v>
      </c>
      <c r="F26" s="50">
        <v>54</v>
      </c>
      <c r="G26" s="50">
        <v>0</v>
      </c>
      <c r="H26" s="50">
        <v>1</v>
      </c>
      <c r="I26" s="50">
        <v>6</v>
      </c>
      <c r="J26" s="50">
        <v>6</v>
      </c>
      <c r="K26" s="50">
        <v>2</v>
      </c>
      <c r="L26" s="50">
        <v>0</v>
      </c>
      <c r="M26" s="50">
        <v>211</v>
      </c>
      <c r="N26" s="50">
        <v>0</v>
      </c>
      <c r="O26" s="15">
        <f t="shared" si="0"/>
        <v>126</v>
      </c>
      <c r="P26" s="15">
        <f t="shared" si="1"/>
        <v>337</v>
      </c>
      <c r="R26" s="28" t="s">
        <v>86</v>
      </c>
      <c r="S26" s="16">
        <f t="shared" ref="S26:AF26" si="18">SUM(S13:S18)</f>
        <v>921</v>
      </c>
      <c r="T26" s="16">
        <f t="shared" si="18"/>
        <v>228</v>
      </c>
      <c r="U26" s="16">
        <f t="shared" si="18"/>
        <v>94</v>
      </c>
      <c r="V26" s="16">
        <f t="shared" si="18"/>
        <v>829</v>
      </c>
      <c r="W26" s="16">
        <f t="shared" si="18"/>
        <v>17</v>
      </c>
      <c r="X26" s="16">
        <f t="shared" si="18"/>
        <v>26</v>
      </c>
      <c r="Y26" s="16">
        <f t="shared" si="18"/>
        <v>95</v>
      </c>
      <c r="Z26" s="16">
        <f t="shared" si="18"/>
        <v>107</v>
      </c>
      <c r="AA26" s="16">
        <f t="shared" si="18"/>
        <v>12</v>
      </c>
      <c r="AB26" s="16">
        <f t="shared" si="18"/>
        <v>18</v>
      </c>
      <c r="AC26" s="16">
        <f t="shared" si="18"/>
        <v>3709</v>
      </c>
      <c r="AD26" s="16">
        <f t="shared" si="18"/>
        <v>1</v>
      </c>
      <c r="AE26" s="32">
        <f t="shared" si="18"/>
        <v>2348</v>
      </c>
      <c r="AF26" s="32">
        <f t="shared" si="18"/>
        <v>6057</v>
      </c>
    </row>
    <row r="27" spans="2:32" ht="23.1" customHeight="1" x14ac:dyDescent="0.25">
      <c r="B27" s="23" t="s">
        <v>54</v>
      </c>
      <c r="C27" s="50">
        <v>42</v>
      </c>
      <c r="D27" s="50">
        <v>12</v>
      </c>
      <c r="E27" s="50">
        <v>8</v>
      </c>
      <c r="F27" s="50">
        <v>32</v>
      </c>
      <c r="G27" s="50">
        <v>0</v>
      </c>
      <c r="H27" s="50">
        <v>0</v>
      </c>
      <c r="I27" s="50">
        <v>2</v>
      </c>
      <c r="J27" s="50">
        <v>5</v>
      </c>
      <c r="K27" s="50">
        <v>0</v>
      </c>
      <c r="L27" s="50">
        <v>3</v>
      </c>
      <c r="M27" s="50">
        <v>158</v>
      </c>
      <c r="N27" s="50">
        <v>0</v>
      </c>
      <c r="O27" s="15">
        <f t="shared" si="0"/>
        <v>104</v>
      </c>
      <c r="P27" s="15">
        <f t="shared" si="1"/>
        <v>262</v>
      </c>
      <c r="R27" s="29" t="s">
        <v>87</v>
      </c>
      <c r="S27" s="16">
        <f t="shared" ref="S27:AF27" si="19">SUM(S19:S21)</f>
        <v>716</v>
      </c>
      <c r="T27" s="16">
        <f t="shared" si="19"/>
        <v>152</v>
      </c>
      <c r="U27" s="16">
        <f t="shared" si="19"/>
        <v>92</v>
      </c>
      <c r="V27" s="16">
        <f t="shared" si="19"/>
        <v>406</v>
      </c>
      <c r="W27" s="16">
        <f t="shared" si="19"/>
        <v>20</v>
      </c>
      <c r="X27" s="16">
        <f t="shared" si="19"/>
        <v>9</v>
      </c>
      <c r="Y27" s="16">
        <f t="shared" si="19"/>
        <v>50</v>
      </c>
      <c r="Z27" s="16">
        <f t="shared" si="19"/>
        <v>30</v>
      </c>
      <c r="AA27" s="16">
        <f t="shared" si="19"/>
        <v>7</v>
      </c>
      <c r="AB27" s="16">
        <f t="shared" si="19"/>
        <v>10</v>
      </c>
      <c r="AC27" s="16">
        <f t="shared" si="19"/>
        <v>1752</v>
      </c>
      <c r="AD27" s="16">
        <f t="shared" si="19"/>
        <v>1</v>
      </c>
      <c r="AE27" s="32">
        <f t="shared" si="19"/>
        <v>1493</v>
      </c>
      <c r="AF27" s="32">
        <f t="shared" si="19"/>
        <v>3245</v>
      </c>
    </row>
    <row r="28" spans="2:32" ht="23.1" customHeight="1" x14ac:dyDescent="0.25">
      <c r="B28" s="23" t="s">
        <v>55</v>
      </c>
      <c r="C28" s="50">
        <v>38</v>
      </c>
      <c r="D28" s="50">
        <v>10</v>
      </c>
      <c r="E28" s="50">
        <v>6</v>
      </c>
      <c r="F28" s="50">
        <v>43</v>
      </c>
      <c r="G28" s="50">
        <v>0</v>
      </c>
      <c r="H28" s="50">
        <v>2</v>
      </c>
      <c r="I28" s="50">
        <v>2</v>
      </c>
      <c r="J28" s="50">
        <v>4</v>
      </c>
      <c r="K28" s="50">
        <v>0</v>
      </c>
      <c r="L28" s="50">
        <v>2</v>
      </c>
      <c r="M28" s="50">
        <v>210</v>
      </c>
      <c r="N28" s="50">
        <v>0</v>
      </c>
      <c r="O28" s="15">
        <f t="shared" si="0"/>
        <v>107</v>
      </c>
      <c r="P28" s="15">
        <f t="shared" si="1"/>
        <v>317</v>
      </c>
      <c r="R28" s="5" t="s">
        <v>17</v>
      </c>
      <c r="S28" s="16">
        <f t="shared" ref="S28:AF28" si="20">SUM(S10:S21)</f>
        <v>1997</v>
      </c>
      <c r="T28" s="16">
        <f t="shared" si="20"/>
        <v>452</v>
      </c>
      <c r="U28" s="16">
        <f t="shared" si="20"/>
        <v>219</v>
      </c>
      <c r="V28" s="16">
        <f t="shared" si="20"/>
        <v>1801</v>
      </c>
      <c r="W28" s="16">
        <f t="shared" si="20"/>
        <v>49</v>
      </c>
      <c r="X28" s="16">
        <f t="shared" si="20"/>
        <v>43</v>
      </c>
      <c r="Y28" s="16">
        <f t="shared" si="20"/>
        <v>177</v>
      </c>
      <c r="Z28" s="16">
        <f t="shared" si="20"/>
        <v>178</v>
      </c>
      <c r="AA28" s="16">
        <f t="shared" si="20"/>
        <v>21</v>
      </c>
      <c r="AB28" s="16">
        <f t="shared" si="20"/>
        <v>34</v>
      </c>
      <c r="AC28" s="16">
        <f t="shared" si="20"/>
        <v>7924</v>
      </c>
      <c r="AD28" s="16">
        <f t="shared" si="20"/>
        <v>2</v>
      </c>
      <c r="AE28" s="32">
        <f t="shared" si="20"/>
        <v>4973</v>
      </c>
      <c r="AF28" s="32">
        <f t="shared" si="20"/>
        <v>12897</v>
      </c>
    </row>
    <row r="29" spans="2:32" ht="23.1" customHeight="1" x14ac:dyDescent="0.25">
      <c r="B29" s="23" t="s">
        <v>56</v>
      </c>
      <c r="C29" s="50">
        <v>33</v>
      </c>
      <c r="D29" s="50">
        <v>5</v>
      </c>
      <c r="E29" s="50">
        <v>1</v>
      </c>
      <c r="F29" s="50">
        <v>39</v>
      </c>
      <c r="G29" s="50">
        <v>1</v>
      </c>
      <c r="H29" s="50">
        <v>0</v>
      </c>
      <c r="I29" s="50">
        <v>8</v>
      </c>
      <c r="J29" s="50">
        <v>3</v>
      </c>
      <c r="K29" s="50">
        <v>0</v>
      </c>
      <c r="L29" s="50">
        <v>1</v>
      </c>
      <c r="M29" s="50">
        <v>153</v>
      </c>
      <c r="N29" s="50">
        <v>0</v>
      </c>
      <c r="O29" s="15">
        <f t="shared" si="0"/>
        <v>91</v>
      </c>
      <c r="P29" s="15">
        <f t="shared" si="1"/>
        <v>244</v>
      </c>
      <c r="R29"/>
      <c r="S29" s="20"/>
      <c r="T29" s="19"/>
    </row>
    <row r="30" spans="2:32" ht="23.1" customHeight="1" x14ac:dyDescent="0.25">
      <c r="B30" s="23" t="s">
        <v>57</v>
      </c>
      <c r="C30" s="50">
        <v>41</v>
      </c>
      <c r="D30" s="50">
        <v>10</v>
      </c>
      <c r="E30" s="50">
        <v>3</v>
      </c>
      <c r="F30" s="50">
        <v>51</v>
      </c>
      <c r="G30" s="50">
        <v>0</v>
      </c>
      <c r="H30" s="50">
        <v>2</v>
      </c>
      <c r="I30" s="50">
        <v>4</v>
      </c>
      <c r="J30" s="50">
        <v>9</v>
      </c>
      <c r="K30" s="50">
        <v>0</v>
      </c>
      <c r="L30" s="50">
        <v>0</v>
      </c>
      <c r="M30" s="50">
        <v>194</v>
      </c>
      <c r="N30" s="50">
        <v>0</v>
      </c>
      <c r="O30" s="15">
        <f t="shared" si="0"/>
        <v>120</v>
      </c>
      <c r="P30" s="15">
        <f t="shared" si="1"/>
        <v>314</v>
      </c>
    </row>
    <row r="31" spans="2:32" ht="23.1" customHeight="1" x14ac:dyDescent="0.25">
      <c r="B31" s="24" t="s">
        <v>58</v>
      </c>
      <c r="C31" s="50">
        <v>34</v>
      </c>
      <c r="D31" s="50">
        <v>10</v>
      </c>
      <c r="E31" s="50">
        <v>4</v>
      </c>
      <c r="F31" s="50">
        <v>34</v>
      </c>
      <c r="G31" s="50">
        <v>0</v>
      </c>
      <c r="H31" s="50">
        <v>1</v>
      </c>
      <c r="I31" s="50">
        <v>3</v>
      </c>
      <c r="J31" s="50">
        <v>4</v>
      </c>
      <c r="K31" s="50">
        <v>0</v>
      </c>
      <c r="L31" s="50">
        <v>0</v>
      </c>
      <c r="M31" s="50">
        <v>125</v>
      </c>
      <c r="N31" s="50">
        <v>0</v>
      </c>
      <c r="O31" s="15">
        <f t="shared" si="0"/>
        <v>90</v>
      </c>
      <c r="P31" s="15">
        <f t="shared" si="1"/>
        <v>215</v>
      </c>
    </row>
    <row r="32" spans="2:32" ht="23.1" customHeight="1" x14ac:dyDescent="0.25">
      <c r="B32" s="24" t="s">
        <v>59</v>
      </c>
      <c r="C32" s="50">
        <v>37</v>
      </c>
      <c r="D32" s="50">
        <v>10</v>
      </c>
      <c r="E32" s="50">
        <v>3</v>
      </c>
      <c r="F32" s="50">
        <v>40</v>
      </c>
      <c r="G32" s="50">
        <v>2</v>
      </c>
      <c r="H32" s="50">
        <v>0</v>
      </c>
      <c r="I32" s="50">
        <v>5</v>
      </c>
      <c r="J32" s="50">
        <v>5</v>
      </c>
      <c r="K32" s="50">
        <v>0</v>
      </c>
      <c r="L32" s="50">
        <v>0</v>
      </c>
      <c r="M32" s="50">
        <v>148</v>
      </c>
      <c r="N32" s="50">
        <v>0</v>
      </c>
      <c r="O32" s="15">
        <f t="shared" si="0"/>
        <v>102</v>
      </c>
      <c r="P32" s="15">
        <f t="shared" si="1"/>
        <v>250</v>
      </c>
    </row>
    <row r="33" spans="2:20" ht="23.1" customHeight="1" x14ac:dyDescent="0.25">
      <c r="B33" s="23" t="s">
        <v>60</v>
      </c>
      <c r="C33" s="50">
        <v>48</v>
      </c>
      <c r="D33" s="50">
        <v>12</v>
      </c>
      <c r="E33" s="50">
        <v>2</v>
      </c>
      <c r="F33" s="50">
        <v>0</v>
      </c>
      <c r="G33" s="50">
        <v>6</v>
      </c>
      <c r="H33" s="50">
        <v>7</v>
      </c>
      <c r="I33" s="50">
        <v>0</v>
      </c>
      <c r="J33" s="50">
        <v>1</v>
      </c>
      <c r="K33" s="50">
        <v>0</v>
      </c>
      <c r="L33" s="50">
        <v>0</v>
      </c>
      <c r="M33" s="50">
        <v>155</v>
      </c>
      <c r="N33" s="50">
        <v>0</v>
      </c>
      <c r="O33" s="15">
        <f t="shared" si="0"/>
        <v>76</v>
      </c>
      <c r="P33" s="15">
        <f t="shared" si="1"/>
        <v>231</v>
      </c>
    </row>
    <row r="34" spans="2:20" ht="23.1" customHeight="1" x14ac:dyDescent="0.25">
      <c r="B34" s="24" t="s">
        <v>61</v>
      </c>
      <c r="C34" s="50">
        <v>36</v>
      </c>
      <c r="D34" s="50">
        <v>11</v>
      </c>
      <c r="E34" s="50">
        <v>3</v>
      </c>
      <c r="F34" s="50">
        <v>34</v>
      </c>
      <c r="G34" s="50">
        <v>0</v>
      </c>
      <c r="H34" s="50">
        <v>1</v>
      </c>
      <c r="I34" s="50">
        <v>2</v>
      </c>
      <c r="J34" s="50">
        <v>6</v>
      </c>
      <c r="K34" s="50">
        <v>1</v>
      </c>
      <c r="L34" s="50">
        <v>0</v>
      </c>
      <c r="M34" s="50">
        <v>137</v>
      </c>
      <c r="N34" s="50">
        <v>0</v>
      </c>
      <c r="O34" s="15">
        <f t="shared" si="0"/>
        <v>94</v>
      </c>
      <c r="P34" s="15">
        <f t="shared" si="1"/>
        <v>231</v>
      </c>
    </row>
    <row r="35" spans="2:20" ht="23.1" customHeight="1" x14ac:dyDescent="0.25">
      <c r="B35" s="24" t="s">
        <v>62</v>
      </c>
      <c r="C35" s="50">
        <v>19</v>
      </c>
      <c r="D35" s="50">
        <v>11</v>
      </c>
      <c r="E35" s="50">
        <v>3</v>
      </c>
      <c r="F35" s="50">
        <v>20</v>
      </c>
      <c r="G35" s="50">
        <v>0</v>
      </c>
      <c r="H35" s="50">
        <v>0</v>
      </c>
      <c r="I35" s="50">
        <v>1</v>
      </c>
      <c r="J35" s="50">
        <v>1</v>
      </c>
      <c r="K35" s="50">
        <v>0</v>
      </c>
      <c r="L35" s="50">
        <v>0</v>
      </c>
      <c r="M35" s="50">
        <v>90</v>
      </c>
      <c r="N35" s="50">
        <v>0</v>
      </c>
      <c r="O35" s="15">
        <f t="shared" si="0"/>
        <v>55</v>
      </c>
      <c r="P35" s="15">
        <f t="shared" si="1"/>
        <v>145</v>
      </c>
    </row>
    <row r="36" spans="2:20" ht="23.1" customHeight="1" x14ac:dyDescent="0.25">
      <c r="B36" s="24" t="s">
        <v>63</v>
      </c>
      <c r="C36" s="50">
        <v>32</v>
      </c>
      <c r="D36" s="50">
        <v>5</v>
      </c>
      <c r="E36" s="50">
        <v>6</v>
      </c>
      <c r="F36" s="50">
        <v>38</v>
      </c>
      <c r="G36" s="50">
        <v>1</v>
      </c>
      <c r="H36" s="50">
        <v>2</v>
      </c>
      <c r="I36" s="50">
        <v>6</v>
      </c>
      <c r="J36" s="50">
        <v>3</v>
      </c>
      <c r="K36" s="50">
        <v>0</v>
      </c>
      <c r="L36" s="50">
        <v>0</v>
      </c>
      <c r="M36" s="50">
        <v>140</v>
      </c>
      <c r="N36" s="50">
        <v>0</v>
      </c>
      <c r="O36" s="15">
        <f t="shared" si="0"/>
        <v>93</v>
      </c>
      <c r="P36" s="15">
        <f t="shared" si="1"/>
        <v>233</v>
      </c>
    </row>
    <row r="37" spans="2:20" ht="23.1" customHeight="1" x14ac:dyDescent="0.25">
      <c r="B37" s="23" t="s">
        <v>64</v>
      </c>
      <c r="C37" s="50">
        <v>30</v>
      </c>
      <c r="D37" s="50">
        <v>6</v>
      </c>
      <c r="E37" s="50">
        <v>3</v>
      </c>
      <c r="F37" s="50">
        <v>37</v>
      </c>
      <c r="G37" s="50">
        <v>0</v>
      </c>
      <c r="H37" s="50">
        <v>1</v>
      </c>
      <c r="I37" s="50">
        <v>2</v>
      </c>
      <c r="J37" s="50">
        <v>4</v>
      </c>
      <c r="K37" s="50">
        <v>0</v>
      </c>
      <c r="L37" s="50">
        <v>0</v>
      </c>
      <c r="M37" s="50">
        <v>145</v>
      </c>
      <c r="N37" s="50">
        <v>0</v>
      </c>
      <c r="O37" s="15">
        <f t="shared" si="0"/>
        <v>83</v>
      </c>
      <c r="P37" s="15">
        <f t="shared" si="1"/>
        <v>228</v>
      </c>
    </row>
    <row r="38" spans="2:20" ht="23.1" customHeight="1" x14ac:dyDescent="0.25">
      <c r="B38" s="24" t="s">
        <v>65</v>
      </c>
      <c r="C38" s="50">
        <v>35</v>
      </c>
      <c r="D38" s="50">
        <v>7</v>
      </c>
      <c r="E38" s="50">
        <v>5</v>
      </c>
      <c r="F38" s="50">
        <v>33</v>
      </c>
      <c r="G38" s="50">
        <v>1</v>
      </c>
      <c r="H38" s="50">
        <v>0</v>
      </c>
      <c r="I38" s="50">
        <v>6</v>
      </c>
      <c r="J38" s="50">
        <v>5</v>
      </c>
      <c r="K38" s="50">
        <v>0</v>
      </c>
      <c r="L38" s="50">
        <v>0</v>
      </c>
      <c r="M38" s="50">
        <v>120</v>
      </c>
      <c r="N38" s="50">
        <v>0</v>
      </c>
      <c r="O38" s="15">
        <f t="shared" si="0"/>
        <v>92</v>
      </c>
      <c r="P38" s="15">
        <f t="shared" si="1"/>
        <v>212</v>
      </c>
    </row>
    <row r="39" spans="2:20" ht="23.1" customHeight="1" x14ac:dyDescent="0.25">
      <c r="B39" s="24" t="s">
        <v>66</v>
      </c>
      <c r="C39" s="50">
        <v>36</v>
      </c>
      <c r="D39" s="50">
        <v>13</v>
      </c>
      <c r="E39" s="50">
        <v>3</v>
      </c>
      <c r="F39" s="50">
        <v>35</v>
      </c>
      <c r="G39" s="50">
        <v>0</v>
      </c>
      <c r="H39" s="50">
        <v>0</v>
      </c>
      <c r="I39" s="50">
        <v>10</v>
      </c>
      <c r="J39" s="50">
        <v>7</v>
      </c>
      <c r="K39" s="50">
        <v>0</v>
      </c>
      <c r="L39" s="50">
        <v>2</v>
      </c>
      <c r="M39" s="50">
        <v>135</v>
      </c>
      <c r="N39" s="50">
        <v>0</v>
      </c>
      <c r="O39" s="15">
        <f t="shared" si="0"/>
        <v>106</v>
      </c>
      <c r="P39" s="15">
        <f t="shared" si="1"/>
        <v>241</v>
      </c>
    </row>
    <row r="40" spans="2:20" ht="23.1" customHeight="1" x14ac:dyDescent="0.25">
      <c r="B40" s="24" t="s">
        <v>67</v>
      </c>
      <c r="C40" s="50">
        <v>42</v>
      </c>
      <c r="D40" s="50">
        <v>12</v>
      </c>
      <c r="E40" s="50">
        <v>3</v>
      </c>
      <c r="F40" s="50">
        <v>35</v>
      </c>
      <c r="G40" s="50">
        <v>0</v>
      </c>
      <c r="H40" s="50">
        <v>0</v>
      </c>
      <c r="I40" s="50">
        <v>3</v>
      </c>
      <c r="J40" s="50">
        <v>6</v>
      </c>
      <c r="K40" s="50">
        <v>2</v>
      </c>
      <c r="L40" s="50">
        <v>1</v>
      </c>
      <c r="M40" s="50">
        <v>144</v>
      </c>
      <c r="N40" s="50">
        <v>0</v>
      </c>
      <c r="O40" s="15">
        <f t="shared" si="0"/>
        <v>104</v>
      </c>
      <c r="P40" s="15">
        <f t="shared" si="1"/>
        <v>248</v>
      </c>
    </row>
    <row r="41" spans="2:20" ht="23.1" customHeight="1" x14ac:dyDescent="0.25">
      <c r="B41" s="23" t="s">
        <v>68</v>
      </c>
      <c r="C41" s="50">
        <v>50</v>
      </c>
      <c r="D41" s="50">
        <v>12</v>
      </c>
      <c r="E41" s="50">
        <v>1</v>
      </c>
      <c r="F41" s="50">
        <v>0</v>
      </c>
      <c r="G41" s="50">
        <v>2</v>
      </c>
      <c r="H41" s="50">
        <v>4</v>
      </c>
      <c r="I41" s="50">
        <v>8</v>
      </c>
      <c r="J41" s="50">
        <v>0</v>
      </c>
      <c r="K41" s="50">
        <v>1</v>
      </c>
      <c r="L41" s="50">
        <v>0</v>
      </c>
      <c r="M41" s="50">
        <v>170</v>
      </c>
      <c r="N41" s="50">
        <v>0</v>
      </c>
      <c r="O41" s="15">
        <f t="shared" si="0"/>
        <v>78</v>
      </c>
      <c r="P41" s="15">
        <f t="shared" si="1"/>
        <v>248</v>
      </c>
    </row>
    <row r="42" spans="2:20" ht="23.1" customHeight="1" x14ac:dyDescent="0.25">
      <c r="B42" s="24" t="s">
        <v>69</v>
      </c>
      <c r="C42" s="50">
        <v>56</v>
      </c>
      <c r="D42" s="50">
        <v>8</v>
      </c>
      <c r="E42" s="50">
        <v>6</v>
      </c>
      <c r="F42" s="50">
        <v>22</v>
      </c>
      <c r="G42" s="50">
        <v>0</v>
      </c>
      <c r="H42" s="50">
        <v>0</v>
      </c>
      <c r="I42" s="50">
        <v>7</v>
      </c>
      <c r="J42" s="50">
        <v>0</v>
      </c>
      <c r="K42" s="50">
        <v>1</v>
      </c>
      <c r="L42" s="50">
        <v>0</v>
      </c>
      <c r="M42" s="50">
        <v>115</v>
      </c>
      <c r="N42" s="50">
        <v>0</v>
      </c>
      <c r="O42" s="15">
        <f t="shared" si="0"/>
        <v>100</v>
      </c>
      <c r="P42" s="15">
        <f t="shared" si="1"/>
        <v>215</v>
      </c>
    </row>
    <row r="43" spans="2:20" ht="23.1" customHeight="1" x14ac:dyDescent="0.25">
      <c r="B43" s="23" t="s">
        <v>70</v>
      </c>
      <c r="C43" s="50">
        <v>28</v>
      </c>
      <c r="D43" s="50">
        <v>11</v>
      </c>
      <c r="E43" s="50">
        <v>6</v>
      </c>
      <c r="F43" s="50">
        <v>27</v>
      </c>
      <c r="G43" s="50">
        <v>0</v>
      </c>
      <c r="H43" s="50">
        <v>1</v>
      </c>
      <c r="I43" s="50">
        <v>3</v>
      </c>
      <c r="J43" s="50">
        <v>4</v>
      </c>
      <c r="K43" s="50">
        <v>1</v>
      </c>
      <c r="L43" s="50">
        <v>0</v>
      </c>
      <c r="M43" s="50">
        <v>132</v>
      </c>
      <c r="N43" s="50">
        <v>0</v>
      </c>
      <c r="O43" s="15">
        <f t="shared" si="0"/>
        <v>81</v>
      </c>
      <c r="P43" s="15">
        <f t="shared" si="1"/>
        <v>213</v>
      </c>
    </row>
    <row r="44" spans="2:20" ht="23.1" customHeight="1" x14ac:dyDescent="0.25">
      <c r="B44" s="25" t="s">
        <v>71</v>
      </c>
      <c r="C44" s="50">
        <v>48</v>
      </c>
      <c r="D44" s="50">
        <v>8</v>
      </c>
      <c r="E44" s="50">
        <v>6</v>
      </c>
      <c r="F44" s="50">
        <v>42</v>
      </c>
      <c r="G44" s="50">
        <v>0</v>
      </c>
      <c r="H44" s="50">
        <v>0</v>
      </c>
      <c r="I44" s="50">
        <v>0</v>
      </c>
      <c r="J44" s="50">
        <v>6</v>
      </c>
      <c r="K44" s="50">
        <v>4</v>
      </c>
      <c r="L44" s="50">
        <v>1</v>
      </c>
      <c r="M44" s="50">
        <v>175</v>
      </c>
      <c r="N44" s="50">
        <v>0</v>
      </c>
      <c r="O44" s="15">
        <f t="shared" si="0"/>
        <v>115</v>
      </c>
      <c r="P44" s="15">
        <f t="shared" si="1"/>
        <v>290</v>
      </c>
    </row>
    <row r="45" spans="2:20" ht="23.1" customHeight="1" x14ac:dyDescent="0.25">
      <c r="B45" s="23" t="s">
        <v>72</v>
      </c>
      <c r="C45" s="50">
        <v>59</v>
      </c>
      <c r="D45" s="50">
        <v>16</v>
      </c>
      <c r="E45" s="50">
        <v>5</v>
      </c>
      <c r="F45" s="50">
        <v>41</v>
      </c>
      <c r="G45" s="50">
        <v>2</v>
      </c>
      <c r="H45" s="50">
        <v>2</v>
      </c>
      <c r="I45" s="50">
        <v>4</v>
      </c>
      <c r="J45" s="50">
        <v>5</v>
      </c>
      <c r="K45" s="50">
        <v>0</v>
      </c>
      <c r="L45" s="50">
        <v>0</v>
      </c>
      <c r="M45" s="50">
        <v>107</v>
      </c>
      <c r="N45" s="50">
        <v>0</v>
      </c>
      <c r="O45" s="15">
        <f t="shared" si="0"/>
        <v>134</v>
      </c>
      <c r="P45" s="15">
        <f t="shared" si="1"/>
        <v>241</v>
      </c>
    </row>
    <row r="46" spans="2:20" ht="23.1" customHeight="1" x14ac:dyDescent="0.25">
      <c r="B46" s="24" t="s">
        <v>73</v>
      </c>
      <c r="C46" s="50">
        <v>57</v>
      </c>
      <c r="D46" s="50">
        <v>18</v>
      </c>
      <c r="E46" s="50">
        <v>5</v>
      </c>
      <c r="F46" s="50">
        <v>42</v>
      </c>
      <c r="G46" s="50">
        <v>1</v>
      </c>
      <c r="H46" s="50">
        <v>1</v>
      </c>
      <c r="I46" s="50">
        <v>7</v>
      </c>
      <c r="J46" s="50">
        <v>4</v>
      </c>
      <c r="K46" s="50">
        <v>0</v>
      </c>
      <c r="L46" s="50">
        <v>0</v>
      </c>
      <c r="M46" s="50">
        <v>134</v>
      </c>
      <c r="N46" s="50">
        <v>0</v>
      </c>
      <c r="O46" s="15">
        <f t="shared" si="0"/>
        <v>135</v>
      </c>
      <c r="P46" s="15">
        <f t="shared" si="1"/>
        <v>269</v>
      </c>
      <c r="R46" s="8"/>
      <c r="T46"/>
    </row>
    <row r="47" spans="2:20" ht="23.1" customHeight="1" x14ac:dyDescent="0.25">
      <c r="B47" s="24" t="s">
        <v>74</v>
      </c>
      <c r="C47" s="50">
        <v>48</v>
      </c>
      <c r="D47" s="50">
        <v>11</v>
      </c>
      <c r="E47" s="50">
        <v>7</v>
      </c>
      <c r="F47" s="50">
        <v>32</v>
      </c>
      <c r="G47" s="50">
        <v>1</v>
      </c>
      <c r="H47" s="50">
        <v>1</v>
      </c>
      <c r="I47" s="50">
        <v>6</v>
      </c>
      <c r="J47" s="50">
        <v>0</v>
      </c>
      <c r="K47" s="50">
        <v>5</v>
      </c>
      <c r="L47" s="50">
        <v>3</v>
      </c>
      <c r="M47" s="50">
        <v>148</v>
      </c>
      <c r="N47" s="50">
        <v>0</v>
      </c>
      <c r="O47" s="15">
        <f t="shared" si="0"/>
        <v>114</v>
      </c>
      <c r="P47" s="15">
        <f t="shared" si="1"/>
        <v>262</v>
      </c>
      <c r="R47" s="8"/>
      <c r="T47"/>
    </row>
    <row r="48" spans="2:20" ht="23.1" customHeight="1" x14ac:dyDescent="0.25">
      <c r="B48" s="24" t="s">
        <v>75</v>
      </c>
      <c r="C48" s="50">
        <v>78</v>
      </c>
      <c r="D48" s="50">
        <v>18</v>
      </c>
      <c r="E48" s="50">
        <v>5</v>
      </c>
      <c r="F48" s="50">
        <v>49</v>
      </c>
      <c r="G48" s="50">
        <v>1</v>
      </c>
      <c r="H48" s="50">
        <v>2</v>
      </c>
      <c r="I48" s="50">
        <v>6</v>
      </c>
      <c r="J48" s="50">
        <v>0</v>
      </c>
      <c r="K48" s="50">
        <v>1</v>
      </c>
      <c r="L48" s="50">
        <v>1</v>
      </c>
      <c r="M48" s="50">
        <v>155</v>
      </c>
      <c r="N48" s="50">
        <v>0</v>
      </c>
      <c r="O48" s="15">
        <f t="shared" si="0"/>
        <v>161</v>
      </c>
      <c r="P48" s="15">
        <f t="shared" si="1"/>
        <v>316</v>
      </c>
      <c r="R48" s="8"/>
      <c r="T48"/>
    </row>
    <row r="49" spans="2:20" ht="23.1" customHeight="1" x14ac:dyDescent="0.25">
      <c r="B49" s="23" t="s">
        <v>76</v>
      </c>
      <c r="C49" s="50">
        <v>58</v>
      </c>
      <c r="D49" s="50">
        <v>14</v>
      </c>
      <c r="E49" s="50">
        <v>6</v>
      </c>
      <c r="F49" s="50">
        <v>40</v>
      </c>
      <c r="G49" s="50">
        <v>1</v>
      </c>
      <c r="H49" s="50">
        <v>0</v>
      </c>
      <c r="I49" s="50">
        <v>4</v>
      </c>
      <c r="J49" s="50">
        <v>5</v>
      </c>
      <c r="K49" s="50">
        <v>1</v>
      </c>
      <c r="L49" s="50">
        <v>0</v>
      </c>
      <c r="M49" s="50">
        <v>128</v>
      </c>
      <c r="N49" s="50">
        <v>0</v>
      </c>
      <c r="O49" s="15">
        <f t="shared" si="0"/>
        <v>129</v>
      </c>
      <c r="P49" s="15">
        <f t="shared" si="1"/>
        <v>257</v>
      </c>
      <c r="R49" s="8"/>
      <c r="T49"/>
    </row>
    <row r="50" spans="2:20" ht="23.1" customHeight="1" x14ac:dyDescent="0.25">
      <c r="B50" s="24" t="s">
        <v>77</v>
      </c>
      <c r="C50" s="50">
        <v>79</v>
      </c>
      <c r="D50" s="50">
        <v>20</v>
      </c>
      <c r="E50" s="50">
        <v>4</v>
      </c>
      <c r="F50" s="50">
        <v>36</v>
      </c>
      <c r="G50" s="50">
        <v>3</v>
      </c>
      <c r="H50" s="50">
        <v>1</v>
      </c>
      <c r="I50" s="50">
        <v>7</v>
      </c>
      <c r="J50" s="50">
        <v>5</v>
      </c>
      <c r="K50" s="50">
        <v>0</v>
      </c>
      <c r="L50" s="50">
        <v>1</v>
      </c>
      <c r="M50" s="50">
        <v>160</v>
      </c>
      <c r="N50" s="50">
        <v>0</v>
      </c>
      <c r="O50" s="15">
        <f t="shared" si="0"/>
        <v>156</v>
      </c>
      <c r="P50" s="15">
        <f t="shared" si="1"/>
        <v>316</v>
      </c>
      <c r="R50" s="8"/>
      <c r="T50"/>
    </row>
    <row r="51" spans="2:20" ht="23.1" customHeight="1" x14ac:dyDescent="0.25">
      <c r="B51" s="24" t="s">
        <v>78</v>
      </c>
      <c r="C51" s="50">
        <v>38</v>
      </c>
      <c r="D51" s="50">
        <v>14</v>
      </c>
      <c r="E51" s="50">
        <v>6</v>
      </c>
      <c r="F51" s="50">
        <v>37</v>
      </c>
      <c r="G51" s="50">
        <v>3</v>
      </c>
      <c r="H51" s="50">
        <v>2</v>
      </c>
      <c r="I51" s="50">
        <v>4</v>
      </c>
      <c r="J51" s="50">
        <v>6</v>
      </c>
      <c r="K51" s="50">
        <v>0</v>
      </c>
      <c r="L51" s="50">
        <v>1</v>
      </c>
      <c r="M51" s="50">
        <v>136</v>
      </c>
      <c r="N51" s="50">
        <v>1</v>
      </c>
      <c r="O51" s="15">
        <f t="shared" si="0"/>
        <v>112</v>
      </c>
      <c r="P51" s="15">
        <f t="shared" si="1"/>
        <v>248</v>
      </c>
      <c r="R51" s="8"/>
      <c r="T51"/>
    </row>
    <row r="52" spans="2:20" ht="23.1" customHeight="1" x14ac:dyDescent="0.25">
      <c r="B52" s="24" t="s">
        <v>79</v>
      </c>
      <c r="C52" s="50">
        <v>92</v>
      </c>
      <c r="D52" s="50">
        <v>15</v>
      </c>
      <c r="E52" s="50">
        <v>6</v>
      </c>
      <c r="F52" s="50">
        <v>40</v>
      </c>
      <c r="G52" s="50">
        <v>1</v>
      </c>
      <c r="H52" s="50">
        <v>0</v>
      </c>
      <c r="I52" s="50">
        <v>0</v>
      </c>
      <c r="J52" s="50">
        <v>0</v>
      </c>
      <c r="K52" s="50">
        <v>0</v>
      </c>
      <c r="L52" s="50">
        <v>1</v>
      </c>
      <c r="M52" s="50">
        <v>178</v>
      </c>
      <c r="N52" s="50">
        <v>0</v>
      </c>
      <c r="O52" s="15">
        <f t="shared" si="0"/>
        <v>155</v>
      </c>
      <c r="P52" s="15">
        <f t="shared" si="1"/>
        <v>333</v>
      </c>
      <c r="R52" s="8"/>
      <c r="T52"/>
    </row>
    <row r="53" spans="2:20" ht="23.1" customHeight="1" x14ac:dyDescent="0.25">
      <c r="B53" s="23" t="s">
        <v>80</v>
      </c>
      <c r="C53" s="50">
        <v>84</v>
      </c>
      <c r="D53" s="50">
        <v>19</v>
      </c>
      <c r="E53" s="50">
        <v>3</v>
      </c>
      <c r="F53" s="50">
        <v>44</v>
      </c>
      <c r="G53" s="50">
        <v>1</v>
      </c>
      <c r="H53" s="50">
        <v>0</v>
      </c>
      <c r="I53" s="50">
        <v>7</v>
      </c>
      <c r="J53" s="50">
        <v>4</v>
      </c>
      <c r="K53" s="50">
        <v>0</v>
      </c>
      <c r="L53" s="50">
        <v>0</v>
      </c>
      <c r="M53" s="50">
        <v>155</v>
      </c>
      <c r="N53" s="50">
        <v>0</v>
      </c>
      <c r="O53" s="15">
        <f t="shared" si="0"/>
        <v>162</v>
      </c>
      <c r="P53" s="15">
        <f t="shared" si="1"/>
        <v>317</v>
      </c>
      <c r="R53" s="8"/>
      <c r="T53"/>
    </row>
    <row r="54" spans="2:20" ht="23.1" customHeight="1" x14ac:dyDescent="0.25">
      <c r="B54" s="23" t="s">
        <v>81</v>
      </c>
      <c r="C54" s="50">
        <v>70</v>
      </c>
      <c r="D54" s="50">
        <v>12</v>
      </c>
      <c r="E54" s="50">
        <v>43</v>
      </c>
      <c r="F54" s="50">
        <v>0</v>
      </c>
      <c r="G54" s="50">
        <v>0</v>
      </c>
      <c r="H54" s="50">
        <v>1</v>
      </c>
      <c r="I54" s="50">
        <v>5</v>
      </c>
      <c r="J54" s="50">
        <v>4</v>
      </c>
      <c r="K54" s="50">
        <v>0</v>
      </c>
      <c r="L54" s="50">
        <v>0</v>
      </c>
      <c r="M54" s="50">
        <v>175</v>
      </c>
      <c r="N54" s="50">
        <v>0</v>
      </c>
      <c r="O54" s="15">
        <f t="shared" si="0"/>
        <v>135</v>
      </c>
      <c r="P54" s="15">
        <f t="shared" si="1"/>
        <v>310</v>
      </c>
      <c r="R54" s="8"/>
      <c r="T54"/>
    </row>
    <row r="55" spans="2:20" ht="23.1" customHeight="1" x14ac:dyDescent="0.25">
      <c r="B55" s="23" t="s">
        <v>82</v>
      </c>
      <c r="C55" s="50">
        <v>35</v>
      </c>
      <c r="D55" s="50">
        <v>7</v>
      </c>
      <c r="E55" s="50">
        <v>3</v>
      </c>
      <c r="F55" s="50">
        <v>41</v>
      </c>
      <c r="G55" s="50">
        <v>3</v>
      </c>
      <c r="H55" s="50">
        <v>1</v>
      </c>
      <c r="I55" s="50">
        <v>2</v>
      </c>
      <c r="J55" s="50">
        <v>2</v>
      </c>
      <c r="K55" s="50">
        <v>0</v>
      </c>
      <c r="L55" s="50">
        <v>0</v>
      </c>
      <c r="M55" s="50">
        <v>148</v>
      </c>
      <c r="N55" s="50">
        <v>0</v>
      </c>
      <c r="O55" s="15">
        <f t="shared" si="0"/>
        <v>94</v>
      </c>
      <c r="P55" s="15">
        <f t="shared" si="1"/>
        <v>242</v>
      </c>
      <c r="R55" s="8"/>
      <c r="T55"/>
    </row>
    <row r="56" spans="2:20" ht="23.1" customHeight="1" x14ac:dyDescent="0.25">
      <c r="B56" s="23" t="s">
        <v>83</v>
      </c>
      <c r="C56" s="50">
        <v>27</v>
      </c>
      <c r="D56" s="50">
        <v>1</v>
      </c>
      <c r="E56" s="50">
        <v>2</v>
      </c>
      <c r="F56" s="50">
        <v>25</v>
      </c>
      <c r="G56" s="50">
        <v>5</v>
      </c>
      <c r="H56" s="50">
        <v>0</v>
      </c>
      <c r="I56" s="50">
        <v>0</v>
      </c>
      <c r="J56" s="50">
        <v>0</v>
      </c>
      <c r="K56" s="50">
        <v>0</v>
      </c>
      <c r="L56" s="50">
        <v>1</v>
      </c>
      <c r="M56" s="50">
        <v>155</v>
      </c>
      <c r="N56" s="50">
        <v>0</v>
      </c>
      <c r="O56" s="15">
        <f t="shared" si="0"/>
        <v>61</v>
      </c>
      <c r="P56" s="15">
        <f t="shared" si="1"/>
        <v>216</v>
      </c>
      <c r="R56" s="8"/>
      <c r="T56"/>
    </row>
    <row r="57" spans="2:20" ht="23.1" customHeight="1" x14ac:dyDescent="0.25">
      <c r="B57" s="23" t="s">
        <v>84</v>
      </c>
      <c r="C57" s="50">
        <v>50</v>
      </c>
      <c r="D57" s="50">
        <v>3</v>
      </c>
      <c r="E57" s="50">
        <v>2</v>
      </c>
      <c r="F57" s="50">
        <v>20</v>
      </c>
      <c r="G57" s="50">
        <v>0</v>
      </c>
      <c r="H57" s="50">
        <v>0</v>
      </c>
      <c r="I57" s="50">
        <v>2</v>
      </c>
      <c r="J57" s="50">
        <v>0</v>
      </c>
      <c r="K57" s="50">
        <v>0</v>
      </c>
      <c r="L57" s="50">
        <v>2</v>
      </c>
      <c r="M57" s="50">
        <v>80</v>
      </c>
      <c r="N57" s="50">
        <v>0</v>
      </c>
      <c r="O57" s="15">
        <f t="shared" si="0"/>
        <v>79</v>
      </c>
      <c r="P57" s="15">
        <f t="shared" si="1"/>
        <v>159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1997</v>
      </c>
      <c r="D58" s="16">
        <f t="shared" si="21"/>
        <v>452</v>
      </c>
      <c r="E58" s="16">
        <f t="shared" si="21"/>
        <v>219</v>
      </c>
      <c r="F58" s="16">
        <f t="shared" si="21"/>
        <v>1801</v>
      </c>
      <c r="G58" s="16">
        <f t="shared" si="21"/>
        <v>49</v>
      </c>
      <c r="H58" s="16">
        <f t="shared" si="21"/>
        <v>43</v>
      </c>
      <c r="I58" s="16">
        <f t="shared" si="21"/>
        <v>177</v>
      </c>
      <c r="J58" s="16">
        <f t="shared" si="21"/>
        <v>178</v>
      </c>
      <c r="K58" s="16">
        <f t="shared" si="21"/>
        <v>21</v>
      </c>
      <c r="L58" s="16">
        <f t="shared" si="21"/>
        <v>34</v>
      </c>
      <c r="M58" s="16">
        <f t="shared" si="21"/>
        <v>7924</v>
      </c>
      <c r="N58" s="16">
        <f t="shared" si="21"/>
        <v>2</v>
      </c>
      <c r="O58" s="16">
        <f t="shared" si="21"/>
        <v>4973</v>
      </c>
      <c r="P58" s="16">
        <f t="shared" si="21"/>
        <v>12897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0.15484221136698456</v>
      </c>
      <c r="D59" s="43">
        <f t="shared" si="22"/>
        <v>3.5046910134139721E-2</v>
      </c>
      <c r="E59" s="43">
        <f t="shared" si="22"/>
        <v>1.6980693184461503E-2</v>
      </c>
      <c r="F59" s="43">
        <f t="shared" si="22"/>
        <v>0.13964487865395053</v>
      </c>
      <c r="G59" s="43">
        <f t="shared" si="22"/>
        <v>3.7993331782585097E-3</v>
      </c>
      <c r="H59" s="43">
        <f t="shared" si="22"/>
        <v>3.3341087074513455E-3</v>
      </c>
      <c r="I59" s="43">
        <f t="shared" si="22"/>
        <v>1.3724121888811351E-2</v>
      </c>
      <c r="J59" s="43">
        <f t="shared" si="22"/>
        <v>1.3801659300612546E-2</v>
      </c>
      <c r="K59" s="43">
        <f t="shared" si="22"/>
        <v>1.6282856478250756E-3</v>
      </c>
      <c r="L59" s="43">
        <f t="shared" si="22"/>
        <v>2.6362720012405986E-3</v>
      </c>
      <c r="M59" s="43">
        <f t="shared" si="22"/>
        <v>0.6144064511126619</v>
      </c>
      <c r="N59" s="43">
        <f t="shared" si="22"/>
        <v>1.5507482360238814E-4</v>
      </c>
      <c r="R59" s="8"/>
      <c r="T59"/>
    </row>
    <row r="60" spans="2:20" ht="23.1" customHeight="1" x14ac:dyDescent="0.25">
      <c r="B60" s="42" t="s">
        <v>94</v>
      </c>
      <c r="C60" s="44">
        <f>C58/$O$58</f>
        <v>0.4015684697365775</v>
      </c>
      <c r="D60" s="44">
        <f t="shared" ref="D60:N60" si="23">D58/$O$58</f>
        <v>9.089081037603057E-2</v>
      </c>
      <c r="E60" s="44">
        <f t="shared" si="23"/>
        <v>4.403780414236879E-2</v>
      </c>
      <c r="F60" s="44">
        <f t="shared" si="23"/>
        <v>0.36215564045847576</v>
      </c>
      <c r="G60" s="44">
        <f t="shared" si="23"/>
        <v>9.8532073195254366E-3</v>
      </c>
      <c r="H60" s="44">
        <f t="shared" si="23"/>
        <v>8.6466921375427299E-3</v>
      </c>
      <c r="I60" s="44">
        <f t="shared" si="23"/>
        <v>3.5592197868489849E-2</v>
      </c>
      <c r="J60" s="44">
        <f t="shared" si="23"/>
        <v>3.5793283732153632E-2</v>
      </c>
      <c r="K60" s="44">
        <f t="shared" si="23"/>
        <v>4.2228031369394734E-3</v>
      </c>
      <c r="L60" s="44">
        <f t="shared" si="23"/>
        <v>6.8369193645686707E-3</v>
      </c>
      <c r="M60" s="44"/>
      <c r="N60" s="44">
        <f t="shared" si="23"/>
        <v>4.0217172732756888E-4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F126"/>
  <sheetViews>
    <sheetView view="pageBreakPreview" zoomScale="60" workbookViewId="0">
      <selection activeCell="M57" sqref="M57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64" t="s">
        <v>23</v>
      </c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  <c r="S1" s="64"/>
      <c r="T1" s="64"/>
      <c r="U1" s="64"/>
      <c r="V1" s="64"/>
      <c r="W1" s="64"/>
      <c r="X1" s="64"/>
      <c r="Y1" s="64"/>
      <c r="Z1" s="64"/>
      <c r="AA1" s="64"/>
      <c r="AB1" s="64"/>
      <c r="AC1" s="64"/>
      <c r="AD1" s="64"/>
      <c r="AE1" s="64"/>
    </row>
    <row r="2" spans="2:32" ht="20.100000000000001" customHeight="1" x14ac:dyDescent="0.25">
      <c r="B2" s="65" t="s">
        <v>95</v>
      </c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  <c r="AA2" s="65"/>
      <c r="AB2" s="65"/>
      <c r="AC2" s="65"/>
      <c r="AD2" s="65"/>
      <c r="AE2" s="65"/>
    </row>
    <row r="3" spans="2:32" ht="20.100000000000001" customHeight="1" x14ac:dyDescent="0.25">
      <c r="B3" s="22" t="s">
        <v>96</v>
      </c>
      <c r="C3" s="71" t="str">
        <f>'22.07 Bwaise-Makerere'!C3:G3</f>
        <v>MCC - C1 - STN021- SIR APOLLO ROAD</v>
      </c>
      <c r="D3" s="71"/>
      <c r="E3" s="71"/>
      <c r="F3" s="71"/>
      <c r="G3" s="71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">
        <v>164</v>
      </c>
      <c r="E5" s="3"/>
      <c r="F5" s="41" t="s">
        <v>1</v>
      </c>
      <c r="G5" s="69" t="str">
        <f>'24.07 Makerere-Bwaise'!G5:H5</f>
        <v>SAHSEN PLAZA</v>
      </c>
      <c r="H5" s="70"/>
      <c r="I5" s="14"/>
      <c r="J5" s="2" t="s">
        <v>5</v>
      </c>
      <c r="K5" s="69" t="str">
        <f>'24.07 Makerere-Bwaise'!K5:L5</f>
        <v>OKELLO PETER</v>
      </c>
      <c r="L5" s="70"/>
      <c r="M5" s="10"/>
      <c r="N5" s="10"/>
      <c r="O5" s="3"/>
      <c r="P5" s="3"/>
    </row>
    <row r="6" spans="2:32" ht="23.25" customHeight="1" x14ac:dyDescent="0.25">
      <c r="C6" s="2" t="s">
        <v>4</v>
      </c>
      <c r="D6" s="69" t="str">
        <f>'22.07 Bwaise-Makerere'!D6:E6</f>
        <v>Bwaise</v>
      </c>
      <c r="E6" s="70"/>
      <c r="F6" s="2" t="s">
        <v>2</v>
      </c>
      <c r="G6" s="69" t="str">
        <f>'22.07 Bwaise-Makerere'!G6:H6</f>
        <v>Makerere</v>
      </c>
      <c r="H6" s="70"/>
      <c r="J6" s="2" t="s">
        <v>21</v>
      </c>
      <c r="K6" s="69" t="str">
        <f>'24.07 Makerere-Bwaise'!K6:L6</f>
        <v>SALIMAH</v>
      </c>
      <c r="L6" s="70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63" t="s">
        <v>88</v>
      </c>
      <c r="S8" s="63"/>
      <c r="T8" s="63"/>
      <c r="U8" s="63"/>
      <c r="V8" s="63"/>
      <c r="W8" s="63"/>
      <c r="X8" s="63"/>
      <c r="Y8" s="63"/>
      <c r="Z8" s="63"/>
      <c r="AA8" s="63"/>
      <c r="AB8" s="63"/>
      <c r="AC8" s="63"/>
      <c r="AD8" s="63"/>
      <c r="AE8" s="63"/>
      <c r="AF8" s="63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98</v>
      </c>
      <c r="D10" s="50">
        <v>26</v>
      </c>
      <c r="E10" s="50">
        <v>7</v>
      </c>
      <c r="F10" s="50">
        <v>76</v>
      </c>
      <c r="G10" s="50">
        <v>2</v>
      </c>
      <c r="H10" s="50">
        <v>1</v>
      </c>
      <c r="I10" s="50">
        <v>1</v>
      </c>
      <c r="J10" s="50">
        <v>1</v>
      </c>
      <c r="K10" s="50">
        <v>1</v>
      </c>
      <c r="L10" s="50">
        <v>0</v>
      </c>
      <c r="M10" s="50">
        <v>201</v>
      </c>
      <c r="N10" s="50">
        <v>0</v>
      </c>
      <c r="O10" s="15">
        <f t="shared" ref="O10:O57" si="0">SUM(C10:L10,N10)</f>
        <v>213</v>
      </c>
      <c r="P10" s="15">
        <f t="shared" ref="P10:P57" si="1">SUM(C10:N10)</f>
        <v>414</v>
      </c>
      <c r="R10" s="1" t="s">
        <v>6</v>
      </c>
      <c r="S10" s="17">
        <f t="shared" ref="S10:AF10" si="2">SUM(C10:C13)</f>
        <v>386</v>
      </c>
      <c r="T10" s="17">
        <f t="shared" si="2"/>
        <v>76</v>
      </c>
      <c r="U10" s="17">
        <f t="shared" si="2"/>
        <v>32</v>
      </c>
      <c r="V10" s="17">
        <f t="shared" si="2"/>
        <v>323</v>
      </c>
      <c r="W10" s="17">
        <f t="shared" si="2"/>
        <v>8</v>
      </c>
      <c r="X10" s="17">
        <f t="shared" si="2"/>
        <v>3</v>
      </c>
      <c r="Y10" s="17">
        <f t="shared" si="2"/>
        <v>11</v>
      </c>
      <c r="Z10" s="17">
        <f t="shared" si="2"/>
        <v>2</v>
      </c>
      <c r="AA10" s="17">
        <f t="shared" si="2"/>
        <v>3</v>
      </c>
      <c r="AB10" s="17">
        <f t="shared" si="2"/>
        <v>2</v>
      </c>
      <c r="AC10" s="17">
        <f t="shared" si="2"/>
        <v>876</v>
      </c>
      <c r="AD10" s="17">
        <f t="shared" si="2"/>
        <v>0</v>
      </c>
      <c r="AE10" s="31">
        <f t="shared" si="2"/>
        <v>846</v>
      </c>
      <c r="AF10" s="31">
        <f t="shared" si="2"/>
        <v>1722</v>
      </c>
    </row>
    <row r="11" spans="2:32" s="6" customFormat="1" ht="23.1" customHeight="1" x14ac:dyDescent="0.25">
      <c r="B11" s="23" t="s">
        <v>38</v>
      </c>
      <c r="C11" s="50">
        <v>102</v>
      </c>
      <c r="D11" s="50">
        <v>11</v>
      </c>
      <c r="E11" s="50">
        <v>11</v>
      </c>
      <c r="F11" s="50">
        <v>95</v>
      </c>
      <c r="G11" s="50">
        <v>2</v>
      </c>
      <c r="H11" s="50">
        <v>0</v>
      </c>
      <c r="I11" s="50">
        <v>5</v>
      </c>
      <c r="J11" s="50">
        <v>1</v>
      </c>
      <c r="K11" s="50">
        <v>1</v>
      </c>
      <c r="L11" s="50">
        <v>2</v>
      </c>
      <c r="M11" s="50">
        <v>220</v>
      </c>
      <c r="N11" s="50">
        <v>0</v>
      </c>
      <c r="O11" s="15">
        <f t="shared" si="0"/>
        <v>230</v>
      </c>
      <c r="P11" s="15">
        <f t="shared" si="1"/>
        <v>450</v>
      </c>
      <c r="R11" s="1" t="s">
        <v>7</v>
      </c>
      <c r="S11" s="17">
        <f t="shared" ref="S11:AF11" si="3">SUM(C14:C17)</f>
        <v>284</v>
      </c>
      <c r="T11" s="17">
        <f t="shared" si="3"/>
        <v>56</v>
      </c>
      <c r="U11" s="17">
        <f t="shared" si="3"/>
        <v>19</v>
      </c>
      <c r="V11" s="17">
        <f t="shared" si="3"/>
        <v>269</v>
      </c>
      <c r="W11" s="17">
        <f t="shared" si="3"/>
        <v>2</v>
      </c>
      <c r="X11" s="17">
        <f t="shared" si="3"/>
        <v>4</v>
      </c>
      <c r="Y11" s="17">
        <f t="shared" si="3"/>
        <v>18</v>
      </c>
      <c r="Z11" s="17">
        <f t="shared" si="3"/>
        <v>1</v>
      </c>
      <c r="AA11" s="17">
        <f t="shared" si="3"/>
        <v>8</v>
      </c>
      <c r="AB11" s="17">
        <f t="shared" si="3"/>
        <v>2</v>
      </c>
      <c r="AC11" s="17">
        <f t="shared" si="3"/>
        <v>845</v>
      </c>
      <c r="AD11" s="17">
        <f t="shared" si="3"/>
        <v>0</v>
      </c>
      <c r="AE11" s="31">
        <f t="shared" si="3"/>
        <v>663</v>
      </c>
      <c r="AF11" s="31">
        <f t="shared" si="3"/>
        <v>1508</v>
      </c>
    </row>
    <row r="12" spans="2:32" ht="23.1" customHeight="1" x14ac:dyDescent="0.25">
      <c r="B12" s="23" t="s">
        <v>39</v>
      </c>
      <c r="C12" s="50">
        <v>101</v>
      </c>
      <c r="D12" s="50">
        <v>25</v>
      </c>
      <c r="E12" s="50">
        <v>8</v>
      </c>
      <c r="F12" s="50">
        <v>78</v>
      </c>
      <c r="G12" s="50">
        <v>1</v>
      </c>
      <c r="H12" s="50">
        <v>2</v>
      </c>
      <c r="I12" s="50">
        <v>0</v>
      </c>
      <c r="J12" s="50">
        <v>0</v>
      </c>
      <c r="K12" s="50">
        <v>0</v>
      </c>
      <c r="L12" s="50">
        <v>0</v>
      </c>
      <c r="M12" s="50">
        <v>230</v>
      </c>
      <c r="N12" s="50">
        <v>0</v>
      </c>
      <c r="O12" s="15">
        <f t="shared" si="0"/>
        <v>215</v>
      </c>
      <c r="P12" s="15">
        <f t="shared" si="1"/>
        <v>445</v>
      </c>
      <c r="R12" s="1" t="s">
        <v>8</v>
      </c>
      <c r="S12" s="17">
        <f t="shared" ref="S12:AF12" si="4">SUM(C18:C21)</f>
        <v>272</v>
      </c>
      <c r="T12" s="17">
        <f t="shared" si="4"/>
        <v>78</v>
      </c>
      <c r="U12" s="17">
        <f t="shared" si="4"/>
        <v>26</v>
      </c>
      <c r="V12" s="17">
        <f t="shared" si="4"/>
        <v>216</v>
      </c>
      <c r="W12" s="17">
        <f t="shared" si="4"/>
        <v>2</v>
      </c>
      <c r="X12" s="17">
        <f t="shared" si="4"/>
        <v>3</v>
      </c>
      <c r="Y12" s="17">
        <f t="shared" si="4"/>
        <v>21</v>
      </c>
      <c r="Z12" s="17">
        <f t="shared" si="4"/>
        <v>14</v>
      </c>
      <c r="AA12" s="17">
        <f t="shared" si="4"/>
        <v>8</v>
      </c>
      <c r="AB12" s="17">
        <f t="shared" si="4"/>
        <v>0</v>
      </c>
      <c r="AC12" s="17">
        <f t="shared" si="4"/>
        <v>830</v>
      </c>
      <c r="AD12" s="17">
        <f t="shared" si="4"/>
        <v>0</v>
      </c>
      <c r="AE12" s="31">
        <f t="shared" si="4"/>
        <v>640</v>
      </c>
      <c r="AF12" s="31">
        <f t="shared" si="4"/>
        <v>1470</v>
      </c>
    </row>
    <row r="13" spans="2:32" ht="23.1" customHeight="1" x14ac:dyDescent="0.25">
      <c r="B13" s="23" t="s">
        <v>40</v>
      </c>
      <c r="C13" s="50">
        <v>85</v>
      </c>
      <c r="D13" s="50">
        <v>14</v>
      </c>
      <c r="E13" s="50">
        <v>6</v>
      </c>
      <c r="F13" s="50">
        <v>74</v>
      </c>
      <c r="G13" s="50">
        <v>3</v>
      </c>
      <c r="H13" s="50">
        <v>0</v>
      </c>
      <c r="I13" s="50">
        <v>5</v>
      </c>
      <c r="J13" s="50">
        <v>0</v>
      </c>
      <c r="K13" s="50">
        <v>1</v>
      </c>
      <c r="L13" s="50">
        <v>0</v>
      </c>
      <c r="M13" s="50">
        <v>225</v>
      </c>
      <c r="N13" s="50">
        <v>0</v>
      </c>
      <c r="O13" s="15">
        <f t="shared" si="0"/>
        <v>188</v>
      </c>
      <c r="P13" s="15">
        <f t="shared" si="1"/>
        <v>413</v>
      </c>
      <c r="R13" s="1" t="s">
        <v>9</v>
      </c>
      <c r="S13" s="17">
        <f t="shared" ref="S13:AF13" si="5">SUM(C22:C25)</f>
        <v>237</v>
      </c>
      <c r="T13" s="17">
        <f t="shared" si="5"/>
        <v>75</v>
      </c>
      <c r="U13" s="17">
        <f t="shared" si="5"/>
        <v>35</v>
      </c>
      <c r="V13" s="17">
        <f t="shared" si="5"/>
        <v>192</v>
      </c>
      <c r="W13" s="17">
        <f t="shared" si="5"/>
        <v>4</v>
      </c>
      <c r="X13" s="17">
        <f t="shared" si="5"/>
        <v>3</v>
      </c>
      <c r="Y13" s="17">
        <f t="shared" si="5"/>
        <v>38</v>
      </c>
      <c r="Z13" s="17">
        <f t="shared" si="5"/>
        <v>4</v>
      </c>
      <c r="AA13" s="17">
        <f t="shared" si="5"/>
        <v>7</v>
      </c>
      <c r="AB13" s="17">
        <f t="shared" si="5"/>
        <v>1</v>
      </c>
      <c r="AC13" s="17">
        <f t="shared" si="5"/>
        <v>750</v>
      </c>
      <c r="AD13" s="17">
        <f t="shared" si="5"/>
        <v>0</v>
      </c>
      <c r="AE13" s="31">
        <f t="shared" si="5"/>
        <v>596</v>
      </c>
      <c r="AF13" s="31">
        <f t="shared" si="5"/>
        <v>1346</v>
      </c>
    </row>
    <row r="14" spans="2:32" ht="23.1" customHeight="1" x14ac:dyDescent="0.25">
      <c r="B14" s="23" t="s">
        <v>41</v>
      </c>
      <c r="C14" s="50">
        <v>78</v>
      </c>
      <c r="D14" s="50">
        <v>19</v>
      </c>
      <c r="E14" s="50">
        <v>5</v>
      </c>
      <c r="F14" s="50">
        <v>61</v>
      </c>
      <c r="G14" s="50">
        <v>1</v>
      </c>
      <c r="H14" s="50">
        <v>3</v>
      </c>
      <c r="I14" s="50">
        <v>0</v>
      </c>
      <c r="J14" s="50">
        <v>0</v>
      </c>
      <c r="K14" s="50">
        <v>1</v>
      </c>
      <c r="L14" s="50">
        <v>1</v>
      </c>
      <c r="M14" s="50">
        <v>216</v>
      </c>
      <c r="N14" s="50">
        <v>0</v>
      </c>
      <c r="O14" s="15">
        <f t="shared" si="0"/>
        <v>169</v>
      </c>
      <c r="P14" s="15">
        <f t="shared" si="1"/>
        <v>385</v>
      </c>
      <c r="R14" s="1" t="s">
        <v>10</v>
      </c>
      <c r="S14" s="17">
        <f t="shared" ref="S14:AF14" si="6">SUM(C26:C29)</f>
        <v>277</v>
      </c>
      <c r="T14" s="17">
        <f t="shared" si="6"/>
        <v>76</v>
      </c>
      <c r="U14" s="17">
        <f t="shared" si="6"/>
        <v>39</v>
      </c>
      <c r="V14" s="17">
        <f t="shared" si="6"/>
        <v>213</v>
      </c>
      <c r="W14" s="17">
        <f t="shared" si="6"/>
        <v>3</v>
      </c>
      <c r="X14" s="17">
        <f t="shared" si="6"/>
        <v>3</v>
      </c>
      <c r="Y14" s="17">
        <f t="shared" si="6"/>
        <v>41</v>
      </c>
      <c r="Z14" s="17">
        <f t="shared" si="6"/>
        <v>2</v>
      </c>
      <c r="AA14" s="17">
        <f t="shared" si="6"/>
        <v>15</v>
      </c>
      <c r="AB14" s="17">
        <f t="shared" si="6"/>
        <v>1</v>
      </c>
      <c r="AC14" s="17">
        <f t="shared" si="6"/>
        <v>662</v>
      </c>
      <c r="AD14" s="17">
        <f t="shared" si="6"/>
        <v>0</v>
      </c>
      <c r="AE14" s="31">
        <f t="shared" si="6"/>
        <v>670</v>
      </c>
      <c r="AF14" s="31">
        <f t="shared" si="6"/>
        <v>1332</v>
      </c>
    </row>
    <row r="15" spans="2:32" ht="23.1" customHeight="1" x14ac:dyDescent="0.25">
      <c r="B15" s="23" t="s">
        <v>42</v>
      </c>
      <c r="C15" s="50">
        <v>39</v>
      </c>
      <c r="D15" s="50">
        <v>10</v>
      </c>
      <c r="E15" s="50">
        <v>2</v>
      </c>
      <c r="F15" s="50">
        <v>37</v>
      </c>
      <c r="G15" s="50">
        <v>0</v>
      </c>
      <c r="H15" s="50">
        <v>0</v>
      </c>
      <c r="I15" s="50">
        <v>5</v>
      </c>
      <c r="J15" s="50">
        <v>0</v>
      </c>
      <c r="K15" s="50">
        <v>1</v>
      </c>
      <c r="L15" s="50">
        <v>0</v>
      </c>
      <c r="M15" s="50">
        <v>203</v>
      </c>
      <c r="N15" s="50">
        <v>0</v>
      </c>
      <c r="O15" s="15">
        <f t="shared" si="0"/>
        <v>94</v>
      </c>
      <c r="P15" s="15">
        <f t="shared" si="1"/>
        <v>297</v>
      </c>
      <c r="R15" s="1" t="s">
        <v>11</v>
      </c>
      <c r="S15" s="17">
        <f t="shared" ref="S15:AF15" si="7">SUM(C30:C33)</f>
        <v>286</v>
      </c>
      <c r="T15" s="17">
        <f t="shared" si="7"/>
        <v>68</v>
      </c>
      <c r="U15" s="17">
        <f t="shared" si="7"/>
        <v>47</v>
      </c>
      <c r="V15" s="17">
        <f t="shared" si="7"/>
        <v>204</v>
      </c>
      <c r="W15" s="17">
        <f t="shared" si="7"/>
        <v>6</v>
      </c>
      <c r="X15" s="17">
        <f t="shared" si="7"/>
        <v>5</v>
      </c>
      <c r="Y15" s="17">
        <f t="shared" si="7"/>
        <v>62</v>
      </c>
      <c r="Z15" s="17">
        <f t="shared" si="7"/>
        <v>2</v>
      </c>
      <c r="AA15" s="17">
        <f t="shared" si="7"/>
        <v>5</v>
      </c>
      <c r="AB15" s="17">
        <f t="shared" si="7"/>
        <v>2</v>
      </c>
      <c r="AC15" s="17">
        <f t="shared" si="7"/>
        <v>660</v>
      </c>
      <c r="AD15" s="17">
        <f t="shared" si="7"/>
        <v>0</v>
      </c>
      <c r="AE15" s="31">
        <f t="shared" si="7"/>
        <v>687</v>
      </c>
      <c r="AF15" s="31">
        <f t="shared" si="7"/>
        <v>1347</v>
      </c>
    </row>
    <row r="16" spans="2:32" ht="23.1" customHeight="1" x14ac:dyDescent="0.25">
      <c r="B16" s="23" t="s">
        <v>43</v>
      </c>
      <c r="C16" s="50">
        <v>66</v>
      </c>
      <c r="D16" s="50">
        <v>11</v>
      </c>
      <c r="E16" s="50">
        <v>6</v>
      </c>
      <c r="F16" s="50">
        <v>85</v>
      </c>
      <c r="G16" s="50">
        <v>1</v>
      </c>
      <c r="H16" s="50">
        <v>0</v>
      </c>
      <c r="I16" s="50">
        <v>3</v>
      </c>
      <c r="J16" s="50">
        <v>0</v>
      </c>
      <c r="K16" s="50">
        <v>3</v>
      </c>
      <c r="L16" s="50">
        <v>0</v>
      </c>
      <c r="M16" s="50">
        <v>201</v>
      </c>
      <c r="N16" s="50">
        <v>0</v>
      </c>
      <c r="O16" s="15">
        <f t="shared" si="0"/>
        <v>175</v>
      </c>
      <c r="P16" s="15">
        <f t="shared" si="1"/>
        <v>376</v>
      </c>
      <c r="R16" s="1" t="s">
        <v>12</v>
      </c>
      <c r="S16" s="17">
        <f t="shared" ref="S16:AF16" si="8">SUM(C34:C37)</f>
        <v>165</v>
      </c>
      <c r="T16" s="17">
        <f t="shared" si="8"/>
        <v>67</v>
      </c>
      <c r="U16" s="17">
        <f t="shared" si="8"/>
        <v>22</v>
      </c>
      <c r="V16" s="17">
        <f t="shared" si="8"/>
        <v>133</v>
      </c>
      <c r="W16" s="17">
        <f t="shared" si="8"/>
        <v>0</v>
      </c>
      <c r="X16" s="17">
        <f t="shared" si="8"/>
        <v>4</v>
      </c>
      <c r="Y16" s="17">
        <f t="shared" si="8"/>
        <v>36</v>
      </c>
      <c r="Z16" s="17">
        <f t="shared" si="8"/>
        <v>1</v>
      </c>
      <c r="AA16" s="17">
        <f t="shared" si="8"/>
        <v>13</v>
      </c>
      <c r="AB16" s="17">
        <f t="shared" si="8"/>
        <v>3</v>
      </c>
      <c r="AC16" s="17">
        <f t="shared" si="8"/>
        <v>507</v>
      </c>
      <c r="AD16" s="17">
        <f t="shared" si="8"/>
        <v>0</v>
      </c>
      <c r="AE16" s="31">
        <f t="shared" si="8"/>
        <v>444</v>
      </c>
      <c r="AF16" s="31">
        <f t="shared" si="8"/>
        <v>951</v>
      </c>
    </row>
    <row r="17" spans="2:32" ht="23.1" customHeight="1" x14ac:dyDescent="0.25">
      <c r="B17" s="23" t="s">
        <v>44</v>
      </c>
      <c r="C17" s="50">
        <v>101</v>
      </c>
      <c r="D17" s="50">
        <v>16</v>
      </c>
      <c r="E17" s="50">
        <v>6</v>
      </c>
      <c r="F17" s="50">
        <v>86</v>
      </c>
      <c r="G17" s="50">
        <v>0</v>
      </c>
      <c r="H17" s="50">
        <v>1</v>
      </c>
      <c r="I17" s="50">
        <v>10</v>
      </c>
      <c r="J17" s="50">
        <v>1</v>
      </c>
      <c r="K17" s="50">
        <v>3</v>
      </c>
      <c r="L17" s="50">
        <v>1</v>
      </c>
      <c r="M17" s="50">
        <v>225</v>
      </c>
      <c r="N17" s="50">
        <v>0</v>
      </c>
      <c r="O17" s="15">
        <f t="shared" si="0"/>
        <v>225</v>
      </c>
      <c r="P17" s="15">
        <f t="shared" si="1"/>
        <v>450</v>
      </c>
      <c r="R17" s="1" t="s">
        <v>13</v>
      </c>
      <c r="S17" s="17">
        <f t="shared" ref="S17:AF17" si="9">SUM(C38:C41)</f>
        <v>204</v>
      </c>
      <c r="T17" s="17">
        <f t="shared" si="9"/>
        <v>55</v>
      </c>
      <c r="U17" s="17">
        <f t="shared" si="9"/>
        <v>33</v>
      </c>
      <c r="V17" s="17">
        <f t="shared" si="9"/>
        <v>177</v>
      </c>
      <c r="W17" s="17">
        <f t="shared" si="9"/>
        <v>2</v>
      </c>
      <c r="X17" s="17">
        <f t="shared" si="9"/>
        <v>2</v>
      </c>
      <c r="Y17" s="17">
        <f t="shared" si="9"/>
        <v>43</v>
      </c>
      <c r="Z17" s="17">
        <f t="shared" si="9"/>
        <v>7</v>
      </c>
      <c r="AA17" s="17">
        <f t="shared" si="9"/>
        <v>3</v>
      </c>
      <c r="AB17" s="17">
        <f t="shared" si="9"/>
        <v>2</v>
      </c>
      <c r="AC17" s="17">
        <f t="shared" si="9"/>
        <v>505</v>
      </c>
      <c r="AD17" s="17">
        <f t="shared" si="9"/>
        <v>0</v>
      </c>
      <c r="AE17" s="31">
        <f t="shared" si="9"/>
        <v>528</v>
      </c>
      <c r="AF17" s="31">
        <f t="shared" si="9"/>
        <v>1033</v>
      </c>
    </row>
    <row r="18" spans="2:32" ht="23.1" customHeight="1" x14ac:dyDescent="0.25">
      <c r="B18" s="23" t="s">
        <v>45</v>
      </c>
      <c r="C18" s="50">
        <v>76</v>
      </c>
      <c r="D18" s="50">
        <v>21</v>
      </c>
      <c r="E18" s="50">
        <v>8</v>
      </c>
      <c r="F18" s="50">
        <v>73</v>
      </c>
      <c r="G18" s="50">
        <v>1</v>
      </c>
      <c r="H18" s="50">
        <v>0</v>
      </c>
      <c r="I18" s="50">
        <v>1</v>
      </c>
      <c r="J18" s="50">
        <v>0</v>
      </c>
      <c r="K18" s="50">
        <v>3</v>
      </c>
      <c r="L18" s="50">
        <v>0</v>
      </c>
      <c r="M18" s="50">
        <v>250</v>
      </c>
      <c r="N18" s="50">
        <v>0</v>
      </c>
      <c r="O18" s="15">
        <f t="shared" si="0"/>
        <v>183</v>
      </c>
      <c r="P18" s="15">
        <f t="shared" si="1"/>
        <v>433</v>
      </c>
      <c r="R18" s="1" t="s">
        <v>14</v>
      </c>
      <c r="S18" s="17">
        <f t="shared" ref="S18:AF18" si="10">SUM(C42:C45)</f>
        <v>192</v>
      </c>
      <c r="T18" s="17">
        <f t="shared" si="10"/>
        <v>58</v>
      </c>
      <c r="U18" s="17">
        <f t="shared" si="10"/>
        <v>41</v>
      </c>
      <c r="V18" s="17">
        <f t="shared" si="10"/>
        <v>161</v>
      </c>
      <c r="W18" s="17">
        <f t="shared" si="10"/>
        <v>1</v>
      </c>
      <c r="X18" s="17">
        <f t="shared" si="10"/>
        <v>3</v>
      </c>
      <c r="Y18" s="17">
        <f t="shared" si="10"/>
        <v>50</v>
      </c>
      <c r="Z18" s="17">
        <f t="shared" si="10"/>
        <v>3</v>
      </c>
      <c r="AA18" s="17">
        <f t="shared" si="10"/>
        <v>8</v>
      </c>
      <c r="AB18" s="17">
        <f t="shared" si="10"/>
        <v>5</v>
      </c>
      <c r="AC18" s="17">
        <f t="shared" si="10"/>
        <v>592</v>
      </c>
      <c r="AD18" s="17">
        <f t="shared" si="10"/>
        <v>0</v>
      </c>
      <c r="AE18" s="31">
        <f t="shared" si="10"/>
        <v>522</v>
      </c>
      <c r="AF18" s="31">
        <f t="shared" si="10"/>
        <v>1114</v>
      </c>
    </row>
    <row r="19" spans="2:32" ht="23.1" customHeight="1" x14ac:dyDescent="0.25">
      <c r="B19" s="23" t="s">
        <v>46</v>
      </c>
      <c r="C19" s="50">
        <v>57</v>
      </c>
      <c r="D19" s="50">
        <v>24</v>
      </c>
      <c r="E19" s="50">
        <v>10</v>
      </c>
      <c r="F19" s="50">
        <v>66</v>
      </c>
      <c r="G19" s="50">
        <v>0</v>
      </c>
      <c r="H19" s="50">
        <v>1</v>
      </c>
      <c r="I19" s="50">
        <v>7</v>
      </c>
      <c r="J19" s="50">
        <v>2</v>
      </c>
      <c r="K19" s="50">
        <v>2</v>
      </c>
      <c r="L19" s="50">
        <v>0</v>
      </c>
      <c r="M19" s="50">
        <v>215</v>
      </c>
      <c r="N19" s="50">
        <v>0</v>
      </c>
      <c r="O19" s="15">
        <f t="shared" si="0"/>
        <v>169</v>
      </c>
      <c r="P19" s="15">
        <f t="shared" si="1"/>
        <v>384</v>
      </c>
      <c r="R19" s="1" t="s">
        <v>15</v>
      </c>
      <c r="S19" s="17">
        <f t="shared" ref="S19:AF19" si="11">SUM(C46:C49)</f>
        <v>200</v>
      </c>
      <c r="T19" s="17">
        <f t="shared" si="11"/>
        <v>49</v>
      </c>
      <c r="U19" s="17">
        <f t="shared" si="11"/>
        <v>30</v>
      </c>
      <c r="V19" s="17">
        <f t="shared" si="11"/>
        <v>115</v>
      </c>
      <c r="W19" s="17">
        <f t="shared" si="11"/>
        <v>2</v>
      </c>
      <c r="X19" s="17">
        <f t="shared" si="11"/>
        <v>6</v>
      </c>
      <c r="Y19" s="17">
        <f t="shared" si="11"/>
        <v>36</v>
      </c>
      <c r="Z19" s="17">
        <f t="shared" si="11"/>
        <v>8</v>
      </c>
      <c r="AA19" s="17">
        <f t="shared" si="11"/>
        <v>6</v>
      </c>
      <c r="AB19" s="17">
        <f t="shared" si="11"/>
        <v>3</v>
      </c>
      <c r="AC19" s="17">
        <f t="shared" si="11"/>
        <v>521</v>
      </c>
      <c r="AD19" s="17">
        <f t="shared" si="11"/>
        <v>0</v>
      </c>
      <c r="AE19" s="31">
        <f t="shared" si="11"/>
        <v>455</v>
      </c>
      <c r="AF19" s="31">
        <f t="shared" si="11"/>
        <v>976</v>
      </c>
    </row>
    <row r="20" spans="2:32" ht="23.1" customHeight="1" x14ac:dyDescent="0.25">
      <c r="B20" s="23" t="s">
        <v>47</v>
      </c>
      <c r="C20" s="50">
        <v>74</v>
      </c>
      <c r="D20" s="50">
        <v>21</v>
      </c>
      <c r="E20" s="50">
        <v>3</v>
      </c>
      <c r="F20" s="50">
        <v>49</v>
      </c>
      <c r="G20" s="50">
        <v>1</v>
      </c>
      <c r="H20" s="50">
        <v>2</v>
      </c>
      <c r="I20" s="50">
        <v>10</v>
      </c>
      <c r="J20" s="50">
        <v>1</v>
      </c>
      <c r="K20" s="50">
        <v>1</v>
      </c>
      <c r="L20" s="50">
        <v>0</v>
      </c>
      <c r="M20" s="50">
        <v>225</v>
      </c>
      <c r="N20" s="50">
        <v>0</v>
      </c>
      <c r="O20" s="15">
        <f t="shared" si="0"/>
        <v>162</v>
      </c>
      <c r="P20" s="15">
        <f t="shared" si="1"/>
        <v>387</v>
      </c>
      <c r="R20" s="1" t="s">
        <v>16</v>
      </c>
      <c r="S20" s="17">
        <f t="shared" ref="S20:AF20" si="12">SUM(C50:C53)</f>
        <v>182</v>
      </c>
      <c r="T20" s="17">
        <f t="shared" si="12"/>
        <v>57</v>
      </c>
      <c r="U20" s="17">
        <f t="shared" si="12"/>
        <v>32</v>
      </c>
      <c r="V20" s="17">
        <f t="shared" si="12"/>
        <v>129</v>
      </c>
      <c r="W20" s="17">
        <f t="shared" si="12"/>
        <v>2</v>
      </c>
      <c r="X20" s="17">
        <f t="shared" si="12"/>
        <v>0</v>
      </c>
      <c r="Y20" s="17">
        <f t="shared" si="12"/>
        <v>38</v>
      </c>
      <c r="Z20" s="17">
        <f t="shared" si="12"/>
        <v>0</v>
      </c>
      <c r="AA20" s="17">
        <f t="shared" si="12"/>
        <v>3</v>
      </c>
      <c r="AB20" s="17">
        <f t="shared" si="12"/>
        <v>5</v>
      </c>
      <c r="AC20" s="17">
        <f t="shared" si="12"/>
        <v>482</v>
      </c>
      <c r="AD20" s="17">
        <f t="shared" si="12"/>
        <v>0</v>
      </c>
      <c r="AE20" s="31">
        <f t="shared" si="12"/>
        <v>448</v>
      </c>
      <c r="AF20" s="31">
        <f t="shared" si="12"/>
        <v>930</v>
      </c>
    </row>
    <row r="21" spans="2:32" ht="23.1" customHeight="1" x14ac:dyDescent="0.25">
      <c r="B21" s="23" t="s">
        <v>48</v>
      </c>
      <c r="C21" s="50">
        <v>65</v>
      </c>
      <c r="D21" s="50">
        <v>12</v>
      </c>
      <c r="E21" s="50">
        <v>5</v>
      </c>
      <c r="F21" s="50">
        <v>28</v>
      </c>
      <c r="G21" s="50">
        <v>0</v>
      </c>
      <c r="H21" s="50">
        <v>0</v>
      </c>
      <c r="I21" s="50">
        <v>3</v>
      </c>
      <c r="J21" s="50">
        <v>11</v>
      </c>
      <c r="K21" s="50">
        <v>2</v>
      </c>
      <c r="L21" s="50">
        <v>0</v>
      </c>
      <c r="M21" s="50">
        <v>140</v>
      </c>
      <c r="N21" s="50">
        <v>0</v>
      </c>
      <c r="O21" s="15">
        <f t="shared" si="0"/>
        <v>126</v>
      </c>
      <c r="P21" s="15">
        <f t="shared" si="1"/>
        <v>266</v>
      </c>
      <c r="R21" s="36" t="s">
        <v>20</v>
      </c>
      <c r="S21" s="34">
        <f t="shared" ref="S21:AF21" si="13">SUM(C54:C57)</f>
        <v>128</v>
      </c>
      <c r="T21" s="17">
        <f t="shared" si="13"/>
        <v>36</v>
      </c>
      <c r="U21" s="17">
        <f t="shared" si="13"/>
        <v>17</v>
      </c>
      <c r="V21" s="17">
        <f t="shared" si="13"/>
        <v>176</v>
      </c>
      <c r="W21" s="17">
        <f t="shared" si="13"/>
        <v>13</v>
      </c>
      <c r="X21" s="17">
        <f t="shared" si="13"/>
        <v>4</v>
      </c>
      <c r="Y21" s="17">
        <f t="shared" si="13"/>
        <v>36</v>
      </c>
      <c r="Z21" s="17">
        <f t="shared" si="13"/>
        <v>1</v>
      </c>
      <c r="AA21" s="17">
        <f t="shared" si="13"/>
        <v>7</v>
      </c>
      <c r="AB21" s="17">
        <f t="shared" si="13"/>
        <v>5</v>
      </c>
      <c r="AC21" s="17">
        <f t="shared" si="13"/>
        <v>493</v>
      </c>
      <c r="AD21" s="17">
        <f t="shared" si="13"/>
        <v>0</v>
      </c>
      <c r="AE21" s="31">
        <f t="shared" si="13"/>
        <v>423</v>
      </c>
      <c r="AF21" s="31">
        <f t="shared" si="13"/>
        <v>916</v>
      </c>
    </row>
    <row r="22" spans="2:32" ht="23.1" customHeight="1" x14ac:dyDescent="0.25">
      <c r="B22" s="23" t="s">
        <v>49</v>
      </c>
      <c r="C22" s="50">
        <v>77</v>
      </c>
      <c r="D22" s="50">
        <v>15</v>
      </c>
      <c r="E22" s="50">
        <v>12</v>
      </c>
      <c r="F22" s="50">
        <v>59</v>
      </c>
      <c r="G22" s="50">
        <v>1</v>
      </c>
      <c r="H22" s="50">
        <v>1</v>
      </c>
      <c r="I22" s="50">
        <v>7</v>
      </c>
      <c r="J22" s="50">
        <v>1</v>
      </c>
      <c r="K22" s="50">
        <v>2</v>
      </c>
      <c r="L22" s="50">
        <v>0</v>
      </c>
      <c r="M22" s="50">
        <v>194</v>
      </c>
      <c r="N22" s="50">
        <v>0</v>
      </c>
      <c r="O22" s="15">
        <f t="shared" si="0"/>
        <v>175</v>
      </c>
      <c r="P22" s="15">
        <f t="shared" si="1"/>
        <v>369</v>
      </c>
      <c r="R22" s="38" t="s">
        <v>90</v>
      </c>
      <c r="S22" s="39">
        <f>MAX(S10:S12)</f>
        <v>386</v>
      </c>
      <c r="T22" s="39">
        <f t="shared" ref="T22:AF22" si="14">MAX(T10:T12)</f>
        <v>78</v>
      </c>
      <c r="U22" s="39">
        <f t="shared" si="14"/>
        <v>32</v>
      </c>
      <c r="V22" s="39">
        <f t="shared" si="14"/>
        <v>323</v>
      </c>
      <c r="W22" s="39">
        <f t="shared" si="14"/>
        <v>8</v>
      </c>
      <c r="X22" s="39">
        <f t="shared" si="14"/>
        <v>4</v>
      </c>
      <c r="Y22" s="39">
        <f t="shared" si="14"/>
        <v>21</v>
      </c>
      <c r="Z22" s="39">
        <f t="shared" si="14"/>
        <v>14</v>
      </c>
      <c r="AA22" s="39">
        <f t="shared" si="14"/>
        <v>8</v>
      </c>
      <c r="AB22" s="39">
        <f t="shared" si="14"/>
        <v>2</v>
      </c>
      <c r="AC22" s="39">
        <f t="shared" si="14"/>
        <v>876</v>
      </c>
      <c r="AD22" s="39">
        <f t="shared" si="14"/>
        <v>0</v>
      </c>
      <c r="AE22" s="40">
        <f t="shared" si="14"/>
        <v>846</v>
      </c>
      <c r="AF22" s="40">
        <f t="shared" si="14"/>
        <v>1722</v>
      </c>
    </row>
    <row r="23" spans="2:32" ht="23.1" customHeight="1" x14ac:dyDescent="0.25">
      <c r="B23" s="23" t="s">
        <v>50</v>
      </c>
      <c r="C23" s="50">
        <v>52</v>
      </c>
      <c r="D23" s="50">
        <v>18</v>
      </c>
      <c r="E23" s="50">
        <v>5</v>
      </c>
      <c r="F23" s="50">
        <v>52</v>
      </c>
      <c r="G23" s="50">
        <v>2</v>
      </c>
      <c r="H23" s="50">
        <v>1</v>
      </c>
      <c r="I23" s="50">
        <v>15</v>
      </c>
      <c r="J23" s="50">
        <v>1</v>
      </c>
      <c r="K23" s="50">
        <v>2</v>
      </c>
      <c r="L23" s="50">
        <v>0</v>
      </c>
      <c r="M23" s="50">
        <v>181</v>
      </c>
      <c r="N23" s="50">
        <v>0</v>
      </c>
      <c r="O23" s="15">
        <f t="shared" si="0"/>
        <v>148</v>
      </c>
      <c r="P23" s="15">
        <f t="shared" si="1"/>
        <v>329</v>
      </c>
      <c r="R23" s="38" t="s">
        <v>91</v>
      </c>
      <c r="S23" s="39">
        <f>MAX(S13:S18)</f>
        <v>286</v>
      </c>
      <c r="T23" s="39">
        <f t="shared" ref="T23:AF23" si="15">MAX(T13:T18)</f>
        <v>76</v>
      </c>
      <c r="U23" s="39">
        <f t="shared" si="15"/>
        <v>47</v>
      </c>
      <c r="V23" s="39">
        <f t="shared" si="15"/>
        <v>213</v>
      </c>
      <c r="W23" s="39">
        <f t="shared" si="15"/>
        <v>6</v>
      </c>
      <c r="X23" s="39">
        <f t="shared" si="15"/>
        <v>5</v>
      </c>
      <c r="Y23" s="39">
        <f t="shared" si="15"/>
        <v>62</v>
      </c>
      <c r="Z23" s="39">
        <f t="shared" si="15"/>
        <v>7</v>
      </c>
      <c r="AA23" s="39">
        <f t="shared" si="15"/>
        <v>15</v>
      </c>
      <c r="AB23" s="39">
        <f t="shared" si="15"/>
        <v>5</v>
      </c>
      <c r="AC23" s="39">
        <f t="shared" si="15"/>
        <v>750</v>
      </c>
      <c r="AD23" s="39">
        <f t="shared" si="15"/>
        <v>0</v>
      </c>
      <c r="AE23" s="40">
        <f t="shared" si="15"/>
        <v>687</v>
      </c>
      <c r="AF23" s="40">
        <f t="shared" si="15"/>
        <v>1347</v>
      </c>
    </row>
    <row r="24" spans="2:32" ht="23.1" customHeight="1" x14ac:dyDescent="0.25">
      <c r="B24" s="23" t="s">
        <v>51</v>
      </c>
      <c r="C24" s="50">
        <v>51</v>
      </c>
      <c r="D24" s="50">
        <v>28</v>
      </c>
      <c r="E24" s="50">
        <v>12</v>
      </c>
      <c r="F24" s="50">
        <v>49</v>
      </c>
      <c r="G24" s="50">
        <v>1</v>
      </c>
      <c r="H24" s="50">
        <v>1</v>
      </c>
      <c r="I24" s="50">
        <v>13</v>
      </c>
      <c r="J24" s="50">
        <v>1</v>
      </c>
      <c r="K24" s="50">
        <v>3</v>
      </c>
      <c r="L24" s="50">
        <v>1</v>
      </c>
      <c r="M24" s="50">
        <v>195</v>
      </c>
      <c r="N24" s="50">
        <v>0</v>
      </c>
      <c r="O24" s="15">
        <f t="shared" si="0"/>
        <v>160</v>
      </c>
      <c r="P24" s="15">
        <f t="shared" si="1"/>
        <v>355</v>
      </c>
      <c r="R24" s="38" t="s">
        <v>92</v>
      </c>
      <c r="S24" s="39">
        <f>MAX(S19:S21)</f>
        <v>200</v>
      </c>
      <c r="T24" s="39">
        <f t="shared" ref="T24:AF24" si="16">MAX(T19:T21)</f>
        <v>57</v>
      </c>
      <c r="U24" s="39">
        <f t="shared" si="16"/>
        <v>32</v>
      </c>
      <c r="V24" s="39">
        <f t="shared" si="16"/>
        <v>176</v>
      </c>
      <c r="W24" s="39">
        <f t="shared" si="16"/>
        <v>13</v>
      </c>
      <c r="X24" s="39">
        <f t="shared" si="16"/>
        <v>6</v>
      </c>
      <c r="Y24" s="39">
        <f t="shared" si="16"/>
        <v>38</v>
      </c>
      <c r="Z24" s="39">
        <f t="shared" si="16"/>
        <v>8</v>
      </c>
      <c r="AA24" s="39">
        <f t="shared" si="16"/>
        <v>7</v>
      </c>
      <c r="AB24" s="39">
        <f t="shared" si="16"/>
        <v>5</v>
      </c>
      <c r="AC24" s="39">
        <f t="shared" si="16"/>
        <v>521</v>
      </c>
      <c r="AD24" s="39">
        <f t="shared" si="16"/>
        <v>0</v>
      </c>
      <c r="AE24" s="40">
        <f t="shared" si="16"/>
        <v>455</v>
      </c>
      <c r="AF24" s="40">
        <f t="shared" si="16"/>
        <v>976</v>
      </c>
    </row>
    <row r="25" spans="2:32" ht="23.1" customHeight="1" x14ac:dyDescent="0.25">
      <c r="B25" s="23" t="s">
        <v>52</v>
      </c>
      <c r="C25" s="50">
        <v>57</v>
      </c>
      <c r="D25" s="50">
        <v>14</v>
      </c>
      <c r="E25" s="50">
        <v>6</v>
      </c>
      <c r="F25" s="50">
        <v>32</v>
      </c>
      <c r="G25" s="50">
        <v>0</v>
      </c>
      <c r="H25" s="50">
        <v>0</v>
      </c>
      <c r="I25" s="50">
        <v>3</v>
      </c>
      <c r="J25" s="50">
        <v>1</v>
      </c>
      <c r="K25" s="50">
        <v>0</v>
      </c>
      <c r="L25" s="50">
        <v>0</v>
      </c>
      <c r="M25" s="50">
        <v>180</v>
      </c>
      <c r="N25" s="50">
        <v>0</v>
      </c>
      <c r="O25" s="15">
        <f t="shared" si="0"/>
        <v>113</v>
      </c>
      <c r="P25" s="15">
        <f t="shared" si="1"/>
        <v>293</v>
      </c>
      <c r="R25" s="37" t="s">
        <v>85</v>
      </c>
      <c r="S25" s="35">
        <f t="shared" ref="S25:AF25" si="17">SUM(S10:S12)</f>
        <v>942</v>
      </c>
      <c r="T25" s="16">
        <f t="shared" si="17"/>
        <v>210</v>
      </c>
      <c r="U25" s="16">
        <f t="shared" si="17"/>
        <v>77</v>
      </c>
      <c r="V25" s="16">
        <f t="shared" si="17"/>
        <v>808</v>
      </c>
      <c r="W25" s="16">
        <f t="shared" si="17"/>
        <v>12</v>
      </c>
      <c r="X25" s="16">
        <f t="shared" si="17"/>
        <v>10</v>
      </c>
      <c r="Y25" s="16">
        <f t="shared" si="17"/>
        <v>50</v>
      </c>
      <c r="Z25" s="16">
        <f t="shared" si="17"/>
        <v>17</v>
      </c>
      <c r="AA25" s="16">
        <f t="shared" si="17"/>
        <v>19</v>
      </c>
      <c r="AB25" s="16">
        <f t="shared" si="17"/>
        <v>4</v>
      </c>
      <c r="AC25" s="16">
        <f t="shared" si="17"/>
        <v>2551</v>
      </c>
      <c r="AD25" s="16">
        <f t="shared" si="17"/>
        <v>0</v>
      </c>
      <c r="AE25" s="32">
        <f t="shared" si="17"/>
        <v>2149</v>
      </c>
      <c r="AF25" s="32">
        <f t="shared" si="17"/>
        <v>4700</v>
      </c>
    </row>
    <row r="26" spans="2:32" ht="23.1" customHeight="1" x14ac:dyDescent="0.25">
      <c r="B26" s="23" t="s">
        <v>53</v>
      </c>
      <c r="C26" s="50">
        <v>88</v>
      </c>
      <c r="D26" s="50">
        <v>22</v>
      </c>
      <c r="E26" s="50">
        <v>12</v>
      </c>
      <c r="F26" s="50">
        <v>85</v>
      </c>
      <c r="G26" s="50">
        <v>1</v>
      </c>
      <c r="H26" s="50">
        <v>1</v>
      </c>
      <c r="I26" s="50">
        <v>10</v>
      </c>
      <c r="J26" s="50">
        <v>0</v>
      </c>
      <c r="K26" s="50">
        <v>3</v>
      </c>
      <c r="L26" s="50">
        <v>0</v>
      </c>
      <c r="M26" s="50">
        <v>180</v>
      </c>
      <c r="N26" s="50">
        <v>0</v>
      </c>
      <c r="O26" s="15">
        <f t="shared" si="0"/>
        <v>222</v>
      </c>
      <c r="P26" s="15">
        <f t="shared" si="1"/>
        <v>402</v>
      </c>
      <c r="R26" s="28" t="s">
        <v>86</v>
      </c>
      <c r="S26" s="16">
        <f t="shared" ref="S26:AF26" si="18">SUM(S13:S18)</f>
        <v>1361</v>
      </c>
      <c r="T26" s="16">
        <f t="shared" si="18"/>
        <v>399</v>
      </c>
      <c r="U26" s="16">
        <f t="shared" si="18"/>
        <v>217</v>
      </c>
      <c r="V26" s="16">
        <f t="shared" si="18"/>
        <v>1080</v>
      </c>
      <c r="W26" s="16">
        <f t="shared" si="18"/>
        <v>16</v>
      </c>
      <c r="X26" s="16">
        <f t="shared" si="18"/>
        <v>20</v>
      </c>
      <c r="Y26" s="16">
        <f t="shared" si="18"/>
        <v>270</v>
      </c>
      <c r="Z26" s="16">
        <f t="shared" si="18"/>
        <v>19</v>
      </c>
      <c r="AA26" s="16">
        <f t="shared" si="18"/>
        <v>51</v>
      </c>
      <c r="AB26" s="16">
        <f t="shared" si="18"/>
        <v>14</v>
      </c>
      <c r="AC26" s="16">
        <f t="shared" si="18"/>
        <v>3676</v>
      </c>
      <c r="AD26" s="16">
        <f t="shared" si="18"/>
        <v>0</v>
      </c>
      <c r="AE26" s="32">
        <f t="shared" si="18"/>
        <v>3447</v>
      </c>
      <c r="AF26" s="32">
        <f t="shared" si="18"/>
        <v>7123</v>
      </c>
    </row>
    <row r="27" spans="2:32" ht="23.1" customHeight="1" x14ac:dyDescent="0.25">
      <c r="B27" s="23" t="s">
        <v>54</v>
      </c>
      <c r="C27" s="50">
        <v>51</v>
      </c>
      <c r="D27" s="50">
        <v>21</v>
      </c>
      <c r="E27" s="50">
        <v>8</v>
      </c>
      <c r="F27" s="50">
        <v>60</v>
      </c>
      <c r="G27" s="50">
        <v>1</v>
      </c>
      <c r="H27" s="50">
        <v>1</v>
      </c>
      <c r="I27" s="50">
        <v>7</v>
      </c>
      <c r="J27" s="50">
        <v>0</v>
      </c>
      <c r="K27" s="50">
        <v>5</v>
      </c>
      <c r="L27" s="50">
        <v>0</v>
      </c>
      <c r="M27" s="50">
        <v>157</v>
      </c>
      <c r="N27" s="50">
        <v>0</v>
      </c>
      <c r="O27" s="15">
        <f t="shared" si="0"/>
        <v>154</v>
      </c>
      <c r="P27" s="15">
        <f t="shared" si="1"/>
        <v>311</v>
      </c>
      <c r="R27" s="29" t="s">
        <v>87</v>
      </c>
      <c r="S27" s="16">
        <f t="shared" ref="S27:AF27" si="19">SUM(S19:S21)</f>
        <v>510</v>
      </c>
      <c r="T27" s="16">
        <f t="shared" si="19"/>
        <v>142</v>
      </c>
      <c r="U27" s="16">
        <f t="shared" si="19"/>
        <v>79</v>
      </c>
      <c r="V27" s="16">
        <f t="shared" si="19"/>
        <v>420</v>
      </c>
      <c r="W27" s="16">
        <f t="shared" si="19"/>
        <v>17</v>
      </c>
      <c r="X27" s="16">
        <f t="shared" si="19"/>
        <v>10</v>
      </c>
      <c r="Y27" s="16">
        <f t="shared" si="19"/>
        <v>110</v>
      </c>
      <c r="Z27" s="16">
        <f t="shared" si="19"/>
        <v>9</v>
      </c>
      <c r="AA27" s="16">
        <f t="shared" si="19"/>
        <v>16</v>
      </c>
      <c r="AB27" s="16">
        <f t="shared" si="19"/>
        <v>13</v>
      </c>
      <c r="AC27" s="16">
        <f t="shared" si="19"/>
        <v>1496</v>
      </c>
      <c r="AD27" s="16">
        <f t="shared" si="19"/>
        <v>0</v>
      </c>
      <c r="AE27" s="32">
        <f t="shared" si="19"/>
        <v>1326</v>
      </c>
      <c r="AF27" s="32">
        <f t="shared" si="19"/>
        <v>2822</v>
      </c>
    </row>
    <row r="28" spans="2:32" ht="23.1" customHeight="1" x14ac:dyDescent="0.25">
      <c r="B28" s="23" t="s">
        <v>55</v>
      </c>
      <c r="C28" s="50">
        <v>93</v>
      </c>
      <c r="D28" s="50">
        <v>20</v>
      </c>
      <c r="E28" s="50">
        <v>16</v>
      </c>
      <c r="F28" s="50">
        <v>42</v>
      </c>
      <c r="G28" s="50">
        <v>1</v>
      </c>
      <c r="H28" s="50">
        <v>0</v>
      </c>
      <c r="I28" s="50">
        <v>10</v>
      </c>
      <c r="J28" s="50">
        <v>1</v>
      </c>
      <c r="K28" s="50">
        <v>5</v>
      </c>
      <c r="L28" s="50">
        <v>1</v>
      </c>
      <c r="M28" s="50">
        <v>170</v>
      </c>
      <c r="N28" s="50">
        <v>0</v>
      </c>
      <c r="O28" s="15">
        <f t="shared" si="0"/>
        <v>189</v>
      </c>
      <c r="P28" s="15">
        <f t="shared" si="1"/>
        <v>359</v>
      </c>
      <c r="R28" s="5" t="s">
        <v>17</v>
      </c>
      <c r="S28" s="16">
        <f t="shared" ref="S28:AF28" si="20">SUM(S10:S21)</f>
        <v>2813</v>
      </c>
      <c r="T28" s="16">
        <f t="shared" si="20"/>
        <v>751</v>
      </c>
      <c r="U28" s="16">
        <f t="shared" si="20"/>
        <v>373</v>
      </c>
      <c r="V28" s="16">
        <f t="shared" si="20"/>
        <v>2308</v>
      </c>
      <c r="W28" s="16">
        <f t="shared" si="20"/>
        <v>45</v>
      </c>
      <c r="X28" s="16">
        <f t="shared" si="20"/>
        <v>40</v>
      </c>
      <c r="Y28" s="16">
        <f t="shared" si="20"/>
        <v>430</v>
      </c>
      <c r="Z28" s="16">
        <f t="shared" si="20"/>
        <v>45</v>
      </c>
      <c r="AA28" s="16">
        <f t="shared" si="20"/>
        <v>86</v>
      </c>
      <c r="AB28" s="16">
        <f t="shared" si="20"/>
        <v>31</v>
      </c>
      <c r="AC28" s="16">
        <f t="shared" si="20"/>
        <v>7723</v>
      </c>
      <c r="AD28" s="16">
        <f t="shared" si="20"/>
        <v>0</v>
      </c>
      <c r="AE28" s="32">
        <f t="shared" si="20"/>
        <v>6922</v>
      </c>
      <c r="AF28" s="32">
        <f t="shared" si="20"/>
        <v>14645</v>
      </c>
    </row>
    <row r="29" spans="2:32" ht="23.1" customHeight="1" x14ac:dyDescent="0.25">
      <c r="B29" s="23" t="s">
        <v>56</v>
      </c>
      <c r="C29" s="50">
        <v>45</v>
      </c>
      <c r="D29" s="50">
        <v>13</v>
      </c>
      <c r="E29" s="50">
        <v>3</v>
      </c>
      <c r="F29" s="50">
        <v>26</v>
      </c>
      <c r="G29" s="50">
        <v>0</v>
      </c>
      <c r="H29" s="50">
        <v>1</v>
      </c>
      <c r="I29" s="50">
        <v>14</v>
      </c>
      <c r="J29" s="50">
        <v>1</v>
      </c>
      <c r="K29" s="50">
        <v>2</v>
      </c>
      <c r="L29" s="50">
        <v>0</v>
      </c>
      <c r="M29" s="50">
        <v>155</v>
      </c>
      <c r="N29" s="50">
        <v>0</v>
      </c>
      <c r="O29" s="15">
        <f t="shared" si="0"/>
        <v>105</v>
      </c>
      <c r="P29" s="15">
        <f t="shared" si="1"/>
        <v>260</v>
      </c>
      <c r="R29"/>
      <c r="S29" s="20"/>
      <c r="T29" s="19"/>
    </row>
    <row r="30" spans="2:32" ht="23.1" customHeight="1" x14ac:dyDescent="0.25">
      <c r="B30" s="23" t="s">
        <v>57</v>
      </c>
      <c r="C30" s="50">
        <v>66</v>
      </c>
      <c r="D30" s="50">
        <v>14</v>
      </c>
      <c r="E30" s="50">
        <v>15</v>
      </c>
      <c r="F30" s="50">
        <v>62</v>
      </c>
      <c r="G30" s="50">
        <v>1</v>
      </c>
      <c r="H30" s="50">
        <v>0</v>
      </c>
      <c r="I30" s="50">
        <v>15</v>
      </c>
      <c r="J30" s="50">
        <v>0</v>
      </c>
      <c r="K30" s="50">
        <v>1</v>
      </c>
      <c r="L30" s="50">
        <v>0</v>
      </c>
      <c r="M30" s="50">
        <v>175</v>
      </c>
      <c r="N30" s="50">
        <v>0</v>
      </c>
      <c r="O30" s="15">
        <f t="shared" si="0"/>
        <v>174</v>
      </c>
      <c r="P30" s="15">
        <f t="shared" si="1"/>
        <v>349</v>
      </c>
    </row>
    <row r="31" spans="2:32" ht="23.1" customHeight="1" x14ac:dyDescent="0.25">
      <c r="B31" s="24" t="s">
        <v>58</v>
      </c>
      <c r="C31" s="50">
        <v>62</v>
      </c>
      <c r="D31" s="50">
        <v>16</v>
      </c>
      <c r="E31" s="50">
        <v>13</v>
      </c>
      <c r="F31" s="50">
        <v>34</v>
      </c>
      <c r="G31" s="50">
        <v>2</v>
      </c>
      <c r="H31" s="50">
        <v>3</v>
      </c>
      <c r="I31" s="50">
        <v>8</v>
      </c>
      <c r="J31" s="50">
        <v>0</v>
      </c>
      <c r="K31" s="50">
        <v>2</v>
      </c>
      <c r="L31" s="50">
        <v>0</v>
      </c>
      <c r="M31" s="50">
        <v>155</v>
      </c>
      <c r="N31" s="50">
        <v>0</v>
      </c>
      <c r="O31" s="15">
        <f t="shared" si="0"/>
        <v>140</v>
      </c>
      <c r="P31" s="15">
        <f t="shared" si="1"/>
        <v>295</v>
      </c>
    </row>
    <row r="32" spans="2:32" ht="23.1" customHeight="1" x14ac:dyDescent="0.25">
      <c r="B32" s="24" t="s">
        <v>59</v>
      </c>
      <c r="C32" s="50">
        <v>81</v>
      </c>
      <c r="D32" s="50">
        <v>16</v>
      </c>
      <c r="E32" s="50">
        <v>8</v>
      </c>
      <c r="F32" s="50">
        <v>64</v>
      </c>
      <c r="G32" s="50">
        <v>1</v>
      </c>
      <c r="H32" s="50">
        <v>1</v>
      </c>
      <c r="I32" s="50">
        <v>20</v>
      </c>
      <c r="J32" s="50">
        <v>0</v>
      </c>
      <c r="K32" s="50">
        <v>2</v>
      </c>
      <c r="L32" s="50">
        <v>1</v>
      </c>
      <c r="M32" s="50">
        <v>150</v>
      </c>
      <c r="N32" s="50">
        <v>0</v>
      </c>
      <c r="O32" s="15">
        <f t="shared" si="0"/>
        <v>194</v>
      </c>
      <c r="P32" s="15">
        <f t="shared" si="1"/>
        <v>344</v>
      </c>
    </row>
    <row r="33" spans="2:20" ht="23.1" customHeight="1" x14ac:dyDescent="0.25">
      <c r="B33" s="23" t="s">
        <v>60</v>
      </c>
      <c r="C33" s="50">
        <v>77</v>
      </c>
      <c r="D33" s="50">
        <v>22</v>
      </c>
      <c r="E33" s="50">
        <v>11</v>
      </c>
      <c r="F33" s="50">
        <v>44</v>
      </c>
      <c r="G33" s="50">
        <v>2</v>
      </c>
      <c r="H33" s="50">
        <v>1</v>
      </c>
      <c r="I33" s="50">
        <v>19</v>
      </c>
      <c r="J33" s="50">
        <v>2</v>
      </c>
      <c r="K33" s="50">
        <v>0</v>
      </c>
      <c r="L33" s="50">
        <v>1</v>
      </c>
      <c r="M33" s="50">
        <v>180</v>
      </c>
      <c r="N33" s="50">
        <v>0</v>
      </c>
      <c r="O33" s="15">
        <f t="shared" si="0"/>
        <v>179</v>
      </c>
      <c r="P33" s="15">
        <f t="shared" si="1"/>
        <v>359</v>
      </c>
    </row>
    <row r="34" spans="2:20" ht="23.1" customHeight="1" x14ac:dyDescent="0.25">
      <c r="B34" s="24" t="s">
        <v>61</v>
      </c>
      <c r="C34" s="50">
        <v>20</v>
      </c>
      <c r="D34" s="50">
        <v>8</v>
      </c>
      <c r="E34" s="50">
        <v>3</v>
      </c>
      <c r="F34" s="50">
        <v>17</v>
      </c>
      <c r="G34" s="50">
        <v>0</v>
      </c>
      <c r="H34" s="50">
        <v>1</v>
      </c>
      <c r="I34" s="50">
        <v>9</v>
      </c>
      <c r="J34" s="50">
        <v>0</v>
      </c>
      <c r="K34" s="50">
        <v>2</v>
      </c>
      <c r="L34" s="50">
        <v>0</v>
      </c>
      <c r="M34" s="50">
        <v>75</v>
      </c>
      <c r="N34" s="50">
        <v>0</v>
      </c>
      <c r="O34" s="15">
        <f t="shared" si="0"/>
        <v>60</v>
      </c>
      <c r="P34" s="15">
        <f t="shared" si="1"/>
        <v>135</v>
      </c>
    </row>
    <row r="35" spans="2:20" ht="23.1" customHeight="1" x14ac:dyDescent="0.25">
      <c r="B35" s="24" t="s">
        <v>62</v>
      </c>
      <c r="C35" s="50">
        <v>40</v>
      </c>
      <c r="D35" s="50">
        <v>17</v>
      </c>
      <c r="E35" s="50">
        <v>6</v>
      </c>
      <c r="F35" s="50">
        <v>35</v>
      </c>
      <c r="G35" s="50">
        <v>0</v>
      </c>
      <c r="H35" s="50">
        <v>0</v>
      </c>
      <c r="I35" s="50">
        <v>11</v>
      </c>
      <c r="J35" s="50">
        <v>0</v>
      </c>
      <c r="K35" s="50">
        <v>1</v>
      </c>
      <c r="L35" s="50">
        <v>1</v>
      </c>
      <c r="M35" s="50">
        <v>110</v>
      </c>
      <c r="N35" s="50">
        <v>0</v>
      </c>
      <c r="O35" s="15">
        <f t="shared" si="0"/>
        <v>111</v>
      </c>
      <c r="P35" s="15">
        <f t="shared" si="1"/>
        <v>221</v>
      </c>
    </row>
    <row r="36" spans="2:20" ht="23.1" customHeight="1" x14ac:dyDescent="0.25">
      <c r="B36" s="24" t="s">
        <v>63</v>
      </c>
      <c r="C36" s="50">
        <v>54</v>
      </c>
      <c r="D36" s="50">
        <v>17</v>
      </c>
      <c r="E36" s="50">
        <v>6</v>
      </c>
      <c r="F36" s="50">
        <v>34</v>
      </c>
      <c r="G36" s="50">
        <v>0</v>
      </c>
      <c r="H36" s="50">
        <v>2</v>
      </c>
      <c r="I36" s="50">
        <v>9</v>
      </c>
      <c r="J36" s="50">
        <v>0</v>
      </c>
      <c r="K36" s="50">
        <v>6</v>
      </c>
      <c r="L36" s="50">
        <v>2</v>
      </c>
      <c r="M36" s="50">
        <v>180</v>
      </c>
      <c r="N36" s="50">
        <v>0</v>
      </c>
      <c r="O36" s="15">
        <f t="shared" si="0"/>
        <v>130</v>
      </c>
      <c r="P36" s="15">
        <f t="shared" si="1"/>
        <v>310</v>
      </c>
    </row>
    <row r="37" spans="2:20" ht="23.1" customHeight="1" x14ac:dyDescent="0.25">
      <c r="B37" s="23" t="s">
        <v>64</v>
      </c>
      <c r="C37" s="50">
        <v>51</v>
      </c>
      <c r="D37" s="50">
        <v>25</v>
      </c>
      <c r="E37" s="50">
        <v>7</v>
      </c>
      <c r="F37" s="50">
        <v>47</v>
      </c>
      <c r="G37" s="50">
        <v>0</v>
      </c>
      <c r="H37" s="50">
        <v>1</v>
      </c>
      <c r="I37" s="50">
        <v>7</v>
      </c>
      <c r="J37" s="50">
        <v>1</v>
      </c>
      <c r="K37" s="50">
        <v>4</v>
      </c>
      <c r="L37" s="50">
        <v>0</v>
      </c>
      <c r="M37" s="50">
        <v>142</v>
      </c>
      <c r="N37" s="50">
        <v>0</v>
      </c>
      <c r="O37" s="15">
        <f t="shared" si="0"/>
        <v>143</v>
      </c>
      <c r="P37" s="15">
        <f t="shared" si="1"/>
        <v>285</v>
      </c>
    </row>
    <row r="38" spans="2:20" ht="23.1" customHeight="1" x14ac:dyDescent="0.25">
      <c r="B38" s="24" t="s">
        <v>65</v>
      </c>
      <c r="C38" s="50">
        <v>29</v>
      </c>
      <c r="D38" s="50">
        <v>15</v>
      </c>
      <c r="E38" s="50">
        <v>3</v>
      </c>
      <c r="F38" s="50">
        <v>30</v>
      </c>
      <c r="G38" s="50">
        <v>1</v>
      </c>
      <c r="H38" s="50">
        <v>0</v>
      </c>
      <c r="I38" s="50">
        <v>6</v>
      </c>
      <c r="J38" s="50">
        <v>3</v>
      </c>
      <c r="K38" s="50">
        <v>1</v>
      </c>
      <c r="L38" s="50">
        <v>1</v>
      </c>
      <c r="M38" s="50">
        <v>130</v>
      </c>
      <c r="N38" s="50">
        <v>0</v>
      </c>
      <c r="O38" s="15">
        <f t="shared" si="0"/>
        <v>89</v>
      </c>
      <c r="P38" s="15">
        <f t="shared" si="1"/>
        <v>219</v>
      </c>
    </row>
    <row r="39" spans="2:20" ht="23.1" customHeight="1" x14ac:dyDescent="0.25">
      <c r="B39" s="24" t="s">
        <v>66</v>
      </c>
      <c r="C39" s="50">
        <v>55</v>
      </c>
      <c r="D39" s="50">
        <v>16</v>
      </c>
      <c r="E39" s="50">
        <v>10</v>
      </c>
      <c r="F39" s="50">
        <v>46</v>
      </c>
      <c r="G39" s="50">
        <v>0</v>
      </c>
      <c r="H39" s="50">
        <v>0</v>
      </c>
      <c r="I39" s="50">
        <v>11</v>
      </c>
      <c r="J39" s="50">
        <v>3</v>
      </c>
      <c r="K39" s="50">
        <v>0</v>
      </c>
      <c r="L39" s="50">
        <v>0</v>
      </c>
      <c r="M39" s="50">
        <v>135</v>
      </c>
      <c r="N39" s="50">
        <v>0</v>
      </c>
      <c r="O39" s="15">
        <f t="shared" si="0"/>
        <v>141</v>
      </c>
      <c r="P39" s="15">
        <f t="shared" si="1"/>
        <v>276</v>
      </c>
    </row>
    <row r="40" spans="2:20" ht="23.1" customHeight="1" x14ac:dyDescent="0.25">
      <c r="B40" s="24" t="s">
        <v>67</v>
      </c>
      <c r="C40" s="50">
        <v>60</v>
      </c>
      <c r="D40" s="50">
        <v>11</v>
      </c>
      <c r="E40" s="50">
        <v>7</v>
      </c>
      <c r="F40" s="50">
        <v>68</v>
      </c>
      <c r="G40" s="50">
        <v>1</v>
      </c>
      <c r="H40" s="50">
        <v>0</v>
      </c>
      <c r="I40" s="50">
        <v>12</v>
      </c>
      <c r="J40" s="50">
        <v>0</v>
      </c>
      <c r="K40" s="50">
        <v>1</v>
      </c>
      <c r="L40" s="50">
        <v>1</v>
      </c>
      <c r="M40" s="50">
        <v>125</v>
      </c>
      <c r="N40" s="50">
        <v>0</v>
      </c>
      <c r="O40" s="15">
        <f t="shared" si="0"/>
        <v>161</v>
      </c>
      <c r="P40" s="15">
        <f t="shared" si="1"/>
        <v>286</v>
      </c>
    </row>
    <row r="41" spans="2:20" ht="23.1" customHeight="1" x14ac:dyDescent="0.25">
      <c r="B41" s="23" t="s">
        <v>68</v>
      </c>
      <c r="C41" s="50">
        <v>60</v>
      </c>
      <c r="D41" s="50">
        <v>13</v>
      </c>
      <c r="E41" s="50">
        <v>13</v>
      </c>
      <c r="F41" s="50">
        <v>33</v>
      </c>
      <c r="G41" s="50">
        <v>0</v>
      </c>
      <c r="H41" s="50">
        <v>2</v>
      </c>
      <c r="I41" s="50">
        <v>14</v>
      </c>
      <c r="J41" s="50">
        <v>1</v>
      </c>
      <c r="K41" s="50">
        <v>1</v>
      </c>
      <c r="L41" s="50">
        <v>0</v>
      </c>
      <c r="M41" s="50">
        <v>115</v>
      </c>
      <c r="N41" s="50">
        <v>0</v>
      </c>
      <c r="O41" s="15">
        <f t="shared" si="0"/>
        <v>137</v>
      </c>
      <c r="P41" s="15">
        <f t="shared" si="1"/>
        <v>252</v>
      </c>
    </row>
    <row r="42" spans="2:20" ht="23.1" customHeight="1" x14ac:dyDescent="0.25">
      <c r="B42" s="24" t="s">
        <v>69</v>
      </c>
      <c r="C42" s="50">
        <v>50</v>
      </c>
      <c r="D42" s="50">
        <v>12</v>
      </c>
      <c r="E42" s="50">
        <v>10</v>
      </c>
      <c r="F42" s="50">
        <v>52</v>
      </c>
      <c r="G42" s="50">
        <v>0</v>
      </c>
      <c r="H42" s="50">
        <v>0</v>
      </c>
      <c r="I42" s="50">
        <v>10</v>
      </c>
      <c r="J42" s="50">
        <v>1</v>
      </c>
      <c r="K42" s="50">
        <v>4</v>
      </c>
      <c r="L42" s="50">
        <v>1</v>
      </c>
      <c r="M42" s="50">
        <v>125</v>
      </c>
      <c r="N42" s="50">
        <v>0</v>
      </c>
      <c r="O42" s="15">
        <f t="shared" si="0"/>
        <v>140</v>
      </c>
      <c r="P42" s="15">
        <f t="shared" si="1"/>
        <v>265</v>
      </c>
    </row>
    <row r="43" spans="2:20" ht="23.1" customHeight="1" x14ac:dyDescent="0.25">
      <c r="B43" s="23" t="s">
        <v>70</v>
      </c>
      <c r="C43" s="50">
        <v>48</v>
      </c>
      <c r="D43" s="50">
        <v>18</v>
      </c>
      <c r="E43" s="50">
        <v>8</v>
      </c>
      <c r="F43" s="50">
        <v>45</v>
      </c>
      <c r="G43" s="50">
        <v>0</v>
      </c>
      <c r="H43" s="50">
        <v>0</v>
      </c>
      <c r="I43" s="50">
        <v>13</v>
      </c>
      <c r="J43" s="50">
        <v>1</v>
      </c>
      <c r="K43" s="50">
        <v>1</v>
      </c>
      <c r="L43" s="50">
        <v>1</v>
      </c>
      <c r="M43" s="50">
        <v>163</v>
      </c>
      <c r="N43" s="50">
        <v>0</v>
      </c>
      <c r="O43" s="15">
        <f t="shared" si="0"/>
        <v>135</v>
      </c>
      <c r="P43" s="15">
        <f t="shared" si="1"/>
        <v>298</v>
      </c>
    </row>
    <row r="44" spans="2:20" ht="23.1" customHeight="1" x14ac:dyDescent="0.25">
      <c r="B44" s="25" t="s">
        <v>71</v>
      </c>
      <c r="C44" s="50">
        <v>60</v>
      </c>
      <c r="D44" s="50">
        <v>13</v>
      </c>
      <c r="E44" s="50">
        <v>14</v>
      </c>
      <c r="F44" s="50">
        <v>45</v>
      </c>
      <c r="G44" s="50">
        <v>1</v>
      </c>
      <c r="H44" s="50">
        <v>3</v>
      </c>
      <c r="I44" s="50">
        <v>17</v>
      </c>
      <c r="J44" s="50">
        <v>1</v>
      </c>
      <c r="K44" s="50">
        <v>2</v>
      </c>
      <c r="L44" s="50">
        <v>1</v>
      </c>
      <c r="M44" s="50">
        <v>175</v>
      </c>
      <c r="N44" s="50">
        <v>0</v>
      </c>
      <c r="O44" s="15">
        <f t="shared" si="0"/>
        <v>157</v>
      </c>
      <c r="P44" s="15">
        <f t="shared" si="1"/>
        <v>332</v>
      </c>
    </row>
    <row r="45" spans="2:20" ht="23.1" customHeight="1" x14ac:dyDescent="0.25">
      <c r="B45" s="23" t="s">
        <v>72</v>
      </c>
      <c r="C45" s="50">
        <v>34</v>
      </c>
      <c r="D45" s="50">
        <v>15</v>
      </c>
      <c r="E45" s="50">
        <v>9</v>
      </c>
      <c r="F45" s="50">
        <v>19</v>
      </c>
      <c r="G45" s="50">
        <v>0</v>
      </c>
      <c r="H45" s="50">
        <v>0</v>
      </c>
      <c r="I45" s="50">
        <v>10</v>
      </c>
      <c r="J45" s="50">
        <v>0</v>
      </c>
      <c r="K45" s="50">
        <v>1</v>
      </c>
      <c r="L45" s="50">
        <v>2</v>
      </c>
      <c r="M45" s="50">
        <v>129</v>
      </c>
      <c r="N45" s="50">
        <v>0</v>
      </c>
      <c r="O45" s="15">
        <f t="shared" si="0"/>
        <v>90</v>
      </c>
      <c r="P45" s="15">
        <f t="shared" si="1"/>
        <v>219</v>
      </c>
    </row>
    <row r="46" spans="2:20" ht="23.1" customHeight="1" x14ac:dyDescent="0.25">
      <c r="B46" s="24" t="s">
        <v>73</v>
      </c>
      <c r="C46" s="50">
        <v>35</v>
      </c>
      <c r="D46" s="50">
        <v>4</v>
      </c>
      <c r="E46" s="50">
        <v>4</v>
      </c>
      <c r="F46" s="50">
        <v>20</v>
      </c>
      <c r="G46" s="50">
        <v>0</v>
      </c>
      <c r="H46" s="50">
        <v>0</v>
      </c>
      <c r="I46" s="50">
        <v>4</v>
      </c>
      <c r="J46" s="50">
        <v>0</v>
      </c>
      <c r="K46" s="50">
        <v>3</v>
      </c>
      <c r="L46" s="50">
        <v>1</v>
      </c>
      <c r="M46" s="50">
        <v>125</v>
      </c>
      <c r="N46" s="50">
        <v>0</v>
      </c>
      <c r="O46" s="15">
        <f t="shared" si="0"/>
        <v>71</v>
      </c>
      <c r="P46" s="15">
        <f t="shared" si="1"/>
        <v>196</v>
      </c>
      <c r="R46" s="8"/>
      <c r="T46"/>
    </row>
    <row r="47" spans="2:20" ht="23.1" customHeight="1" x14ac:dyDescent="0.25">
      <c r="B47" s="24" t="s">
        <v>74</v>
      </c>
      <c r="C47" s="50">
        <v>52</v>
      </c>
      <c r="D47" s="50">
        <v>20</v>
      </c>
      <c r="E47" s="50">
        <v>8</v>
      </c>
      <c r="F47" s="50">
        <v>29</v>
      </c>
      <c r="G47" s="50">
        <v>1</v>
      </c>
      <c r="H47" s="50">
        <v>1</v>
      </c>
      <c r="I47" s="50">
        <v>14</v>
      </c>
      <c r="J47" s="50">
        <v>3</v>
      </c>
      <c r="K47" s="50">
        <v>2</v>
      </c>
      <c r="L47" s="50">
        <v>1</v>
      </c>
      <c r="M47" s="50">
        <v>125</v>
      </c>
      <c r="N47" s="50">
        <v>0</v>
      </c>
      <c r="O47" s="15">
        <f t="shared" si="0"/>
        <v>131</v>
      </c>
      <c r="P47" s="15">
        <f t="shared" si="1"/>
        <v>256</v>
      </c>
      <c r="R47" s="8"/>
      <c r="T47"/>
    </row>
    <row r="48" spans="2:20" ht="23.1" customHeight="1" x14ac:dyDescent="0.25">
      <c r="B48" s="24" t="s">
        <v>75</v>
      </c>
      <c r="C48" s="50">
        <v>59</v>
      </c>
      <c r="D48" s="50">
        <v>13</v>
      </c>
      <c r="E48" s="50">
        <v>6</v>
      </c>
      <c r="F48" s="50">
        <v>32</v>
      </c>
      <c r="G48" s="50">
        <v>1</v>
      </c>
      <c r="H48" s="50">
        <v>4</v>
      </c>
      <c r="I48" s="50">
        <v>7</v>
      </c>
      <c r="J48" s="50">
        <v>0</v>
      </c>
      <c r="K48" s="50">
        <v>1</v>
      </c>
      <c r="L48" s="50">
        <v>1</v>
      </c>
      <c r="M48" s="50">
        <v>116</v>
      </c>
      <c r="N48" s="50">
        <v>0</v>
      </c>
      <c r="O48" s="15">
        <f t="shared" si="0"/>
        <v>124</v>
      </c>
      <c r="P48" s="15">
        <f t="shared" si="1"/>
        <v>240</v>
      </c>
      <c r="R48" s="8"/>
      <c r="T48"/>
    </row>
    <row r="49" spans="2:20" ht="23.1" customHeight="1" x14ac:dyDescent="0.25">
      <c r="B49" s="23" t="s">
        <v>76</v>
      </c>
      <c r="C49" s="50">
        <v>54</v>
      </c>
      <c r="D49" s="50">
        <v>12</v>
      </c>
      <c r="E49" s="50">
        <v>12</v>
      </c>
      <c r="F49" s="50">
        <v>34</v>
      </c>
      <c r="G49" s="50">
        <v>0</v>
      </c>
      <c r="H49" s="50">
        <v>1</v>
      </c>
      <c r="I49" s="50">
        <v>11</v>
      </c>
      <c r="J49" s="50">
        <v>5</v>
      </c>
      <c r="K49" s="50">
        <v>0</v>
      </c>
      <c r="L49" s="50">
        <v>0</v>
      </c>
      <c r="M49" s="50">
        <v>155</v>
      </c>
      <c r="N49" s="50">
        <v>0</v>
      </c>
      <c r="O49" s="15">
        <f t="shared" si="0"/>
        <v>129</v>
      </c>
      <c r="P49" s="15">
        <f t="shared" si="1"/>
        <v>284</v>
      </c>
      <c r="R49" s="8"/>
      <c r="T49"/>
    </row>
    <row r="50" spans="2:20" ht="23.1" customHeight="1" x14ac:dyDescent="0.25">
      <c r="B50" s="24" t="s">
        <v>77</v>
      </c>
      <c r="C50" s="50">
        <v>52</v>
      </c>
      <c r="D50" s="50">
        <v>16</v>
      </c>
      <c r="E50" s="50">
        <v>8</v>
      </c>
      <c r="F50" s="50">
        <v>36</v>
      </c>
      <c r="G50" s="50">
        <v>0</v>
      </c>
      <c r="H50" s="50">
        <v>0</v>
      </c>
      <c r="I50" s="50">
        <v>12</v>
      </c>
      <c r="J50" s="50">
        <v>0</v>
      </c>
      <c r="K50" s="50">
        <v>1</v>
      </c>
      <c r="L50" s="50">
        <v>1</v>
      </c>
      <c r="M50" s="50">
        <v>150</v>
      </c>
      <c r="N50" s="50">
        <v>0</v>
      </c>
      <c r="O50" s="15">
        <f t="shared" si="0"/>
        <v>126</v>
      </c>
      <c r="P50" s="15">
        <f t="shared" si="1"/>
        <v>276</v>
      </c>
      <c r="R50" s="8"/>
      <c r="T50"/>
    </row>
    <row r="51" spans="2:20" ht="23.1" customHeight="1" x14ac:dyDescent="0.25">
      <c r="B51" s="24" t="s">
        <v>78</v>
      </c>
      <c r="C51" s="50">
        <v>30</v>
      </c>
      <c r="D51" s="50">
        <v>13</v>
      </c>
      <c r="E51" s="50">
        <v>12</v>
      </c>
      <c r="F51" s="50">
        <v>27</v>
      </c>
      <c r="G51" s="50">
        <v>1</v>
      </c>
      <c r="H51" s="50">
        <v>0</v>
      </c>
      <c r="I51" s="50">
        <v>11</v>
      </c>
      <c r="J51" s="50">
        <v>0</v>
      </c>
      <c r="K51" s="50">
        <v>1</v>
      </c>
      <c r="L51" s="50">
        <v>2</v>
      </c>
      <c r="M51" s="50">
        <v>132</v>
      </c>
      <c r="N51" s="50">
        <v>0</v>
      </c>
      <c r="O51" s="15">
        <f t="shared" si="0"/>
        <v>97</v>
      </c>
      <c r="P51" s="15">
        <f t="shared" si="1"/>
        <v>229</v>
      </c>
      <c r="R51" s="8"/>
      <c r="T51"/>
    </row>
    <row r="52" spans="2:20" ht="23.1" customHeight="1" x14ac:dyDescent="0.25">
      <c r="B52" s="24" t="s">
        <v>79</v>
      </c>
      <c r="C52" s="50">
        <v>43</v>
      </c>
      <c r="D52" s="50">
        <v>11</v>
      </c>
      <c r="E52" s="50">
        <v>7</v>
      </c>
      <c r="F52" s="50">
        <v>21</v>
      </c>
      <c r="G52" s="50">
        <v>0</v>
      </c>
      <c r="H52" s="50">
        <v>0</v>
      </c>
      <c r="I52" s="50">
        <v>2</v>
      </c>
      <c r="J52" s="50">
        <v>0</v>
      </c>
      <c r="K52" s="50">
        <v>1</v>
      </c>
      <c r="L52" s="50">
        <v>2</v>
      </c>
      <c r="M52" s="50">
        <v>100</v>
      </c>
      <c r="N52" s="50">
        <v>0</v>
      </c>
      <c r="O52" s="15">
        <f t="shared" si="0"/>
        <v>87</v>
      </c>
      <c r="P52" s="15">
        <f t="shared" si="1"/>
        <v>187</v>
      </c>
      <c r="R52" s="8"/>
      <c r="T52"/>
    </row>
    <row r="53" spans="2:20" ht="23.1" customHeight="1" x14ac:dyDescent="0.25">
      <c r="B53" s="23" t="s">
        <v>80</v>
      </c>
      <c r="C53" s="50">
        <v>57</v>
      </c>
      <c r="D53" s="50">
        <v>17</v>
      </c>
      <c r="E53" s="50">
        <v>5</v>
      </c>
      <c r="F53" s="50">
        <v>45</v>
      </c>
      <c r="G53" s="50">
        <v>1</v>
      </c>
      <c r="H53" s="50">
        <v>0</v>
      </c>
      <c r="I53" s="50">
        <v>13</v>
      </c>
      <c r="J53" s="50">
        <v>0</v>
      </c>
      <c r="K53" s="50">
        <v>0</v>
      </c>
      <c r="L53" s="50">
        <v>0</v>
      </c>
      <c r="M53" s="50">
        <v>100</v>
      </c>
      <c r="N53" s="50">
        <v>0</v>
      </c>
      <c r="O53" s="15">
        <f t="shared" si="0"/>
        <v>138</v>
      </c>
      <c r="P53" s="15">
        <f t="shared" si="1"/>
        <v>238</v>
      </c>
      <c r="R53" s="8"/>
      <c r="T53"/>
    </row>
    <row r="54" spans="2:20" ht="23.1" customHeight="1" x14ac:dyDescent="0.25">
      <c r="B54" s="23" t="s">
        <v>81</v>
      </c>
      <c r="C54" s="50">
        <v>27</v>
      </c>
      <c r="D54" s="50">
        <v>10</v>
      </c>
      <c r="E54" s="50">
        <v>7</v>
      </c>
      <c r="F54" s="50">
        <v>25</v>
      </c>
      <c r="G54" s="50">
        <v>5</v>
      </c>
      <c r="H54" s="50">
        <v>0</v>
      </c>
      <c r="I54" s="50">
        <v>7</v>
      </c>
      <c r="J54" s="50">
        <v>1</v>
      </c>
      <c r="K54" s="50">
        <v>0</v>
      </c>
      <c r="L54" s="50">
        <v>2</v>
      </c>
      <c r="M54" s="50">
        <v>107</v>
      </c>
      <c r="N54" s="50">
        <v>0</v>
      </c>
      <c r="O54" s="15">
        <f t="shared" si="0"/>
        <v>84</v>
      </c>
      <c r="P54" s="15">
        <f t="shared" si="1"/>
        <v>191</v>
      </c>
      <c r="R54" s="8"/>
      <c r="T54"/>
    </row>
    <row r="55" spans="2:20" ht="23.1" customHeight="1" x14ac:dyDescent="0.25">
      <c r="B55" s="23" t="s">
        <v>82</v>
      </c>
      <c r="C55" s="50">
        <v>40</v>
      </c>
      <c r="D55" s="50">
        <v>11</v>
      </c>
      <c r="E55" s="50">
        <v>3</v>
      </c>
      <c r="F55" s="50">
        <v>40</v>
      </c>
      <c r="G55" s="50">
        <v>4</v>
      </c>
      <c r="H55" s="50">
        <v>2</v>
      </c>
      <c r="I55" s="50">
        <v>8</v>
      </c>
      <c r="J55" s="50">
        <v>0</v>
      </c>
      <c r="K55" s="50">
        <v>0</v>
      </c>
      <c r="L55" s="50">
        <v>1</v>
      </c>
      <c r="M55" s="50">
        <v>125</v>
      </c>
      <c r="N55" s="50">
        <v>0</v>
      </c>
      <c r="O55" s="15">
        <f t="shared" si="0"/>
        <v>109</v>
      </c>
      <c r="P55" s="15">
        <f t="shared" si="1"/>
        <v>234</v>
      </c>
      <c r="R55" s="8"/>
      <c r="T55"/>
    </row>
    <row r="56" spans="2:20" ht="23.1" customHeight="1" x14ac:dyDescent="0.25">
      <c r="B56" s="23" t="s">
        <v>83</v>
      </c>
      <c r="C56" s="50">
        <v>25</v>
      </c>
      <c r="D56" s="50">
        <v>7</v>
      </c>
      <c r="E56" s="50">
        <v>4</v>
      </c>
      <c r="F56" s="50">
        <v>45</v>
      </c>
      <c r="G56" s="50">
        <v>3</v>
      </c>
      <c r="H56" s="50">
        <v>1</v>
      </c>
      <c r="I56" s="50">
        <v>13</v>
      </c>
      <c r="J56" s="50">
        <v>0</v>
      </c>
      <c r="K56" s="50">
        <v>0</v>
      </c>
      <c r="L56" s="50">
        <v>1</v>
      </c>
      <c r="M56" s="50">
        <v>111</v>
      </c>
      <c r="N56" s="50">
        <v>0</v>
      </c>
      <c r="O56" s="15">
        <f t="shared" si="0"/>
        <v>99</v>
      </c>
      <c r="P56" s="15">
        <f t="shared" si="1"/>
        <v>210</v>
      </c>
      <c r="R56" s="8"/>
      <c r="T56"/>
    </row>
    <row r="57" spans="2:20" ht="23.1" customHeight="1" x14ac:dyDescent="0.25">
      <c r="B57" s="23" t="s">
        <v>84</v>
      </c>
      <c r="C57" s="50">
        <v>36</v>
      </c>
      <c r="D57" s="50">
        <v>8</v>
      </c>
      <c r="E57" s="50">
        <v>3</v>
      </c>
      <c r="F57" s="50">
        <v>66</v>
      </c>
      <c r="G57" s="50">
        <v>1</v>
      </c>
      <c r="H57" s="50">
        <v>1</v>
      </c>
      <c r="I57" s="50">
        <v>8</v>
      </c>
      <c r="J57" s="50">
        <v>0</v>
      </c>
      <c r="K57" s="50">
        <v>7</v>
      </c>
      <c r="L57" s="50">
        <v>1</v>
      </c>
      <c r="M57" s="50">
        <v>150</v>
      </c>
      <c r="N57" s="50">
        <v>0</v>
      </c>
      <c r="O57" s="15">
        <f t="shared" si="0"/>
        <v>131</v>
      </c>
      <c r="P57" s="15">
        <f t="shared" si="1"/>
        <v>281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2813</v>
      </c>
      <c r="D58" s="16">
        <f t="shared" si="21"/>
        <v>751</v>
      </c>
      <c r="E58" s="16">
        <f t="shared" si="21"/>
        <v>373</v>
      </c>
      <c r="F58" s="16">
        <f t="shared" si="21"/>
        <v>2308</v>
      </c>
      <c r="G58" s="16">
        <f t="shared" si="21"/>
        <v>45</v>
      </c>
      <c r="H58" s="16">
        <f t="shared" si="21"/>
        <v>40</v>
      </c>
      <c r="I58" s="16">
        <f t="shared" si="21"/>
        <v>430</v>
      </c>
      <c r="J58" s="16">
        <f t="shared" si="21"/>
        <v>45</v>
      </c>
      <c r="K58" s="16">
        <f t="shared" si="21"/>
        <v>86</v>
      </c>
      <c r="L58" s="16">
        <f t="shared" si="21"/>
        <v>31</v>
      </c>
      <c r="M58" s="16">
        <f t="shared" si="21"/>
        <v>7723</v>
      </c>
      <c r="N58" s="16">
        <f t="shared" si="21"/>
        <v>0</v>
      </c>
      <c r="O58" s="16">
        <f t="shared" si="21"/>
        <v>6922</v>
      </c>
      <c r="P58" s="16">
        <f t="shared" si="21"/>
        <v>14645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0.19207920792079208</v>
      </c>
      <c r="D59" s="43">
        <f t="shared" si="22"/>
        <v>5.1280300443837488E-2</v>
      </c>
      <c r="E59" s="43">
        <f t="shared" si="22"/>
        <v>2.5469443496073746E-2</v>
      </c>
      <c r="F59" s="43">
        <f t="shared" si="22"/>
        <v>0.15759644930010241</v>
      </c>
      <c r="G59" s="43">
        <f t="shared" si="22"/>
        <v>3.0727210652099694E-3</v>
      </c>
      <c r="H59" s="43">
        <f t="shared" si="22"/>
        <v>2.7313076135199728E-3</v>
      </c>
      <c r="I59" s="43">
        <f t="shared" si="22"/>
        <v>2.9361556845339705E-2</v>
      </c>
      <c r="J59" s="43">
        <f t="shared" si="22"/>
        <v>3.0727210652099694E-3</v>
      </c>
      <c r="K59" s="43">
        <f t="shared" si="22"/>
        <v>5.872311369067941E-3</v>
      </c>
      <c r="L59" s="43">
        <f t="shared" si="22"/>
        <v>2.1167634004779787E-3</v>
      </c>
      <c r="M59" s="43">
        <f t="shared" si="22"/>
        <v>0.52734721748036872</v>
      </c>
      <c r="N59" s="43">
        <f t="shared" si="22"/>
        <v>0</v>
      </c>
      <c r="R59" s="8"/>
      <c r="T59"/>
    </row>
    <row r="60" spans="2:20" ht="23.1" customHeight="1" x14ac:dyDescent="0.25">
      <c r="B60" s="42" t="s">
        <v>94</v>
      </c>
      <c r="C60" s="44">
        <f>C58/$O$58</f>
        <v>0.40638543773475871</v>
      </c>
      <c r="D60" s="44">
        <f t="shared" ref="D60:N60" si="23">D58/$O$58</f>
        <v>0.10849465472406819</v>
      </c>
      <c r="E60" s="44">
        <f t="shared" si="23"/>
        <v>5.3886160069344123E-2</v>
      </c>
      <c r="F60" s="44">
        <f t="shared" si="23"/>
        <v>0.33342964461138397</v>
      </c>
      <c r="G60" s="44">
        <f t="shared" si="23"/>
        <v>6.5010112684195315E-3</v>
      </c>
      <c r="H60" s="44">
        <f t="shared" si="23"/>
        <v>5.778676683039584E-3</v>
      </c>
      <c r="I60" s="44">
        <f t="shared" si="23"/>
        <v>6.212077434267553E-2</v>
      </c>
      <c r="J60" s="44">
        <f t="shared" si="23"/>
        <v>6.5010112684195315E-3</v>
      </c>
      <c r="K60" s="44">
        <f t="shared" si="23"/>
        <v>1.2424154868535105E-2</v>
      </c>
      <c r="L60" s="44">
        <f t="shared" si="23"/>
        <v>4.4784744293556774E-3</v>
      </c>
      <c r="M60" s="44"/>
      <c r="N60" s="44">
        <f t="shared" si="23"/>
        <v>0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F126"/>
  <sheetViews>
    <sheetView view="pageBreakPreview" zoomScale="60" workbookViewId="0">
      <selection activeCell="K49" sqref="K48:K49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64" t="s">
        <v>23</v>
      </c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  <c r="S1" s="64"/>
      <c r="T1" s="64"/>
      <c r="U1" s="64"/>
      <c r="V1" s="64"/>
      <c r="W1" s="64"/>
      <c r="X1" s="64"/>
      <c r="Y1" s="64"/>
      <c r="Z1" s="64"/>
      <c r="AA1" s="64"/>
      <c r="AB1" s="64"/>
      <c r="AC1" s="64"/>
      <c r="AD1" s="64"/>
      <c r="AE1" s="64"/>
    </row>
    <row r="2" spans="2:32" ht="20.100000000000001" customHeight="1" x14ac:dyDescent="0.25">
      <c r="B2" s="65" t="s">
        <v>95</v>
      </c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  <c r="AA2" s="65"/>
      <c r="AB2" s="65"/>
      <c r="AC2" s="65"/>
      <c r="AD2" s="65"/>
      <c r="AE2" s="65"/>
    </row>
    <row r="3" spans="2:32" ht="20.100000000000001" customHeight="1" x14ac:dyDescent="0.25">
      <c r="B3" s="22" t="s">
        <v>96</v>
      </c>
      <c r="C3" s="71" t="str">
        <f>'22.07 MAKERERE-BWAISE'!C3:G3</f>
        <v>MCC - C1 - STN021- SIR APOLLO ROAD</v>
      </c>
      <c r="D3" s="71"/>
      <c r="E3" s="71"/>
      <c r="F3" s="71"/>
      <c r="G3" s="71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tr">
        <f>'25.07Bwaise-Makerere'!D5</f>
        <v>25.07.19</v>
      </c>
      <c r="E5" s="3"/>
      <c r="F5" s="41" t="s">
        <v>1</v>
      </c>
      <c r="G5" s="69" t="s">
        <v>176</v>
      </c>
      <c r="H5" s="70"/>
      <c r="I5" s="14"/>
      <c r="J5" s="2" t="s">
        <v>5</v>
      </c>
      <c r="K5" s="69" t="s">
        <v>187</v>
      </c>
      <c r="L5" s="70"/>
      <c r="M5" s="10"/>
      <c r="N5" s="10"/>
      <c r="O5" s="3"/>
      <c r="P5" s="3"/>
    </row>
    <row r="6" spans="2:32" ht="23.25" customHeight="1" x14ac:dyDescent="0.25">
      <c r="C6" s="2" t="s">
        <v>4</v>
      </c>
      <c r="D6" s="69" t="str">
        <f>'22.07 MAKERERE-BWAISE'!D6:E6</f>
        <v>MAKARERE</v>
      </c>
      <c r="E6" s="70"/>
      <c r="F6" s="2" t="s">
        <v>2</v>
      </c>
      <c r="G6" s="69" t="str">
        <f>'22.07 MAKERERE-BWAISE'!G6:H6</f>
        <v>BWAISE</v>
      </c>
      <c r="H6" s="70"/>
      <c r="J6" s="2" t="s">
        <v>21</v>
      </c>
      <c r="K6" s="69" t="str">
        <f>'25.07Bwaise-Makerere'!K6:L6</f>
        <v>SALIMAH</v>
      </c>
      <c r="L6" s="70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63" t="s">
        <v>88</v>
      </c>
      <c r="S8" s="63"/>
      <c r="T8" s="63"/>
      <c r="U8" s="63"/>
      <c r="V8" s="63"/>
      <c r="W8" s="63"/>
      <c r="X8" s="63"/>
      <c r="Y8" s="63"/>
      <c r="Z8" s="63"/>
      <c r="AA8" s="63"/>
      <c r="AB8" s="63"/>
      <c r="AC8" s="63"/>
      <c r="AD8" s="63"/>
      <c r="AE8" s="63"/>
      <c r="AF8" s="63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43</v>
      </c>
      <c r="D10" s="50">
        <v>1</v>
      </c>
      <c r="E10" s="50">
        <v>3</v>
      </c>
      <c r="F10" s="50">
        <v>37</v>
      </c>
      <c r="G10" s="50">
        <v>0</v>
      </c>
      <c r="H10" s="50">
        <v>0</v>
      </c>
      <c r="I10" s="50">
        <v>4</v>
      </c>
      <c r="J10" s="50">
        <v>1</v>
      </c>
      <c r="K10" s="50">
        <v>1</v>
      </c>
      <c r="L10" s="50">
        <v>0</v>
      </c>
      <c r="M10" s="50">
        <v>108</v>
      </c>
      <c r="N10" s="50">
        <v>0</v>
      </c>
      <c r="O10" s="15">
        <f t="shared" ref="O10:O57" si="0">SUM(C10:L10,N10)</f>
        <v>90</v>
      </c>
      <c r="P10" s="15">
        <f t="shared" ref="P10:P57" si="1">SUM(C10:N10)</f>
        <v>198</v>
      </c>
      <c r="R10" s="1" t="s">
        <v>6</v>
      </c>
      <c r="S10" s="17">
        <f t="shared" ref="S10:AF10" si="2">SUM(C10:C13)</f>
        <v>150</v>
      </c>
      <c r="T10" s="17">
        <f t="shared" si="2"/>
        <v>20</v>
      </c>
      <c r="U10" s="17">
        <f t="shared" si="2"/>
        <v>13</v>
      </c>
      <c r="V10" s="17">
        <f t="shared" si="2"/>
        <v>150</v>
      </c>
      <c r="W10" s="17">
        <f t="shared" si="2"/>
        <v>1</v>
      </c>
      <c r="X10" s="17">
        <f t="shared" si="2"/>
        <v>4</v>
      </c>
      <c r="Y10" s="17">
        <f t="shared" si="2"/>
        <v>14</v>
      </c>
      <c r="Z10" s="17">
        <f t="shared" si="2"/>
        <v>7</v>
      </c>
      <c r="AA10" s="17">
        <f t="shared" si="2"/>
        <v>3</v>
      </c>
      <c r="AB10" s="17">
        <f t="shared" si="2"/>
        <v>1</v>
      </c>
      <c r="AC10" s="17">
        <f t="shared" si="2"/>
        <v>535</v>
      </c>
      <c r="AD10" s="17">
        <f t="shared" si="2"/>
        <v>1</v>
      </c>
      <c r="AE10" s="31">
        <f t="shared" si="2"/>
        <v>364</v>
      </c>
      <c r="AF10" s="31">
        <f t="shared" si="2"/>
        <v>899</v>
      </c>
    </row>
    <row r="11" spans="2:32" s="6" customFormat="1" ht="23.1" customHeight="1" x14ac:dyDescent="0.25">
      <c r="B11" s="23" t="s">
        <v>38</v>
      </c>
      <c r="C11" s="50">
        <v>30</v>
      </c>
      <c r="D11" s="50">
        <v>8</v>
      </c>
      <c r="E11" s="50">
        <v>3</v>
      </c>
      <c r="F11" s="50">
        <v>40</v>
      </c>
      <c r="G11" s="50">
        <v>0</v>
      </c>
      <c r="H11" s="50">
        <v>3</v>
      </c>
      <c r="I11" s="50">
        <v>3</v>
      </c>
      <c r="J11" s="50">
        <v>3</v>
      </c>
      <c r="K11" s="50">
        <v>1</v>
      </c>
      <c r="L11" s="50">
        <v>0</v>
      </c>
      <c r="M11" s="50">
        <v>122</v>
      </c>
      <c r="N11" s="50">
        <v>1</v>
      </c>
      <c r="O11" s="15">
        <f t="shared" si="0"/>
        <v>92</v>
      </c>
      <c r="P11" s="15">
        <f t="shared" si="1"/>
        <v>214</v>
      </c>
      <c r="R11" s="1" t="s">
        <v>7</v>
      </c>
      <c r="S11" s="17">
        <f t="shared" ref="S11:AF11" si="3">SUM(C14:C17)</f>
        <v>111</v>
      </c>
      <c r="T11" s="17">
        <f t="shared" si="3"/>
        <v>27</v>
      </c>
      <c r="U11" s="17">
        <f t="shared" si="3"/>
        <v>49</v>
      </c>
      <c r="V11" s="17">
        <f t="shared" si="3"/>
        <v>126</v>
      </c>
      <c r="W11" s="17">
        <f t="shared" si="3"/>
        <v>11</v>
      </c>
      <c r="X11" s="17">
        <f t="shared" si="3"/>
        <v>7</v>
      </c>
      <c r="Y11" s="17">
        <f t="shared" si="3"/>
        <v>12</v>
      </c>
      <c r="Z11" s="17">
        <f t="shared" si="3"/>
        <v>5</v>
      </c>
      <c r="AA11" s="17">
        <f t="shared" si="3"/>
        <v>1</v>
      </c>
      <c r="AB11" s="17">
        <f t="shared" si="3"/>
        <v>6</v>
      </c>
      <c r="AC11" s="17">
        <f t="shared" si="3"/>
        <v>948</v>
      </c>
      <c r="AD11" s="17">
        <f t="shared" si="3"/>
        <v>0</v>
      </c>
      <c r="AE11" s="31">
        <f t="shared" si="3"/>
        <v>355</v>
      </c>
      <c r="AF11" s="31">
        <f t="shared" si="3"/>
        <v>1303</v>
      </c>
    </row>
    <row r="12" spans="2:32" ht="23.1" customHeight="1" x14ac:dyDescent="0.25">
      <c r="B12" s="23" t="s">
        <v>39</v>
      </c>
      <c r="C12" s="50">
        <v>47</v>
      </c>
      <c r="D12" s="50">
        <v>5</v>
      </c>
      <c r="E12" s="50">
        <v>2</v>
      </c>
      <c r="F12" s="50">
        <v>39</v>
      </c>
      <c r="G12" s="50">
        <v>1</v>
      </c>
      <c r="H12" s="50">
        <v>0</v>
      </c>
      <c r="I12" s="50">
        <v>4</v>
      </c>
      <c r="J12" s="50">
        <v>1</v>
      </c>
      <c r="K12" s="50">
        <v>1</v>
      </c>
      <c r="L12" s="50">
        <v>1</v>
      </c>
      <c r="M12" s="50">
        <v>130</v>
      </c>
      <c r="N12" s="50">
        <v>0</v>
      </c>
      <c r="O12" s="15">
        <f t="shared" si="0"/>
        <v>101</v>
      </c>
      <c r="P12" s="15">
        <f t="shared" si="1"/>
        <v>231</v>
      </c>
      <c r="R12" s="1" t="s">
        <v>8</v>
      </c>
      <c r="S12" s="17">
        <f t="shared" ref="S12:AF12" si="4">SUM(C18:C21)</f>
        <v>88</v>
      </c>
      <c r="T12" s="17">
        <f t="shared" si="4"/>
        <v>18</v>
      </c>
      <c r="U12" s="17">
        <f t="shared" si="4"/>
        <v>13</v>
      </c>
      <c r="V12" s="17">
        <f t="shared" si="4"/>
        <v>173</v>
      </c>
      <c r="W12" s="17">
        <f t="shared" si="4"/>
        <v>7</v>
      </c>
      <c r="X12" s="17">
        <f t="shared" si="4"/>
        <v>2</v>
      </c>
      <c r="Y12" s="17">
        <f t="shared" si="4"/>
        <v>20</v>
      </c>
      <c r="Z12" s="17">
        <f t="shared" si="4"/>
        <v>9</v>
      </c>
      <c r="AA12" s="17">
        <f t="shared" si="4"/>
        <v>2</v>
      </c>
      <c r="AB12" s="17">
        <f t="shared" si="4"/>
        <v>1</v>
      </c>
      <c r="AC12" s="17">
        <f t="shared" si="4"/>
        <v>813</v>
      </c>
      <c r="AD12" s="17">
        <f t="shared" si="4"/>
        <v>0</v>
      </c>
      <c r="AE12" s="31">
        <f t="shared" si="4"/>
        <v>333</v>
      </c>
      <c r="AF12" s="31">
        <f t="shared" si="4"/>
        <v>1146</v>
      </c>
    </row>
    <row r="13" spans="2:32" ht="23.1" customHeight="1" x14ac:dyDescent="0.25">
      <c r="B13" s="23" t="s">
        <v>40</v>
      </c>
      <c r="C13" s="50">
        <v>30</v>
      </c>
      <c r="D13" s="50">
        <v>6</v>
      </c>
      <c r="E13" s="50">
        <v>5</v>
      </c>
      <c r="F13" s="50">
        <v>34</v>
      </c>
      <c r="G13" s="50">
        <v>0</v>
      </c>
      <c r="H13" s="50">
        <v>1</v>
      </c>
      <c r="I13" s="50">
        <v>3</v>
      </c>
      <c r="J13" s="50">
        <v>2</v>
      </c>
      <c r="K13" s="50">
        <v>0</v>
      </c>
      <c r="L13" s="50">
        <v>0</v>
      </c>
      <c r="M13" s="50">
        <v>175</v>
      </c>
      <c r="N13" s="50">
        <v>0</v>
      </c>
      <c r="O13" s="15">
        <f t="shared" si="0"/>
        <v>81</v>
      </c>
      <c r="P13" s="15">
        <f t="shared" si="1"/>
        <v>256</v>
      </c>
      <c r="R13" s="1" t="s">
        <v>9</v>
      </c>
      <c r="S13" s="17">
        <f t="shared" ref="S13:AF13" si="5">SUM(C22:C25)</f>
        <v>135</v>
      </c>
      <c r="T13" s="17">
        <f t="shared" si="5"/>
        <v>32</v>
      </c>
      <c r="U13" s="17">
        <f t="shared" si="5"/>
        <v>14</v>
      </c>
      <c r="V13" s="17">
        <f t="shared" si="5"/>
        <v>155</v>
      </c>
      <c r="W13" s="17">
        <f t="shared" si="5"/>
        <v>10</v>
      </c>
      <c r="X13" s="17">
        <f t="shared" si="5"/>
        <v>2</v>
      </c>
      <c r="Y13" s="17">
        <f t="shared" si="5"/>
        <v>15</v>
      </c>
      <c r="Z13" s="17">
        <f t="shared" si="5"/>
        <v>17</v>
      </c>
      <c r="AA13" s="17">
        <f t="shared" si="5"/>
        <v>7</v>
      </c>
      <c r="AB13" s="17">
        <f t="shared" si="5"/>
        <v>0</v>
      </c>
      <c r="AC13" s="17">
        <f t="shared" si="5"/>
        <v>836</v>
      </c>
      <c r="AD13" s="17">
        <f t="shared" si="5"/>
        <v>0</v>
      </c>
      <c r="AE13" s="31">
        <f t="shared" si="5"/>
        <v>387</v>
      </c>
      <c r="AF13" s="31">
        <f t="shared" si="5"/>
        <v>1223</v>
      </c>
    </row>
    <row r="14" spans="2:32" ht="23.1" customHeight="1" x14ac:dyDescent="0.25">
      <c r="B14" s="23" t="s">
        <v>41</v>
      </c>
      <c r="C14" s="50">
        <v>38</v>
      </c>
      <c r="D14" s="50">
        <v>3</v>
      </c>
      <c r="E14" s="50">
        <v>2</v>
      </c>
      <c r="F14" s="50">
        <v>38</v>
      </c>
      <c r="G14" s="50">
        <v>1</v>
      </c>
      <c r="H14" s="50">
        <v>0</v>
      </c>
      <c r="I14" s="50">
        <v>5</v>
      </c>
      <c r="J14" s="50">
        <v>2</v>
      </c>
      <c r="K14" s="50">
        <v>0</v>
      </c>
      <c r="L14" s="50">
        <v>0</v>
      </c>
      <c r="M14" s="50">
        <v>235</v>
      </c>
      <c r="N14" s="50">
        <v>0</v>
      </c>
      <c r="O14" s="15">
        <f t="shared" si="0"/>
        <v>89</v>
      </c>
      <c r="P14" s="15">
        <f t="shared" si="1"/>
        <v>324</v>
      </c>
      <c r="R14" s="1" t="s">
        <v>10</v>
      </c>
      <c r="S14" s="17">
        <f t="shared" ref="S14:AF14" si="6">SUM(C26:C29)</f>
        <v>155</v>
      </c>
      <c r="T14" s="17">
        <f t="shared" si="6"/>
        <v>40</v>
      </c>
      <c r="U14" s="17">
        <f t="shared" si="6"/>
        <v>16</v>
      </c>
      <c r="V14" s="17">
        <f t="shared" si="6"/>
        <v>151</v>
      </c>
      <c r="W14" s="17">
        <f t="shared" si="6"/>
        <v>2</v>
      </c>
      <c r="X14" s="17">
        <f t="shared" si="6"/>
        <v>3</v>
      </c>
      <c r="Y14" s="17">
        <f t="shared" si="6"/>
        <v>16</v>
      </c>
      <c r="Z14" s="17">
        <f t="shared" si="6"/>
        <v>12</v>
      </c>
      <c r="AA14" s="17">
        <f t="shared" si="6"/>
        <v>4</v>
      </c>
      <c r="AB14" s="17">
        <f t="shared" si="6"/>
        <v>3</v>
      </c>
      <c r="AC14" s="17">
        <f t="shared" si="6"/>
        <v>684</v>
      </c>
      <c r="AD14" s="17">
        <f t="shared" si="6"/>
        <v>0</v>
      </c>
      <c r="AE14" s="31">
        <f t="shared" si="6"/>
        <v>402</v>
      </c>
      <c r="AF14" s="31">
        <f t="shared" si="6"/>
        <v>1086</v>
      </c>
    </row>
    <row r="15" spans="2:32" ht="23.1" customHeight="1" x14ac:dyDescent="0.25">
      <c r="B15" s="23" t="s">
        <v>42</v>
      </c>
      <c r="C15" s="50">
        <v>26</v>
      </c>
      <c r="D15" s="50">
        <v>12</v>
      </c>
      <c r="E15" s="50">
        <v>43</v>
      </c>
      <c r="F15" s="50">
        <v>1</v>
      </c>
      <c r="G15" s="50">
        <v>2</v>
      </c>
      <c r="H15" s="50">
        <v>4</v>
      </c>
      <c r="I15" s="50">
        <v>3</v>
      </c>
      <c r="J15" s="50">
        <v>0</v>
      </c>
      <c r="K15" s="50">
        <v>1</v>
      </c>
      <c r="L15" s="50">
        <v>0</v>
      </c>
      <c r="M15" s="50">
        <v>250</v>
      </c>
      <c r="N15" s="50">
        <v>0</v>
      </c>
      <c r="O15" s="15">
        <f t="shared" si="0"/>
        <v>92</v>
      </c>
      <c r="P15" s="15">
        <f t="shared" si="1"/>
        <v>342</v>
      </c>
      <c r="R15" s="1" t="s">
        <v>11</v>
      </c>
      <c r="S15" s="17">
        <f t="shared" ref="S15:AF15" si="7">SUM(C30:C33)</f>
        <v>163</v>
      </c>
      <c r="T15" s="17">
        <f t="shared" si="7"/>
        <v>39</v>
      </c>
      <c r="U15" s="17">
        <f t="shared" si="7"/>
        <v>23</v>
      </c>
      <c r="V15" s="17">
        <f t="shared" si="7"/>
        <v>218</v>
      </c>
      <c r="W15" s="17">
        <f t="shared" si="7"/>
        <v>3</v>
      </c>
      <c r="X15" s="17">
        <f t="shared" si="7"/>
        <v>3</v>
      </c>
      <c r="Y15" s="17">
        <f t="shared" si="7"/>
        <v>23</v>
      </c>
      <c r="Z15" s="17">
        <f t="shared" si="7"/>
        <v>13</v>
      </c>
      <c r="AA15" s="17">
        <f t="shared" si="7"/>
        <v>3</v>
      </c>
      <c r="AB15" s="17">
        <f t="shared" si="7"/>
        <v>3</v>
      </c>
      <c r="AC15" s="17">
        <f t="shared" si="7"/>
        <v>544</v>
      </c>
      <c r="AD15" s="17">
        <f t="shared" si="7"/>
        <v>0</v>
      </c>
      <c r="AE15" s="31">
        <f t="shared" si="7"/>
        <v>491</v>
      </c>
      <c r="AF15" s="31">
        <f t="shared" si="7"/>
        <v>1035</v>
      </c>
    </row>
    <row r="16" spans="2:32" ht="23.1" customHeight="1" x14ac:dyDescent="0.25">
      <c r="B16" s="23" t="s">
        <v>43</v>
      </c>
      <c r="C16" s="50">
        <v>28</v>
      </c>
      <c r="D16" s="50">
        <v>7</v>
      </c>
      <c r="E16" s="50">
        <v>3</v>
      </c>
      <c r="F16" s="50">
        <v>44</v>
      </c>
      <c r="G16" s="50">
        <v>8</v>
      </c>
      <c r="H16" s="50">
        <v>2</v>
      </c>
      <c r="I16" s="50">
        <v>0</v>
      </c>
      <c r="J16" s="50">
        <v>2</v>
      </c>
      <c r="K16" s="50">
        <v>0</v>
      </c>
      <c r="L16" s="50">
        <v>4</v>
      </c>
      <c r="M16" s="50">
        <v>240</v>
      </c>
      <c r="N16" s="50">
        <v>0</v>
      </c>
      <c r="O16" s="15">
        <f t="shared" si="0"/>
        <v>98</v>
      </c>
      <c r="P16" s="15">
        <f t="shared" si="1"/>
        <v>338</v>
      </c>
      <c r="R16" s="1" t="s">
        <v>12</v>
      </c>
      <c r="S16" s="17">
        <f t="shared" ref="S16:AF16" si="8">SUM(C34:C37)</f>
        <v>148</v>
      </c>
      <c r="T16" s="17">
        <f t="shared" si="8"/>
        <v>25</v>
      </c>
      <c r="U16" s="17">
        <f t="shared" si="8"/>
        <v>51</v>
      </c>
      <c r="V16" s="17">
        <f t="shared" si="8"/>
        <v>186</v>
      </c>
      <c r="W16" s="17">
        <f t="shared" si="8"/>
        <v>1</v>
      </c>
      <c r="X16" s="17">
        <f t="shared" si="8"/>
        <v>3</v>
      </c>
      <c r="Y16" s="17">
        <f t="shared" si="8"/>
        <v>17</v>
      </c>
      <c r="Z16" s="17">
        <f t="shared" si="8"/>
        <v>21</v>
      </c>
      <c r="AA16" s="17">
        <f t="shared" si="8"/>
        <v>1</v>
      </c>
      <c r="AB16" s="17">
        <f t="shared" si="8"/>
        <v>1</v>
      </c>
      <c r="AC16" s="17">
        <f t="shared" si="8"/>
        <v>555</v>
      </c>
      <c r="AD16" s="17">
        <f t="shared" si="8"/>
        <v>0</v>
      </c>
      <c r="AE16" s="31">
        <f t="shared" si="8"/>
        <v>454</v>
      </c>
      <c r="AF16" s="31">
        <f t="shared" si="8"/>
        <v>1009</v>
      </c>
    </row>
    <row r="17" spans="2:32" ht="23.1" customHeight="1" x14ac:dyDescent="0.25">
      <c r="B17" s="23" t="s">
        <v>44</v>
      </c>
      <c r="C17" s="50">
        <v>19</v>
      </c>
      <c r="D17" s="50">
        <v>5</v>
      </c>
      <c r="E17" s="50">
        <v>1</v>
      </c>
      <c r="F17" s="50">
        <v>43</v>
      </c>
      <c r="G17" s="50">
        <v>0</v>
      </c>
      <c r="H17" s="50">
        <v>1</v>
      </c>
      <c r="I17" s="50">
        <v>4</v>
      </c>
      <c r="J17" s="50">
        <v>1</v>
      </c>
      <c r="K17" s="50">
        <v>0</v>
      </c>
      <c r="L17" s="50">
        <v>2</v>
      </c>
      <c r="M17" s="50">
        <v>223</v>
      </c>
      <c r="N17" s="50">
        <v>0</v>
      </c>
      <c r="O17" s="15">
        <f t="shared" si="0"/>
        <v>76</v>
      </c>
      <c r="P17" s="15">
        <f t="shared" si="1"/>
        <v>299</v>
      </c>
      <c r="R17" s="1" t="s">
        <v>13</v>
      </c>
      <c r="S17" s="17">
        <f t="shared" ref="S17:AF17" si="9">SUM(C38:C41)</f>
        <v>170</v>
      </c>
      <c r="T17" s="17">
        <f t="shared" si="9"/>
        <v>29</v>
      </c>
      <c r="U17" s="17">
        <f t="shared" si="9"/>
        <v>15</v>
      </c>
      <c r="V17" s="17">
        <f t="shared" si="9"/>
        <v>151</v>
      </c>
      <c r="W17" s="17">
        <f t="shared" si="9"/>
        <v>1</v>
      </c>
      <c r="X17" s="17">
        <f t="shared" si="9"/>
        <v>1</v>
      </c>
      <c r="Y17" s="17">
        <f t="shared" si="9"/>
        <v>19</v>
      </c>
      <c r="Z17" s="17">
        <f t="shared" si="9"/>
        <v>19</v>
      </c>
      <c r="AA17" s="17">
        <f t="shared" si="9"/>
        <v>3</v>
      </c>
      <c r="AB17" s="17">
        <f t="shared" si="9"/>
        <v>0</v>
      </c>
      <c r="AC17" s="17">
        <f t="shared" si="9"/>
        <v>535</v>
      </c>
      <c r="AD17" s="17">
        <f t="shared" si="9"/>
        <v>0</v>
      </c>
      <c r="AE17" s="31">
        <f t="shared" si="9"/>
        <v>408</v>
      </c>
      <c r="AF17" s="31">
        <f t="shared" si="9"/>
        <v>943</v>
      </c>
    </row>
    <row r="18" spans="2:32" ht="23.1" customHeight="1" x14ac:dyDescent="0.25">
      <c r="B18" s="23" t="s">
        <v>45</v>
      </c>
      <c r="C18" s="50">
        <v>22</v>
      </c>
      <c r="D18" s="50">
        <v>7</v>
      </c>
      <c r="E18" s="50">
        <v>4</v>
      </c>
      <c r="F18" s="50">
        <v>44</v>
      </c>
      <c r="G18" s="50">
        <v>2</v>
      </c>
      <c r="H18" s="50">
        <v>0</v>
      </c>
      <c r="I18" s="50">
        <v>4</v>
      </c>
      <c r="J18" s="50">
        <v>1</v>
      </c>
      <c r="K18" s="50">
        <v>0</v>
      </c>
      <c r="L18" s="50">
        <v>0</v>
      </c>
      <c r="M18" s="50">
        <v>230</v>
      </c>
      <c r="N18" s="50">
        <v>0</v>
      </c>
      <c r="O18" s="15">
        <f t="shared" si="0"/>
        <v>84</v>
      </c>
      <c r="P18" s="15">
        <f t="shared" si="1"/>
        <v>314</v>
      </c>
      <c r="R18" s="1" t="s">
        <v>14</v>
      </c>
      <c r="S18" s="17">
        <f t="shared" ref="S18:AF18" si="10">SUM(C42:C45)</f>
        <v>181</v>
      </c>
      <c r="T18" s="17">
        <f t="shared" si="10"/>
        <v>37</v>
      </c>
      <c r="U18" s="17">
        <f t="shared" si="10"/>
        <v>24</v>
      </c>
      <c r="V18" s="17">
        <f t="shared" si="10"/>
        <v>169</v>
      </c>
      <c r="W18" s="17">
        <f t="shared" si="10"/>
        <v>2</v>
      </c>
      <c r="X18" s="17">
        <f t="shared" si="10"/>
        <v>5</v>
      </c>
      <c r="Y18" s="17">
        <f t="shared" si="10"/>
        <v>16</v>
      </c>
      <c r="Z18" s="17">
        <f t="shared" si="10"/>
        <v>12</v>
      </c>
      <c r="AA18" s="17">
        <f t="shared" si="10"/>
        <v>13</v>
      </c>
      <c r="AB18" s="17">
        <f t="shared" si="10"/>
        <v>4</v>
      </c>
      <c r="AC18" s="17">
        <f t="shared" si="10"/>
        <v>559</v>
      </c>
      <c r="AD18" s="17">
        <f t="shared" si="10"/>
        <v>0</v>
      </c>
      <c r="AE18" s="31">
        <f t="shared" si="10"/>
        <v>463</v>
      </c>
      <c r="AF18" s="31">
        <f t="shared" si="10"/>
        <v>1022</v>
      </c>
    </row>
    <row r="19" spans="2:32" ht="23.1" customHeight="1" x14ac:dyDescent="0.25">
      <c r="B19" s="23" t="s">
        <v>46</v>
      </c>
      <c r="C19" s="50">
        <v>25</v>
      </c>
      <c r="D19" s="50">
        <v>1</v>
      </c>
      <c r="E19" s="50">
        <v>3</v>
      </c>
      <c r="F19" s="50">
        <v>40</v>
      </c>
      <c r="G19" s="50">
        <v>1</v>
      </c>
      <c r="H19" s="50">
        <v>2</v>
      </c>
      <c r="I19" s="50">
        <v>4</v>
      </c>
      <c r="J19" s="50">
        <v>3</v>
      </c>
      <c r="K19" s="50">
        <v>1</v>
      </c>
      <c r="L19" s="50">
        <v>0</v>
      </c>
      <c r="M19" s="50">
        <v>190</v>
      </c>
      <c r="N19" s="50">
        <v>0</v>
      </c>
      <c r="O19" s="15">
        <f t="shared" si="0"/>
        <v>80</v>
      </c>
      <c r="P19" s="15">
        <f t="shared" si="1"/>
        <v>270</v>
      </c>
      <c r="R19" s="1" t="s">
        <v>15</v>
      </c>
      <c r="S19" s="17">
        <f t="shared" ref="S19:AF19" si="11">SUM(C46:C49)</f>
        <v>246</v>
      </c>
      <c r="T19" s="17">
        <f t="shared" si="11"/>
        <v>67</v>
      </c>
      <c r="U19" s="17">
        <f t="shared" si="11"/>
        <v>28</v>
      </c>
      <c r="V19" s="17">
        <f t="shared" si="11"/>
        <v>142</v>
      </c>
      <c r="W19" s="17">
        <f t="shared" si="11"/>
        <v>1</v>
      </c>
      <c r="X19" s="17">
        <f t="shared" si="11"/>
        <v>10</v>
      </c>
      <c r="Y19" s="17">
        <f t="shared" si="11"/>
        <v>18</v>
      </c>
      <c r="Z19" s="17">
        <f t="shared" si="11"/>
        <v>19</v>
      </c>
      <c r="AA19" s="17">
        <f t="shared" si="11"/>
        <v>6</v>
      </c>
      <c r="AB19" s="17">
        <f t="shared" si="11"/>
        <v>4</v>
      </c>
      <c r="AC19" s="17">
        <f t="shared" si="11"/>
        <v>685</v>
      </c>
      <c r="AD19" s="17">
        <f t="shared" si="11"/>
        <v>0</v>
      </c>
      <c r="AE19" s="31">
        <f t="shared" si="11"/>
        <v>541</v>
      </c>
      <c r="AF19" s="31">
        <f t="shared" si="11"/>
        <v>1226</v>
      </c>
    </row>
    <row r="20" spans="2:32" ht="23.1" customHeight="1" x14ac:dyDescent="0.25">
      <c r="B20" s="23" t="s">
        <v>47</v>
      </c>
      <c r="C20" s="50">
        <v>21</v>
      </c>
      <c r="D20" s="50">
        <v>5</v>
      </c>
      <c r="E20" s="50">
        <v>3</v>
      </c>
      <c r="F20" s="50">
        <v>52</v>
      </c>
      <c r="G20" s="50">
        <v>2</v>
      </c>
      <c r="H20" s="50">
        <v>0</v>
      </c>
      <c r="I20" s="50">
        <v>10</v>
      </c>
      <c r="J20" s="50">
        <v>5</v>
      </c>
      <c r="K20" s="50">
        <v>1</v>
      </c>
      <c r="L20" s="50">
        <v>0</v>
      </c>
      <c r="M20" s="50">
        <v>228</v>
      </c>
      <c r="N20" s="50">
        <v>0</v>
      </c>
      <c r="O20" s="15">
        <f t="shared" si="0"/>
        <v>99</v>
      </c>
      <c r="P20" s="15">
        <f t="shared" si="1"/>
        <v>327</v>
      </c>
      <c r="R20" s="1" t="s">
        <v>16</v>
      </c>
      <c r="S20" s="17">
        <f t="shared" ref="S20:AF20" si="12">SUM(C50:C53)</f>
        <v>234</v>
      </c>
      <c r="T20" s="17">
        <f t="shared" si="12"/>
        <v>47</v>
      </c>
      <c r="U20" s="17">
        <f t="shared" si="12"/>
        <v>16</v>
      </c>
      <c r="V20" s="17">
        <f t="shared" si="12"/>
        <v>128</v>
      </c>
      <c r="W20" s="17">
        <f t="shared" si="12"/>
        <v>2</v>
      </c>
      <c r="X20" s="17">
        <f t="shared" si="12"/>
        <v>1</v>
      </c>
      <c r="Y20" s="17">
        <f t="shared" si="12"/>
        <v>9</v>
      </c>
      <c r="Z20" s="17">
        <f t="shared" si="12"/>
        <v>8</v>
      </c>
      <c r="AA20" s="17">
        <f t="shared" si="12"/>
        <v>4</v>
      </c>
      <c r="AB20" s="17">
        <f t="shared" si="12"/>
        <v>2</v>
      </c>
      <c r="AC20" s="17">
        <f t="shared" si="12"/>
        <v>580</v>
      </c>
      <c r="AD20" s="17">
        <f t="shared" si="12"/>
        <v>0</v>
      </c>
      <c r="AE20" s="31">
        <f t="shared" si="12"/>
        <v>451</v>
      </c>
      <c r="AF20" s="31">
        <f t="shared" si="12"/>
        <v>1031</v>
      </c>
    </row>
    <row r="21" spans="2:32" ht="23.1" customHeight="1" x14ac:dyDescent="0.25">
      <c r="B21" s="23" t="s">
        <v>48</v>
      </c>
      <c r="C21" s="50">
        <v>20</v>
      </c>
      <c r="D21" s="50">
        <v>5</v>
      </c>
      <c r="E21" s="50">
        <v>3</v>
      </c>
      <c r="F21" s="50">
        <v>37</v>
      </c>
      <c r="G21" s="50">
        <v>2</v>
      </c>
      <c r="H21" s="50">
        <v>0</v>
      </c>
      <c r="I21" s="50">
        <v>2</v>
      </c>
      <c r="J21" s="50">
        <v>0</v>
      </c>
      <c r="K21" s="50">
        <v>0</v>
      </c>
      <c r="L21" s="50">
        <v>1</v>
      </c>
      <c r="M21" s="50">
        <v>165</v>
      </c>
      <c r="N21" s="50">
        <v>0</v>
      </c>
      <c r="O21" s="15">
        <f t="shared" si="0"/>
        <v>70</v>
      </c>
      <c r="P21" s="15">
        <f t="shared" si="1"/>
        <v>235</v>
      </c>
      <c r="R21" s="36" t="s">
        <v>20</v>
      </c>
      <c r="S21" s="34">
        <f t="shared" ref="S21:AF21" si="13">SUM(C54:C57)</f>
        <v>268</v>
      </c>
      <c r="T21" s="17">
        <f t="shared" si="13"/>
        <v>57</v>
      </c>
      <c r="U21" s="17">
        <f t="shared" si="13"/>
        <v>24</v>
      </c>
      <c r="V21" s="17">
        <f t="shared" si="13"/>
        <v>221</v>
      </c>
      <c r="W21" s="17">
        <f t="shared" si="13"/>
        <v>3</v>
      </c>
      <c r="X21" s="17">
        <f t="shared" si="13"/>
        <v>3</v>
      </c>
      <c r="Y21" s="17">
        <f t="shared" si="13"/>
        <v>13</v>
      </c>
      <c r="Z21" s="17">
        <f t="shared" si="13"/>
        <v>3</v>
      </c>
      <c r="AA21" s="17">
        <f t="shared" si="13"/>
        <v>3</v>
      </c>
      <c r="AB21" s="17">
        <f t="shared" si="13"/>
        <v>2</v>
      </c>
      <c r="AC21" s="17">
        <f t="shared" si="13"/>
        <v>546</v>
      </c>
      <c r="AD21" s="17">
        <f t="shared" si="13"/>
        <v>0</v>
      </c>
      <c r="AE21" s="31">
        <f t="shared" si="13"/>
        <v>597</v>
      </c>
      <c r="AF21" s="31">
        <f t="shared" si="13"/>
        <v>1143</v>
      </c>
    </row>
    <row r="22" spans="2:32" ht="23.1" customHeight="1" x14ac:dyDescent="0.25">
      <c r="B22" s="23" t="s">
        <v>49</v>
      </c>
      <c r="C22" s="50">
        <v>30</v>
      </c>
      <c r="D22" s="50">
        <v>8</v>
      </c>
      <c r="E22" s="50">
        <v>3</v>
      </c>
      <c r="F22" s="50">
        <v>34</v>
      </c>
      <c r="G22" s="50">
        <v>0</v>
      </c>
      <c r="H22" s="50">
        <v>0</v>
      </c>
      <c r="I22" s="50">
        <v>0</v>
      </c>
      <c r="J22" s="50">
        <v>5</v>
      </c>
      <c r="K22" s="50">
        <v>0</v>
      </c>
      <c r="L22" s="50">
        <v>0</v>
      </c>
      <c r="M22" s="50">
        <v>208</v>
      </c>
      <c r="N22" s="50">
        <v>0</v>
      </c>
      <c r="O22" s="15">
        <f t="shared" si="0"/>
        <v>80</v>
      </c>
      <c r="P22" s="15">
        <f t="shared" si="1"/>
        <v>288</v>
      </c>
      <c r="R22" s="38" t="s">
        <v>90</v>
      </c>
      <c r="S22" s="39">
        <f>MAX(S10:S12)</f>
        <v>150</v>
      </c>
      <c r="T22" s="39">
        <f t="shared" ref="T22:AF22" si="14">MAX(T10:T12)</f>
        <v>27</v>
      </c>
      <c r="U22" s="39">
        <f t="shared" si="14"/>
        <v>49</v>
      </c>
      <c r="V22" s="39">
        <f t="shared" si="14"/>
        <v>173</v>
      </c>
      <c r="W22" s="39">
        <f t="shared" si="14"/>
        <v>11</v>
      </c>
      <c r="X22" s="39">
        <f t="shared" si="14"/>
        <v>7</v>
      </c>
      <c r="Y22" s="39">
        <f t="shared" si="14"/>
        <v>20</v>
      </c>
      <c r="Z22" s="39">
        <f t="shared" si="14"/>
        <v>9</v>
      </c>
      <c r="AA22" s="39">
        <f t="shared" si="14"/>
        <v>3</v>
      </c>
      <c r="AB22" s="39">
        <f t="shared" si="14"/>
        <v>6</v>
      </c>
      <c r="AC22" s="39">
        <f t="shared" si="14"/>
        <v>948</v>
      </c>
      <c r="AD22" s="39">
        <f t="shared" si="14"/>
        <v>1</v>
      </c>
      <c r="AE22" s="40">
        <f t="shared" si="14"/>
        <v>364</v>
      </c>
      <c r="AF22" s="40">
        <f t="shared" si="14"/>
        <v>1303</v>
      </c>
    </row>
    <row r="23" spans="2:32" ht="23.1" customHeight="1" x14ac:dyDescent="0.25">
      <c r="B23" s="23" t="s">
        <v>50</v>
      </c>
      <c r="C23" s="50">
        <v>31</v>
      </c>
      <c r="D23" s="50">
        <v>3</v>
      </c>
      <c r="E23" s="50">
        <v>3</v>
      </c>
      <c r="F23" s="50">
        <v>39</v>
      </c>
      <c r="G23" s="50">
        <v>1</v>
      </c>
      <c r="H23" s="50">
        <v>0</v>
      </c>
      <c r="I23" s="50">
        <v>4</v>
      </c>
      <c r="J23" s="50">
        <v>3</v>
      </c>
      <c r="K23" s="50">
        <v>4</v>
      </c>
      <c r="L23" s="50">
        <v>0</v>
      </c>
      <c r="M23" s="50">
        <v>210</v>
      </c>
      <c r="N23" s="50">
        <v>0</v>
      </c>
      <c r="O23" s="15">
        <f t="shared" si="0"/>
        <v>88</v>
      </c>
      <c r="P23" s="15">
        <f t="shared" si="1"/>
        <v>298</v>
      </c>
      <c r="R23" s="38" t="s">
        <v>91</v>
      </c>
      <c r="S23" s="39">
        <f>MAX(S13:S18)</f>
        <v>181</v>
      </c>
      <c r="T23" s="39">
        <f t="shared" ref="T23:AF23" si="15">MAX(T13:T18)</f>
        <v>40</v>
      </c>
      <c r="U23" s="39">
        <f t="shared" si="15"/>
        <v>51</v>
      </c>
      <c r="V23" s="39">
        <f t="shared" si="15"/>
        <v>218</v>
      </c>
      <c r="W23" s="39">
        <f t="shared" si="15"/>
        <v>10</v>
      </c>
      <c r="X23" s="39">
        <f t="shared" si="15"/>
        <v>5</v>
      </c>
      <c r="Y23" s="39">
        <f t="shared" si="15"/>
        <v>23</v>
      </c>
      <c r="Z23" s="39">
        <f t="shared" si="15"/>
        <v>21</v>
      </c>
      <c r="AA23" s="39">
        <f t="shared" si="15"/>
        <v>13</v>
      </c>
      <c r="AB23" s="39">
        <f t="shared" si="15"/>
        <v>4</v>
      </c>
      <c r="AC23" s="39">
        <f t="shared" si="15"/>
        <v>836</v>
      </c>
      <c r="AD23" s="39">
        <f t="shared" si="15"/>
        <v>0</v>
      </c>
      <c r="AE23" s="40">
        <f t="shared" si="15"/>
        <v>491</v>
      </c>
      <c r="AF23" s="40">
        <f t="shared" si="15"/>
        <v>1223</v>
      </c>
    </row>
    <row r="24" spans="2:32" ht="23.1" customHeight="1" x14ac:dyDescent="0.25">
      <c r="B24" s="23" t="s">
        <v>51</v>
      </c>
      <c r="C24" s="50">
        <v>32</v>
      </c>
      <c r="D24" s="50">
        <v>8</v>
      </c>
      <c r="E24" s="50">
        <v>2</v>
      </c>
      <c r="F24" s="50">
        <v>35</v>
      </c>
      <c r="G24" s="50">
        <v>4</v>
      </c>
      <c r="H24" s="50">
        <v>1</v>
      </c>
      <c r="I24" s="50">
        <v>7</v>
      </c>
      <c r="J24" s="50">
        <v>6</v>
      </c>
      <c r="K24" s="50">
        <v>3</v>
      </c>
      <c r="L24" s="50">
        <v>0</v>
      </c>
      <c r="M24" s="50">
        <v>203</v>
      </c>
      <c r="N24" s="50">
        <v>0</v>
      </c>
      <c r="O24" s="15">
        <f t="shared" si="0"/>
        <v>98</v>
      </c>
      <c r="P24" s="15">
        <f t="shared" si="1"/>
        <v>301</v>
      </c>
      <c r="R24" s="38" t="s">
        <v>92</v>
      </c>
      <c r="S24" s="39">
        <f>MAX(S19:S21)</f>
        <v>268</v>
      </c>
      <c r="T24" s="39">
        <f t="shared" ref="T24:AF24" si="16">MAX(T19:T21)</f>
        <v>67</v>
      </c>
      <c r="U24" s="39">
        <f t="shared" si="16"/>
        <v>28</v>
      </c>
      <c r="V24" s="39">
        <f t="shared" si="16"/>
        <v>221</v>
      </c>
      <c r="W24" s="39">
        <f t="shared" si="16"/>
        <v>3</v>
      </c>
      <c r="X24" s="39">
        <f t="shared" si="16"/>
        <v>10</v>
      </c>
      <c r="Y24" s="39">
        <f t="shared" si="16"/>
        <v>18</v>
      </c>
      <c r="Z24" s="39">
        <f t="shared" si="16"/>
        <v>19</v>
      </c>
      <c r="AA24" s="39">
        <f t="shared" si="16"/>
        <v>6</v>
      </c>
      <c r="AB24" s="39">
        <f t="shared" si="16"/>
        <v>4</v>
      </c>
      <c r="AC24" s="39">
        <f t="shared" si="16"/>
        <v>685</v>
      </c>
      <c r="AD24" s="39">
        <f t="shared" si="16"/>
        <v>0</v>
      </c>
      <c r="AE24" s="40">
        <f t="shared" si="16"/>
        <v>597</v>
      </c>
      <c r="AF24" s="40">
        <f t="shared" si="16"/>
        <v>1226</v>
      </c>
    </row>
    <row r="25" spans="2:32" ht="23.1" customHeight="1" x14ac:dyDescent="0.25">
      <c r="B25" s="23" t="s">
        <v>52</v>
      </c>
      <c r="C25" s="50">
        <v>42</v>
      </c>
      <c r="D25" s="50">
        <v>13</v>
      </c>
      <c r="E25" s="50">
        <v>6</v>
      </c>
      <c r="F25" s="50">
        <v>47</v>
      </c>
      <c r="G25" s="50">
        <v>5</v>
      </c>
      <c r="H25" s="50">
        <v>1</v>
      </c>
      <c r="I25" s="50">
        <v>4</v>
      </c>
      <c r="J25" s="50">
        <v>3</v>
      </c>
      <c r="K25" s="50">
        <v>0</v>
      </c>
      <c r="L25" s="50">
        <v>0</v>
      </c>
      <c r="M25" s="50">
        <v>215</v>
      </c>
      <c r="N25" s="50">
        <v>0</v>
      </c>
      <c r="O25" s="15">
        <f t="shared" si="0"/>
        <v>121</v>
      </c>
      <c r="P25" s="15">
        <f t="shared" si="1"/>
        <v>336</v>
      </c>
      <c r="R25" s="37" t="s">
        <v>85</v>
      </c>
      <c r="S25" s="35">
        <f t="shared" ref="S25:AF25" si="17">SUM(S10:S12)</f>
        <v>349</v>
      </c>
      <c r="T25" s="16">
        <f t="shared" si="17"/>
        <v>65</v>
      </c>
      <c r="U25" s="16">
        <f t="shared" si="17"/>
        <v>75</v>
      </c>
      <c r="V25" s="16">
        <f t="shared" si="17"/>
        <v>449</v>
      </c>
      <c r="W25" s="16">
        <f t="shared" si="17"/>
        <v>19</v>
      </c>
      <c r="X25" s="16">
        <f t="shared" si="17"/>
        <v>13</v>
      </c>
      <c r="Y25" s="16">
        <f t="shared" si="17"/>
        <v>46</v>
      </c>
      <c r="Z25" s="16">
        <f t="shared" si="17"/>
        <v>21</v>
      </c>
      <c r="AA25" s="16">
        <f t="shared" si="17"/>
        <v>6</v>
      </c>
      <c r="AB25" s="16">
        <f t="shared" si="17"/>
        <v>8</v>
      </c>
      <c r="AC25" s="16">
        <f t="shared" si="17"/>
        <v>2296</v>
      </c>
      <c r="AD25" s="16">
        <f t="shared" si="17"/>
        <v>1</v>
      </c>
      <c r="AE25" s="32">
        <f t="shared" si="17"/>
        <v>1052</v>
      </c>
      <c r="AF25" s="32">
        <f t="shared" si="17"/>
        <v>3348</v>
      </c>
    </row>
    <row r="26" spans="2:32" ht="23.1" customHeight="1" x14ac:dyDescent="0.25">
      <c r="B26" s="23" t="s">
        <v>53</v>
      </c>
      <c r="C26" s="50">
        <v>50</v>
      </c>
      <c r="D26" s="50">
        <v>12</v>
      </c>
      <c r="E26" s="50">
        <v>2</v>
      </c>
      <c r="F26" s="50">
        <v>46</v>
      </c>
      <c r="G26" s="50">
        <v>0</v>
      </c>
      <c r="H26" s="50">
        <v>0</v>
      </c>
      <c r="I26" s="50">
        <v>2</v>
      </c>
      <c r="J26" s="50">
        <v>2</v>
      </c>
      <c r="K26" s="50">
        <v>0</v>
      </c>
      <c r="L26" s="50">
        <v>1</v>
      </c>
      <c r="M26" s="50">
        <v>160</v>
      </c>
      <c r="N26" s="50">
        <v>0</v>
      </c>
      <c r="O26" s="15">
        <f t="shared" si="0"/>
        <v>115</v>
      </c>
      <c r="P26" s="15">
        <f t="shared" si="1"/>
        <v>275</v>
      </c>
      <c r="R26" s="28" t="s">
        <v>86</v>
      </c>
      <c r="S26" s="16">
        <f t="shared" ref="S26:AF26" si="18">SUM(S13:S18)</f>
        <v>952</v>
      </c>
      <c r="T26" s="16">
        <f t="shared" si="18"/>
        <v>202</v>
      </c>
      <c r="U26" s="16">
        <f t="shared" si="18"/>
        <v>143</v>
      </c>
      <c r="V26" s="16">
        <f t="shared" si="18"/>
        <v>1030</v>
      </c>
      <c r="W26" s="16">
        <f t="shared" si="18"/>
        <v>19</v>
      </c>
      <c r="X26" s="16">
        <f t="shared" si="18"/>
        <v>17</v>
      </c>
      <c r="Y26" s="16">
        <f t="shared" si="18"/>
        <v>106</v>
      </c>
      <c r="Z26" s="16">
        <f t="shared" si="18"/>
        <v>94</v>
      </c>
      <c r="AA26" s="16">
        <f t="shared" si="18"/>
        <v>31</v>
      </c>
      <c r="AB26" s="16">
        <f t="shared" si="18"/>
        <v>11</v>
      </c>
      <c r="AC26" s="16">
        <f t="shared" si="18"/>
        <v>3713</v>
      </c>
      <c r="AD26" s="16">
        <f t="shared" si="18"/>
        <v>0</v>
      </c>
      <c r="AE26" s="32">
        <f t="shared" si="18"/>
        <v>2605</v>
      </c>
      <c r="AF26" s="32">
        <f t="shared" si="18"/>
        <v>6318</v>
      </c>
    </row>
    <row r="27" spans="2:32" ht="23.1" customHeight="1" x14ac:dyDescent="0.25">
      <c r="B27" s="23" t="s">
        <v>54</v>
      </c>
      <c r="C27" s="50">
        <v>41</v>
      </c>
      <c r="D27" s="50">
        <v>6</v>
      </c>
      <c r="E27" s="50">
        <v>2</v>
      </c>
      <c r="F27" s="50">
        <v>25</v>
      </c>
      <c r="G27" s="50">
        <v>0</v>
      </c>
      <c r="H27" s="50">
        <v>2</v>
      </c>
      <c r="I27" s="50">
        <v>5</v>
      </c>
      <c r="J27" s="50">
        <v>1</v>
      </c>
      <c r="K27" s="50">
        <v>3</v>
      </c>
      <c r="L27" s="50">
        <v>2</v>
      </c>
      <c r="M27" s="50">
        <v>176</v>
      </c>
      <c r="N27" s="50">
        <v>0</v>
      </c>
      <c r="O27" s="15">
        <f t="shared" si="0"/>
        <v>87</v>
      </c>
      <c r="P27" s="15">
        <f t="shared" si="1"/>
        <v>263</v>
      </c>
      <c r="R27" s="29" t="s">
        <v>87</v>
      </c>
      <c r="S27" s="16">
        <f t="shared" ref="S27:AF27" si="19">SUM(S19:S21)</f>
        <v>748</v>
      </c>
      <c r="T27" s="16">
        <f t="shared" si="19"/>
        <v>171</v>
      </c>
      <c r="U27" s="16">
        <f t="shared" si="19"/>
        <v>68</v>
      </c>
      <c r="V27" s="16">
        <f t="shared" si="19"/>
        <v>491</v>
      </c>
      <c r="W27" s="16">
        <f t="shared" si="19"/>
        <v>6</v>
      </c>
      <c r="X27" s="16">
        <f t="shared" si="19"/>
        <v>14</v>
      </c>
      <c r="Y27" s="16">
        <f t="shared" si="19"/>
        <v>40</v>
      </c>
      <c r="Z27" s="16">
        <f t="shared" si="19"/>
        <v>30</v>
      </c>
      <c r="AA27" s="16">
        <f t="shared" si="19"/>
        <v>13</v>
      </c>
      <c r="AB27" s="16">
        <f t="shared" si="19"/>
        <v>8</v>
      </c>
      <c r="AC27" s="16">
        <f t="shared" si="19"/>
        <v>1811</v>
      </c>
      <c r="AD27" s="16">
        <f t="shared" si="19"/>
        <v>0</v>
      </c>
      <c r="AE27" s="32">
        <f t="shared" si="19"/>
        <v>1589</v>
      </c>
      <c r="AF27" s="32">
        <f t="shared" si="19"/>
        <v>3400</v>
      </c>
    </row>
    <row r="28" spans="2:32" ht="23.1" customHeight="1" x14ac:dyDescent="0.25">
      <c r="B28" s="23" t="s">
        <v>55</v>
      </c>
      <c r="C28" s="50">
        <v>38</v>
      </c>
      <c r="D28" s="50">
        <v>14</v>
      </c>
      <c r="E28" s="50">
        <v>9</v>
      </c>
      <c r="F28" s="50">
        <v>37</v>
      </c>
      <c r="G28" s="50">
        <v>2</v>
      </c>
      <c r="H28" s="50">
        <v>0</v>
      </c>
      <c r="I28" s="50">
        <v>5</v>
      </c>
      <c r="J28" s="50">
        <v>5</v>
      </c>
      <c r="K28" s="50">
        <v>1</v>
      </c>
      <c r="L28" s="50">
        <v>0</v>
      </c>
      <c r="M28" s="50">
        <v>211</v>
      </c>
      <c r="N28" s="50">
        <v>0</v>
      </c>
      <c r="O28" s="15">
        <f t="shared" si="0"/>
        <v>111</v>
      </c>
      <c r="P28" s="15">
        <f t="shared" si="1"/>
        <v>322</v>
      </c>
      <c r="R28" s="5" t="s">
        <v>17</v>
      </c>
      <c r="S28" s="16">
        <f t="shared" ref="S28:AF28" si="20">SUM(S10:S21)</f>
        <v>2049</v>
      </c>
      <c r="T28" s="16">
        <f t="shared" si="20"/>
        <v>438</v>
      </c>
      <c r="U28" s="16">
        <f t="shared" si="20"/>
        <v>286</v>
      </c>
      <c r="V28" s="16">
        <f t="shared" si="20"/>
        <v>1970</v>
      </c>
      <c r="W28" s="16">
        <f t="shared" si="20"/>
        <v>44</v>
      </c>
      <c r="X28" s="16">
        <f t="shared" si="20"/>
        <v>44</v>
      </c>
      <c r="Y28" s="16">
        <f t="shared" si="20"/>
        <v>192</v>
      </c>
      <c r="Z28" s="16">
        <f t="shared" si="20"/>
        <v>145</v>
      </c>
      <c r="AA28" s="16">
        <f t="shared" si="20"/>
        <v>50</v>
      </c>
      <c r="AB28" s="16">
        <f t="shared" si="20"/>
        <v>27</v>
      </c>
      <c r="AC28" s="16">
        <f t="shared" si="20"/>
        <v>7820</v>
      </c>
      <c r="AD28" s="16">
        <f t="shared" si="20"/>
        <v>1</v>
      </c>
      <c r="AE28" s="32">
        <f t="shared" si="20"/>
        <v>5246</v>
      </c>
      <c r="AF28" s="32">
        <f t="shared" si="20"/>
        <v>13066</v>
      </c>
    </row>
    <row r="29" spans="2:32" ht="23.1" customHeight="1" x14ac:dyDescent="0.25">
      <c r="B29" s="23" t="s">
        <v>56</v>
      </c>
      <c r="C29" s="50">
        <v>26</v>
      </c>
      <c r="D29" s="50">
        <v>8</v>
      </c>
      <c r="E29" s="50">
        <v>3</v>
      </c>
      <c r="F29" s="50">
        <v>43</v>
      </c>
      <c r="G29" s="50">
        <v>0</v>
      </c>
      <c r="H29" s="50">
        <v>1</v>
      </c>
      <c r="I29" s="50">
        <v>4</v>
      </c>
      <c r="J29" s="50">
        <v>4</v>
      </c>
      <c r="K29" s="50">
        <v>0</v>
      </c>
      <c r="L29" s="50">
        <v>0</v>
      </c>
      <c r="M29" s="50">
        <v>137</v>
      </c>
      <c r="N29" s="50">
        <v>0</v>
      </c>
      <c r="O29" s="15">
        <f t="shared" si="0"/>
        <v>89</v>
      </c>
      <c r="P29" s="15">
        <f t="shared" si="1"/>
        <v>226</v>
      </c>
      <c r="R29"/>
      <c r="S29" s="20"/>
      <c r="T29" s="19"/>
    </row>
    <row r="30" spans="2:32" ht="23.1" customHeight="1" x14ac:dyDescent="0.25">
      <c r="B30" s="23" t="s">
        <v>57</v>
      </c>
      <c r="C30" s="50">
        <v>34</v>
      </c>
      <c r="D30" s="50">
        <v>9</v>
      </c>
      <c r="E30" s="50">
        <v>3</v>
      </c>
      <c r="F30" s="50">
        <v>50</v>
      </c>
      <c r="G30" s="50">
        <v>1</v>
      </c>
      <c r="H30" s="50">
        <v>0</v>
      </c>
      <c r="I30" s="50">
        <v>2</v>
      </c>
      <c r="J30" s="50">
        <v>1</v>
      </c>
      <c r="K30" s="50">
        <v>0</v>
      </c>
      <c r="L30" s="50">
        <v>1</v>
      </c>
      <c r="M30" s="50">
        <v>191</v>
      </c>
      <c r="N30" s="50">
        <v>0</v>
      </c>
      <c r="O30" s="15">
        <f t="shared" si="0"/>
        <v>101</v>
      </c>
      <c r="P30" s="15">
        <f t="shared" si="1"/>
        <v>292</v>
      </c>
    </row>
    <row r="31" spans="2:32" ht="23.1" customHeight="1" x14ac:dyDescent="0.25">
      <c r="B31" s="24" t="s">
        <v>58</v>
      </c>
      <c r="C31" s="50">
        <v>39</v>
      </c>
      <c r="D31" s="50">
        <v>5</v>
      </c>
      <c r="E31" s="50">
        <v>3</v>
      </c>
      <c r="F31" s="50">
        <v>47</v>
      </c>
      <c r="G31" s="50">
        <v>0</v>
      </c>
      <c r="H31" s="50">
        <v>0</v>
      </c>
      <c r="I31" s="50">
        <v>3</v>
      </c>
      <c r="J31" s="50">
        <v>5</v>
      </c>
      <c r="K31" s="50">
        <v>0</v>
      </c>
      <c r="L31" s="50">
        <v>0</v>
      </c>
      <c r="M31" s="50">
        <v>108</v>
      </c>
      <c r="N31" s="50">
        <v>0</v>
      </c>
      <c r="O31" s="15">
        <f t="shared" si="0"/>
        <v>102</v>
      </c>
      <c r="P31" s="15">
        <f t="shared" si="1"/>
        <v>210</v>
      </c>
    </row>
    <row r="32" spans="2:32" ht="23.1" customHeight="1" x14ac:dyDescent="0.25">
      <c r="B32" s="24" t="s">
        <v>59</v>
      </c>
      <c r="C32" s="50">
        <v>38</v>
      </c>
      <c r="D32" s="50">
        <v>6</v>
      </c>
      <c r="E32" s="50">
        <v>10</v>
      </c>
      <c r="F32" s="50">
        <v>56</v>
      </c>
      <c r="G32" s="50">
        <v>0</v>
      </c>
      <c r="H32" s="50">
        <v>2</v>
      </c>
      <c r="I32" s="50">
        <v>6</v>
      </c>
      <c r="J32" s="50">
        <v>4</v>
      </c>
      <c r="K32" s="50">
        <v>1</v>
      </c>
      <c r="L32" s="50">
        <v>1</v>
      </c>
      <c r="M32" s="50">
        <v>170</v>
      </c>
      <c r="N32" s="50">
        <v>0</v>
      </c>
      <c r="O32" s="15">
        <f t="shared" si="0"/>
        <v>124</v>
      </c>
      <c r="P32" s="15">
        <f t="shared" si="1"/>
        <v>294</v>
      </c>
    </row>
    <row r="33" spans="2:20" ht="23.1" customHeight="1" x14ac:dyDescent="0.25">
      <c r="B33" s="23" t="s">
        <v>60</v>
      </c>
      <c r="C33" s="50">
        <v>52</v>
      </c>
      <c r="D33" s="50">
        <v>19</v>
      </c>
      <c r="E33" s="50">
        <v>7</v>
      </c>
      <c r="F33" s="50">
        <v>65</v>
      </c>
      <c r="G33" s="50">
        <v>2</v>
      </c>
      <c r="H33" s="50">
        <v>1</v>
      </c>
      <c r="I33" s="50">
        <v>12</v>
      </c>
      <c r="J33" s="50">
        <v>3</v>
      </c>
      <c r="K33" s="50">
        <v>2</v>
      </c>
      <c r="L33" s="50">
        <v>1</v>
      </c>
      <c r="M33" s="50">
        <v>75</v>
      </c>
      <c r="N33" s="50">
        <v>0</v>
      </c>
      <c r="O33" s="15">
        <f t="shared" si="0"/>
        <v>164</v>
      </c>
      <c r="P33" s="15">
        <f t="shared" si="1"/>
        <v>239</v>
      </c>
    </row>
    <row r="34" spans="2:20" ht="23.1" customHeight="1" x14ac:dyDescent="0.25">
      <c r="B34" s="24" t="s">
        <v>61</v>
      </c>
      <c r="C34" s="50">
        <v>45</v>
      </c>
      <c r="D34" s="50">
        <v>3</v>
      </c>
      <c r="E34" s="50">
        <v>5</v>
      </c>
      <c r="F34" s="50">
        <v>70</v>
      </c>
      <c r="G34" s="50">
        <v>1</v>
      </c>
      <c r="H34" s="50">
        <v>1</v>
      </c>
      <c r="I34" s="50">
        <v>3</v>
      </c>
      <c r="J34" s="50">
        <v>0</v>
      </c>
      <c r="K34" s="50">
        <v>1</v>
      </c>
      <c r="L34" s="50">
        <v>1</v>
      </c>
      <c r="M34" s="50">
        <v>105</v>
      </c>
      <c r="N34" s="50">
        <v>0</v>
      </c>
      <c r="O34" s="15">
        <f t="shared" si="0"/>
        <v>130</v>
      </c>
      <c r="P34" s="15">
        <f t="shared" si="1"/>
        <v>235</v>
      </c>
    </row>
    <row r="35" spans="2:20" ht="23.1" customHeight="1" x14ac:dyDescent="0.25">
      <c r="B35" s="24" t="s">
        <v>62</v>
      </c>
      <c r="C35" s="50">
        <v>25</v>
      </c>
      <c r="D35" s="50">
        <v>4</v>
      </c>
      <c r="E35" s="50">
        <v>7</v>
      </c>
      <c r="F35" s="50">
        <v>35</v>
      </c>
      <c r="G35" s="50">
        <v>0</v>
      </c>
      <c r="H35" s="50">
        <v>0</v>
      </c>
      <c r="I35" s="50">
        <v>6</v>
      </c>
      <c r="J35" s="50">
        <v>10</v>
      </c>
      <c r="K35" s="50">
        <v>0</v>
      </c>
      <c r="L35" s="50">
        <v>0</v>
      </c>
      <c r="M35" s="50">
        <v>132</v>
      </c>
      <c r="N35" s="50">
        <v>0</v>
      </c>
      <c r="O35" s="15">
        <f t="shared" si="0"/>
        <v>87</v>
      </c>
      <c r="P35" s="15">
        <f t="shared" si="1"/>
        <v>219</v>
      </c>
    </row>
    <row r="36" spans="2:20" ht="23.1" customHeight="1" x14ac:dyDescent="0.25">
      <c r="B36" s="24" t="s">
        <v>63</v>
      </c>
      <c r="C36" s="50">
        <v>38</v>
      </c>
      <c r="D36" s="50">
        <v>7</v>
      </c>
      <c r="E36" s="50">
        <v>36</v>
      </c>
      <c r="F36" s="50">
        <v>33</v>
      </c>
      <c r="G36" s="50">
        <v>0</v>
      </c>
      <c r="H36" s="50">
        <v>0</v>
      </c>
      <c r="I36" s="50">
        <v>4</v>
      </c>
      <c r="J36" s="50">
        <v>4</v>
      </c>
      <c r="K36" s="50">
        <v>0</v>
      </c>
      <c r="L36" s="50">
        <v>0</v>
      </c>
      <c r="M36" s="50">
        <v>138</v>
      </c>
      <c r="N36" s="50">
        <v>0</v>
      </c>
      <c r="O36" s="15">
        <f t="shared" si="0"/>
        <v>122</v>
      </c>
      <c r="P36" s="15">
        <f t="shared" si="1"/>
        <v>260</v>
      </c>
    </row>
    <row r="37" spans="2:20" ht="23.1" customHeight="1" x14ac:dyDescent="0.25">
      <c r="B37" s="23" t="s">
        <v>64</v>
      </c>
      <c r="C37" s="50">
        <v>40</v>
      </c>
      <c r="D37" s="50">
        <v>11</v>
      </c>
      <c r="E37" s="50">
        <v>3</v>
      </c>
      <c r="F37" s="50">
        <v>48</v>
      </c>
      <c r="G37" s="50">
        <v>0</v>
      </c>
      <c r="H37" s="50">
        <v>2</v>
      </c>
      <c r="I37" s="50">
        <v>4</v>
      </c>
      <c r="J37" s="50">
        <v>7</v>
      </c>
      <c r="K37" s="50">
        <v>0</v>
      </c>
      <c r="L37" s="50">
        <v>0</v>
      </c>
      <c r="M37" s="50">
        <v>180</v>
      </c>
      <c r="N37" s="50">
        <v>0</v>
      </c>
      <c r="O37" s="15">
        <f t="shared" si="0"/>
        <v>115</v>
      </c>
      <c r="P37" s="15">
        <f t="shared" si="1"/>
        <v>295</v>
      </c>
    </row>
    <row r="38" spans="2:20" ht="23.1" customHeight="1" x14ac:dyDescent="0.25">
      <c r="B38" s="24" t="s">
        <v>65</v>
      </c>
      <c r="C38" s="50">
        <v>28</v>
      </c>
      <c r="D38" s="50">
        <v>7</v>
      </c>
      <c r="E38" s="50">
        <v>3</v>
      </c>
      <c r="F38" s="50">
        <v>25</v>
      </c>
      <c r="G38" s="50">
        <v>0</v>
      </c>
      <c r="H38" s="50">
        <v>0</v>
      </c>
      <c r="I38" s="50">
        <v>3</v>
      </c>
      <c r="J38" s="50">
        <v>6</v>
      </c>
      <c r="K38" s="50">
        <v>0</v>
      </c>
      <c r="L38" s="50">
        <v>0</v>
      </c>
      <c r="M38" s="50">
        <v>110</v>
      </c>
      <c r="N38" s="50">
        <v>0</v>
      </c>
      <c r="O38" s="15">
        <f t="shared" si="0"/>
        <v>72</v>
      </c>
      <c r="P38" s="15">
        <f t="shared" si="1"/>
        <v>182</v>
      </c>
    </row>
    <row r="39" spans="2:20" ht="23.1" customHeight="1" x14ac:dyDescent="0.25">
      <c r="B39" s="24" t="s">
        <v>66</v>
      </c>
      <c r="C39" s="50">
        <v>55</v>
      </c>
      <c r="D39" s="50">
        <v>11</v>
      </c>
      <c r="E39" s="50">
        <v>5</v>
      </c>
      <c r="F39" s="50">
        <v>37</v>
      </c>
      <c r="G39" s="50">
        <v>1</v>
      </c>
      <c r="H39" s="50">
        <v>0</v>
      </c>
      <c r="I39" s="50">
        <v>2</v>
      </c>
      <c r="J39" s="50">
        <v>1</v>
      </c>
      <c r="K39" s="50">
        <v>0</v>
      </c>
      <c r="L39" s="50">
        <v>0</v>
      </c>
      <c r="M39" s="50">
        <v>160</v>
      </c>
      <c r="N39" s="50">
        <v>0</v>
      </c>
      <c r="O39" s="15">
        <f t="shared" si="0"/>
        <v>112</v>
      </c>
      <c r="P39" s="15">
        <f t="shared" si="1"/>
        <v>272</v>
      </c>
    </row>
    <row r="40" spans="2:20" ht="23.1" customHeight="1" x14ac:dyDescent="0.25">
      <c r="B40" s="24" t="s">
        <v>67</v>
      </c>
      <c r="C40" s="50">
        <v>52</v>
      </c>
      <c r="D40" s="50">
        <v>6</v>
      </c>
      <c r="E40" s="50">
        <v>4</v>
      </c>
      <c r="F40" s="50">
        <v>53</v>
      </c>
      <c r="G40" s="50">
        <v>0</v>
      </c>
      <c r="H40" s="50">
        <v>1</v>
      </c>
      <c r="I40" s="50">
        <v>7</v>
      </c>
      <c r="J40" s="50">
        <v>7</v>
      </c>
      <c r="K40" s="50">
        <v>2</v>
      </c>
      <c r="L40" s="50">
        <v>0</v>
      </c>
      <c r="M40" s="50">
        <v>110</v>
      </c>
      <c r="N40" s="50">
        <v>0</v>
      </c>
      <c r="O40" s="15">
        <f t="shared" si="0"/>
        <v>132</v>
      </c>
      <c r="P40" s="15">
        <f t="shared" si="1"/>
        <v>242</v>
      </c>
    </row>
    <row r="41" spans="2:20" ht="23.1" customHeight="1" x14ac:dyDescent="0.25">
      <c r="B41" s="23" t="s">
        <v>68</v>
      </c>
      <c r="C41" s="50">
        <v>35</v>
      </c>
      <c r="D41" s="50">
        <v>5</v>
      </c>
      <c r="E41" s="50">
        <v>3</v>
      </c>
      <c r="F41" s="50">
        <v>36</v>
      </c>
      <c r="G41" s="50">
        <v>0</v>
      </c>
      <c r="H41" s="50">
        <v>0</v>
      </c>
      <c r="I41" s="50">
        <v>7</v>
      </c>
      <c r="J41" s="50">
        <v>5</v>
      </c>
      <c r="K41" s="50">
        <v>1</v>
      </c>
      <c r="L41" s="50">
        <v>0</v>
      </c>
      <c r="M41" s="50">
        <v>155</v>
      </c>
      <c r="N41" s="50">
        <v>0</v>
      </c>
      <c r="O41" s="15">
        <f t="shared" si="0"/>
        <v>92</v>
      </c>
      <c r="P41" s="15">
        <f t="shared" si="1"/>
        <v>247</v>
      </c>
    </row>
    <row r="42" spans="2:20" ht="23.1" customHeight="1" x14ac:dyDescent="0.25">
      <c r="B42" s="24" t="s">
        <v>69</v>
      </c>
      <c r="C42" s="50">
        <v>38</v>
      </c>
      <c r="D42" s="50">
        <v>3</v>
      </c>
      <c r="E42" s="50">
        <v>6</v>
      </c>
      <c r="F42" s="50">
        <v>39</v>
      </c>
      <c r="G42" s="50">
        <v>1</v>
      </c>
      <c r="H42" s="50">
        <v>1</v>
      </c>
      <c r="I42" s="50">
        <v>4</v>
      </c>
      <c r="J42" s="50">
        <v>5</v>
      </c>
      <c r="K42" s="50">
        <v>0</v>
      </c>
      <c r="L42" s="50">
        <v>1</v>
      </c>
      <c r="M42" s="50">
        <v>110</v>
      </c>
      <c r="N42" s="50">
        <v>0</v>
      </c>
      <c r="O42" s="15">
        <f t="shared" si="0"/>
        <v>98</v>
      </c>
      <c r="P42" s="15">
        <f t="shared" si="1"/>
        <v>208</v>
      </c>
    </row>
    <row r="43" spans="2:20" ht="23.1" customHeight="1" x14ac:dyDescent="0.25">
      <c r="B43" s="23" t="s">
        <v>70</v>
      </c>
      <c r="C43" s="50">
        <v>54</v>
      </c>
      <c r="D43" s="50">
        <v>10</v>
      </c>
      <c r="E43" s="50">
        <v>4</v>
      </c>
      <c r="F43" s="50">
        <v>40</v>
      </c>
      <c r="G43" s="50">
        <v>0</v>
      </c>
      <c r="H43" s="50">
        <v>0</v>
      </c>
      <c r="I43" s="50">
        <v>3</v>
      </c>
      <c r="J43" s="50">
        <v>1</v>
      </c>
      <c r="K43" s="50">
        <v>8</v>
      </c>
      <c r="L43" s="50">
        <v>1</v>
      </c>
      <c r="M43" s="50">
        <v>150</v>
      </c>
      <c r="N43" s="50">
        <v>0</v>
      </c>
      <c r="O43" s="15">
        <f t="shared" si="0"/>
        <v>121</v>
      </c>
      <c r="P43" s="15">
        <f t="shared" si="1"/>
        <v>271</v>
      </c>
    </row>
    <row r="44" spans="2:20" ht="23.1" customHeight="1" x14ac:dyDescent="0.25">
      <c r="B44" s="25" t="s">
        <v>71</v>
      </c>
      <c r="C44" s="50">
        <v>36</v>
      </c>
      <c r="D44" s="50">
        <v>13</v>
      </c>
      <c r="E44" s="50">
        <v>8</v>
      </c>
      <c r="F44" s="50">
        <v>47</v>
      </c>
      <c r="G44" s="50">
        <v>0</v>
      </c>
      <c r="H44" s="50">
        <v>1</v>
      </c>
      <c r="I44" s="50">
        <v>5</v>
      </c>
      <c r="J44" s="50">
        <v>2</v>
      </c>
      <c r="K44" s="50">
        <v>1</v>
      </c>
      <c r="L44" s="50">
        <v>1</v>
      </c>
      <c r="M44" s="50">
        <v>137</v>
      </c>
      <c r="N44" s="50">
        <v>0</v>
      </c>
      <c r="O44" s="15">
        <f t="shared" si="0"/>
        <v>114</v>
      </c>
      <c r="P44" s="15">
        <f t="shared" si="1"/>
        <v>251</v>
      </c>
    </row>
    <row r="45" spans="2:20" ht="23.1" customHeight="1" x14ac:dyDescent="0.25">
      <c r="B45" s="23" t="s">
        <v>72</v>
      </c>
      <c r="C45" s="50">
        <v>53</v>
      </c>
      <c r="D45" s="50">
        <v>11</v>
      </c>
      <c r="E45" s="50">
        <v>6</v>
      </c>
      <c r="F45" s="50">
        <v>43</v>
      </c>
      <c r="G45" s="50">
        <v>1</v>
      </c>
      <c r="H45" s="50">
        <v>3</v>
      </c>
      <c r="I45" s="50">
        <v>4</v>
      </c>
      <c r="J45" s="50">
        <v>4</v>
      </c>
      <c r="K45" s="50">
        <v>4</v>
      </c>
      <c r="L45" s="50">
        <v>1</v>
      </c>
      <c r="M45" s="50">
        <v>162</v>
      </c>
      <c r="N45" s="50">
        <v>0</v>
      </c>
      <c r="O45" s="15">
        <f t="shared" si="0"/>
        <v>130</v>
      </c>
      <c r="P45" s="15">
        <f t="shared" si="1"/>
        <v>292</v>
      </c>
    </row>
    <row r="46" spans="2:20" ht="23.1" customHeight="1" x14ac:dyDescent="0.25">
      <c r="B46" s="24" t="s">
        <v>73</v>
      </c>
      <c r="C46" s="50">
        <v>47</v>
      </c>
      <c r="D46" s="50">
        <v>15</v>
      </c>
      <c r="E46" s="50">
        <v>7</v>
      </c>
      <c r="F46" s="50">
        <v>32</v>
      </c>
      <c r="G46" s="50">
        <v>0</v>
      </c>
      <c r="H46" s="50">
        <v>0</v>
      </c>
      <c r="I46" s="50">
        <v>4</v>
      </c>
      <c r="J46" s="50">
        <v>6</v>
      </c>
      <c r="K46" s="50">
        <v>1</v>
      </c>
      <c r="L46" s="50">
        <v>0</v>
      </c>
      <c r="M46" s="50">
        <v>185</v>
      </c>
      <c r="N46" s="50">
        <v>0</v>
      </c>
      <c r="O46" s="15">
        <f t="shared" si="0"/>
        <v>112</v>
      </c>
      <c r="P46" s="15">
        <f t="shared" si="1"/>
        <v>297</v>
      </c>
      <c r="R46" s="8"/>
      <c r="T46"/>
    </row>
    <row r="47" spans="2:20" ht="23.1" customHeight="1" x14ac:dyDescent="0.25">
      <c r="B47" s="24" t="s">
        <v>74</v>
      </c>
      <c r="C47" s="50">
        <v>61</v>
      </c>
      <c r="D47" s="50">
        <v>15</v>
      </c>
      <c r="E47" s="50">
        <v>4</v>
      </c>
      <c r="F47" s="50">
        <v>42</v>
      </c>
      <c r="G47" s="50">
        <v>0</v>
      </c>
      <c r="H47" s="50">
        <v>3</v>
      </c>
      <c r="I47" s="50">
        <v>6</v>
      </c>
      <c r="J47" s="50">
        <v>8</v>
      </c>
      <c r="K47" s="50">
        <v>1</v>
      </c>
      <c r="L47" s="50">
        <v>0</v>
      </c>
      <c r="M47" s="50">
        <v>175</v>
      </c>
      <c r="N47" s="50">
        <v>0</v>
      </c>
      <c r="O47" s="15">
        <f t="shared" si="0"/>
        <v>140</v>
      </c>
      <c r="P47" s="15">
        <f t="shared" si="1"/>
        <v>315</v>
      </c>
      <c r="R47" s="8"/>
      <c r="T47"/>
    </row>
    <row r="48" spans="2:20" ht="23.1" customHeight="1" x14ac:dyDescent="0.25">
      <c r="B48" s="24" t="s">
        <v>75</v>
      </c>
      <c r="C48" s="50">
        <v>73</v>
      </c>
      <c r="D48" s="50">
        <v>25</v>
      </c>
      <c r="E48" s="50">
        <v>7</v>
      </c>
      <c r="F48" s="50">
        <v>38</v>
      </c>
      <c r="G48" s="50">
        <v>1</v>
      </c>
      <c r="H48" s="50">
        <v>6</v>
      </c>
      <c r="I48" s="50">
        <v>5</v>
      </c>
      <c r="J48" s="50">
        <v>1</v>
      </c>
      <c r="K48" s="50">
        <v>4</v>
      </c>
      <c r="L48" s="50">
        <v>4</v>
      </c>
      <c r="M48" s="50">
        <v>150</v>
      </c>
      <c r="N48" s="50">
        <v>0</v>
      </c>
      <c r="O48" s="15">
        <f t="shared" si="0"/>
        <v>164</v>
      </c>
      <c r="P48" s="15">
        <f t="shared" si="1"/>
        <v>314</v>
      </c>
      <c r="R48" s="8"/>
      <c r="T48"/>
    </row>
    <row r="49" spans="2:20" ht="23.1" customHeight="1" x14ac:dyDescent="0.25">
      <c r="B49" s="23" t="s">
        <v>76</v>
      </c>
      <c r="C49" s="50">
        <v>65</v>
      </c>
      <c r="D49" s="50">
        <v>12</v>
      </c>
      <c r="E49" s="50">
        <v>10</v>
      </c>
      <c r="F49" s="50">
        <v>30</v>
      </c>
      <c r="G49" s="50">
        <v>0</v>
      </c>
      <c r="H49" s="50">
        <v>1</v>
      </c>
      <c r="I49" s="50">
        <v>3</v>
      </c>
      <c r="J49" s="50">
        <v>4</v>
      </c>
      <c r="K49" s="50">
        <v>0</v>
      </c>
      <c r="L49" s="50">
        <v>0</v>
      </c>
      <c r="M49" s="50">
        <v>175</v>
      </c>
      <c r="N49" s="50">
        <v>0</v>
      </c>
      <c r="O49" s="15">
        <f t="shared" si="0"/>
        <v>125</v>
      </c>
      <c r="P49" s="15">
        <f t="shared" si="1"/>
        <v>300</v>
      </c>
      <c r="R49" s="8"/>
      <c r="T49"/>
    </row>
    <row r="50" spans="2:20" ht="23.1" customHeight="1" x14ac:dyDescent="0.25">
      <c r="B50" s="24" t="s">
        <v>77</v>
      </c>
      <c r="C50" s="50">
        <v>75</v>
      </c>
      <c r="D50" s="50">
        <v>14</v>
      </c>
      <c r="E50" s="50">
        <v>6</v>
      </c>
      <c r="F50" s="50">
        <v>38</v>
      </c>
      <c r="G50" s="50">
        <v>0</v>
      </c>
      <c r="H50" s="50">
        <v>0</v>
      </c>
      <c r="I50" s="50">
        <v>2</v>
      </c>
      <c r="J50" s="50">
        <v>2</v>
      </c>
      <c r="K50" s="50">
        <v>0</v>
      </c>
      <c r="L50" s="50">
        <v>0</v>
      </c>
      <c r="M50" s="50">
        <v>185</v>
      </c>
      <c r="N50" s="50">
        <v>0</v>
      </c>
      <c r="O50" s="15">
        <f t="shared" si="0"/>
        <v>137</v>
      </c>
      <c r="P50" s="15">
        <f t="shared" si="1"/>
        <v>322</v>
      </c>
      <c r="R50" s="8"/>
      <c r="T50"/>
    </row>
    <row r="51" spans="2:20" ht="23.1" customHeight="1" x14ac:dyDescent="0.25">
      <c r="B51" s="24" t="s">
        <v>78</v>
      </c>
      <c r="C51" s="50">
        <v>34</v>
      </c>
      <c r="D51" s="50">
        <v>7</v>
      </c>
      <c r="E51" s="50">
        <v>4</v>
      </c>
      <c r="F51" s="50">
        <v>27</v>
      </c>
      <c r="G51" s="50">
        <v>0</v>
      </c>
      <c r="H51" s="50">
        <v>0</v>
      </c>
      <c r="I51" s="50">
        <v>3</v>
      </c>
      <c r="J51" s="50">
        <v>1</v>
      </c>
      <c r="K51" s="50">
        <v>2</v>
      </c>
      <c r="L51" s="50">
        <v>0</v>
      </c>
      <c r="M51" s="50">
        <v>140</v>
      </c>
      <c r="N51" s="50">
        <v>0</v>
      </c>
      <c r="O51" s="15">
        <f t="shared" si="0"/>
        <v>78</v>
      </c>
      <c r="P51" s="15">
        <f t="shared" si="1"/>
        <v>218</v>
      </c>
      <c r="R51" s="8"/>
      <c r="T51"/>
    </row>
    <row r="52" spans="2:20" ht="23.1" customHeight="1" x14ac:dyDescent="0.25">
      <c r="B52" s="24" t="s">
        <v>79</v>
      </c>
      <c r="C52" s="50">
        <v>40</v>
      </c>
      <c r="D52" s="50">
        <v>9</v>
      </c>
      <c r="E52" s="50">
        <v>5</v>
      </c>
      <c r="F52" s="50">
        <v>35</v>
      </c>
      <c r="G52" s="50">
        <v>0</v>
      </c>
      <c r="H52" s="50">
        <v>0</v>
      </c>
      <c r="I52" s="50">
        <v>1</v>
      </c>
      <c r="J52" s="50">
        <v>2</v>
      </c>
      <c r="K52" s="50">
        <v>0</v>
      </c>
      <c r="L52" s="50">
        <v>0</v>
      </c>
      <c r="M52" s="50">
        <v>140</v>
      </c>
      <c r="N52" s="50">
        <v>0</v>
      </c>
      <c r="O52" s="15">
        <f t="shared" si="0"/>
        <v>92</v>
      </c>
      <c r="P52" s="15">
        <f t="shared" si="1"/>
        <v>232</v>
      </c>
      <c r="R52" s="8"/>
      <c r="T52"/>
    </row>
    <row r="53" spans="2:20" ht="23.1" customHeight="1" x14ac:dyDescent="0.25">
      <c r="B53" s="23" t="s">
        <v>80</v>
      </c>
      <c r="C53" s="50">
        <v>85</v>
      </c>
      <c r="D53" s="50">
        <v>17</v>
      </c>
      <c r="E53" s="50">
        <v>1</v>
      </c>
      <c r="F53" s="50">
        <v>28</v>
      </c>
      <c r="G53" s="50">
        <v>2</v>
      </c>
      <c r="H53" s="50">
        <v>1</v>
      </c>
      <c r="I53" s="50">
        <v>3</v>
      </c>
      <c r="J53" s="50">
        <v>3</v>
      </c>
      <c r="K53" s="50">
        <v>2</v>
      </c>
      <c r="L53" s="50">
        <v>2</v>
      </c>
      <c r="M53" s="50">
        <v>115</v>
      </c>
      <c r="N53" s="50">
        <v>0</v>
      </c>
      <c r="O53" s="15">
        <f t="shared" si="0"/>
        <v>144</v>
      </c>
      <c r="P53" s="15">
        <f t="shared" si="1"/>
        <v>259</v>
      </c>
      <c r="R53" s="8"/>
      <c r="T53"/>
    </row>
    <row r="54" spans="2:20" ht="23.1" customHeight="1" x14ac:dyDescent="0.25">
      <c r="B54" s="23" t="s">
        <v>81</v>
      </c>
      <c r="C54" s="50">
        <v>65</v>
      </c>
      <c r="D54" s="50">
        <v>22</v>
      </c>
      <c r="E54" s="50">
        <v>8</v>
      </c>
      <c r="F54" s="50">
        <v>66</v>
      </c>
      <c r="G54" s="50">
        <v>2</v>
      </c>
      <c r="H54" s="50">
        <v>0</v>
      </c>
      <c r="I54" s="50">
        <v>5</v>
      </c>
      <c r="J54" s="50">
        <v>0</v>
      </c>
      <c r="K54" s="50">
        <v>1</v>
      </c>
      <c r="L54" s="50">
        <v>0</v>
      </c>
      <c r="M54" s="50">
        <v>150</v>
      </c>
      <c r="N54" s="50">
        <v>0</v>
      </c>
      <c r="O54" s="15">
        <f t="shared" si="0"/>
        <v>169</v>
      </c>
      <c r="P54" s="15">
        <f t="shared" si="1"/>
        <v>319</v>
      </c>
      <c r="R54" s="8"/>
      <c r="T54"/>
    </row>
    <row r="55" spans="2:20" ht="23.1" customHeight="1" x14ac:dyDescent="0.25">
      <c r="B55" s="23" t="s">
        <v>82</v>
      </c>
      <c r="C55" s="50">
        <v>44</v>
      </c>
      <c r="D55" s="50">
        <v>8</v>
      </c>
      <c r="E55" s="50">
        <v>8</v>
      </c>
      <c r="F55" s="50">
        <v>34</v>
      </c>
      <c r="G55" s="50">
        <v>1</v>
      </c>
      <c r="H55" s="50">
        <v>1</v>
      </c>
      <c r="I55" s="50">
        <v>0</v>
      </c>
      <c r="J55" s="50">
        <v>0</v>
      </c>
      <c r="K55" s="50">
        <v>0</v>
      </c>
      <c r="L55" s="50">
        <v>0</v>
      </c>
      <c r="M55" s="50">
        <v>80</v>
      </c>
      <c r="N55" s="50">
        <v>0</v>
      </c>
      <c r="O55" s="15">
        <f t="shared" si="0"/>
        <v>96</v>
      </c>
      <c r="P55" s="15">
        <f t="shared" si="1"/>
        <v>176</v>
      </c>
      <c r="R55" s="8"/>
      <c r="T55"/>
    </row>
    <row r="56" spans="2:20" ht="23.1" customHeight="1" x14ac:dyDescent="0.25">
      <c r="B56" s="23" t="s">
        <v>83</v>
      </c>
      <c r="C56" s="50">
        <v>102</v>
      </c>
      <c r="D56" s="50">
        <v>10</v>
      </c>
      <c r="E56" s="50">
        <v>4</v>
      </c>
      <c r="F56" s="50">
        <v>71</v>
      </c>
      <c r="G56" s="50">
        <v>0</v>
      </c>
      <c r="H56" s="50">
        <v>1</v>
      </c>
      <c r="I56" s="50">
        <v>6</v>
      </c>
      <c r="J56" s="50">
        <v>2</v>
      </c>
      <c r="K56" s="50">
        <v>1</v>
      </c>
      <c r="L56" s="50">
        <v>1</v>
      </c>
      <c r="M56" s="50">
        <v>130</v>
      </c>
      <c r="N56" s="50">
        <v>0</v>
      </c>
      <c r="O56" s="15">
        <f t="shared" si="0"/>
        <v>198</v>
      </c>
      <c r="P56" s="15">
        <f t="shared" si="1"/>
        <v>328</v>
      </c>
      <c r="R56" s="8"/>
      <c r="T56"/>
    </row>
    <row r="57" spans="2:20" ht="23.1" customHeight="1" x14ac:dyDescent="0.25">
      <c r="B57" s="23" t="s">
        <v>84</v>
      </c>
      <c r="C57" s="50">
        <v>57</v>
      </c>
      <c r="D57" s="50">
        <v>17</v>
      </c>
      <c r="E57" s="50">
        <v>4</v>
      </c>
      <c r="F57" s="50">
        <v>50</v>
      </c>
      <c r="G57" s="50">
        <v>0</v>
      </c>
      <c r="H57" s="50">
        <v>1</v>
      </c>
      <c r="I57" s="50">
        <v>2</v>
      </c>
      <c r="J57" s="50">
        <v>1</v>
      </c>
      <c r="K57" s="50">
        <v>1</v>
      </c>
      <c r="L57" s="50">
        <v>1</v>
      </c>
      <c r="M57" s="50">
        <v>186</v>
      </c>
      <c r="N57" s="50">
        <v>0</v>
      </c>
      <c r="O57" s="15">
        <f t="shared" si="0"/>
        <v>134</v>
      </c>
      <c r="P57" s="15">
        <f t="shared" si="1"/>
        <v>320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2049</v>
      </c>
      <c r="D58" s="16">
        <f t="shared" si="21"/>
        <v>438</v>
      </c>
      <c r="E58" s="16">
        <f t="shared" si="21"/>
        <v>286</v>
      </c>
      <c r="F58" s="16">
        <f t="shared" si="21"/>
        <v>1970</v>
      </c>
      <c r="G58" s="16">
        <f t="shared" si="21"/>
        <v>44</v>
      </c>
      <c r="H58" s="16">
        <f t="shared" si="21"/>
        <v>44</v>
      </c>
      <c r="I58" s="16">
        <f t="shared" si="21"/>
        <v>192</v>
      </c>
      <c r="J58" s="16">
        <f t="shared" si="21"/>
        <v>145</v>
      </c>
      <c r="K58" s="16">
        <f t="shared" si="21"/>
        <v>50</v>
      </c>
      <c r="L58" s="16">
        <f t="shared" si="21"/>
        <v>27</v>
      </c>
      <c r="M58" s="16">
        <f t="shared" si="21"/>
        <v>7820</v>
      </c>
      <c r="N58" s="16">
        <f t="shared" si="21"/>
        <v>1</v>
      </c>
      <c r="O58" s="16">
        <f t="shared" si="21"/>
        <v>5246</v>
      </c>
      <c r="P58" s="16">
        <f t="shared" si="21"/>
        <v>13066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0.15681922547068727</v>
      </c>
      <c r="D59" s="43">
        <f t="shared" si="22"/>
        <v>3.3522118475432419E-2</v>
      </c>
      <c r="E59" s="43">
        <f t="shared" si="22"/>
        <v>2.1888871881218429E-2</v>
      </c>
      <c r="F59" s="43">
        <f t="shared" si="22"/>
        <v>0.1507729986223787</v>
      </c>
      <c r="G59" s="43">
        <f t="shared" si="22"/>
        <v>3.3675187509566813E-3</v>
      </c>
      <c r="H59" s="43">
        <f t="shared" si="22"/>
        <v>3.3675187509566813E-3</v>
      </c>
      <c r="I59" s="43">
        <f t="shared" si="22"/>
        <v>1.4694627276901883E-2</v>
      </c>
      <c r="J59" s="43">
        <f t="shared" si="22"/>
        <v>1.109750497474361E-2</v>
      </c>
      <c r="K59" s="43">
        <f t="shared" si="22"/>
        <v>3.8267258533598654E-3</v>
      </c>
      <c r="L59" s="43">
        <f t="shared" si="22"/>
        <v>2.0664319608143271E-3</v>
      </c>
      <c r="M59" s="43">
        <f t="shared" si="22"/>
        <v>0.59849992346548297</v>
      </c>
      <c r="N59" s="43">
        <f t="shared" si="22"/>
        <v>7.6534517067197309E-5</v>
      </c>
      <c r="R59" s="8"/>
      <c r="T59"/>
    </row>
    <row r="60" spans="2:20" ht="23.1" customHeight="1" x14ac:dyDescent="0.25">
      <c r="B60" s="42" t="s">
        <v>94</v>
      </c>
      <c r="C60" s="44">
        <f>C58/$O$58</f>
        <v>0.39058330156309568</v>
      </c>
      <c r="D60" s="44">
        <f t="shared" ref="D60:N60" si="23">D58/$O$58</f>
        <v>8.3492184521540225E-2</v>
      </c>
      <c r="E60" s="44">
        <f t="shared" si="23"/>
        <v>5.4517727792603887E-2</v>
      </c>
      <c r="F60" s="44">
        <f t="shared" si="23"/>
        <v>0.37552420892108274</v>
      </c>
      <c r="G60" s="44">
        <f t="shared" si="23"/>
        <v>8.3873427373236751E-3</v>
      </c>
      <c r="H60" s="44">
        <f t="shared" si="23"/>
        <v>8.3873427373236751E-3</v>
      </c>
      <c r="I60" s="44">
        <f t="shared" si="23"/>
        <v>3.6599313762866945E-2</v>
      </c>
      <c r="J60" s="44">
        <f t="shared" si="23"/>
        <v>2.7640106747998477E-2</v>
      </c>
      <c r="K60" s="44">
        <f t="shared" si="23"/>
        <v>9.5310712924132675E-3</v>
      </c>
      <c r="L60" s="44">
        <f t="shared" si="23"/>
        <v>5.1467784979031643E-3</v>
      </c>
      <c r="M60" s="44"/>
      <c r="N60" s="44">
        <f t="shared" si="23"/>
        <v>1.9062142584826535E-4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 tint="-0.249977111117893"/>
  </sheetPr>
  <dimension ref="B1:AF174"/>
  <sheetViews>
    <sheetView view="pageBreakPreview" topLeftCell="A34" zoomScale="60" workbookViewId="0">
      <selection activeCell="G105" sqref="G105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710937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64" t="s">
        <v>23</v>
      </c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  <c r="S1" s="64"/>
      <c r="T1" s="64"/>
      <c r="U1" s="64"/>
      <c r="V1" s="64"/>
      <c r="W1" s="64"/>
      <c r="X1" s="64"/>
      <c r="Y1" s="64"/>
      <c r="Z1" s="64"/>
      <c r="AA1" s="64"/>
      <c r="AB1" s="64"/>
      <c r="AC1" s="64"/>
      <c r="AD1" s="64"/>
      <c r="AE1" s="64"/>
    </row>
    <row r="2" spans="2:32" ht="20.100000000000001" customHeight="1" x14ac:dyDescent="0.25">
      <c r="B2" s="65" t="s">
        <v>95</v>
      </c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  <c r="AA2" s="65"/>
      <c r="AB2" s="65"/>
      <c r="AC2" s="65"/>
      <c r="AD2" s="65"/>
      <c r="AE2" s="65"/>
    </row>
    <row r="3" spans="2:32" ht="20.100000000000001" customHeight="1" x14ac:dyDescent="0.25">
      <c r="B3" s="22" t="s">
        <v>96</v>
      </c>
      <c r="C3" s="71" t="str">
        <f>'22.07 Bwaise-Makerere'!C3:G3</f>
        <v>MCC - C1 - STN021- SIR APOLLO ROAD</v>
      </c>
      <c r="D3" s="71"/>
      <c r="E3" s="71"/>
      <c r="F3" s="71"/>
      <c r="G3" s="71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">
        <v>165</v>
      </c>
      <c r="E5" s="3"/>
      <c r="F5" s="41" t="s">
        <v>1</v>
      </c>
      <c r="G5" s="69" t="str">
        <f>'25.07 Makerere-Bwaise'!G5:H5</f>
        <v>PREMIUM DESIGN LTD</v>
      </c>
      <c r="H5" s="70"/>
      <c r="I5" s="14"/>
      <c r="J5" s="2" t="s">
        <v>5</v>
      </c>
      <c r="K5" s="69" t="str">
        <f>'25.07 Makerere-Bwaise'!K5:L5</f>
        <v>OMASET JEROME</v>
      </c>
      <c r="L5" s="70"/>
      <c r="M5" s="10"/>
      <c r="N5" s="10"/>
      <c r="O5" s="3"/>
      <c r="P5" s="3"/>
    </row>
    <row r="6" spans="2:32" ht="23.25" customHeight="1" x14ac:dyDescent="0.25">
      <c r="C6" s="2" t="s">
        <v>4</v>
      </c>
      <c r="D6" s="69" t="str">
        <f>'22.07 Bwaise-Makerere'!D6:E6</f>
        <v>Bwaise</v>
      </c>
      <c r="E6" s="70"/>
      <c r="F6" s="2" t="s">
        <v>2</v>
      </c>
      <c r="G6" s="69" t="str">
        <f>'22.07 Bwaise-Makerere'!G6:H6</f>
        <v>Makerere</v>
      </c>
      <c r="H6" s="70"/>
      <c r="J6" s="2" t="s">
        <v>21</v>
      </c>
      <c r="K6" s="69" t="str">
        <f>'25.07 Makerere-Bwaise'!K6:L6</f>
        <v>SALIMAH</v>
      </c>
      <c r="L6" s="70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63" t="s">
        <v>88</v>
      </c>
      <c r="S8" s="63"/>
      <c r="T8" s="63"/>
      <c r="U8" s="63"/>
      <c r="V8" s="63"/>
      <c r="W8" s="63"/>
      <c r="X8" s="63"/>
      <c r="Y8" s="63"/>
      <c r="Z8" s="63"/>
      <c r="AA8" s="63"/>
      <c r="AB8" s="63"/>
      <c r="AC8" s="63"/>
      <c r="AD8" s="63"/>
      <c r="AE8" s="63"/>
      <c r="AF8" s="63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45" t="s">
        <v>37</v>
      </c>
      <c r="C10" s="50">
        <v>18</v>
      </c>
      <c r="D10" s="50">
        <v>6</v>
      </c>
      <c r="E10" s="50">
        <v>10</v>
      </c>
      <c r="F10" s="50">
        <v>42</v>
      </c>
      <c r="G10" s="50">
        <v>0</v>
      </c>
      <c r="H10" s="50">
        <v>0</v>
      </c>
      <c r="I10" s="50">
        <v>2</v>
      </c>
      <c r="J10" s="50">
        <v>0</v>
      </c>
      <c r="K10" s="50">
        <v>0</v>
      </c>
      <c r="L10" s="50">
        <v>0</v>
      </c>
      <c r="M10" s="50">
        <v>67</v>
      </c>
      <c r="N10" s="50">
        <v>0</v>
      </c>
      <c r="O10" s="15">
        <f t="shared" ref="O10:O57" si="0">SUM(C10:L10,N10)</f>
        <v>78</v>
      </c>
      <c r="P10" s="15">
        <f t="shared" ref="P10:P57" si="1">SUM(C10:N10)</f>
        <v>145</v>
      </c>
      <c r="R10" s="1" t="s">
        <v>6</v>
      </c>
      <c r="S10" s="17">
        <f t="shared" ref="S10:AF10" si="2">SUM(C10:C13)</f>
        <v>153</v>
      </c>
      <c r="T10" s="17">
        <f t="shared" si="2"/>
        <v>24</v>
      </c>
      <c r="U10" s="17">
        <f t="shared" si="2"/>
        <v>24</v>
      </c>
      <c r="V10" s="17">
        <f t="shared" si="2"/>
        <v>264</v>
      </c>
      <c r="W10" s="17">
        <f t="shared" si="2"/>
        <v>3</v>
      </c>
      <c r="X10" s="17">
        <f t="shared" si="2"/>
        <v>1</v>
      </c>
      <c r="Y10" s="17">
        <f t="shared" si="2"/>
        <v>12</v>
      </c>
      <c r="Z10" s="17">
        <f t="shared" si="2"/>
        <v>9</v>
      </c>
      <c r="AA10" s="17">
        <f t="shared" si="2"/>
        <v>2</v>
      </c>
      <c r="AB10" s="17">
        <f t="shared" si="2"/>
        <v>0</v>
      </c>
      <c r="AC10" s="17">
        <f t="shared" si="2"/>
        <v>412</v>
      </c>
      <c r="AD10" s="17">
        <f t="shared" si="2"/>
        <v>0</v>
      </c>
      <c r="AE10" s="31">
        <f t="shared" si="2"/>
        <v>492</v>
      </c>
      <c r="AF10" s="31">
        <f t="shared" si="2"/>
        <v>904</v>
      </c>
    </row>
    <row r="11" spans="2:32" s="6" customFormat="1" ht="23.1" customHeight="1" x14ac:dyDescent="0.25">
      <c r="B11" s="45" t="s">
        <v>38</v>
      </c>
      <c r="C11" s="50">
        <v>38</v>
      </c>
      <c r="D11" s="50">
        <v>3</v>
      </c>
      <c r="E11" s="50">
        <v>4</v>
      </c>
      <c r="F11" s="50">
        <v>53</v>
      </c>
      <c r="G11" s="50">
        <v>0</v>
      </c>
      <c r="H11" s="50">
        <v>0</v>
      </c>
      <c r="I11" s="50">
        <v>4</v>
      </c>
      <c r="J11" s="50">
        <v>6</v>
      </c>
      <c r="K11" s="50">
        <v>0</v>
      </c>
      <c r="L11" s="50">
        <v>0</v>
      </c>
      <c r="M11" s="50">
        <v>95</v>
      </c>
      <c r="N11" s="50">
        <v>0</v>
      </c>
      <c r="O11" s="15">
        <f t="shared" si="0"/>
        <v>108</v>
      </c>
      <c r="P11" s="15">
        <f t="shared" si="1"/>
        <v>203</v>
      </c>
      <c r="R11" s="1" t="s">
        <v>7</v>
      </c>
      <c r="S11" s="17">
        <f t="shared" ref="S11:AF11" si="3">SUM(C14:C17)</f>
        <v>43</v>
      </c>
      <c r="T11" s="17">
        <f t="shared" si="3"/>
        <v>8</v>
      </c>
      <c r="U11" s="17">
        <f t="shared" si="3"/>
        <v>6</v>
      </c>
      <c r="V11" s="17">
        <f t="shared" si="3"/>
        <v>58</v>
      </c>
      <c r="W11" s="17">
        <f t="shared" si="3"/>
        <v>2</v>
      </c>
      <c r="X11" s="17">
        <f t="shared" si="3"/>
        <v>12</v>
      </c>
      <c r="Y11" s="17">
        <f t="shared" si="3"/>
        <v>2</v>
      </c>
      <c r="Z11" s="17">
        <f t="shared" si="3"/>
        <v>3</v>
      </c>
      <c r="AA11" s="17">
        <f t="shared" si="3"/>
        <v>1</v>
      </c>
      <c r="AB11" s="17">
        <f t="shared" si="3"/>
        <v>3</v>
      </c>
      <c r="AC11" s="17">
        <f t="shared" si="3"/>
        <v>200</v>
      </c>
      <c r="AD11" s="17">
        <f t="shared" si="3"/>
        <v>0</v>
      </c>
      <c r="AE11" s="31">
        <f t="shared" si="3"/>
        <v>138</v>
      </c>
      <c r="AF11" s="31">
        <f t="shared" si="3"/>
        <v>338</v>
      </c>
    </row>
    <row r="12" spans="2:32" ht="23.1" customHeight="1" x14ac:dyDescent="0.25">
      <c r="B12" s="45" t="s">
        <v>39</v>
      </c>
      <c r="C12" s="50">
        <v>38</v>
      </c>
      <c r="D12" s="50">
        <v>6</v>
      </c>
      <c r="E12" s="50">
        <v>4</v>
      </c>
      <c r="F12" s="50">
        <v>78</v>
      </c>
      <c r="G12" s="50">
        <v>1</v>
      </c>
      <c r="H12" s="50">
        <v>0</v>
      </c>
      <c r="I12" s="50">
        <v>2</v>
      </c>
      <c r="J12" s="50">
        <v>2</v>
      </c>
      <c r="K12" s="50">
        <v>1</v>
      </c>
      <c r="L12" s="50">
        <v>0</v>
      </c>
      <c r="M12" s="50">
        <v>115</v>
      </c>
      <c r="N12" s="50">
        <v>0</v>
      </c>
      <c r="O12" s="15">
        <f t="shared" si="0"/>
        <v>132</v>
      </c>
      <c r="P12" s="15">
        <f t="shared" si="1"/>
        <v>247</v>
      </c>
      <c r="R12" s="1" t="s">
        <v>8</v>
      </c>
      <c r="S12" s="17">
        <f t="shared" ref="S12:AF12" si="4">SUM(C18:C21)</f>
        <v>32</v>
      </c>
      <c r="T12" s="17">
        <f t="shared" si="4"/>
        <v>2</v>
      </c>
      <c r="U12" s="17">
        <f t="shared" si="4"/>
        <v>4</v>
      </c>
      <c r="V12" s="17">
        <f t="shared" si="4"/>
        <v>36</v>
      </c>
      <c r="W12" s="17">
        <f t="shared" si="4"/>
        <v>0</v>
      </c>
      <c r="X12" s="17">
        <f t="shared" si="4"/>
        <v>2</v>
      </c>
      <c r="Y12" s="17">
        <f t="shared" si="4"/>
        <v>18</v>
      </c>
      <c r="Z12" s="17">
        <f t="shared" si="4"/>
        <v>8</v>
      </c>
      <c r="AA12" s="17">
        <f t="shared" si="4"/>
        <v>2</v>
      </c>
      <c r="AB12" s="17">
        <f t="shared" si="4"/>
        <v>1</v>
      </c>
      <c r="AC12" s="17">
        <f t="shared" si="4"/>
        <v>131</v>
      </c>
      <c r="AD12" s="17">
        <f t="shared" si="4"/>
        <v>0</v>
      </c>
      <c r="AE12" s="31">
        <f t="shared" si="4"/>
        <v>105</v>
      </c>
      <c r="AF12" s="31">
        <f t="shared" si="4"/>
        <v>236</v>
      </c>
    </row>
    <row r="13" spans="2:32" ht="23.1" customHeight="1" x14ac:dyDescent="0.25">
      <c r="B13" s="45" t="s">
        <v>40</v>
      </c>
      <c r="C13" s="50">
        <v>59</v>
      </c>
      <c r="D13" s="50">
        <v>9</v>
      </c>
      <c r="E13" s="50">
        <v>6</v>
      </c>
      <c r="F13" s="50">
        <v>91</v>
      </c>
      <c r="G13" s="50">
        <v>2</v>
      </c>
      <c r="H13" s="50">
        <v>1</v>
      </c>
      <c r="I13" s="50">
        <v>4</v>
      </c>
      <c r="J13" s="50">
        <v>1</v>
      </c>
      <c r="K13" s="50">
        <v>1</v>
      </c>
      <c r="L13" s="50">
        <v>0</v>
      </c>
      <c r="M13" s="50">
        <v>135</v>
      </c>
      <c r="N13" s="50">
        <v>0</v>
      </c>
      <c r="O13" s="15">
        <f t="shared" si="0"/>
        <v>174</v>
      </c>
      <c r="P13" s="15">
        <f t="shared" si="1"/>
        <v>309</v>
      </c>
      <c r="R13" s="1" t="s">
        <v>9</v>
      </c>
      <c r="S13" s="17">
        <f t="shared" ref="S13:AF13" si="5">SUM(C22:C25)</f>
        <v>17</v>
      </c>
      <c r="T13" s="17">
        <f t="shared" si="5"/>
        <v>2</v>
      </c>
      <c r="U13" s="17">
        <f t="shared" si="5"/>
        <v>6</v>
      </c>
      <c r="V13" s="17">
        <f t="shared" si="5"/>
        <v>4</v>
      </c>
      <c r="W13" s="17">
        <f t="shared" si="5"/>
        <v>0</v>
      </c>
      <c r="X13" s="17">
        <f t="shared" si="5"/>
        <v>3</v>
      </c>
      <c r="Y13" s="17">
        <f t="shared" si="5"/>
        <v>6</v>
      </c>
      <c r="Z13" s="17">
        <f t="shared" si="5"/>
        <v>0</v>
      </c>
      <c r="AA13" s="17">
        <f t="shared" si="5"/>
        <v>1</v>
      </c>
      <c r="AB13" s="17">
        <f t="shared" si="5"/>
        <v>0</v>
      </c>
      <c r="AC13" s="17">
        <f t="shared" si="5"/>
        <v>62</v>
      </c>
      <c r="AD13" s="17">
        <f t="shared" si="5"/>
        <v>0</v>
      </c>
      <c r="AE13" s="31">
        <f t="shared" si="5"/>
        <v>39</v>
      </c>
      <c r="AF13" s="31">
        <f t="shared" si="5"/>
        <v>101</v>
      </c>
    </row>
    <row r="14" spans="2:32" ht="23.1" customHeight="1" x14ac:dyDescent="0.25">
      <c r="B14" s="45" t="s">
        <v>41</v>
      </c>
      <c r="C14" s="50">
        <v>9</v>
      </c>
      <c r="D14" s="50">
        <v>0</v>
      </c>
      <c r="E14" s="50">
        <v>2</v>
      </c>
      <c r="F14" s="50">
        <v>22</v>
      </c>
      <c r="G14" s="50">
        <v>0</v>
      </c>
      <c r="H14" s="50">
        <v>8</v>
      </c>
      <c r="I14" s="50">
        <v>2</v>
      </c>
      <c r="J14" s="50">
        <v>1</v>
      </c>
      <c r="K14" s="50">
        <v>0</v>
      </c>
      <c r="L14" s="50">
        <v>3</v>
      </c>
      <c r="M14" s="50">
        <v>35</v>
      </c>
      <c r="N14" s="50">
        <v>0</v>
      </c>
      <c r="O14" s="15">
        <f t="shared" si="0"/>
        <v>47</v>
      </c>
      <c r="P14" s="15">
        <f t="shared" si="1"/>
        <v>82</v>
      </c>
      <c r="R14" s="1" t="s">
        <v>10</v>
      </c>
      <c r="S14" s="17">
        <f t="shared" ref="S14:AF14" si="6">SUM(C26:C29)</f>
        <v>17</v>
      </c>
      <c r="T14" s="17">
        <f t="shared" si="6"/>
        <v>3</v>
      </c>
      <c r="U14" s="17">
        <f t="shared" si="6"/>
        <v>4</v>
      </c>
      <c r="V14" s="17">
        <f t="shared" si="6"/>
        <v>5</v>
      </c>
      <c r="W14" s="17">
        <f t="shared" si="6"/>
        <v>0</v>
      </c>
      <c r="X14" s="17">
        <f t="shared" si="6"/>
        <v>2</v>
      </c>
      <c r="Y14" s="17">
        <f t="shared" si="6"/>
        <v>6</v>
      </c>
      <c r="Z14" s="17">
        <f t="shared" si="6"/>
        <v>3</v>
      </c>
      <c r="AA14" s="17">
        <f t="shared" si="6"/>
        <v>0</v>
      </c>
      <c r="AB14" s="17">
        <f t="shared" si="6"/>
        <v>0</v>
      </c>
      <c r="AC14" s="17">
        <f t="shared" si="6"/>
        <v>89</v>
      </c>
      <c r="AD14" s="17">
        <f t="shared" si="6"/>
        <v>0</v>
      </c>
      <c r="AE14" s="31">
        <f t="shared" si="6"/>
        <v>40</v>
      </c>
      <c r="AF14" s="31">
        <f t="shared" si="6"/>
        <v>129</v>
      </c>
    </row>
    <row r="15" spans="2:32" ht="23.1" customHeight="1" x14ac:dyDescent="0.25">
      <c r="B15" s="45" t="s">
        <v>42</v>
      </c>
      <c r="C15" s="50">
        <v>15</v>
      </c>
      <c r="D15" s="50">
        <v>2</v>
      </c>
      <c r="E15" s="50">
        <v>1</v>
      </c>
      <c r="F15" s="50">
        <v>20</v>
      </c>
      <c r="G15" s="50">
        <v>0</v>
      </c>
      <c r="H15" s="50">
        <v>2</v>
      </c>
      <c r="I15" s="50">
        <v>0</v>
      </c>
      <c r="J15" s="50">
        <v>1</v>
      </c>
      <c r="K15" s="50">
        <v>0</v>
      </c>
      <c r="L15" s="50">
        <v>0</v>
      </c>
      <c r="M15" s="50">
        <v>56</v>
      </c>
      <c r="N15" s="50">
        <v>0</v>
      </c>
      <c r="O15" s="15">
        <f t="shared" si="0"/>
        <v>41</v>
      </c>
      <c r="P15" s="15">
        <f t="shared" si="1"/>
        <v>97</v>
      </c>
      <c r="R15" s="1" t="s">
        <v>11</v>
      </c>
      <c r="S15" s="17">
        <f t="shared" ref="S15:AF15" si="7">SUM(C30:C33)</f>
        <v>33</v>
      </c>
      <c r="T15" s="17">
        <f t="shared" si="7"/>
        <v>5</v>
      </c>
      <c r="U15" s="17">
        <f t="shared" si="7"/>
        <v>5</v>
      </c>
      <c r="V15" s="17">
        <f t="shared" si="7"/>
        <v>17</v>
      </c>
      <c r="W15" s="17">
        <f t="shared" si="7"/>
        <v>0</v>
      </c>
      <c r="X15" s="17">
        <f t="shared" si="7"/>
        <v>1</v>
      </c>
      <c r="Y15" s="17">
        <f t="shared" si="7"/>
        <v>1</v>
      </c>
      <c r="Z15" s="17">
        <f t="shared" si="7"/>
        <v>0</v>
      </c>
      <c r="AA15" s="17">
        <f t="shared" si="7"/>
        <v>0</v>
      </c>
      <c r="AB15" s="17">
        <f t="shared" si="7"/>
        <v>3</v>
      </c>
      <c r="AC15" s="17">
        <f t="shared" si="7"/>
        <v>134</v>
      </c>
      <c r="AD15" s="17">
        <f t="shared" si="7"/>
        <v>0</v>
      </c>
      <c r="AE15" s="31">
        <f t="shared" si="7"/>
        <v>65</v>
      </c>
      <c r="AF15" s="31">
        <f t="shared" si="7"/>
        <v>199</v>
      </c>
    </row>
    <row r="16" spans="2:32" ht="23.1" customHeight="1" x14ac:dyDescent="0.25">
      <c r="B16" s="45" t="s">
        <v>43</v>
      </c>
      <c r="C16" s="50">
        <v>8</v>
      </c>
      <c r="D16" s="50">
        <v>2</v>
      </c>
      <c r="E16" s="50">
        <v>1</v>
      </c>
      <c r="F16" s="50">
        <v>8</v>
      </c>
      <c r="G16" s="50">
        <v>1</v>
      </c>
      <c r="H16" s="50">
        <v>1</v>
      </c>
      <c r="I16" s="50"/>
      <c r="J16" s="50">
        <v>1</v>
      </c>
      <c r="K16" s="50">
        <v>0</v>
      </c>
      <c r="L16" s="50">
        <v>0</v>
      </c>
      <c r="M16" s="50">
        <v>43</v>
      </c>
      <c r="N16" s="50">
        <v>0</v>
      </c>
      <c r="O16" s="15">
        <f t="shared" si="0"/>
        <v>22</v>
      </c>
      <c r="P16" s="15">
        <f t="shared" si="1"/>
        <v>65</v>
      </c>
      <c r="R16" s="1" t="s">
        <v>12</v>
      </c>
      <c r="S16" s="17">
        <f t="shared" ref="S16:AF16" si="8">SUM(C34:C37)</f>
        <v>37</v>
      </c>
      <c r="T16" s="17">
        <f t="shared" si="8"/>
        <v>14</v>
      </c>
      <c r="U16" s="17">
        <f t="shared" si="8"/>
        <v>6</v>
      </c>
      <c r="V16" s="17">
        <f t="shared" si="8"/>
        <v>16</v>
      </c>
      <c r="W16" s="17">
        <f t="shared" si="8"/>
        <v>0</v>
      </c>
      <c r="X16" s="17">
        <f t="shared" si="8"/>
        <v>1</v>
      </c>
      <c r="Y16" s="17">
        <f t="shared" si="8"/>
        <v>7</v>
      </c>
      <c r="Z16" s="17">
        <f t="shared" si="8"/>
        <v>2</v>
      </c>
      <c r="AA16" s="17">
        <f t="shared" si="8"/>
        <v>0</v>
      </c>
      <c r="AB16" s="17">
        <f t="shared" si="8"/>
        <v>0</v>
      </c>
      <c r="AC16" s="17">
        <f t="shared" si="8"/>
        <v>264</v>
      </c>
      <c r="AD16" s="17">
        <f t="shared" si="8"/>
        <v>0</v>
      </c>
      <c r="AE16" s="31">
        <f t="shared" si="8"/>
        <v>83</v>
      </c>
      <c r="AF16" s="31">
        <f t="shared" si="8"/>
        <v>280</v>
      </c>
    </row>
    <row r="17" spans="2:32" ht="23.1" customHeight="1" x14ac:dyDescent="0.25">
      <c r="B17" s="45" t="s">
        <v>44</v>
      </c>
      <c r="C17" s="50">
        <v>11</v>
      </c>
      <c r="D17" s="50">
        <v>4</v>
      </c>
      <c r="E17" s="50">
        <v>2</v>
      </c>
      <c r="F17" s="50">
        <v>8</v>
      </c>
      <c r="G17" s="50">
        <v>1</v>
      </c>
      <c r="H17" s="50">
        <v>1</v>
      </c>
      <c r="I17" s="50"/>
      <c r="J17" s="50">
        <v>0</v>
      </c>
      <c r="K17" s="50">
        <v>1</v>
      </c>
      <c r="L17" s="50">
        <v>0</v>
      </c>
      <c r="M17" s="50">
        <v>66</v>
      </c>
      <c r="N17" s="50">
        <v>0</v>
      </c>
      <c r="O17" s="15">
        <f t="shared" si="0"/>
        <v>28</v>
      </c>
      <c r="P17" s="15">
        <f t="shared" si="1"/>
        <v>94</v>
      </c>
      <c r="R17" s="1" t="s">
        <v>13</v>
      </c>
      <c r="S17" s="17">
        <f t="shared" ref="S17:AF17" si="9">SUM(C38:C41)</f>
        <v>110</v>
      </c>
      <c r="T17" s="17">
        <f t="shared" si="9"/>
        <v>7</v>
      </c>
      <c r="U17" s="17">
        <f t="shared" si="9"/>
        <v>8</v>
      </c>
      <c r="V17" s="17">
        <f t="shared" si="9"/>
        <v>23</v>
      </c>
      <c r="W17" s="17">
        <f t="shared" si="9"/>
        <v>9</v>
      </c>
      <c r="X17" s="17">
        <f t="shared" si="9"/>
        <v>3</v>
      </c>
      <c r="Y17" s="17">
        <f t="shared" si="9"/>
        <v>10</v>
      </c>
      <c r="Z17" s="17">
        <f t="shared" si="9"/>
        <v>4</v>
      </c>
      <c r="AA17" s="17">
        <f t="shared" si="9"/>
        <v>3</v>
      </c>
      <c r="AB17" s="17">
        <f t="shared" si="9"/>
        <v>3</v>
      </c>
      <c r="AC17" s="17">
        <f t="shared" si="9"/>
        <v>342</v>
      </c>
      <c r="AD17" s="17">
        <f t="shared" si="9"/>
        <v>0</v>
      </c>
      <c r="AE17" s="31">
        <f t="shared" si="9"/>
        <v>180</v>
      </c>
      <c r="AF17" s="31">
        <f t="shared" si="9"/>
        <v>522</v>
      </c>
    </row>
    <row r="18" spans="2:32" ht="23.1" customHeight="1" x14ac:dyDescent="0.25">
      <c r="B18" s="45" t="s">
        <v>45</v>
      </c>
      <c r="C18" s="50">
        <v>8</v>
      </c>
      <c r="D18" s="50">
        <v>0</v>
      </c>
      <c r="E18" s="50">
        <v>0</v>
      </c>
      <c r="F18" s="50">
        <v>8</v>
      </c>
      <c r="G18" s="50">
        <v>0</v>
      </c>
      <c r="H18" s="50">
        <v>0</v>
      </c>
      <c r="I18" s="50">
        <v>3</v>
      </c>
      <c r="J18" s="50">
        <v>3</v>
      </c>
      <c r="K18" s="50">
        <v>0</v>
      </c>
      <c r="L18" s="50">
        <v>0</v>
      </c>
      <c r="M18" s="50">
        <v>22</v>
      </c>
      <c r="N18" s="50">
        <v>0</v>
      </c>
      <c r="O18" s="15">
        <f t="shared" si="0"/>
        <v>22</v>
      </c>
      <c r="P18" s="15">
        <f t="shared" si="1"/>
        <v>44</v>
      </c>
      <c r="R18" s="1" t="s">
        <v>14</v>
      </c>
      <c r="S18" s="17">
        <f t="shared" ref="S18:AF18" si="10">SUM(C42:C45)</f>
        <v>92</v>
      </c>
      <c r="T18" s="17">
        <f t="shared" si="10"/>
        <v>16</v>
      </c>
      <c r="U18" s="17">
        <f t="shared" si="10"/>
        <v>22</v>
      </c>
      <c r="V18" s="17">
        <f t="shared" si="10"/>
        <v>47</v>
      </c>
      <c r="W18" s="17">
        <f t="shared" si="10"/>
        <v>1</v>
      </c>
      <c r="X18" s="17">
        <f t="shared" si="10"/>
        <v>3</v>
      </c>
      <c r="Y18" s="17">
        <f t="shared" si="10"/>
        <v>10</v>
      </c>
      <c r="Z18" s="17">
        <f t="shared" si="10"/>
        <v>4</v>
      </c>
      <c r="AA18" s="17">
        <f t="shared" si="10"/>
        <v>0</v>
      </c>
      <c r="AB18" s="17">
        <f t="shared" si="10"/>
        <v>1</v>
      </c>
      <c r="AC18" s="17">
        <f t="shared" si="10"/>
        <v>401</v>
      </c>
      <c r="AD18" s="17">
        <f t="shared" si="10"/>
        <v>0</v>
      </c>
      <c r="AE18" s="31">
        <f t="shared" si="10"/>
        <v>196</v>
      </c>
      <c r="AF18" s="31">
        <f t="shared" si="10"/>
        <v>597</v>
      </c>
    </row>
    <row r="19" spans="2:32" ht="23.1" customHeight="1" x14ac:dyDescent="0.25">
      <c r="B19" s="45" t="s">
        <v>46</v>
      </c>
      <c r="C19" s="50">
        <v>6</v>
      </c>
      <c r="D19" s="50">
        <v>1</v>
      </c>
      <c r="E19" s="50">
        <v>2</v>
      </c>
      <c r="F19" s="50">
        <v>7</v>
      </c>
      <c r="G19" s="50">
        <v>0</v>
      </c>
      <c r="H19" s="50">
        <v>0</v>
      </c>
      <c r="I19" s="50">
        <v>3</v>
      </c>
      <c r="J19" s="50">
        <v>1</v>
      </c>
      <c r="K19" s="50">
        <v>1</v>
      </c>
      <c r="L19" s="50">
        <v>0</v>
      </c>
      <c r="M19" s="50">
        <v>28</v>
      </c>
      <c r="N19" s="50">
        <v>0</v>
      </c>
      <c r="O19" s="15">
        <f t="shared" si="0"/>
        <v>21</v>
      </c>
      <c r="P19" s="15">
        <f t="shared" si="1"/>
        <v>49</v>
      </c>
      <c r="R19" s="1" t="s">
        <v>15</v>
      </c>
      <c r="S19" s="17">
        <f t="shared" ref="S19:AF19" si="11">SUM(C46:C49)</f>
        <v>120</v>
      </c>
      <c r="T19" s="17">
        <f t="shared" si="11"/>
        <v>26</v>
      </c>
      <c r="U19" s="17">
        <f t="shared" si="11"/>
        <v>19</v>
      </c>
      <c r="V19" s="17">
        <f t="shared" si="11"/>
        <v>84</v>
      </c>
      <c r="W19" s="17">
        <f t="shared" si="11"/>
        <v>5</v>
      </c>
      <c r="X19" s="17">
        <f t="shared" si="11"/>
        <v>5</v>
      </c>
      <c r="Y19" s="17">
        <f t="shared" si="11"/>
        <v>6</v>
      </c>
      <c r="Z19" s="17">
        <f t="shared" si="11"/>
        <v>7</v>
      </c>
      <c r="AA19" s="17">
        <f t="shared" si="11"/>
        <v>1</v>
      </c>
      <c r="AB19" s="17">
        <f t="shared" si="11"/>
        <v>2</v>
      </c>
      <c r="AC19" s="17">
        <f t="shared" si="11"/>
        <v>425</v>
      </c>
      <c r="AD19" s="17">
        <f t="shared" si="11"/>
        <v>0</v>
      </c>
      <c r="AE19" s="31">
        <f t="shared" si="11"/>
        <v>275</v>
      </c>
      <c r="AF19" s="31">
        <f t="shared" si="11"/>
        <v>700</v>
      </c>
    </row>
    <row r="20" spans="2:32" ht="23.1" customHeight="1" x14ac:dyDescent="0.25">
      <c r="B20" s="45" t="s">
        <v>47</v>
      </c>
      <c r="C20" s="50">
        <v>8</v>
      </c>
      <c r="D20" s="50">
        <v>1</v>
      </c>
      <c r="E20" s="50">
        <v>1</v>
      </c>
      <c r="F20" s="50">
        <v>11</v>
      </c>
      <c r="G20" s="50">
        <v>0</v>
      </c>
      <c r="H20" s="50">
        <v>0</v>
      </c>
      <c r="I20" s="50">
        <v>11</v>
      </c>
      <c r="J20" s="50">
        <v>3</v>
      </c>
      <c r="K20" s="50">
        <v>1</v>
      </c>
      <c r="L20" s="50">
        <v>1</v>
      </c>
      <c r="M20" s="50">
        <v>48</v>
      </c>
      <c r="N20" s="50">
        <v>0</v>
      </c>
      <c r="O20" s="15">
        <f t="shared" si="0"/>
        <v>37</v>
      </c>
      <c r="P20" s="15">
        <f t="shared" si="1"/>
        <v>85</v>
      </c>
      <c r="R20" s="1" t="s">
        <v>16</v>
      </c>
      <c r="S20" s="17">
        <f t="shared" ref="S20:AF20" si="12">SUM(C50:C53)</f>
        <v>113</v>
      </c>
      <c r="T20" s="17">
        <f t="shared" si="12"/>
        <v>29</v>
      </c>
      <c r="U20" s="17">
        <f t="shared" si="12"/>
        <v>30</v>
      </c>
      <c r="V20" s="17">
        <f t="shared" si="12"/>
        <v>180</v>
      </c>
      <c r="W20" s="17">
        <f t="shared" si="12"/>
        <v>3</v>
      </c>
      <c r="X20" s="17">
        <f t="shared" si="12"/>
        <v>8</v>
      </c>
      <c r="Y20" s="17">
        <f t="shared" si="12"/>
        <v>10</v>
      </c>
      <c r="Z20" s="17">
        <f t="shared" si="12"/>
        <v>6</v>
      </c>
      <c r="AA20" s="17">
        <f t="shared" si="12"/>
        <v>0</v>
      </c>
      <c r="AB20" s="17">
        <f t="shared" si="12"/>
        <v>1</v>
      </c>
      <c r="AC20" s="17">
        <f t="shared" si="12"/>
        <v>511</v>
      </c>
      <c r="AD20" s="17">
        <f t="shared" si="12"/>
        <v>0</v>
      </c>
      <c r="AE20" s="31">
        <f t="shared" si="12"/>
        <v>380</v>
      </c>
      <c r="AF20" s="31">
        <f t="shared" si="12"/>
        <v>891</v>
      </c>
    </row>
    <row r="21" spans="2:32" ht="23.1" customHeight="1" x14ac:dyDescent="0.25">
      <c r="B21" s="45" t="s">
        <v>48</v>
      </c>
      <c r="C21" s="50">
        <v>10</v>
      </c>
      <c r="D21" s="50">
        <v>0</v>
      </c>
      <c r="E21" s="50">
        <v>1</v>
      </c>
      <c r="F21" s="50">
        <v>10</v>
      </c>
      <c r="G21" s="50">
        <v>0</v>
      </c>
      <c r="H21" s="50">
        <v>2</v>
      </c>
      <c r="I21" s="50">
        <v>1</v>
      </c>
      <c r="J21" s="50">
        <v>1</v>
      </c>
      <c r="K21" s="50">
        <v>0</v>
      </c>
      <c r="L21" s="50">
        <v>0</v>
      </c>
      <c r="M21" s="50">
        <v>33</v>
      </c>
      <c r="N21" s="50">
        <v>0</v>
      </c>
      <c r="O21" s="15">
        <f t="shared" si="0"/>
        <v>25</v>
      </c>
      <c r="P21" s="15">
        <f t="shared" si="1"/>
        <v>58</v>
      </c>
      <c r="R21" s="36" t="s">
        <v>20</v>
      </c>
      <c r="S21" s="34">
        <f t="shared" ref="S21:AF21" si="13">SUM(C54:C57)</f>
        <v>195</v>
      </c>
      <c r="T21" s="17">
        <f t="shared" si="13"/>
        <v>40</v>
      </c>
      <c r="U21" s="17">
        <f t="shared" si="13"/>
        <v>39</v>
      </c>
      <c r="V21" s="17">
        <f t="shared" si="13"/>
        <v>257</v>
      </c>
      <c r="W21" s="17">
        <f t="shared" si="13"/>
        <v>4</v>
      </c>
      <c r="X21" s="17">
        <f t="shared" si="13"/>
        <v>4</v>
      </c>
      <c r="Y21" s="17">
        <f t="shared" si="13"/>
        <v>18</v>
      </c>
      <c r="Z21" s="17">
        <f t="shared" si="13"/>
        <v>4</v>
      </c>
      <c r="AA21" s="17">
        <f t="shared" si="13"/>
        <v>0</v>
      </c>
      <c r="AB21" s="17">
        <f t="shared" si="13"/>
        <v>3</v>
      </c>
      <c r="AC21" s="17">
        <f t="shared" si="13"/>
        <v>425</v>
      </c>
      <c r="AD21" s="17">
        <f t="shared" si="13"/>
        <v>0</v>
      </c>
      <c r="AE21" s="31">
        <f t="shared" si="13"/>
        <v>564</v>
      </c>
      <c r="AF21" s="31">
        <f t="shared" si="13"/>
        <v>989</v>
      </c>
    </row>
    <row r="22" spans="2:32" ht="23.1" customHeight="1" x14ac:dyDescent="0.25">
      <c r="B22" s="45" t="s">
        <v>49</v>
      </c>
      <c r="C22" s="50">
        <v>4</v>
      </c>
      <c r="D22" s="50">
        <v>1</v>
      </c>
      <c r="E22" s="50">
        <v>3</v>
      </c>
      <c r="F22" s="50">
        <v>0</v>
      </c>
      <c r="G22" s="50">
        <v>0</v>
      </c>
      <c r="H22" s="50">
        <v>0</v>
      </c>
      <c r="I22" s="50">
        <v>3</v>
      </c>
      <c r="J22" s="50">
        <v>0</v>
      </c>
      <c r="K22" s="50">
        <v>0</v>
      </c>
      <c r="L22" s="50">
        <v>0</v>
      </c>
      <c r="M22" s="50">
        <v>9</v>
      </c>
      <c r="N22" s="50">
        <v>0</v>
      </c>
      <c r="O22" s="15">
        <f t="shared" si="0"/>
        <v>11</v>
      </c>
      <c r="P22" s="15">
        <f t="shared" si="1"/>
        <v>20</v>
      </c>
      <c r="R22" s="36" t="s">
        <v>146</v>
      </c>
      <c r="S22" s="34">
        <f>SUM(C58:C61)</f>
        <v>192</v>
      </c>
      <c r="T22" s="34">
        <f t="shared" ref="T22:AF22" si="14">SUM(D58:D61)</f>
        <v>45</v>
      </c>
      <c r="U22" s="34">
        <f t="shared" si="14"/>
        <v>36</v>
      </c>
      <c r="V22" s="34">
        <f t="shared" si="14"/>
        <v>171</v>
      </c>
      <c r="W22" s="34">
        <f t="shared" si="14"/>
        <v>1</v>
      </c>
      <c r="X22" s="34">
        <f t="shared" si="14"/>
        <v>2</v>
      </c>
      <c r="Y22" s="34">
        <f t="shared" si="14"/>
        <v>27</v>
      </c>
      <c r="Z22" s="34">
        <f t="shared" si="14"/>
        <v>8</v>
      </c>
      <c r="AA22" s="34">
        <f t="shared" si="14"/>
        <v>4</v>
      </c>
      <c r="AB22" s="34">
        <f t="shared" si="14"/>
        <v>5</v>
      </c>
      <c r="AC22" s="34">
        <f t="shared" si="14"/>
        <v>517</v>
      </c>
      <c r="AD22" s="34">
        <f t="shared" si="14"/>
        <v>0</v>
      </c>
      <c r="AE22" s="31">
        <f t="shared" si="14"/>
        <v>491</v>
      </c>
      <c r="AF22" s="31">
        <f t="shared" si="14"/>
        <v>1008</v>
      </c>
    </row>
    <row r="23" spans="2:32" ht="23.1" customHeight="1" x14ac:dyDescent="0.25">
      <c r="B23" s="45" t="s">
        <v>50</v>
      </c>
      <c r="C23" s="50">
        <v>6</v>
      </c>
      <c r="D23" s="50">
        <v>1</v>
      </c>
      <c r="E23" s="50">
        <v>1</v>
      </c>
      <c r="F23" s="50">
        <v>0</v>
      </c>
      <c r="G23" s="50">
        <v>0</v>
      </c>
      <c r="H23" s="50">
        <v>0</v>
      </c>
      <c r="I23" s="50">
        <v>1</v>
      </c>
      <c r="J23" s="50">
        <v>0</v>
      </c>
      <c r="K23" s="50">
        <v>0</v>
      </c>
      <c r="L23" s="50">
        <v>0</v>
      </c>
      <c r="M23" s="50">
        <v>14</v>
      </c>
      <c r="N23" s="50">
        <v>0</v>
      </c>
      <c r="O23" s="15">
        <f t="shared" si="0"/>
        <v>9</v>
      </c>
      <c r="P23" s="15">
        <f t="shared" si="1"/>
        <v>23</v>
      </c>
      <c r="R23" s="36" t="s">
        <v>147</v>
      </c>
      <c r="S23" s="34">
        <f>SUM(C62:C65)</f>
        <v>171</v>
      </c>
      <c r="T23" s="34">
        <f t="shared" ref="T23:AF23" si="15">SUM(D62:D65)</f>
        <v>62</v>
      </c>
      <c r="U23" s="34">
        <f t="shared" si="15"/>
        <v>31</v>
      </c>
      <c r="V23" s="34">
        <f t="shared" si="15"/>
        <v>147</v>
      </c>
      <c r="W23" s="34">
        <f t="shared" si="15"/>
        <v>2</v>
      </c>
      <c r="X23" s="34">
        <f t="shared" si="15"/>
        <v>4</v>
      </c>
      <c r="Y23" s="34">
        <f t="shared" si="15"/>
        <v>23</v>
      </c>
      <c r="Z23" s="34">
        <f t="shared" si="15"/>
        <v>11</v>
      </c>
      <c r="AA23" s="34">
        <f t="shared" si="15"/>
        <v>2</v>
      </c>
      <c r="AB23" s="34">
        <f t="shared" si="15"/>
        <v>0</v>
      </c>
      <c r="AC23" s="34">
        <f t="shared" si="15"/>
        <v>530</v>
      </c>
      <c r="AD23" s="34">
        <f t="shared" si="15"/>
        <v>0</v>
      </c>
      <c r="AE23" s="31">
        <f t="shared" si="15"/>
        <v>453</v>
      </c>
      <c r="AF23" s="31">
        <f t="shared" si="15"/>
        <v>983</v>
      </c>
    </row>
    <row r="24" spans="2:32" ht="23.1" customHeight="1" x14ac:dyDescent="0.25">
      <c r="B24" s="45" t="s">
        <v>51</v>
      </c>
      <c r="C24" s="50">
        <v>3</v>
      </c>
      <c r="D24" s="50">
        <v>0</v>
      </c>
      <c r="E24" s="50">
        <v>0</v>
      </c>
      <c r="F24" s="50">
        <v>3</v>
      </c>
      <c r="G24" s="50">
        <v>0</v>
      </c>
      <c r="H24" s="50">
        <v>3</v>
      </c>
      <c r="I24" s="50">
        <v>1</v>
      </c>
      <c r="J24" s="50">
        <v>0</v>
      </c>
      <c r="K24" s="50">
        <v>1</v>
      </c>
      <c r="L24" s="50">
        <v>0</v>
      </c>
      <c r="M24" s="50">
        <v>27</v>
      </c>
      <c r="N24" s="50">
        <v>0</v>
      </c>
      <c r="O24" s="15">
        <f t="shared" si="0"/>
        <v>11</v>
      </c>
      <c r="P24" s="15">
        <f t="shared" si="1"/>
        <v>38</v>
      </c>
      <c r="R24" s="36" t="s">
        <v>148</v>
      </c>
      <c r="S24" s="34">
        <f>SUM(C66:C69)</f>
        <v>239</v>
      </c>
      <c r="T24" s="34">
        <f t="shared" ref="T24:AF24" si="16">SUM(D66:D69)</f>
        <v>98</v>
      </c>
      <c r="U24" s="34">
        <f t="shared" si="16"/>
        <v>54</v>
      </c>
      <c r="V24" s="34">
        <f t="shared" si="16"/>
        <v>158</v>
      </c>
      <c r="W24" s="34">
        <f t="shared" si="16"/>
        <v>4</v>
      </c>
      <c r="X24" s="34">
        <f t="shared" si="16"/>
        <v>3</v>
      </c>
      <c r="Y24" s="34">
        <f t="shared" si="16"/>
        <v>37</v>
      </c>
      <c r="Z24" s="34">
        <f t="shared" si="16"/>
        <v>10</v>
      </c>
      <c r="AA24" s="34">
        <f t="shared" si="16"/>
        <v>9</v>
      </c>
      <c r="AB24" s="34">
        <f t="shared" si="16"/>
        <v>1</v>
      </c>
      <c r="AC24" s="34">
        <f t="shared" si="16"/>
        <v>563</v>
      </c>
      <c r="AD24" s="34">
        <f t="shared" si="16"/>
        <v>0</v>
      </c>
      <c r="AE24" s="31">
        <f t="shared" si="16"/>
        <v>613</v>
      </c>
      <c r="AF24" s="31">
        <f t="shared" si="16"/>
        <v>1176</v>
      </c>
    </row>
    <row r="25" spans="2:32" ht="23.1" customHeight="1" x14ac:dyDescent="0.25">
      <c r="B25" s="45" t="s">
        <v>52</v>
      </c>
      <c r="C25" s="50">
        <v>4</v>
      </c>
      <c r="D25" s="50">
        <v>0</v>
      </c>
      <c r="E25" s="50">
        <v>2</v>
      </c>
      <c r="F25" s="50">
        <v>1</v>
      </c>
      <c r="G25" s="50">
        <v>0</v>
      </c>
      <c r="H25" s="50">
        <v>0</v>
      </c>
      <c r="I25" s="50">
        <v>1</v>
      </c>
      <c r="J25" s="50">
        <v>0</v>
      </c>
      <c r="K25" s="50">
        <v>0</v>
      </c>
      <c r="L25" s="50">
        <v>0</v>
      </c>
      <c r="M25" s="50">
        <v>12</v>
      </c>
      <c r="N25" s="50">
        <v>0</v>
      </c>
      <c r="O25" s="15">
        <f t="shared" si="0"/>
        <v>8</v>
      </c>
      <c r="P25" s="15">
        <f t="shared" si="1"/>
        <v>20</v>
      </c>
      <c r="R25" s="36" t="s">
        <v>149</v>
      </c>
      <c r="S25" s="34">
        <f>SUM(C70:C73)</f>
        <v>242</v>
      </c>
      <c r="T25" s="34">
        <f t="shared" ref="T25:AF25" si="17">SUM(D70:D73)</f>
        <v>72</v>
      </c>
      <c r="U25" s="34">
        <f t="shared" si="17"/>
        <v>96</v>
      </c>
      <c r="V25" s="34">
        <f t="shared" si="17"/>
        <v>153</v>
      </c>
      <c r="W25" s="34">
        <f t="shared" si="17"/>
        <v>3</v>
      </c>
      <c r="X25" s="34">
        <f t="shared" si="17"/>
        <v>14</v>
      </c>
      <c r="Y25" s="34">
        <f t="shared" si="17"/>
        <v>36</v>
      </c>
      <c r="Z25" s="34">
        <f t="shared" si="17"/>
        <v>7</v>
      </c>
      <c r="AA25" s="34">
        <f t="shared" si="17"/>
        <v>4</v>
      </c>
      <c r="AB25" s="34">
        <f t="shared" si="17"/>
        <v>0</v>
      </c>
      <c r="AC25" s="34">
        <f t="shared" si="17"/>
        <v>544</v>
      </c>
      <c r="AD25" s="34">
        <f t="shared" si="17"/>
        <v>0</v>
      </c>
      <c r="AE25" s="31">
        <f t="shared" si="17"/>
        <v>627</v>
      </c>
      <c r="AF25" s="31">
        <f t="shared" si="17"/>
        <v>1171</v>
      </c>
    </row>
    <row r="26" spans="2:32" ht="23.1" customHeight="1" x14ac:dyDescent="0.25">
      <c r="B26" s="45" t="s">
        <v>53</v>
      </c>
      <c r="C26" s="50">
        <v>9</v>
      </c>
      <c r="D26" s="50">
        <v>0</v>
      </c>
      <c r="E26" s="50">
        <v>1</v>
      </c>
      <c r="F26" s="50">
        <v>2</v>
      </c>
      <c r="G26" s="50">
        <v>0</v>
      </c>
      <c r="H26" s="50">
        <v>1</v>
      </c>
      <c r="I26" s="50">
        <v>1</v>
      </c>
      <c r="J26" s="50">
        <v>2</v>
      </c>
      <c r="K26" s="50">
        <v>0</v>
      </c>
      <c r="L26" s="50">
        <v>0</v>
      </c>
      <c r="M26" s="50">
        <v>41</v>
      </c>
      <c r="N26" s="50">
        <v>0</v>
      </c>
      <c r="O26" s="15">
        <f t="shared" si="0"/>
        <v>16</v>
      </c>
      <c r="P26" s="15">
        <f t="shared" si="1"/>
        <v>57</v>
      </c>
      <c r="R26" s="36" t="s">
        <v>150</v>
      </c>
      <c r="S26" s="34">
        <f>SUM(C74:C77)</f>
        <v>244</v>
      </c>
      <c r="T26" s="34">
        <f t="shared" ref="T26:AF26" si="18">SUM(D74:D77)</f>
        <v>47</v>
      </c>
      <c r="U26" s="34">
        <f t="shared" si="18"/>
        <v>47</v>
      </c>
      <c r="V26" s="34">
        <f t="shared" si="18"/>
        <v>194</v>
      </c>
      <c r="W26" s="34">
        <f t="shared" si="18"/>
        <v>1</v>
      </c>
      <c r="X26" s="34">
        <f t="shared" si="18"/>
        <v>6</v>
      </c>
      <c r="Y26" s="34">
        <f t="shared" si="18"/>
        <v>34</v>
      </c>
      <c r="Z26" s="34">
        <f t="shared" si="18"/>
        <v>6</v>
      </c>
      <c r="AA26" s="34">
        <f t="shared" si="18"/>
        <v>3</v>
      </c>
      <c r="AB26" s="34">
        <f t="shared" si="18"/>
        <v>0</v>
      </c>
      <c r="AC26" s="34">
        <f t="shared" si="18"/>
        <v>435</v>
      </c>
      <c r="AD26" s="34">
        <f t="shared" si="18"/>
        <v>0</v>
      </c>
      <c r="AE26" s="31">
        <f t="shared" si="18"/>
        <v>582</v>
      </c>
      <c r="AF26" s="31">
        <f t="shared" si="18"/>
        <v>1017</v>
      </c>
    </row>
    <row r="27" spans="2:32" ht="23.1" customHeight="1" x14ac:dyDescent="0.25">
      <c r="B27" s="45" t="s">
        <v>54</v>
      </c>
      <c r="C27" s="50">
        <v>2</v>
      </c>
      <c r="D27" s="50">
        <v>1</v>
      </c>
      <c r="E27" s="50">
        <v>1</v>
      </c>
      <c r="F27" s="50">
        <v>1</v>
      </c>
      <c r="G27" s="50">
        <v>0</v>
      </c>
      <c r="H27" s="50">
        <v>0</v>
      </c>
      <c r="I27" s="50">
        <v>1</v>
      </c>
      <c r="J27" s="50">
        <v>0</v>
      </c>
      <c r="K27" s="50">
        <v>0</v>
      </c>
      <c r="L27" s="50">
        <v>0</v>
      </c>
      <c r="M27" s="50">
        <v>22</v>
      </c>
      <c r="N27" s="50">
        <v>0</v>
      </c>
      <c r="O27" s="15">
        <f t="shared" si="0"/>
        <v>6</v>
      </c>
      <c r="P27" s="15">
        <f t="shared" si="1"/>
        <v>28</v>
      </c>
      <c r="R27" s="36" t="s">
        <v>151</v>
      </c>
      <c r="S27" s="34">
        <f>SUM(C78:C81)</f>
        <v>225</v>
      </c>
      <c r="T27" s="34">
        <f t="shared" ref="T27:AF27" si="19">SUM(D78:D81)</f>
        <v>49</v>
      </c>
      <c r="U27" s="34">
        <f t="shared" si="19"/>
        <v>51</v>
      </c>
      <c r="V27" s="34">
        <f t="shared" si="19"/>
        <v>184</v>
      </c>
      <c r="W27" s="34">
        <f t="shared" si="19"/>
        <v>2</v>
      </c>
      <c r="X27" s="34">
        <f t="shared" si="19"/>
        <v>3</v>
      </c>
      <c r="Y27" s="34">
        <f t="shared" si="19"/>
        <v>34</v>
      </c>
      <c r="Z27" s="34">
        <f t="shared" si="19"/>
        <v>9</v>
      </c>
      <c r="AA27" s="34">
        <f t="shared" si="19"/>
        <v>3</v>
      </c>
      <c r="AB27" s="34">
        <f t="shared" si="19"/>
        <v>4</v>
      </c>
      <c r="AC27" s="34">
        <f t="shared" si="19"/>
        <v>650</v>
      </c>
      <c r="AD27" s="34">
        <f t="shared" si="19"/>
        <v>0</v>
      </c>
      <c r="AE27" s="31">
        <f t="shared" si="19"/>
        <v>564</v>
      </c>
      <c r="AF27" s="31">
        <f t="shared" si="19"/>
        <v>1214</v>
      </c>
    </row>
    <row r="28" spans="2:32" ht="23.1" customHeight="1" x14ac:dyDescent="0.25">
      <c r="B28" s="45" t="s">
        <v>55</v>
      </c>
      <c r="C28" s="50">
        <v>3</v>
      </c>
      <c r="D28" s="50">
        <v>1</v>
      </c>
      <c r="E28" s="50">
        <v>1</v>
      </c>
      <c r="F28" s="50">
        <v>2</v>
      </c>
      <c r="G28" s="50">
        <v>0</v>
      </c>
      <c r="H28" s="50">
        <v>1</v>
      </c>
      <c r="I28" s="50">
        <v>3</v>
      </c>
      <c r="J28" s="50">
        <v>0</v>
      </c>
      <c r="K28" s="50">
        <v>0</v>
      </c>
      <c r="L28" s="50">
        <v>0</v>
      </c>
      <c r="M28" s="50">
        <v>12</v>
      </c>
      <c r="N28" s="50">
        <v>0</v>
      </c>
      <c r="O28" s="15">
        <f t="shared" si="0"/>
        <v>11</v>
      </c>
      <c r="P28" s="15">
        <f t="shared" si="1"/>
        <v>23</v>
      </c>
      <c r="R28" s="36" t="s">
        <v>152</v>
      </c>
      <c r="S28" s="34">
        <f>SUM(C82:C85)</f>
        <v>280</v>
      </c>
      <c r="T28" s="34">
        <f t="shared" ref="T28:AF28" si="20">SUM(D82:D85)</f>
        <v>69</v>
      </c>
      <c r="U28" s="34">
        <f t="shared" si="20"/>
        <v>60</v>
      </c>
      <c r="V28" s="34">
        <f t="shared" si="20"/>
        <v>215</v>
      </c>
      <c r="W28" s="34">
        <f t="shared" si="20"/>
        <v>4</v>
      </c>
      <c r="X28" s="34">
        <f t="shared" si="20"/>
        <v>4</v>
      </c>
      <c r="Y28" s="34">
        <f t="shared" si="20"/>
        <v>29</v>
      </c>
      <c r="Z28" s="34">
        <f t="shared" si="20"/>
        <v>8</v>
      </c>
      <c r="AA28" s="34">
        <f t="shared" si="20"/>
        <v>9</v>
      </c>
      <c r="AB28" s="34">
        <f t="shared" si="20"/>
        <v>5</v>
      </c>
      <c r="AC28" s="34">
        <f t="shared" si="20"/>
        <v>638</v>
      </c>
      <c r="AD28" s="34">
        <f t="shared" si="20"/>
        <v>0</v>
      </c>
      <c r="AE28" s="31">
        <f t="shared" si="20"/>
        <v>683</v>
      </c>
      <c r="AF28" s="31">
        <f t="shared" si="20"/>
        <v>1321</v>
      </c>
    </row>
    <row r="29" spans="2:32" ht="23.1" customHeight="1" x14ac:dyDescent="0.25">
      <c r="B29" s="45" t="s">
        <v>56</v>
      </c>
      <c r="C29" s="50">
        <v>3</v>
      </c>
      <c r="D29" s="50">
        <v>1</v>
      </c>
      <c r="E29" s="50">
        <v>1</v>
      </c>
      <c r="F29" s="50">
        <v>0</v>
      </c>
      <c r="G29" s="50">
        <v>0</v>
      </c>
      <c r="H29" s="50">
        <v>0</v>
      </c>
      <c r="I29" s="50">
        <v>1</v>
      </c>
      <c r="J29" s="50">
        <v>1</v>
      </c>
      <c r="K29" s="50">
        <v>0</v>
      </c>
      <c r="L29" s="50">
        <v>0</v>
      </c>
      <c r="M29" s="50">
        <v>14</v>
      </c>
      <c r="N29" s="50">
        <v>0</v>
      </c>
      <c r="O29" s="15">
        <f t="shared" si="0"/>
        <v>7</v>
      </c>
      <c r="P29" s="15">
        <f t="shared" si="1"/>
        <v>21</v>
      </c>
      <c r="R29" s="36" t="s">
        <v>153</v>
      </c>
      <c r="S29" s="34">
        <f>SUM(C86:C89)</f>
        <v>274</v>
      </c>
      <c r="T29" s="34">
        <f t="shared" ref="T29:AF29" si="21">SUM(D86:D89)</f>
        <v>67</v>
      </c>
      <c r="U29" s="34">
        <f t="shared" si="21"/>
        <v>41</v>
      </c>
      <c r="V29" s="34">
        <f t="shared" si="21"/>
        <v>170</v>
      </c>
      <c r="W29" s="34">
        <f t="shared" si="21"/>
        <v>0</v>
      </c>
      <c r="X29" s="34">
        <f t="shared" si="21"/>
        <v>3</v>
      </c>
      <c r="Y29" s="34">
        <f t="shared" si="21"/>
        <v>25</v>
      </c>
      <c r="Z29" s="34">
        <f t="shared" si="21"/>
        <v>5</v>
      </c>
      <c r="AA29" s="34">
        <f t="shared" si="21"/>
        <v>13</v>
      </c>
      <c r="AB29" s="34">
        <f t="shared" si="21"/>
        <v>0</v>
      </c>
      <c r="AC29" s="34">
        <f t="shared" si="21"/>
        <v>624</v>
      </c>
      <c r="AD29" s="34">
        <f t="shared" si="21"/>
        <v>0</v>
      </c>
      <c r="AE29" s="31">
        <f t="shared" si="21"/>
        <v>598</v>
      </c>
      <c r="AF29" s="31">
        <f t="shared" si="21"/>
        <v>1222</v>
      </c>
    </row>
    <row r="30" spans="2:32" ht="23.1" customHeight="1" x14ac:dyDescent="0.25">
      <c r="B30" s="45" t="s">
        <v>57</v>
      </c>
      <c r="C30" s="50">
        <v>10</v>
      </c>
      <c r="D30" s="50">
        <v>0</v>
      </c>
      <c r="E30" s="50">
        <v>3</v>
      </c>
      <c r="F30" s="50">
        <v>2</v>
      </c>
      <c r="G30" s="50">
        <v>0</v>
      </c>
      <c r="H30" s="50">
        <v>1</v>
      </c>
      <c r="I30" s="50">
        <v>0</v>
      </c>
      <c r="J30" s="50">
        <v>0</v>
      </c>
      <c r="K30" s="50">
        <v>0</v>
      </c>
      <c r="L30" s="50">
        <v>0</v>
      </c>
      <c r="M30" s="50">
        <v>58</v>
      </c>
      <c r="N30" s="50">
        <v>0</v>
      </c>
      <c r="O30" s="15">
        <f t="shared" si="0"/>
        <v>16</v>
      </c>
      <c r="P30" s="15">
        <f t="shared" si="1"/>
        <v>74</v>
      </c>
      <c r="R30" s="36" t="s">
        <v>154</v>
      </c>
      <c r="S30" s="34">
        <f>SUM(C90:C93)</f>
        <v>299</v>
      </c>
      <c r="T30" s="34">
        <f t="shared" ref="T30:AF30" si="22">SUM(D90:D93)</f>
        <v>75</v>
      </c>
      <c r="U30" s="34">
        <f t="shared" si="22"/>
        <v>40</v>
      </c>
      <c r="V30" s="34">
        <f t="shared" si="22"/>
        <v>221</v>
      </c>
      <c r="W30" s="34">
        <f t="shared" si="22"/>
        <v>6</v>
      </c>
      <c r="X30" s="34">
        <f t="shared" si="22"/>
        <v>3</v>
      </c>
      <c r="Y30" s="34">
        <f t="shared" si="22"/>
        <v>22</v>
      </c>
      <c r="Z30" s="34">
        <f t="shared" si="22"/>
        <v>3</v>
      </c>
      <c r="AA30" s="34">
        <f t="shared" si="22"/>
        <v>10</v>
      </c>
      <c r="AB30" s="34">
        <f t="shared" si="22"/>
        <v>1</v>
      </c>
      <c r="AC30" s="34">
        <f t="shared" si="22"/>
        <v>658</v>
      </c>
      <c r="AD30" s="34">
        <f t="shared" si="22"/>
        <v>0</v>
      </c>
      <c r="AE30" s="31">
        <f t="shared" si="22"/>
        <v>680</v>
      </c>
      <c r="AF30" s="31">
        <f t="shared" si="22"/>
        <v>1338</v>
      </c>
    </row>
    <row r="31" spans="2:32" ht="23.1" customHeight="1" x14ac:dyDescent="0.25">
      <c r="B31" s="46" t="s">
        <v>58</v>
      </c>
      <c r="C31" s="50">
        <v>8</v>
      </c>
      <c r="D31" s="50">
        <v>3</v>
      </c>
      <c r="E31" s="50">
        <v>1</v>
      </c>
      <c r="F31" s="50">
        <v>9</v>
      </c>
      <c r="G31" s="50">
        <v>0</v>
      </c>
      <c r="H31" s="50">
        <v>0</v>
      </c>
      <c r="I31" s="50">
        <v>0</v>
      </c>
      <c r="J31" s="50">
        <v>0</v>
      </c>
      <c r="K31" s="50">
        <v>0</v>
      </c>
      <c r="L31" s="50">
        <v>0</v>
      </c>
      <c r="M31" s="50">
        <v>38</v>
      </c>
      <c r="N31" s="50">
        <v>0</v>
      </c>
      <c r="O31" s="15">
        <f t="shared" si="0"/>
        <v>21</v>
      </c>
      <c r="P31" s="15">
        <f t="shared" si="1"/>
        <v>59</v>
      </c>
      <c r="R31" s="36" t="s">
        <v>155</v>
      </c>
      <c r="S31" s="34">
        <f>SUM(C94:C97)</f>
        <v>215</v>
      </c>
      <c r="T31" s="34">
        <f t="shared" ref="T31:AF31" si="23">SUM(D94:D97)</f>
        <v>73</v>
      </c>
      <c r="U31" s="34">
        <f t="shared" si="23"/>
        <v>50</v>
      </c>
      <c r="V31" s="34">
        <f t="shared" si="23"/>
        <v>251</v>
      </c>
      <c r="W31" s="34">
        <f t="shared" si="23"/>
        <v>2</v>
      </c>
      <c r="X31" s="34">
        <f t="shared" si="23"/>
        <v>2</v>
      </c>
      <c r="Y31" s="34">
        <f t="shared" si="23"/>
        <v>29</v>
      </c>
      <c r="Z31" s="34">
        <f t="shared" si="23"/>
        <v>5</v>
      </c>
      <c r="AA31" s="34">
        <f t="shared" si="23"/>
        <v>5</v>
      </c>
      <c r="AB31" s="34">
        <f t="shared" si="23"/>
        <v>1</v>
      </c>
      <c r="AC31" s="34">
        <f t="shared" si="23"/>
        <v>674</v>
      </c>
      <c r="AD31" s="34">
        <f t="shared" si="23"/>
        <v>0</v>
      </c>
      <c r="AE31" s="31">
        <f t="shared" si="23"/>
        <v>633</v>
      </c>
      <c r="AF31" s="31">
        <f t="shared" si="23"/>
        <v>1307</v>
      </c>
    </row>
    <row r="32" spans="2:32" ht="23.1" customHeight="1" x14ac:dyDescent="0.25">
      <c r="B32" s="46" t="s">
        <v>59</v>
      </c>
      <c r="C32" s="50">
        <v>3</v>
      </c>
      <c r="D32" s="50">
        <v>0</v>
      </c>
      <c r="E32" s="50">
        <v>1</v>
      </c>
      <c r="F32" s="50">
        <v>3</v>
      </c>
      <c r="G32" s="50">
        <v>0</v>
      </c>
      <c r="H32" s="50">
        <v>0</v>
      </c>
      <c r="I32" s="50">
        <v>1</v>
      </c>
      <c r="J32" s="50">
        <v>0</v>
      </c>
      <c r="K32" s="50">
        <v>0</v>
      </c>
      <c r="L32" s="50">
        <v>2</v>
      </c>
      <c r="M32" s="50">
        <v>23</v>
      </c>
      <c r="N32" s="50">
        <v>0</v>
      </c>
      <c r="O32" s="15">
        <f t="shared" si="0"/>
        <v>10</v>
      </c>
      <c r="P32" s="15">
        <f t="shared" si="1"/>
        <v>33</v>
      </c>
      <c r="R32" s="33" t="s">
        <v>156</v>
      </c>
      <c r="S32" s="34">
        <f>SUM(C98:C101)</f>
        <v>301</v>
      </c>
      <c r="T32" s="34">
        <f t="shared" ref="T32:AF32" si="24">SUM(D98:D101)</f>
        <v>63</v>
      </c>
      <c r="U32" s="34">
        <f t="shared" si="24"/>
        <v>36</v>
      </c>
      <c r="V32" s="34">
        <f t="shared" si="24"/>
        <v>308</v>
      </c>
      <c r="W32" s="34">
        <f t="shared" si="24"/>
        <v>3</v>
      </c>
      <c r="X32" s="34">
        <f t="shared" si="24"/>
        <v>4</v>
      </c>
      <c r="Y32" s="34">
        <f t="shared" si="24"/>
        <v>27</v>
      </c>
      <c r="Z32" s="34">
        <f t="shared" si="24"/>
        <v>4</v>
      </c>
      <c r="AA32" s="34">
        <f t="shared" si="24"/>
        <v>0</v>
      </c>
      <c r="AB32" s="34">
        <f t="shared" si="24"/>
        <v>1</v>
      </c>
      <c r="AC32" s="34">
        <f t="shared" si="24"/>
        <v>923</v>
      </c>
      <c r="AD32" s="34">
        <f t="shared" si="24"/>
        <v>0</v>
      </c>
      <c r="AE32" s="31">
        <f t="shared" si="24"/>
        <v>747</v>
      </c>
      <c r="AF32" s="31">
        <f t="shared" si="24"/>
        <v>1670</v>
      </c>
    </row>
    <row r="33" spans="2:32" ht="23.1" customHeight="1" x14ac:dyDescent="0.25">
      <c r="B33" s="45" t="s">
        <v>60</v>
      </c>
      <c r="C33" s="50">
        <v>12</v>
      </c>
      <c r="D33" s="50">
        <v>2</v>
      </c>
      <c r="E33" s="50">
        <v>0</v>
      </c>
      <c r="F33" s="50">
        <v>3</v>
      </c>
      <c r="G33" s="50">
        <v>0</v>
      </c>
      <c r="H33" s="50">
        <v>0</v>
      </c>
      <c r="I33" s="50">
        <v>0</v>
      </c>
      <c r="J33" s="50">
        <v>0</v>
      </c>
      <c r="K33" s="50">
        <v>0</v>
      </c>
      <c r="L33" s="50">
        <v>1</v>
      </c>
      <c r="M33" s="50">
        <v>15</v>
      </c>
      <c r="N33" s="50">
        <v>0</v>
      </c>
      <c r="O33" s="15">
        <f t="shared" si="0"/>
        <v>18</v>
      </c>
      <c r="P33" s="15">
        <f t="shared" si="1"/>
        <v>33</v>
      </c>
      <c r="R33" s="33" t="s">
        <v>157</v>
      </c>
      <c r="S33" s="34">
        <f>SUM(C102:C105)</f>
        <v>388</v>
      </c>
      <c r="T33" s="34">
        <f t="shared" ref="T33:AF33" si="25">SUM(D102:D105)</f>
        <v>84</v>
      </c>
      <c r="U33" s="34">
        <f t="shared" si="25"/>
        <v>42</v>
      </c>
      <c r="V33" s="34">
        <f t="shared" si="25"/>
        <v>325</v>
      </c>
      <c r="W33" s="34">
        <f t="shared" si="25"/>
        <v>13</v>
      </c>
      <c r="X33" s="34">
        <f t="shared" si="25"/>
        <v>2</v>
      </c>
      <c r="Y33" s="34">
        <f t="shared" si="25"/>
        <v>9</v>
      </c>
      <c r="Z33" s="34">
        <f t="shared" si="25"/>
        <v>2</v>
      </c>
      <c r="AA33" s="34">
        <f t="shared" si="25"/>
        <v>14</v>
      </c>
      <c r="AB33" s="34">
        <f t="shared" si="25"/>
        <v>1</v>
      </c>
      <c r="AC33" s="34">
        <f t="shared" si="25"/>
        <v>715</v>
      </c>
      <c r="AD33" s="34">
        <f t="shared" si="25"/>
        <v>0</v>
      </c>
      <c r="AE33" s="31">
        <f t="shared" si="25"/>
        <v>880</v>
      </c>
      <c r="AF33" s="31">
        <f t="shared" si="25"/>
        <v>1595</v>
      </c>
    </row>
    <row r="34" spans="2:32" ht="23.1" customHeight="1" x14ac:dyDescent="0.25">
      <c r="B34" s="46" t="s">
        <v>61</v>
      </c>
      <c r="C34" s="50">
        <v>12</v>
      </c>
      <c r="D34" s="50">
        <v>3</v>
      </c>
      <c r="E34" s="50">
        <v>1</v>
      </c>
      <c r="F34" s="50">
        <v>6</v>
      </c>
      <c r="G34" s="50">
        <v>0</v>
      </c>
      <c r="H34" s="50">
        <v>0</v>
      </c>
      <c r="I34" s="50">
        <v>1</v>
      </c>
      <c r="J34" s="50">
        <v>1</v>
      </c>
      <c r="K34" s="50">
        <v>0</v>
      </c>
      <c r="L34" s="50">
        <v>0</v>
      </c>
      <c r="M34" s="50">
        <v>95</v>
      </c>
      <c r="N34" s="50">
        <v>0</v>
      </c>
      <c r="O34" s="15">
        <f t="shared" si="0"/>
        <v>24</v>
      </c>
      <c r="P34" s="15">
        <f t="shared" si="1"/>
        <v>119</v>
      </c>
      <c r="R34" s="38" t="s">
        <v>90</v>
      </c>
      <c r="S34" s="39">
        <f t="shared" ref="S34:AF34" si="26">MAX(S10:S12)</f>
        <v>153</v>
      </c>
      <c r="T34" s="39">
        <f t="shared" si="26"/>
        <v>24</v>
      </c>
      <c r="U34" s="39">
        <f t="shared" si="26"/>
        <v>24</v>
      </c>
      <c r="V34" s="39">
        <f t="shared" si="26"/>
        <v>264</v>
      </c>
      <c r="W34" s="39">
        <f t="shared" si="26"/>
        <v>3</v>
      </c>
      <c r="X34" s="39">
        <f t="shared" si="26"/>
        <v>12</v>
      </c>
      <c r="Y34" s="39">
        <f t="shared" si="26"/>
        <v>18</v>
      </c>
      <c r="Z34" s="39">
        <f t="shared" si="26"/>
        <v>9</v>
      </c>
      <c r="AA34" s="39">
        <f t="shared" si="26"/>
        <v>2</v>
      </c>
      <c r="AB34" s="39">
        <f t="shared" si="26"/>
        <v>3</v>
      </c>
      <c r="AC34" s="39">
        <f t="shared" si="26"/>
        <v>412</v>
      </c>
      <c r="AD34" s="39">
        <f t="shared" si="26"/>
        <v>0</v>
      </c>
      <c r="AE34" s="40">
        <f t="shared" si="26"/>
        <v>492</v>
      </c>
      <c r="AF34" s="40">
        <f t="shared" si="26"/>
        <v>904</v>
      </c>
    </row>
    <row r="35" spans="2:32" ht="23.1" customHeight="1" x14ac:dyDescent="0.25">
      <c r="B35" s="46" t="s">
        <v>62</v>
      </c>
      <c r="C35" s="50">
        <v>13</v>
      </c>
      <c r="D35" s="50">
        <v>4</v>
      </c>
      <c r="E35" s="50">
        <v>2</v>
      </c>
      <c r="F35" s="50">
        <v>4</v>
      </c>
      <c r="G35" s="50">
        <v>0</v>
      </c>
      <c r="H35" s="50">
        <v>1</v>
      </c>
      <c r="I35" s="50">
        <v>1</v>
      </c>
      <c r="J35" s="50">
        <v>0</v>
      </c>
      <c r="K35" s="50">
        <v>0</v>
      </c>
      <c r="L35" s="50">
        <v>0</v>
      </c>
      <c r="M35" s="50">
        <v>67</v>
      </c>
      <c r="N35" s="50">
        <v>0</v>
      </c>
      <c r="O35" s="15">
        <f t="shared" si="0"/>
        <v>25</v>
      </c>
      <c r="P35" s="15">
        <f t="shared" si="1"/>
        <v>92</v>
      </c>
      <c r="R35" s="38" t="s">
        <v>91</v>
      </c>
      <c r="S35" s="39">
        <f t="shared" ref="S35:AF35" si="27">MAX(S13:S18)</f>
        <v>110</v>
      </c>
      <c r="T35" s="39">
        <f t="shared" si="27"/>
        <v>16</v>
      </c>
      <c r="U35" s="39">
        <f t="shared" si="27"/>
        <v>22</v>
      </c>
      <c r="V35" s="39">
        <f t="shared" si="27"/>
        <v>47</v>
      </c>
      <c r="W35" s="39">
        <f t="shared" si="27"/>
        <v>9</v>
      </c>
      <c r="X35" s="39">
        <f t="shared" si="27"/>
        <v>3</v>
      </c>
      <c r="Y35" s="39">
        <f t="shared" si="27"/>
        <v>10</v>
      </c>
      <c r="Z35" s="39">
        <f t="shared" si="27"/>
        <v>4</v>
      </c>
      <c r="AA35" s="39">
        <f t="shared" si="27"/>
        <v>3</v>
      </c>
      <c r="AB35" s="39">
        <f t="shared" si="27"/>
        <v>3</v>
      </c>
      <c r="AC35" s="39">
        <f t="shared" si="27"/>
        <v>401</v>
      </c>
      <c r="AD35" s="39">
        <f t="shared" si="27"/>
        <v>0</v>
      </c>
      <c r="AE35" s="40">
        <f t="shared" si="27"/>
        <v>196</v>
      </c>
      <c r="AF35" s="40">
        <f t="shared" si="27"/>
        <v>597</v>
      </c>
    </row>
    <row r="36" spans="2:32" ht="23.1" customHeight="1" x14ac:dyDescent="0.25">
      <c r="B36" s="46" t="s">
        <v>63</v>
      </c>
      <c r="C36" s="50">
        <v>8</v>
      </c>
      <c r="D36" s="50">
        <v>3</v>
      </c>
      <c r="E36" s="50">
        <v>1</v>
      </c>
      <c r="F36" s="50">
        <v>6</v>
      </c>
      <c r="G36" s="50">
        <v>0</v>
      </c>
      <c r="H36" s="50">
        <v>0</v>
      </c>
      <c r="I36" s="50">
        <v>5</v>
      </c>
      <c r="J36" s="50">
        <v>0</v>
      </c>
      <c r="K36" s="50">
        <v>0</v>
      </c>
      <c r="L36" s="50">
        <v>0</v>
      </c>
      <c r="M36" s="50">
        <v>52</v>
      </c>
      <c r="N36" s="50">
        <v>0</v>
      </c>
      <c r="O36" s="15">
        <f t="shared" si="0"/>
        <v>23</v>
      </c>
      <c r="P36" s="15">
        <v>8</v>
      </c>
      <c r="R36" s="38" t="s">
        <v>92</v>
      </c>
      <c r="S36" s="39">
        <f t="shared" ref="S36:AF36" si="28">MAX(S19:S21)</f>
        <v>195</v>
      </c>
      <c r="T36" s="39">
        <f t="shared" si="28"/>
        <v>40</v>
      </c>
      <c r="U36" s="39">
        <f t="shared" si="28"/>
        <v>39</v>
      </c>
      <c r="V36" s="39">
        <f t="shared" si="28"/>
        <v>257</v>
      </c>
      <c r="W36" s="39">
        <f t="shared" si="28"/>
        <v>5</v>
      </c>
      <c r="X36" s="39">
        <f t="shared" si="28"/>
        <v>8</v>
      </c>
      <c r="Y36" s="39">
        <f t="shared" si="28"/>
        <v>18</v>
      </c>
      <c r="Z36" s="39">
        <f t="shared" si="28"/>
        <v>7</v>
      </c>
      <c r="AA36" s="39">
        <f t="shared" si="28"/>
        <v>1</v>
      </c>
      <c r="AB36" s="39">
        <f t="shared" si="28"/>
        <v>3</v>
      </c>
      <c r="AC36" s="39">
        <f t="shared" si="28"/>
        <v>511</v>
      </c>
      <c r="AD36" s="39">
        <f t="shared" si="28"/>
        <v>0</v>
      </c>
      <c r="AE36" s="40">
        <f t="shared" si="28"/>
        <v>564</v>
      </c>
      <c r="AF36" s="40">
        <f t="shared" si="28"/>
        <v>989</v>
      </c>
    </row>
    <row r="37" spans="2:32" ht="23.1" customHeight="1" x14ac:dyDescent="0.25">
      <c r="B37" s="45" t="s">
        <v>64</v>
      </c>
      <c r="C37" s="50">
        <v>4</v>
      </c>
      <c r="D37" s="50">
        <v>4</v>
      </c>
      <c r="E37" s="50">
        <v>2</v>
      </c>
      <c r="F37" s="50">
        <v>0</v>
      </c>
      <c r="G37" s="50">
        <v>0</v>
      </c>
      <c r="H37" s="50">
        <v>0</v>
      </c>
      <c r="I37" s="50">
        <v>0</v>
      </c>
      <c r="J37" s="50">
        <v>1</v>
      </c>
      <c r="K37" s="50">
        <v>0</v>
      </c>
      <c r="L37" s="50">
        <v>0</v>
      </c>
      <c r="M37" s="50">
        <v>50</v>
      </c>
      <c r="N37" s="50">
        <v>0</v>
      </c>
      <c r="O37" s="15">
        <f t="shared" si="0"/>
        <v>11</v>
      </c>
      <c r="P37" s="15">
        <f t="shared" si="1"/>
        <v>61</v>
      </c>
      <c r="R37" s="37" t="s">
        <v>85</v>
      </c>
      <c r="S37" s="35">
        <f t="shared" ref="S37:AF37" si="29">SUM(S10:S12)</f>
        <v>228</v>
      </c>
      <c r="T37" s="16">
        <f t="shared" si="29"/>
        <v>34</v>
      </c>
      <c r="U37" s="16">
        <f t="shared" si="29"/>
        <v>34</v>
      </c>
      <c r="V37" s="16">
        <f t="shared" si="29"/>
        <v>358</v>
      </c>
      <c r="W37" s="16">
        <f t="shared" si="29"/>
        <v>5</v>
      </c>
      <c r="X37" s="16">
        <f t="shared" si="29"/>
        <v>15</v>
      </c>
      <c r="Y37" s="16">
        <f t="shared" si="29"/>
        <v>32</v>
      </c>
      <c r="Z37" s="16">
        <f t="shared" si="29"/>
        <v>20</v>
      </c>
      <c r="AA37" s="16">
        <f t="shared" si="29"/>
        <v>5</v>
      </c>
      <c r="AB37" s="16">
        <f t="shared" si="29"/>
        <v>4</v>
      </c>
      <c r="AC37" s="16">
        <f t="shared" si="29"/>
        <v>743</v>
      </c>
      <c r="AD37" s="16">
        <f t="shared" si="29"/>
        <v>0</v>
      </c>
      <c r="AE37" s="32">
        <f t="shared" si="29"/>
        <v>735</v>
      </c>
      <c r="AF37" s="32">
        <f t="shared" si="29"/>
        <v>1478</v>
      </c>
    </row>
    <row r="38" spans="2:32" ht="23.1" customHeight="1" x14ac:dyDescent="0.25">
      <c r="B38" s="46" t="s">
        <v>65</v>
      </c>
      <c r="C38" s="50">
        <v>29</v>
      </c>
      <c r="D38" s="50">
        <v>2</v>
      </c>
      <c r="E38" s="50">
        <v>0</v>
      </c>
      <c r="F38" s="50">
        <v>11</v>
      </c>
      <c r="G38" s="50">
        <v>1</v>
      </c>
      <c r="H38" s="50">
        <v>1</v>
      </c>
      <c r="I38" s="50">
        <v>2</v>
      </c>
      <c r="J38" s="50">
        <v>2</v>
      </c>
      <c r="K38" s="50">
        <v>1</v>
      </c>
      <c r="L38" s="50">
        <v>2</v>
      </c>
      <c r="M38" s="50">
        <v>72</v>
      </c>
      <c r="N38" s="50">
        <v>0</v>
      </c>
      <c r="O38" s="15">
        <f t="shared" si="0"/>
        <v>51</v>
      </c>
      <c r="P38" s="15">
        <f t="shared" si="1"/>
        <v>123</v>
      </c>
      <c r="R38" s="28" t="s">
        <v>86</v>
      </c>
      <c r="S38" s="16">
        <f t="shared" ref="S38:AF38" si="30">SUM(S13:S18)</f>
        <v>306</v>
      </c>
      <c r="T38" s="16">
        <f t="shared" si="30"/>
        <v>47</v>
      </c>
      <c r="U38" s="16">
        <f t="shared" si="30"/>
        <v>51</v>
      </c>
      <c r="V38" s="16">
        <f t="shared" si="30"/>
        <v>112</v>
      </c>
      <c r="W38" s="16">
        <f t="shared" si="30"/>
        <v>10</v>
      </c>
      <c r="X38" s="16">
        <f t="shared" si="30"/>
        <v>13</v>
      </c>
      <c r="Y38" s="16">
        <f t="shared" si="30"/>
        <v>40</v>
      </c>
      <c r="Z38" s="16">
        <f t="shared" si="30"/>
        <v>13</v>
      </c>
      <c r="AA38" s="16">
        <f t="shared" si="30"/>
        <v>4</v>
      </c>
      <c r="AB38" s="16">
        <f t="shared" si="30"/>
        <v>7</v>
      </c>
      <c r="AC38" s="16">
        <f t="shared" si="30"/>
        <v>1292</v>
      </c>
      <c r="AD38" s="16">
        <f t="shared" si="30"/>
        <v>0</v>
      </c>
      <c r="AE38" s="32">
        <f t="shared" si="30"/>
        <v>603</v>
      </c>
      <c r="AF38" s="32">
        <f t="shared" si="30"/>
        <v>1828</v>
      </c>
    </row>
    <row r="39" spans="2:32" ht="23.1" customHeight="1" x14ac:dyDescent="0.25">
      <c r="B39" s="46" t="s">
        <v>66</v>
      </c>
      <c r="C39" s="50">
        <v>25</v>
      </c>
      <c r="D39" s="50">
        <v>1</v>
      </c>
      <c r="E39" s="50">
        <v>3</v>
      </c>
      <c r="F39" s="50">
        <v>2</v>
      </c>
      <c r="G39" s="50">
        <v>2</v>
      </c>
      <c r="H39" s="50">
        <v>0</v>
      </c>
      <c r="I39" s="50">
        <v>0</v>
      </c>
      <c r="J39" s="50">
        <v>0</v>
      </c>
      <c r="K39" s="50">
        <v>1</v>
      </c>
      <c r="L39" s="50">
        <v>0</v>
      </c>
      <c r="M39" s="50">
        <v>73</v>
      </c>
      <c r="N39" s="50">
        <v>0</v>
      </c>
      <c r="O39" s="15">
        <f t="shared" si="0"/>
        <v>34</v>
      </c>
      <c r="P39" s="15">
        <f t="shared" si="1"/>
        <v>107</v>
      </c>
      <c r="R39" s="29" t="s">
        <v>87</v>
      </c>
      <c r="S39" s="16">
        <f t="shared" ref="S39:AF39" si="31">SUM(S19:S21)</f>
        <v>428</v>
      </c>
      <c r="T39" s="16">
        <f t="shared" si="31"/>
        <v>95</v>
      </c>
      <c r="U39" s="16">
        <f t="shared" si="31"/>
        <v>88</v>
      </c>
      <c r="V39" s="16">
        <f t="shared" si="31"/>
        <v>521</v>
      </c>
      <c r="W39" s="16">
        <f t="shared" si="31"/>
        <v>12</v>
      </c>
      <c r="X39" s="16">
        <f t="shared" si="31"/>
        <v>17</v>
      </c>
      <c r="Y39" s="16">
        <f t="shared" si="31"/>
        <v>34</v>
      </c>
      <c r="Z39" s="16">
        <f t="shared" si="31"/>
        <v>17</v>
      </c>
      <c r="AA39" s="16">
        <f t="shared" si="31"/>
        <v>1</v>
      </c>
      <c r="AB39" s="16">
        <f t="shared" si="31"/>
        <v>6</v>
      </c>
      <c r="AC39" s="16">
        <f t="shared" si="31"/>
        <v>1361</v>
      </c>
      <c r="AD39" s="16">
        <f t="shared" si="31"/>
        <v>0</v>
      </c>
      <c r="AE39" s="32">
        <f t="shared" si="31"/>
        <v>1219</v>
      </c>
      <c r="AF39" s="32">
        <f t="shared" si="31"/>
        <v>2580</v>
      </c>
    </row>
    <row r="40" spans="2:32" ht="23.1" customHeight="1" x14ac:dyDescent="0.25">
      <c r="B40" s="46" t="s">
        <v>67</v>
      </c>
      <c r="C40" s="50">
        <v>33</v>
      </c>
      <c r="D40" s="50">
        <v>2</v>
      </c>
      <c r="E40" s="50">
        <v>2</v>
      </c>
      <c r="F40" s="50">
        <v>1</v>
      </c>
      <c r="G40" s="50">
        <v>5</v>
      </c>
      <c r="H40" s="50">
        <v>1</v>
      </c>
      <c r="I40" s="50">
        <v>5</v>
      </c>
      <c r="J40" s="50">
        <v>1</v>
      </c>
      <c r="K40" s="50">
        <v>0</v>
      </c>
      <c r="L40" s="50">
        <v>0</v>
      </c>
      <c r="M40" s="50">
        <v>80</v>
      </c>
      <c r="N40" s="50">
        <v>0</v>
      </c>
      <c r="O40" s="15">
        <f t="shared" si="0"/>
        <v>50</v>
      </c>
      <c r="P40" s="15">
        <f t="shared" si="1"/>
        <v>130</v>
      </c>
      <c r="R40" s="5" t="s">
        <v>17</v>
      </c>
      <c r="S40" s="16">
        <f t="shared" ref="S40:AF40" si="32">SUM(S10:S21)</f>
        <v>962</v>
      </c>
      <c r="T40" s="16">
        <f t="shared" si="32"/>
        <v>176</v>
      </c>
      <c r="U40" s="16">
        <f t="shared" si="32"/>
        <v>173</v>
      </c>
      <c r="V40" s="16">
        <f t="shared" si="32"/>
        <v>991</v>
      </c>
      <c r="W40" s="16">
        <f t="shared" si="32"/>
        <v>27</v>
      </c>
      <c r="X40" s="16">
        <f t="shared" si="32"/>
        <v>45</v>
      </c>
      <c r="Y40" s="16">
        <f t="shared" si="32"/>
        <v>106</v>
      </c>
      <c r="Z40" s="16">
        <f t="shared" si="32"/>
        <v>50</v>
      </c>
      <c r="AA40" s="16">
        <f t="shared" si="32"/>
        <v>10</v>
      </c>
      <c r="AB40" s="16">
        <f t="shared" si="32"/>
        <v>17</v>
      </c>
      <c r="AC40" s="16">
        <f t="shared" si="32"/>
        <v>3396</v>
      </c>
      <c r="AD40" s="16">
        <f t="shared" si="32"/>
        <v>0</v>
      </c>
      <c r="AE40" s="32">
        <f t="shared" si="32"/>
        <v>2557</v>
      </c>
      <c r="AF40" s="32">
        <f t="shared" si="32"/>
        <v>5886</v>
      </c>
    </row>
    <row r="41" spans="2:32" ht="23.1" customHeight="1" x14ac:dyDescent="0.25">
      <c r="B41" s="45" t="s">
        <v>68</v>
      </c>
      <c r="C41" s="50">
        <v>23</v>
      </c>
      <c r="D41" s="50">
        <v>2</v>
      </c>
      <c r="E41" s="50">
        <v>3</v>
      </c>
      <c r="F41" s="50">
        <v>9</v>
      </c>
      <c r="G41" s="50">
        <v>1</v>
      </c>
      <c r="H41" s="50">
        <v>1</v>
      </c>
      <c r="I41" s="50">
        <v>3</v>
      </c>
      <c r="J41" s="50">
        <v>1</v>
      </c>
      <c r="K41" s="50">
        <v>1</v>
      </c>
      <c r="L41" s="50">
        <v>1</v>
      </c>
      <c r="M41" s="50">
        <v>117</v>
      </c>
      <c r="N41" s="50">
        <v>0</v>
      </c>
      <c r="O41" s="15">
        <f t="shared" si="0"/>
        <v>45</v>
      </c>
      <c r="P41" s="15">
        <f t="shared" si="1"/>
        <v>162</v>
      </c>
      <c r="R41" s="5" t="s">
        <v>159</v>
      </c>
      <c r="S41" s="16">
        <f>SUM(S10:S33)</f>
        <v>4032</v>
      </c>
      <c r="T41" s="16">
        <f t="shared" ref="T41:AF41" si="33">SUM(T10:T33)</f>
        <v>980</v>
      </c>
      <c r="U41" s="16">
        <f t="shared" si="33"/>
        <v>757</v>
      </c>
      <c r="V41" s="16">
        <f t="shared" si="33"/>
        <v>3488</v>
      </c>
      <c r="W41" s="16">
        <f t="shared" si="33"/>
        <v>68</v>
      </c>
      <c r="X41" s="16">
        <f t="shared" si="33"/>
        <v>95</v>
      </c>
      <c r="Y41" s="16">
        <f t="shared" si="33"/>
        <v>438</v>
      </c>
      <c r="Z41" s="16">
        <f t="shared" si="33"/>
        <v>128</v>
      </c>
      <c r="AA41" s="16">
        <f t="shared" si="33"/>
        <v>86</v>
      </c>
      <c r="AB41" s="16">
        <f t="shared" si="33"/>
        <v>36</v>
      </c>
      <c r="AC41" s="16">
        <f t="shared" si="33"/>
        <v>10867</v>
      </c>
      <c r="AD41" s="16">
        <f t="shared" si="33"/>
        <v>0</v>
      </c>
      <c r="AE41" s="32">
        <f t="shared" si="33"/>
        <v>10108</v>
      </c>
      <c r="AF41" s="32">
        <f t="shared" si="33"/>
        <v>20908</v>
      </c>
    </row>
    <row r="42" spans="2:32" ht="23.1" customHeight="1" x14ac:dyDescent="0.25">
      <c r="B42" s="46" t="s">
        <v>69</v>
      </c>
      <c r="C42" s="50">
        <v>24</v>
      </c>
      <c r="D42" s="50">
        <v>3</v>
      </c>
      <c r="E42" s="50">
        <v>5</v>
      </c>
      <c r="F42" s="50">
        <v>12</v>
      </c>
      <c r="G42" s="50">
        <v>0</v>
      </c>
      <c r="H42" s="50">
        <v>0</v>
      </c>
      <c r="I42" s="50">
        <v>5</v>
      </c>
      <c r="J42" s="50">
        <v>0</v>
      </c>
      <c r="K42" s="50">
        <v>0</v>
      </c>
      <c r="L42" s="50">
        <v>1</v>
      </c>
      <c r="M42" s="50">
        <v>92</v>
      </c>
      <c r="N42" s="50">
        <v>0</v>
      </c>
      <c r="O42" s="15">
        <f t="shared" si="0"/>
        <v>50</v>
      </c>
      <c r="P42" s="15">
        <f t="shared" si="1"/>
        <v>142</v>
      </c>
      <c r="R42" s="5" t="s">
        <v>160</v>
      </c>
      <c r="S42" s="48">
        <f>S41/S40</f>
        <v>4.1912681912681915</v>
      </c>
      <c r="T42" s="48">
        <f t="shared" ref="T42:AF42" si="34">T41/T40</f>
        <v>5.5681818181818183</v>
      </c>
      <c r="U42" s="48">
        <f t="shared" si="34"/>
        <v>4.3757225433526008</v>
      </c>
      <c r="V42" s="48">
        <f t="shared" si="34"/>
        <v>3.5196770938446016</v>
      </c>
      <c r="W42" s="48">
        <f t="shared" si="34"/>
        <v>2.5185185185185186</v>
      </c>
      <c r="X42" s="48">
        <f t="shared" si="34"/>
        <v>2.1111111111111112</v>
      </c>
      <c r="Y42" s="48">
        <f t="shared" si="34"/>
        <v>4.132075471698113</v>
      </c>
      <c r="Z42" s="48">
        <f t="shared" si="34"/>
        <v>2.56</v>
      </c>
      <c r="AA42" s="48">
        <f t="shared" si="34"/>
        <v>8.6</v>
      </c>
      <c r="AB42" s="48">
        <f t="shared" si="34"/>
        <v>2.1176470588235294</v>
      </c>
      <c r="AC42" s="48">
        <f t="shared" si="34"/>
        <v>3.1999411071849235</v>
      </c>
      <c r="AD42" s="48" t="e">
        <f t="shared" si="34"/>
        <v>#DIV/0!</v>
      </c>
      <c r="AE42" s="48">
        <f t="shared" si="34"/>
        <v>3.9530700039108329</v>
      </c>
      <c r="AF42" s="48">
        <f t="shared" si="34"/>
        <v>3.5521576622494053</v>
      </c>
    </row>
    <row r="43" spans="2:32" ht="23.1" customHeight="1" x14ac:dyDescent="0.25">
      <c r="B43" s="45" t="s">
        <v>70</v>
      </c>
      <c r="C43" s="50">
        <v>23</v>
      </c>
      <c r="D43" s="50">
        <v>4</v>
      </c>
      <c r="E43" s="50">
        <v>8</v>
      </c>
      <c r="F43" s="50">
        <v>15</v>
      </c>
      <c r="G43" s="50">
        <v>0</v>
      </c>
      <c r="H43" s="50">
        <v>1</v>
      </c>
      <c r="I43" s="50">
        <v>2</v>
      </c>
      <c r="J43" s="50">
        <v>1</v>
      </c>
      <c r="K43" s="50">
        <v>0</v>
      </c>
      <c r="L43" s="50">
        <v>0</v>
      </c>
      <c r="M43" s="50">
        <v>90</v>
      </c>
      <c r="N43" s="50">
        <v>0</v>
      </c>
      <c r="O43" s="15">
        <f t="shared" si="0"/>
        <v>54</v>
      </c>
      <c r="P43" s="15">
        <f t="shared" si="1"/>
        <v>144</v>
      </c>
    </row>
    <row r="44" spans="2:32" ht="23.1" customHeight="1" x14ac:dyDescent="0.25">
      <c r="B44" s="47" t="s">
        <v>71</v>
      </c>
      <c r="C44" s="50">
        <v>30</v>
      </c>
      <c r="D44" s="50">
        <v>8</v>
      </c>
      <c r="E44" s="50">
        <v>5</v>
      </c>
      <c r="F44" s="50">
        <v>10</v>
      </c>
      <c r="G44" s="50">
        <v>1</v>
      </c>
      <c r="H44" s="50">
        <v>1</v>
      </c>
      <c r="I44" s="50">
        <v>1</v>
      </c>
      <c r="J44" s="50">
        <v>3</v>
      </c>
      <c r="K44" s="50">
        <v>0</v>
      </c>
      <c r="L44" s="50">
        <v>0</v>
      </c>
      <c r="M44" s="50">
        <v>89</v>
      </c>
      <c r="N44" s="50">
        <v>0</v>
      </c>
      <c r="O44" s="15">
        <f t="shared" si="0"/>
        <v>59</v>
      </c>
      <c r="P44" s="15">
        <f t="shared" si="1"/>
        <v>148</v>
      </c>
    </row>
    <row r="45" spans="2:32" ht="23.1" customHeight="1" x14ac:dyDescent="0.25">
      <c r="B45" s="45" t="s">
        <v>72</v>
      </c>
      <c r="C45" s="50">
        <v>15</v>
      </c>
      <c r="D45" s="50">
        <v>1</v>
      </c>
      <c r="E45" s="50">
        <v>4</v>
      </c>
      <c r="F45" s="50">
        <v>10</v>
      </c>
      <c r="G45" s="50">
        <v>0</v>
      </c>
      <c r="H45" s="50">
        <v>1</v>
      </c>
      <c r="I45" s="50">
        <v>2</v>
      </c>
      <c r="J45" s="50">
        <v>0</v>
      </c>
      <c r="K45" s="50">
        <v>0</v>
      </c>
      <c r="L45" s="50">
        <v>0</v>
      </c>
      <c r="M45" s="50">
        <v>130</v>
      </c>
      <c r="N45" s="50">
        <v>0</v>
      </c>
      <c r="O45" s="15">
        <f t="shared" si="0"/>
        <v>33</v>
      </c>
      <c r="P45" s="15">
        <f t="shared" si="1"/>
        <v>163</v>
      </c>
    </row>
    <row r="46" spans="2:32" ht="23.1" customHeight="1" x14ac:dyDescent="0.25">
      <c r="B46" s="46" t="s">
        <v>73</v>
      </c>
      <c r="C46" s="50">
        <v>26</v>
      </c>
      <c r="D46" s="50">
        <v>10</v>
      </c>
      <c r="E46" s="50">
        <v>1</v>
      </c>
      <c r="F46" s="50">
        <v>18</v>
      </c>
      <c r="G46" s="50">
        <v>3</v>
      </c>
      <c r="H46" s="50">
        <v>0</v>
      </c>
      <c r="I46" s="50">
        <v>1</v>
      </c>
      <c r="J46" s="50">
        <v>1</v>
      </c>
      <c r="K46" s="50">
        <v>0</v>
      </c>
      <c r="L46" s="50">
        <v>1</v>
      </c>
      <c r="M46" s="50">
        <v>115</v>
      </c>
      <c r="N46" s="50">
        <v>0</v>
      </c>
      <c r="O46" s="15">
        <f t="shared" si="0"/>
        <v>61</v>
      </c>
      <c r="P46" s="15">
        <f t="shared" si="1"/>
        <v>176</v>
      </c>
      <c r="R46" s="8"/>
      <c r="T46"/>
    </row>
    <row r="47" spans="2:32" ht="23.1" customHeight="1" x14ac:dyDescent="0.25">
      <c r="B47" s="46" t="s">
        <v>74</v>
      </c>
      <c r="C47" s="50">
        <v>26</v>
      </c>
      <c r="D47" s="50">
        <v>7</v>
      </c>
      <c r="E47" s="50">
        <v>6</v>
      </c>
      <c r="F47" s="50">
        <v>35</v>
      </c>
      <c r="G47" s="50">
        <v>0</v>
      </c>
      <c r="H47" s="50">
        <v>1</v>
      </c>
      <c r="I47" s="50">
        <v>0</v>
      </c>
      <c r="J47" s="50">
        <v>1</v>
      </c>
      <c r="K47" s="50">
        <v>0</v>
      </c>
      <c r="L47" s="50">
        <v>0</v>
      </c>
      <c r="M47" s="50">
        <v>100</v>
      </c>
      <c r="N47" s="50">
        <v>0</v>
      </c>
      <c r="O47" s="15">
        <f t="shared" si="0"/>
        <v>76</v>
      </c>
      <c r="P47" s="15">
        <f t="shared" si="1"/>
        <v>176</v>
      </c>
      <c r="R47" s="8"/>
      <c r="T47"/>
    </row>
    <row r="48" spans="2:32" ht="23.1" customHeight="1" x14ac:dyDescent="0.25">
      <c r="B48" s="46" t="s">
        <v>75</v>
      </c>
      <c r="C48" s="50">
        <v>38</v>
      </c>
      <c r="D48" s="50">
        <v>5</v>
      </c>
      <c r="E48" s="50">
        <v>4</v>
      </c>
      <c r="F48" s="50">
        <v>31</v>
      </c>
      <c r="G48" s="50">
        <v>1</v>
      </c>
      <c r="H48" s="50">
        <v>0</v>
      </c>
      <c r="I48" s="50">
        <v>5</v>
      </c>
      <c r="J48" s="50">
        <v>5</v>
      </c>
      <c r="K48" s="50">
        <v>1</v>
      </c>
      <c r="L48" s="50">
        <v>1</v>
      </c>
      <c r="M48" s="50">
        <v>120</v>
      </c>
      <c r="N48" s="50">
        <v>0</v>
      </c>
      <c r="O48" s="15">
        <f t="shared" si="0"/>
        <v>91</v>
      </c>
      <c r="P48" s="15">
        <f t="shared" si="1"/>
        <v>211</v>
      </c>
      <c r="R48" s="8"/>
      <c r="T48"/>
    </row>
    <row r="49" spans="2:20" ht="23.1" customHeight="1" x14ac:dyDescent="0.25">
      <c r="B49" s="45" t="s">
        <v>76</v>
      </c>
      <c r="C49" s="50">
        <v>30</v>
      </c>
      <c r="D49" s="50">
        <v>4</v>
      </c>
      <c r="E49" s="50">
        <v>8</v>
      </c>
      <c r="F49" s="50">
        <v>0</v>
      </c>
      <c r="G49" s="50">
        <v>1</v>
      </c>
      <c r="H49" s="50">
        <v>4</v>
      </c>
      <c r="I49" s="50">
        <v>0</v>
      </c>
      <c r="J49" s="50">
        <v>0</v>
      </c>
      <c r="K49" s="50">
        <v>0</v>
      </c>
      <c r="L49" s="50">
        <v>0</v>
      </c>
      <c r="M49" s="50">
        <v>90</v>
      </c>
      <c r="N49" s="50">
        <v>0</v>
      </c>
      <c r="O49" s="15">
        <f t="shared" si="0"/>
        <v>47</v>
      </c>
      <c r="P49" s="15">
        <f t="shared" si="1"/>
        <v>137</v>
      </c>
      <c r="R49" s="8"/>
      <c r="T49"/>
    </row>
    <row r="50" spans="2:20" ht="23.1" customHeight="1" x14ac:dyDescent="0.25">
      <c r="B50" s="46" t="s">
        <v>77</v>
      </c>
      <c r="C50" s="50">
        <v>27</v>
      </c>
      <c r="D50" s="50">
        <v>6</v>
      </c>
      <c r="E50" s="50">
        <v>0</v>
      </c>
      <c r="F50" s="50">
        <v>40</v>
      </c>
      <c r="G50" s="50">
        <v>0</v>
      </c>
      <c r="H50" s="50">
        <v>2</v>
      </c>
      <c r="I50" s="50">
        <v>3</v>
      </c>
      <c r="J50" s="50">
        <v>3</v>
      </c>
      <c r="K50" s="50">
        <v>0</v>
      </c>
      <c r="L50" s="50">
        <v>1</v>
      </c>
      <c r="M50" s="50">
        <v>77</v>
      </c>
      <c r="N50" s="50">
        <v>0</v>
      </c>
      <c r="O50" s="15">
        <f t="shared" si="0"/>
        <v>82</v>
      </c>
      <c r="P50" s="15">
        <f t="shared" si="1"/>
        <v>159</v>
      </c>
      <c r="R50" s="8"/>
      <c r="T50"/>
    </row>
    <row r="51" spans="2:20" ht="23.1" customHeight="1" x14ac:dyDescent="0.25">
      <c r="B51" s="46" t="s">
        <v>78</v>
      </c>
      <c r="C51" s="50">
        <v>24</v>
      </c>
      <c r="D51" s="50">
        <v>10</v>
      </c>
      <c r="E51" s="50">
        <v>6</v>
      </c>
      <c r="F51" s="50">
        <v>34</v>
      </c>
      <c r="G51" s="50">
        <v>1</v>
      </c>
      <c r="H51" s="50">
        <v>3</v>
      </c>
      <c r="I51" s="50">
        <v>2</v>
      </c>
      <c r="J51" s="50">
        <v>0</v>
      </c>
      <c r="K51" s="50">
        <v>0</v>
      </c>
      <c r="L51" s="50">
        <v>0</v>
      </c>
      <c r="M51" s="50">
        <v>135</v>
      </c>
      <c r="N51" s="50">
        <v>0</v>
      </c>
      <c r="O51" s="15">
        <f t="shared" si="0"/>
        <v>80</v>
      </c>
      <c r="P51" s="15">
        <f t="shared" si="1"/>
        <v>215</v>
      </c>
      <c r="R51" s="8"/>
      <c r="T51"/>
    </row>
    <row r="52" spans="2:20" ht="23.1" customHeight="1" x14ac:dyDescent="0.25">
      <c r="B52" s="46" t="s">
        <v>79</v>
      </c>
      <c r="C52" s="50">
        <v>35</v>
      </c>
      <c r="D52" s="50">
        <v>6</v>
      </c>
      <c r="E52" s="50">
        <v>19</v>
      </c>
      <c r="F52" s="50">
        <v>48</v>
      </c>
      <c r="G52" s="50">
        <v>1</v>
      </c>
      <c r="H52" s="50">
        <v>1</v>
      </c>
      <c r="I52" s="50">
        <v>2</v>
      </c>
      <c r="J52" s="50">
        <v>2</v>
      </c>
      <c r="K52" s="50">
        <v>0</v>
      </c>
      <c r="L52" s="50">
        <v>0</v>
      </c>
      <c r="M52" s="50">
        <v>157</v>
      </c>
      <c r="N52" s="50">
        <v>0</v>
      </c>
      <c r="O52" s="15">
        <f t="shared" si="0"/>
        <v>114</v>
      </c>
      <c r="P52" s="15">
        <f t="shared" si="1"/>
        <v>271</v>
      </c>
      <c r="R52" s="8"/>
      <c r="T52"/>
    </row>
    <row r="53" spans="2:20" ht="23.1" customHeight="1" x14ac:dyDescent="0.25">
      <c r="B53" s="45" t="s">
        <v>80</v>
      </c>
      <c r="C53" s="50">
        <v>27</v>
      </c>
      <c r="D53" s="50">
        <v>7</v>
      </c>
      <c r="E53" s="50">
        <v>5</v>
      </c>
      <c r="F53" s="50">
        <v>58</v>
      </c>
      <c r="G53" s="50">
        <v>1</v>
      </c>
      <c r="H53" s="50">
        <v>2</v>
      </c>
      <c r="I53" s="50">
        <v>3</v>
      </c>
      <c r="J53" s="50">
        <v>1</v>
      </c>
      <c r="K53" s="50">
        <v>0</v>
      </c>
      <c r="L53" s="50">
        <v>0</v>
      </c>
      <c r="M53" s="50">
        <v>142</v>
      </c>
      <c r="N53" s="50">
        <v>0</v>
      </c>
      <c r="O53" s="15">
        <f t="shared" si="0"/>
        <v>104</v>
      </c>
      <c r="P53" s="15">
        <f t="shared" si="1"/>
        <v>246</v>
      </c>
      <c r="R53" s="8"/>
      <c r="T53"/>
    </row>
    <row r="54" spans="2:20" ht="23.1" customHeight="1" x14ac:dyDescent="0.25">
      <c r="B54" s="45" t="s">
        <v>81</v>
      </c>
      <c r="C54" s="50">
        <v>70</v>
      </c>
      <c r="D54" s="50">
        <v>13</v>
      </c>
      <c r="E54" s="50">
        <v>15</v>
      </c>
      <c r="F54" s="50">
        <v>90</v>
      </c>
      <c r="G54" s="50">
        <v>4</v>
      </c>
      <c r="H54" s="50">
        <v>0</v>
      </c>
      <c r="I54" s="50">
        <v>2</v>
      </c>
      <c r="J54" s="50">
        <v>0</v>
      </c>
      <c r="K54" s="50">
        <v>0</v>
      </c>
      <c r="L54" s="50">
        <v>2</v>
      </c>
      <c r="M54" s="50">
        <v>175</v>
      </c>
      <c r="N54" s="50">
        <v>0</v>
      </c>
      <c r="O54" s="15">
        <f t="shared" si="0"/>
        <v>196</v>
      </c>
      <c r="P54" s="15">
        <f t="shared" si="1"/>
        <v>371</v>
      </c>
      <c r="R54" s="8"/>
      <c r="T54"/>
    </row>
    <row r="55" spans="2:20" ht="23.1" customHeight="1" x14ac:dyDescent="0.25">
      <c r="B55" s="45" t="s">
        <v>82</v>
      </c>
      <c r="C55" s="50">
        <v>35</v>
      </c>
      <c r="D55" s="50">
        <v>2</v>
      </c>
      <c r="E55" s="50">
        <v>3</v>
      </c>
      <c r="F55" s="50">
        <v>50</v>
      </c>
      <c r="G55" s="50">
        <v>0</v>
      </c>
      <c r="H55" s="50">
        <v>0</v>
      </c>
      <c r="I55" s="50">
        <v>6</v>
      </c>
      <c r="J55" s="50">
        <v>0</v>
      </c>
      <c r="K55" s="50">
        <v>0</v>
      </c>
      <c r="L55" s="50">
        <v>1</v>
      </c>
      <c r="M55" s="50">
        <v>75</v>
      </c>
      <c r="N55" s="50">
        <v>0</v>
      </c>
      <c r="O55" s="15">
        <f t="shared" si="0"/>
        <v>97</v>
      </c>
      <c r="P55" s="15">
        <f t="shared" si="1"/>
        <v>172</v>
      </c>
      <c r="R55" s="8"/>
      <c r="T55"/>
    </row>
    <row r="56" spans="2:20" ht="23.1" customHeight="1" x14ac:dyDescent="0.25">
      <c r="B56" s="45" t="s">
        <v>83</v>
      </c>
      <c r="C56" s="50">
        <v>45</v>
      </c>
      <c r="D56" s="50">
        <v>15</v>
      </c>
      <c r="E56" s="50">
        <v>15</v>
      </c>
      <c r="F56" s="50">
        <v>60</v>
      </c>
      <c r="G56" s="50">
        <v>0</v>
      </c>
      <c r="H56" s="50">
        <v>2</v>
      </c>
      <c r="I56" s="50">
        <v>8</v>
      </c>
      <c r="J56" s="50">
        <v>3</v>
      </c>
      <c r="K56" s="50">
        <v>0</v>
      </c>
      <c r="L56" s="50">
        <v>0</v>
      </c>
      <c r="M56" s="50">
        <v>100</v>
      </c>
      <c r="N56" s="50">
        <v>0</v>
      </c>
      <c r="O56" s="15">
        <f t="shared" si="0"/>
        <v>148</v>
      </c>
      <c r="P56" s="15">
        <f t="shared" si="1"/>
        <v>248</v>
      </c>
      <c r="R56" s="8"/>
      <c r="T56"/>
    </row>
    <row r="57" spans="2:20" ht="23.1" customHeight="1" x14ac:dyDescent="0.25">
      <c r="B57" s="45" t="s">
        <v>84</v>
      </c>
      <c r="C57" s="50">
        <v>45</v>
      </c>
      <c r="D57" s="50">
        <v>10</v>
      </c>
      <c r="E57" s="50">
        <v>6</v>
      </c>
      <c r="F57" s="50">
        <v>57</v>
      </c>
      <c r="G57" s="50">
        <v>0</v>
      </c>
      <c r="H57" s="50">
        <v>2</v>
      </c>
      <c r="I57" s="50">
        <v>2</v>
      </c>
      <c r="J57" s="50">
        <v>1</v>
      </c>
      <c r="K57" s="50">
        <v>0</v>
      </c>
      <c r="L57" s="50">
        <v>0</v>
      </c>
      <c r="M57" s="50">
        <v>75</v>
      </c>
      <c r="N57" s="50">
        <v>0</v>
      </c>
      <c r="O57" s="15">
        <f t="shared" si="0"/>
        <v>123</v>
      </c>
      <c r="P57" s="15">
        <f t="shared" si="1"/>
        <v>198</v>
      </c>
      <c r="R57" s="8"/>
      <c r="T57"/>
    </row>
    <row r="58" spans="2:20" ht="23.1" customHeight="1" x14ac:dyDescent="0.25">
      <c r="B58" s="45" t="s">
        <v>99</v>
      </c>
      <c r="C58" s="50">
        <v>47</v>
      </c>
      <c r="D58" s="50">
        <v>15</v>
      </c>
      <c r="E58" s="50">
        <v>11</v>
      </c>
      <c r="F58" s="50">
        <v>44</v>
      </c>
      <c r="G58" s="50">
        <v>0</v>
      </c>
      <c r="H58" s="50">
        <v>0</v>
      </c>
      <c r="I58" s="50">
        <v>9</v>
      </c>
      <c r="J58" s="50">
        <v>2</v>
      </c>
      <c r="K58" s="50">
        <v>1</v>
      </c>
      <c r="L58" s="50">
        <v>0</v>
      </c>
      <c r="M58" s="50">
        <v>125</v>
      </c>
      <c r="N58" s="50">
        <v>0</v>
      </c>
      <c r="O58" s="15">
        <f t="shared" ref="O58:O105" si="35">SUM(C58:L58,N58)</f>
        <v>129</v>
      </c>
      <c r="P58" s="15">
        <f t="shared" ref="P58:P105" si="36">SUM(C58:N58)</f>
        <v>254</v>
      </c>
      <c r="R58" s="8"/>
      <c r="T58"/>
    </row>
    <row r="59" spans="2:20" ht="23.1" customHeight="1" x14ac:dyDescent="0.25">
      <c r="B59" s="45" t="s">
        <v>100</v>
      </c>
      <c r="C59" s="50">
        <v>45</v>
      </c>
      <c r="D59" s="50">
        <v>11</v>
      </c>
      <c r="E59" s="50">
        <v>12</v>
      </c>
      <c r="F59" s="50">
        <v>23</v>
      </c>
      <c r="G59" s="50">
        <v>0</v>
      </c>
      <c r="H59" s="50">
        <v>0</v>
      </c>
      <c r="I59" s="50">
        <v>1</v>
      </c>
      <c r="J59" s="50">
        <v>3</v>
      </c>
      <c r="K59" s="50">
        <v>0</v>
      </c>
      <c r="L59" s="50">
        <v>3</v>
      </c>
      <c r="M59" s="50">
        <v>150</v>
      </c>
      <c r="N59" s="50">
        <v>0</v>
      </c>
      <c r="O59" s="15">
        <f t="shared" si="35"/>
        <v>98</v>
      </c>
      <c r="P59" s="15">
        <f t="shared" si="36"/>
        <v>248</v>
      </c>
      <c r="R59" s="8"/>
      <c r="T59"/>
    </row>
    <row r="60" spans="2:20" ht="23.1" customHeight="1" x14ac:dyDescent="0.25">
      <c r="B60" s="45" t="s">
        <v>101</v>
      </c>
      <c r="C60" s="50">
        <v>45</v>
      </c>
      <c r="D60" s="50">
        <v>15</v>
      </c>
      <c r="E60" s="50">
        <v>11</v>
      </c>
      <c r="F60" s="50">
        <v>54</v>
      </c>
      <c r="G60" s="50">
        <v>1</v>
      </c>
      <c r="H60" s="50">
        <v>2</v>
      </c>
      <c r="I60" s="50">
        <v>10</v>
      </c>
      <c r="J60" s="50">
        <v>1</v>
      </c>
      <c r="K60" s="50">
        <v>0</v>
      </c>
      <c r="L60" s="50">
        <v>2</v>
      </c>
      <c r="M60" s="50">
        <v>117</v>
      </c>
      <c r="N60" s="50">
        <v>0</v>
      </c>
      <c r="O60" s="15">
        <f t="shared" si="35"/>
        <v>141</v>
      </c>
      <c r="P60" s="15">
        <f t="shared" si="36"/>
        <v>258</v>
      </c>
      <c r="R60" s="8"/>
      <c r="T60"/>
    </row>
    <row r="61" spans="2:20" ht="23.1" customHeight="1" x14ac:dyDescent="0.25">
      <c r="B61" s="45" t="s">
        <v>102</v>
      </c>
      <c r="C61" s="50">
        <v>55</v>
      </c>
      <c r="D61" s="50">
        <v>4</v>
      </c>
      <c r="E61" s="50">
        <v>2</v>
      </c>
      <c r="F61" s="50">
        <v>50</v>
      </c>
      <c r="G61" s="50">
        <v>0</v>
      </c>
      <c r="H61" s="50">
        <v>0</v>
      </c>
      <c r="I61" s="50">
        <v>7</v>
      </c>
      <c r="J61" s="50">
        <v>2</v>
      </c>
      <c r="K61" s="50">
        <v>3</v>
      </c>
      <c r="L61" s="50">
        <v>0</v>
      </c>
      <c r="M61" s="50">
        <v>125</v>
      </c>
      <c r="N61" s="50">
        <v>0</v>
      </c>
      <c r="O61" s="15">
        <f t="shared" si="35"/>
        <v>123</v>
      </c>
      <c r="P61" s="15">
        <f t="shared" si="36"/>
        <v>248</v>
      </c>
      <c r="R61" s="8"/>
      <c r="T61"/>
    </row>
    <row r="62" spans="2:20" ht="23.1" customHeight="1" x14ac:dyDescent="0.25">
      <c r="B62" s="45" t="s">
        <v>107</v>
      </c>
      <c r="C62" s="50">
        <v>75</v>
      </c>
      <c r="D62" s="50">
        <v>23</v>
      </c>
      <c r="E62" s="50">
        <v>12</v>
      </c>
      <c r="F62" s="50">
        <v>45</v>
      </c>
      <c r="G62" s="50">
        <v>1</v>
      </c>
      <c r="H62" s="50">
        <v>1</v>
      </c>
      <c r="I62" s="50">
        <v>7</v>
      </c>
      <c r="J62" s="50">
        <v>7</v>
      </c>
      <c r="K62" s="50">
        <v>1</v>
      </c>
      <c r="L62" s="50">
        <v>0</v>
      </c>
      <c r="M62" s="50">
        <v>125</v>
      </c>
      <c r="N62" s="50">
        <v>0</v>
      </c>
      <c r="O62" s="15">
        <f t="shared" si="35"/>
        <v>172</v>
      </c>
      <c r="P62" s="15">
        <f t="shared" si="36"/>
        <v>297</v>
      </c>
      <c r="R62" s="8"/>
      <c r="T62"/>
    </row>
    <row r="63" spans="2:20" ht="23.1" customHeight="1" x14ac:dyDescent="0.25">
      <c r="B63" s="45" t="s">
        <v>108</v>
      </c>
      <c r="C63" s="50">
        <v>33</v>
      </c>
      <c r="D63" s="50">
        <v>18</v>
      </c>
      <c r="E63" s="50">
        <v>7</v>
      </c>
      <c r="F63" s="50">
        <v>51</v>
      </c>
      <c r="G63" s="50">
        <v>0</v>
      </c>
      <c r="H63" s="50">
        <v>0</v>
      </c>
      <c r="I63" s="50">
        <v>6</v>
      </c>
      <c r="J63" s="50">
        <v>1</v>
      </c>
      <c r="K63" s="50">
        <v>0</v>
      </c>
      <c r="L63" s="50">
        <v>0</v>
      </c>
      <c r="M63" s="50">
        <v>110</v>
      </c>
      <c r="N63" s="50">
        <v>0</v>
      </c>
      <c r="O63" s="15">
        <f t="shared" si="35"/>
        <v>116</v>
      </c>
      <c r="P63" s="15">
        <f t="shared" si="36"/>
        <v>226</v>
      </c>
      <c r="R63" s="8"/>
      <c r="T63"/>
    </row>
    <row r="64" spans="2:20" ht="23.1" customHeight="1" x14ac:dyDescent="0.25">
      <c r="B64" s="45" t="s">
        <v>109</v>
      </c>
      <c r="C64" s="50">
        <v>30</v>
      </c>
      <c r="D64" s="50">
        <v>11</v>
      </c>
      <c r="E64" s="50">
        <v>6</v>
      </c>
      <c r="F64" s="50">
        <v>21</v>
      </c>
      <c r="G64" s="50">
        <v>0</v>
      </c>
      <c r="H64" s="50">
        <v>3</v>
      </c>
      <c r="I64" s="50">
        <v>6</v>
      </c>
      <c r="J64" s="50">
        <v>3</v>
      </c>
      <c r="K64" s="50">
        <v>1</v>
      </c>
      <c r="L64" s="50">
        <v>0</v>
      </c>
      <c r="M64" s="50">
        <v>125</v>
      </c>
      <c r="N64" s="50">
        <v>0</v>
      </c>
      <c r="O64" s="15">
        <f t="shared" si="35"/>
        <v>81</v>
      </c>
      <c r="P64" s="15">
        <f t="shared" si="36"/>
        <v>206</v>
      </c>
      <c r="R64" s="8"/>
      <c r="T64"/>
    </row>
    <row r="65" spans="2:20" ht="23.1" customHeight="1" x14ac:dyDescent="0.25">
      <c r="B65" s="45" t="s">
        <v>158</v>
      </c>
      <c r="C65" s="50">
        <v>33</v>
      </c>
      <c r="D65" s="50">
        <v>10</v>
      </c>
      <c r="E65" s="50">
        <v>6</v>
      </c>
      <c r="F65" s="50">
        <v>30</v>
      </c>
      <c r="G65" s="50">
        <v>1</v>
      </c>
      <c r="H65" s="50">
        <v>0</v>
      </c>
      <c r="I65" s="50">
        <v>4</v>
      </c>
      <c r="J65" s="50">
        <v>0</v>
      </c>
      <c r="K65" s="50">
        <v>0</v>
      </c>
      <c r="L65" s="50">
        <v>0</v>
      </c>
      <c r="M65" s="50">
        <v>170</v>
      </c>
      <c r="N65" s="50">
        <v>0</v>
      </c>
      <c r="O65" s="15">
        <f t="shared" si="35"/>
        <v>84</v>
      </c>
      <c r="P65" s="15">
        <f t="shared" si="36"/>
        <v>254</v>
      </c>
      <c r="R65" s="8"/>
      <c r="T65"/>
    </row>
    <row r="66" spans="2:20" ht="23.1" customHeight="1" x14ac:dyDescent="0.25">
      <c r="B66" s="45" t="s">
        <v>103</v>
      </c>
      <c r="C66" s="50">
        <v>72</v>
      </c>
      <c r="D66" s="50">
        <v>26</v>
      </c>
      <c r="E66" s="50">
        <v>12</v>
      </c>
      <c r="F66" s="50">
        <v>45</v>
      </c>
      <c r="G66" s="50">
        <v>1</v>
      </c>
      <c r="H66" s="50">
        <v>1</v>
      </c>
      <c r="I66" s="50">
        <v>11</v>
      </c>
      <c r="J66" s="50">
        <v>0</v>
      </c>
      <c r="K66" s="50">
        <v>1</v>
      </c>
      <c r="L66" s="50">
        <v>0</v>
      </c>
      <c r="M66" s="50">
        <v>129</v>
      </c>
      <c r="N66" s="50">
        <v>0</v>
      </c>
      <c r="O66" s="15">
        <f t="shared" si="35"/>
        <v>169</v>
      </c>
      <c r="P66" s="15">
        <f t="shared" si="36"/>
        <v>298</v>
      </c>
      <c r="R66" s="8"/>
      <c r="T66"/>
    </row>
    <row r="67" spans="2:20" ht="23.1" customHeight="1" x14ac:dyDescent="0.25">
      <c r="B67" s="45" t="s">
        <v>104</v>
      </c>
      <c r="C67" s="50">
        <v>65</v>
      </c>
      <c r="D67" s="50">
        <v>25</v>
      </c>
      <c r="E67" s="50">
        <v>21</v>
      </c>
      <c r="F67" s="50">
        <v>43</v>
      </c>
      <c r="G67" s="50">
        <v>1</v>
      </c>
      <c r="H67" s="50">
        <v>0</v>
      </c>
      <c r="I67" s="50">
        <v>14</v>
      </c>
      <c r="J67" s="50">
        <v>2</v>
      </c>
      <c r="K67" s="50">
        <v>2</v>
      </c>
      <c r="L67" s="50">
        <v>1</v>
      </c>
      <c r="M67" s="50">
        <v>131</v>
      </c>
      <c r="N67" s="50">
        <v>0</v>
      </c>
      <c r="O67" s="15">
        <f t="shared" si="35"/>
        <v>174</v>
      </c>
      <c r="P67" s="15">
        <f t="shared" si="36"/>
        <v>305</v>
      </c>
      <c r="R67" s="8"/>
      <c r="T67"/>
    </row>
    <row r="68" spans="2:20" ht="23.1" customHeight="1" x14ac:dyDescent="0.25">
      <c r="B68" s="45" t="s">
        <v>105</v>
      </c>
      <c r="C68" s="50">
        <v>55</v>
      </c>
      <c r="D68" s="50">
        <v>24</v>
      </c>
      <c r="E68" s="50">
        <v>13</v>
      </c>
      <c r="F68" s="50">
        <v>36</v>
      </c>
      <c r="G68" s="50">
        <v>1</v>
      </c>
      <c r="H68" s="50">
        <v>1</v>
      </c>
      <c r="I68" s="50">
        <v>4</v>
      </c>
      <c r="J68" s="50">
        <v>5</v>
      </c>
      <c r="K68" s="50">
        <v>3</v>
      </c>
      <c r="L68" s="50">
        <v>0</v>
      </c>
      <c r="M68" s="50">
        <v>145</v>
      </c>
      <c r="N68" s="50">
        <v>0</v>
      </c>
      <c r="O68" s="15">
        <f t="shared" si="35"/>
        <v>142</v>
      </c>
      <c r="P68" s="15">
        <f t="shared" si="36"/>
        <v>287</v>
      </c>
      <c r="R68" s="8"/>
      <c r="T68"/>
    </row>
    <row r="69" spans="2:20" ht="23.1" customHeight="1" x14ac:dyDescent="0.25">
      <c r="B69" s="45" t="s">
        <v>106</v>
      </c>
      <c r="C69" s="50">
        <v>47</v>
      </c>
      <c r="D69" s="50">
        <v>23</v>
      </c>
      <c r="E69" s="50">
        <v>8</v>
      </c>
      <c r="F69" s="50">
        <v>34</v>
      </c>
      <c r="G69" s="50">
        <v>1</v>
      </c>
      <c r="H69" s="50">
        <v>1</v>
      </c>
      <c r="I69" s="50">
        <v>8</v>
      </c>
      <c r="J69" s="50">
        <v>3</v>
      </c>
      <c r="K69" s="50">
        <v>3</v>
      </c>
      <c r="L69" s="50">
        <v>0</v>
      </c>
      <c r="M69" s="50">
        <v>158</v>
      </c>
      <c r="N69" s="50">
        <v>0</v>
      </c>
      <c r="O69" s="15">
        <f t="shared" si="35"/>
        <v>128</v>
      </c>
      <c r="P69" s="15">
        <f t="shared" si="36"/>
        <v>286</v>
      </c>
      <c r="R69" s="8"/>
      <c r="T69"/>
    </row>
    <row r="70" spans="2:20" ht="23.1" customHeight="1" x14ac:dyDescent="0.25">
      <c r="B70" s="45" t="s">
        <v>110</v>
      </c>
      <c r="C70" s="50">
        <v>63</v>
      </c>
      <c r="D70" s="50">
        <v>12</v>
      </c>
      <c r="E70" s="50">
        <v>61</v>
      </c>
      <c r="F70" s="50">
        <v>0</v>
      </c>
      <c r="G70" s="50">
        <v>1</v>
      </c>
      <c r="H70" s="50">
        <v>11</v>
      </c>
      <c r="I70" s="50">
        <v>3</v>
      </c>
      <c r="J70" s="50">
        <v>0</v>
      </c>
      <c r="K70" s="50">
        <v>0</v>
      </c>
      <c r="L70" s="50">
        <v>0</v>
      </c>
      <c r="M70" s="50">
        <v>120</v>
      </c>
      <c r="N70" s="50">
        <v>0</v>
      </c>
      <c r="O70" s="15">
        <f t="shared" si="35"/>
        <v>151</v>
      </c>
      <c r="P70" s="15">
        <f t="shared" si="36"/>
        <v>271</v>
      </c>
      <c r="R70" s="8"/>
      <c r="T70"/>
    </row>
    <row r="71" spans="2:20" ht="23.1" customHeight="1" x14ac:dyDescent="0.25">
      <c r="B71" s="45" t="s">
        <v>111</v>
      </c>
      <c r="C71" s="50">
        <v>72</v>
      </c>
      <c r="D71" s="50">
        <v>22</v>
      </c>
      <c r="E71" s="50">
        <v>7</v>
      </c>
      <c r="F71" s="50">
        <v>69</v>
      </c>
      <c r="G71" s="50">
        <v>2</v>
      </c>
      <c r="H71" s="50">
        <v>2</v>
      </c>
      <c r="I71" s="50">
        <v>10</v>
      </c>
      <c r="J71" s="50">
        <v>3</v>
      </c>
      <c r="K71" s="50">
        <v>1</v>
      </c>
      <c r="L71" s="50">
        <v>0</v>
      </c>
      <c r="M71" s="50">
        <v>165</v>
      </c>
      <c r="N71" s="50">
        <v>0</v>
      </c>
      <c r="O71" s="15">
        <f t="shared" si="35"/>
        <v>188</v>
      </c>
      <c r="P71" s="15">
        <f t="shared" si="36"/>
        <v>353</v>
      </c>
      <c r="R71" s="8"/>
      <c r="T71"/>
    </row>
    <row r="72" spans="2:20" ht="23.1" customHeight="1" x14ac:dyDescent="0.25">
      <c r="B72" s="45" t="s">
        <v>112</v>
      </c>
      <c r="C72" s="50">
        <v>45</v>
      </c>
      <c r="D72" s="50">
        <v>17</v>
      </c>
      <c r="E72" s="50">
        <v>8</v>
      </c>
      <c r="F72" s="50">
        <v>45</v>
      </c>
      <c r="G72" s="50">
        <v>0</v>
      </c>
      <c r="H72" s="50">
        <v>0</v>
      </c>
      <c r="I72" s="50">
        <v>10</v>
      </c>
      <c r="J72" s="50">
        <v>0</v>
      </c>
      <c r="K72" s="50">
        <v>2</v>
      </c>
      <c r="L72" s="50">
        <v>0</v>
      </c>
      <c r="M72" s="50">
        <v>125</v>
      </c>
      <c r="N72" s="50">
        <v>0</v>
      </c>
      <c r="O72" s="15">
        <f t="shared" si="35"/>
        <v>127</v>
      </c>
      <c r="P72" s="15">
        <f t="shared" si="36"/>
        <v>252</v>
      </c>
      <c r="R72" s="8"/>
      <c r="T72"/>
    </row>
    <row r="73" spans="2:20" ht="23.1" customHeight="1" x14ac:dyDescent="0.25">
      <c r="B73" s="45" t="s">
        <v>113</v>
      </c>
      <c r="C73" s="50">
        <v>62</v>
      </c>
      <c r="D73" s="50">
        <v>21</v>
      </c>
      <c r="E73" s="50">
        <v>20</v>
      </c>
      <c r="F73" s="50">
        <v>39</v>
      </c>
      <c r="G73" s="50">
        <v>0</v>
      </c>
      <c r="H73" s="50">
        <v>1</v>
      </c>
      <c r="I73" s="50">
        <v>13</v>
      </c>
      <c r="J73" s="50">
        <v>4</v>
      </c>
      <c r="K73" s="50">
        <v>1</v>
      </c>
      <c r="L73" s="50">
        <v>0</v>
      </c>
      <c r="M73" s="50">
        <v>134</v>
      </c>
      <c r="N73" s="50">
        <v>0</v>
      </c>
      <c r="O73" s="15">
        <f t="shared" si="35"/>
        <v>161</v>
      </c>
      <c r="P73" s="15">
        <f t="shared" si="36"/>
        <v>295</v>
      </c>
      <c r="R73" s="8"/>
      <c r="T73"/>
    </row>
    <row r="74" spans="2:20" ht="23.1" customHeight="1" x14ac:dyDescent="0.25">
      <c r="B74" s="45" t="s">
        <v>114</v>
      </c>
      <c r="C74" s="50">
        <v>63</v>
      </c>
      <c r="D74" s="50">
        <v>11</v>
      </c>
      <c r="E74" s="50">
        <v>21</v>
      </c>
      <c r="F74" s="50">
        <v>49</v>
      </c>
      <c r="G74" s="50"/>
      <c r="H74" s="50">
        <v>2</v>
      </c>
      <c r="I74" s="50">
        <v>6</v>
      </c>
      <c r="J74" s="50">
        <v>2</v>
      </c>
      <c r="K74" s="50">
        <v>0</v>
      </c>
      <c r="L74" s="50">
        <v>0</v>
      </c>
      <c r="M74" s="50">
        <v>110</v>
      </c>
      <c r="N74" s="50">
        <v>0</v>
      </c>
      <c r="O74" s="15">
        <f t="shared" si="35"/>
        <v>154</v>
      </c>
      <c r="P74" s="15">
        <f t="shared" si="36"/>
        <v>264</v>
      </c>
      <c r="R74" s="8"/>
      <c r="T74"/>
    </row>
    <row r="75" spans="2:20" ht="23.1" customHeight="1" x14ac:dyDescent="0.25">
      <c r="B75" s="45" t="s">
        <v>115</v>
      </c>
      <c r="C75" s="50">
        <v>59</v>
      </c>
      <c r="D75" s="50">
        <v>11</v>
      </c>
      <c r="E75" s="50">
        <v>9</v>
      </c>
      <c r="F75" s="50">
        <v>48</v>
      </c>
      <c r="G75" s="50">
        <v>1</v>
      </c>
      <c r="H75" s="50">
        <v>2</v>
      </c>
      <c r="I75" s="50">
        <v>10</v>
      </c>
      <c r="J75" s="50">
        <v>1</v>
      </c>
      <c r="K75" s="50">
        <v>1</v>
      </c>
      <c r="L75" s="50">
        <v>0</v>
      </c>
      <c r="M75" s="50">
        <v>105</v>
      </c>
      <c r="N75" s="50">
        <v>0</v>
      </c>
      <c r="O75" s="15">
        <f t="shared" si="35"/>
        <v>142</v>
      </c>
      <c r="P75" s="15">
        <f t="shared" si="36"/>
        <v>247</v>
      </c>
      <c r="R75" s="8"/>
      <c r="T75"/>
    </row>
    <row r="76" spans="2:20" ht="23.1" customHeight="1" x14ac:dyDescent="0.25">
      <c r="B76" s="45" t="s">
        <v>116</v>
      </c>
      <c r="C76" s="50">
        <v>55</v>
      </c>
      <c r="D76" s="50">
        <v>16</v>
      </c>
      <c r="E76" s="50">
        <v>5</v>
      </c>
      <c r="F76" s="50">
        <v>36</v>
      </c>
      <c r="G76" s="50">
        <v>0</v>
      </c>
      <c r="H76" s="50">
        <v>1</v>
      </c>
      <c r="I76" s="50">
        <v>7</v>
      </c>
      <c r="J76" s="50">
        <v>0</v>
      </c>
      <c r="K76" s="50">
        <v>1</v>
      </c>
      <c r="L76" s="50">
        <v>0</v>
      </c>
      <c r="M76" s="50">
        <v>100</v>
      </c>
      <c r="N76" s="50">
        <v>0</v>
      </c>
      <c r="O76" s="15">
        <f t="shared" si="35"/>
        <v>121</v>
      </c>
      <c r="P76" s="15">
        <f t="shared" si="36"/>
        <v>221</v>
      </c>
      <c r="R76" s="8"/>
      <c r="T76"/>
    </row>
    <row r="77" spans="2:20" ht="23.1" customHeight="1" x14ac:dyDescent="0.25">
      <c r="B77" s="45" t="s">
        <v>117</v>
      </c>
      <c r="C77" s="50">
        <v>67</v>
      </c>
      <c r="D77" s="50">
        <v>9</v>
      </c>
      <c r="E77" s="50">
        <v>12</v>
      </c>
      <c r="F77" s="50">
        <v>61</v>
      </c>
      <c r="G77" s="50">
        <v>0</v>
      </c>
      <c r="H77" s="50">
        <v>1</v>
      </c>
      <c r="I77" s="50">
        <v>11</v>
      </c>
      <c r="J77" s="50">
        <v>3</v>
      </c>
      <c r="K77" s="50">
        <v>1</v>
      </c>
      <c r="L77" s="50">
        <v>0</v>
      </c>
      <c r="M77" s="50">
        <v>120</v>
      </c>
      <c r="N77" s="50">
        <v>0</v>
      </c>
      <c r="O77" s="15">
        <f t="shared" si="35"/>
        <v>165</v>
      </c>
      <c r="P77" s="15">
        <f t="shared" si="36"/>
        <v>285</v>
      </c>
      <c r="R77" s="8"/>
      <c r="T77"/>
    </row>
    <row r="78" spans="2:20" ht="23.1" customHeight="1" x14ac:dyDescent="0.25">
      <c r="B78" s="46" t="s">
        <v>118</v>
      </c>
      <c r="C78" s="50">
        <v>75</v>
      </c>
      <c r="D78" s="50">
        <v>11</v>
      </c>
      <c r="E78" s="50">
        <v>12</v>
      </c>
      <c r="F78" s="50">
        <v>61</v>
      </c>
      <c r="G78" s="50">
        <v>1</v>
      </c>
      <c r="H78" s="50">
        <v>0</v>
      </c>
      <c r="I78" s="50">
        <v>15</v>
      </c>
      <c r="J78" s="50">
        <v>2</v>
      </c>
      <c r="K78" s="50">
        <v>2</v>
      </c>
      <c r="L78" s="50">
        <v>1</v>
      </c>
      <c r="M78" s="50">
        <v>125</v>
      </c>
      <c r="N78" s="50">
        <v>0</v>
      </c>
      <c r="O78" s="15">
        <f t="shared" si="35"/>
        <v>180</v>
      </c>
      <c r="P78" s="15">
        <f t="shared" si="36"/>
        <v>305</v>
      </c>
      <c r="R78" s="8"/>
      <c r="T78"/>
    </row>
    <row r="79" spans="2:20" ht="23.1" customHeight="1" x14ac:dyDescent="0.25">
      <c r="B79" s="45" t="s">
        <v>119</v>
      </c>
      <c r="C79" s="50">
        <v>47</v>
      </c>
      <c r="D79" s="50">
        <v>13</v>
      </c>
      <c r="E79" s="50">
        <v>16</v>
      </c>
      <c r="F79" s="50">
        <v>31</v>
      </c>
      <c r="G79" s="50">
        <v>0</v>
      </c>
      <c r="H79" s="50">
        <v>0</v>
      </c>
      <c r="I79" s="50">
        <v>9</v>
      </c>
      <c r="J79" s="50">
        <v>2</v>
      </c>
      <c r="K79" s="50">
        <v>1</v>
      </c>
      <c r="L79" s="50">
        <v>1</v>
      </c>
      <c r="M79" s="50">
        <v>175</v>
      </c>
      <c r="N79" s="50">
        <v>0</v>
      </c>
      <c r="O79" s="15">
        <f t="shared" si="35"/>
        <v>120</v>
      </c>
      <c r="P79" s="15">
        <f t="shared" si="36"/>
        <v>295</v>
      </c>
      <c r="R79" s="8"/>
      <c r="T79"/>
    </row>
    <row r="80" spans="2:20" ht="23.1" customHeight="1" x14ac:dyDescent="0.25">
      <c r="B80" s="47" t="s">
        <v>120</v>
      </c>
      <c r="C80" s="50">
        <v>53</v>
      </c>
      <c r="D80" s="50">
        <v>18</v>
      </c>
      <c r="E80" s="50">
        <v>15</v>
      </c>
      <c r="F80" s="50">
        <v>55</v>
      </c>
      <c r="G80" s="50">
        <v>1</v>
      </c>
      <c r="H80" s="50">
        <v>3</v>
      </c>
      <c r="I80" s="50">
        <v>7</v>
      </c>
      <c r="J80" s="50">
        <v>3</v>
      </c>
      <c r="K80" s="50">
        <v>0</v>
      </c>
      <c r="L80" s="50">
        <v>1</v>
      </c>
      <c r="M80" s="50">
        <v>200</v>
      </c>
      <c r="N80" s="50">
        <v>0</v>
      </c>
      <c r="O80" s="15">
        <f t="shared" si="35"/>
        <v>156</v>
      </c>
      <c r="P80" s="15">
        <f t="shared" si="36"/>
        <v>356</v>
      </c>
      <c r="R80" s="8"/>
      <c r="T80"/>
    </row>
    <row r="81" spans="2:20" ht="23.1" customHeight="1" x14ac:dyDescent="0.25">
      <c r="B81" s="45" t="s">
        <v>121</v>
      </c>
      <c r="C81" s="50">
        <v>50</v>
      </c>
      <c r="D81" s="50">
        <v>7</v>
      </c>
      <c r="E81" s="50">
        <v>8</v>
      </c>
      <c r="F81" s="50">
        <v>37</v>
      </c>
      <c r="G81" s="50">
        <v>0</v>
      </c>
      <c r="H81" s="50">
        <v>0</v>
      </c>
      <c r="I81" s="50">
        <v>3</v>
      </c>
      <c r="J81" s="50">
        <v>2</v>
      </c>
      <c r="K81" s="50">
        <v>0</v>
      </c>
      <c r="L81" s="50">
        <v>1</v>
      </c>
      <c r="M81" s="50">
        <v>150</v>
      </c>
      <c r="N81" s="50">
        <v>0</v>
      </c>
      <c r="O81" s="15">
        <f t="shared" si="35"/>
        <v>108</v>
      </c>
      <c r="P81" s="15">
        <f t="shared" si="36"/>
        <v>258</v>
      </c>
      <c r="R81" s="8"/>
      <c r="T81"/>
    </row>
    <row r="82" spans="2:20" ht="23.1" customHeight="1" x14ac:dyDescent="0.25">
      <c r="B82" s="46" t="s">
        <v>122</v>
      </c>
      <c r="C82" s="50">
        <v>80</v>
      </c>
      <c r="D82" s="50">
        <v>18</v>
      </c>
      <c r="E82" s="50">
        <v>14</v>
      </c>
      <c r="F82" s="50">
        <v>68</v>
      </c>
      <c r="G82" s="50">
        <v>1</v>
      </c>
      <c r="H82" s="50">
        <v>0</v>
      </c>
      <c r="I82" s="50">
        <v>10</v>
      </c>
      <c r="J82" s="50">
        <v>3</v>
      </c>
      <c r="K82" s="50">
        <v>2</v>
      </c>
      <c r="L82" s="50">
        <v>1</v>
      </c>
      <c r="M82" s="50">
        <v>160</v>
      </c>
      <c r="N82" s="50">
        <v>0</v>
      </c>
      <c r="O82" s="15">
        <f t="shared" si="35"/>
        <v>197</v>
      </c>
      <c r="P82" s="15">
        <f t="shared" si="36"/>
        <v>357</v>
      </c>
      <c r="R82" s="8"/>
      <c r="T82"/>
    </row>
    <row r="83" spans="2:20" ht="23.1" customHeight="1" x14ac:dyDescent="0.25">
      <c r="B83" s="45" t="s">
        <v>123</v>
      </c>
      <c r="C83" s="50">
        <v>72</v>
      </c>
      <c r="D83" s="50">
        <v>15</v>
      </c>
      <c r="E83" s="50">
        <v>16</v>
      </c>
      <c r="F83" s="50">
        <v>45</v>
      </c>
      <c r="G83" s="50">
        <v>2</v>
      </c>
      <c r="H83" s="50">
        <v>1</v>
      </c>
      <c r="I83" s="50">
        <v>5</v>
      </c>
      <c r="J83" s="50">
        <v>1</v>
      </c>
      <c r="K83" s="50">
        <v>1</v>
      </c>
      <c r="L83" s="50">
        <v>2</v>
      </c>
      <c r="M83" s="50">
        <v>153</v>
      </c>
      <c r="N83" s="50">
        <v>0</v>
      </c>
      <c r="O83" s="15">
        <f t="shared" si="35"/>
        <v>160</v>
      </c>
      <c r="P83" s="15">
        <f t="shared" si="36"/>
        <v>313</v>
      </c>
      <c r="R83" s="8"/>
      <c r="T83"/>
    </row>
    <row r="84" spans="2:20" ht="23.1" customHeight="1" x14ac:dyDescent="0.25">
      <c r="B84" s="47" t="s">
        <v>124</v>
      </c>
      <c r="C84" s="50">
        <v>56</v>
      </c>
      <c r="D84" s="50">
        <v>15</v>
      </c>
      <c r="E84" s="50">
        <v>20</v>
      </c>
      <c r="F84" s="50">
        <v>39</v>
      </c>
      <c r="G84" s="50">
        <v>1</v>
      </c>
      <c r="H84" s="50">
        <v>1</v>
      </c>
      <c r="I84" s="50">
        <v>9</v>
      </c>
      <c r="J84" s="50">
        <v>3</v>
      </c>
      <c r="K84" s="50">
        <v>1</v>
      </c>
      <c r="L84" s="50">
        <v>2</v>
      </c>
      <c r="M84" s="50">
        <v>137</v>
      </c>
      <c r="N84" s="50">
        <v>0</v>
      </c>
      <c r="O84" s="15">
        <f t="shared" si="35"/>
        <v>147</v>
      </c>
      <c r="P84" s="15">
        <f t="shared" si="36"/>
        <v>284</v>
      </c>
      <c r="R84" s="8"/>
      <c r="T84"/>
    </row>
    <row r="85" spans="2:20" ht="23.1" customHeight="1" x14ac:dyDescent="0.25">
      <c r="B85" s="45" t="s">
        <v>125</v>
      </c>
      <c r="C85" s="50">
        <v>72</v>
      </c>
      <c r="D85" s="50">
        <v>21</v>
      </c>
      <c r="E85" s="50">
        <v>10</v>
      </c>
      <c r="F85" s="50">
        <v>63</v>
      </c>
      <c r="G85" s="50">
        <v>0</v>
      </c>
      <c r="H85" s="50">
        <v>2</v>
      </c>
      <c r="I85" s="50">
        <v>5</v>
      </c>
      <c r="J85" s="50">
        <v>1</v>
      </c>
      <c r="K85" s="50">
        <v>5</v>
      </c>
      <c r="L85" s="50">
        <v>0</v>
      </c>
      <c r="M85" s="50">
        <v>188</v>
      </c>
      <c r="N85" s="50">
        <v>0</v>
      </c>
      <c r="O85" s="15">
        <f t="shared" si="35"/>
        <v>179</v>
      </c>
      <c r="P85" s="15">
        <f t="shared" si="36"/>
        <v>367</v>
      </c>
      <c r="R85" s="8"/>
      <c r="T85"/>
    </row>
    <row r="86" spans="2:20" ht="23.1" customHeight="1" x14ac:dyDescent="0.25">
      <c r="B86" s="46" t="s">
        <v>126</v>
      </c>
      <c r="C86" s="50">
        <v>96</v>
      </c>
      <c r="D86" s="50">
        <v>23</v>
      </c>
      <c r="E86" s="50">
        <v>11</v>
      </c>
      <c r="F86" s="50">
        <v>54</v>
      </c>
      <c r="G86" s="50">
        <v>0</v>
      </c>
      <c r="H86" s="50">
        <v>1</v>
      </c>
      <c r="I86" s="50">
        <v>5</v>
      </c>
      <c r="J86" s="50">
        <v>3</v>
      </c>
      <c r="K86" s="50">
        <v>1</v>
      </c>
      <c r="L86" s="50">
        <v>0</v>
      </c>
      <c r="M86" s="50">
        <v>161</v>
      </c>
      <c r="N86" s="50">
        <v>0</v>
      </c>
      <c r="O86" s="15">
        <f t="shared" si="35"/>
        <v>194</v>
      </c>
      <c r="P86" s="15">
        <f t="shared" si="36"/>
        <v>355</v>
      </c>
      <c r="R86" s="8"/>
      <c r="T86"/>
    </row>
    <row r="87" spans="2:20" ht="23.1" customHeight="1" x14ac:dyDescent="0.25">
      <c r="B87" s="45" t="s">
        <v>127</v>
      </c>
      <c r="C87" s="50">
        <v>62</v>
      </c>
      <c r="D87" s="50">
        <v>13</v>
      </c>
      <c r="E87" s="50">
        <v>12</v>
      </c>
      <c r="F87" s="50">
        <v>43</v>
      </c>
      <c r="G87" s="50">
        <v>0</v>
      </c>
      <c r="H87" s="50">
        <v>1</v>
      </c>
      <c r="I87" s="50">
        <v>7</v>
      </c>
      <c r="J87" s="50">
        <v>0</v>
      </c>
      <c r="K87" s="50">
        <v>5</v>
      </c>
      <c r="L87" s="50">
        <v>0</v>
      </c>
      <c r="M87" s="50">
        <v>175</v>
      </c>
      <c r="N87" s="50">
        <v>0</v>
      </c>
      <c r="O87" s="15">
        <f t="shared" si="35"/>
        <v>143</v>
      </c>
      <c r="P87" s="15">
        <f t="shared" si="36"/>
        <v>318</v>
      </c>
      <c r="R87" s="8"/>
      <c r="T87"/>
    </row>
    <row r="88" spans="2:20" ht="23.1" customHeight="1" x14ac:dyDescent="0.25">
      <c r="B88" s="47" t="s">
        <v>128</v>
      </c>
      <c r="C88" s="50">
        <v>61</v>
      </c>
      <c r="D88" s="50">
        <v>13</v>
      </c>
      <c r="E88" s="50">
        <v>12</v>
      </c>
      <c r="F88" s="50">
        <v>43</v>
      </c>
      <c r="G88" s="50">
        <v>0</v>
      </c>
      <c r="H88" s="50">
        <v>1</v>
      </c>
      <c r="I88" s="50">
        <v>7</v>
      </c>
      <c r="J88" s="50">
        <v>0</v>
      </c>
      <c r="K88" s="50">
        <v>5</v>
      </c>
      <c r="L88" s="50">
        <v>0</v>
      </c>
      <c r="M88" s="50">
        <v>175</v>
      </c>
      <c r="N88" s="50">
        <v>0</v>
      </c>
      <c r="O88" s="15">
        <f t="shared" si="35"/>
        <v>142</v>
      </c>
      <c r="P88" s="15">
        <f t="shared" si="36"/>
        <v>317</v>
      </c>
      <c r="R88" s="8"/>
      <c r="T88"/>
    </row>
    <row r="89" spans="2:20" ht="23.1" customHeight="1" x14ac:dyDescent="0.25">
      <c r="B89" s="45" t="s">
        <v>129</v>
      </c>
      <c r="C89" s="50">
        <v>55</v>
      </c>
      <c r="D89" s="50">
        <v>18</v>
      </c>
      <c r="E89" s="50">
        <v>6</v>
      </c>
      <c r="F89" s="50">
        <v>30</v>
      </c>
      <c r="G89" s="50">
        <v>0</v>
      </c>
      <c r="H89" s="50">
        <v>0</v>
      </c>
      <c r="I89" s="50">
        <v>6</v>
      </c>
      <c r="J89" s="50">
        <v>2</v>
      </c>
      <c r="K89" s="50">
        <v>2</v>
      </c>
      <c r="L89" s="50">
        <v>0</v>
      </c>
      <c r="M89" s="50">
        <v>113</v>
      </c>
      <c r="N89" s="50">
        <v>0</v>
      </c>
      <c r="O89" s="15">
        <f t="shared" si="35"/>
        <v>119</v>
      </c>
      <c r="P89" s="15">
        <f t="shared" si="36"/>
        <v>232</v>
      </c>
      <c r="R89" s="8"/>
      <c r="T89"/>
    </row>
    <row r="90" spans="2:20" ht="23.1" customHeight="1" x14ac:dyDescent="0.25">
      <c r="B90" s="46" t="s">
        <v>130</v>
      </c>
      <c r="C90" s="50">
        <v>77</v>
      </c>
      <c r="D90" s="50">
        <v>23</v>
      </c>
      <c r="E90" s="50">
        <v>6</v>
      </c>
      <c r="F90" s="50">
        <v>62</v>
      </c>
      <c r="G90" s="50">
        <v>2</v>
      </c>
      <c r="H90" s="50">
        <v>2</v>
      </c>
      <c r="I90" s="50">
        <v>5</v>
      </c>
      <c r="J90" s="50">
        <v>1</v>
      </c>
      <c r="K90" s="50">
        <v>1</v>
      </c>
      <c r="L90" s="50">
        <v>0</v>
      </c>
      <c r="M90" s="50">
        <v>130</v>
      </c>
      <c r="N90" s="50">
        <v>0</v>
      </c>
      <c r="O90" s="15">
        <f t="shared" si="35"/>
        <v>179</v>
      </c>
      <c r="P90" s="15">
        <f t="shared" si="36"/>
        <v>309</v>
      </c>
      <c r="R90" s="8"/>
      <c r="T90"/>
    </row>
    <row r="91" spans="2:20" ht="23.1" customHeight="1" x14ac:dyDescent="0.25">
      <c r="B91" s="45" t="s">
        <v>131</v>
      </c>
      <c r="C91" s="50">
        <v>81</v>
      </c>
      <c r="D91" s="50">
        <v>11</v>
      </c>
      <c r="E91" s="50">
        <v>11</v>
      </c>
      <c r="F91" s="50">
        <v>55</v>
      </c>
      <c r="G91" s="50">
        <v>0</v>
      </c>
      <c r="H91" s="50">
        <v>0</v>
      </c>
      <c r="I91" s="50">
        <v>4</v>
      </c>
      <c r="J91" s="50">
        <v>2</v>
      </c>
      <c r="K91" s="50">
        <v>1</v>
      </c>
      <c r="L91" s="50">
        <v>0</v>
      </c>
      <c r="M91" s="50">
        <v>188</v>
      </c>
      <c r="N91" s="50">
        <v>0</v>
      </c>
      <c r="O91" s="15">
        <f t="shared" si="35"/>
        <v>165</v>
      </c>
      <c r="P91" s="15">
        <f t="shared" si="36"/>
        <v>353</v>
      </c>
      <c r="R91" s="8"/>
      <c r="T91"/>
    </row>
    <row r="92" spans="2:20" ht="23.1" customHeight="1" x14ac:dyDescent="0.25">
      <c r="B92" s="47" t="s">
        <v>132</v>
      </c>
      <c r="C92" s="50">
        <v>62</v>
      </c>
      <c r="D92" s="50">
        <v>18</v>
      </c>
      <c r="E92" s="50">
        <v>12</v>
      </c>
      <c r="F92" s="50">
        <v>47</v>
      </c>
      <c r="G92" s="50">
        <v>1</v>
      </c>
      <c r="H92" s="50">
        <v>1</v>
      </c>
      <c r="I92" s="50">
        <v>5</v>
      </c>
      <c r="J92" s="50">
        <v>0</v>
      </c>
      <c r="K92" s="50">
        <v>5</v>
      </c>
      <c r="L92" s="50">
        <v>0</v>
      </c>
      <c r="M92" s="50">
        <v>140</v>
      </c>
      <c r="N92" s="50">
        <v>0</v>
      </c>
      <c r="O92" s="15">
        <f t="shared" si="35"/>
        <v>151</v>
      </c>
      <c r="P92" s="15">
        <f t="shared" si="36"/>
        <v>291</v>
      </c>
      <c r="R92" s="8"/>
      <c r="T92"/>
    </row>
    <row r="93" spans="2:20" ht="23.1" customHeight="1" x14ac:dyDescent="0.25">
      <c r="B93" s="45" t="s">
        <v>133</v>
      </c>
      <c r="C93" s="50">
        <v>79</v>
      </c>
      <c r="D93" s="50">
        <v>23</v>
      </c>
      <c r="E93" s="50">
        <v>11</v>
      </c>
      <c r="F93" s="50">
        <v>57</v>
      </c>
      <c r="G93" s="50">
        <v>3</v>
      </c>
      <c r="H93" s="50">
        <v>0</v>
      </c>
      <c r="I93" s="50">
        <v>8</v>
      </c>
      <c r="J93" s="50">
        <v>0</v>
      </c>
      <c r="K93" s="50">
        <v>3</v>
      </c>
      <c r="L93" s="50">
        <v>1</v>
      </c>
      <c r="M93" s="50">
        <v>200</v>
      </c>
      <c r="N93" s="50">
        <v>0</v>
      </c>
      <c r="O93" s="15">
        <f t="shared" si="35"/>
        <v>185</v>
      </c>
      <c r="P93" s="15">
        <f t="shared" si="36"/>
        <v>385</v>
      </c>
      <c r="R93" s="8"/>
      <c r="T93"/>
    </row>
    <row r="94" spans="2:20" ht="23.1" customHeight="1" x14ac:dyDescent="0.25">
      <c r="B94" s="46" t="s">
        <v>134</v>
      </c>
      <c r="C94" s="50">
        <v>66</v>
      </c>
      <c r="D94" s="50">
        <v>11</v>
      </c>
      <c r="E94" s="50">
        <v>11</v>
      </c>
      <c r="F94" s="50">
        <v>65</v>
      </c>
      <c r="G94" s="50">
        <v>0</v>
      </c>
      <c r="H94" s="50">
        <v>0</v>
      </c>
      <c r="I94" s="50">
        <v>6</v>
      </c>
      <c r="J94" s="50">
        <v>0</v>
      </c>
      <c r="K94" s="50">
        <v>2</v>
      </c>
      <c r="L94" s="50">
        <v>0</v>
      </c>
      <c r="M94" s="50">
        <v>223</v>
      </c>
      <c r="N94" s="50">
        <v>0</v>
      </c>
      <c r="O94" s="15">
        <f t="shared" si="35"/>
        <v>161</v>
      </c>
      <c r="P94" s="15">
        <f t="shared" si="36"/>
        <v>384</v>
      </c>
      <c r="R94" s="8"/>
      <c r="T94"/>
    </row>
    <row r="95" spans="2:20" ht="23.1" customHeight="1" x14ac:dyDescent="0.25">
      <c r="B95" s="45" t="s">
        <v>135</v>
      </c>
      <c r="C95" s="50">
        <v>45</v>
      </c>
      <c r="D95" s="50">
        <v>29</v>
      </c>
      <c r="E95" s="50">
        <v>15</v>
      </c>
      <c r="F95" s="50">
        <v>96</v>
      </c>
      <c r="G95" s="50">
        <v>0</v>
      </c>
      <c r="H95" s="50">
        <v>1</v>
      </c>
      <c r="I95" s="50">
        <v>11</v>
      </c>
      <c r="J95" s="50">
        <v>0</v>
      </c>
      <c r="K95" s="50">
        <v>2</v>
      </c>
      <c r="L95" s="50">
        <v>0</v>
      </c>
      <c r="M95" s="50">
        <v>225</v>
      </c>
      <c r="N95" s="50">
        <v>0</v>
      </c>
      <c r="O95" s="15">
        <f t="shared" si="35"/>
        <v>199</v>
      </c>
      <c r="P95" s="15">
        <f t="shared" si="36"/>
        <v>424</v>
      </c>
      <c r="R95" s="8"/>
      <c r="T95"/>
    </row>
    <row r="96" spans="2:20" ht="23.1" customHeight="1" x14ac:dyDescent="0.25">
      <c r="B96" s="47" t="s">
        <v>136</v>
      </c>
      <c r="C96" s="50">
        <v>46</v>
      </c>
      <c r="D96" s="50">
        <v>13</v>
      </c>
      <c r="E96" s="50">
        <v>11</v>
      </c>
      <c r="F96" s="50">
        <v>33</v>
      </c>
      <c r="G96" s="50">
        <v>1</v>
      </c>
      <c r="H96" s="50">
        <v>1</v>
      </c>
      <c r="I96" s="50">
        <v>5</v>
      </c>
      <c r="J96" s="50">
        <v>0</v>
      </c>
      <c r="K96" s="50">
        <v>1</v>
      </c>
      <c r="L96" s="50">
        <v>1</v>
      </c>
      <c r="M96" s="50">
        <v>226</v>
      </c>
      <c r="N96" s="50">
        <v>0</v>
      </c>
      <c r="O96" s="15">
        <f t="shared" si="35"/>
        <v>112</v>
      </c>
      <c r="P96" s="15">
        <f t="shared" si="36"/>
        <v>338</v>
      </c>
      <c r="R96" s="8"/>
      <c r="T96"/>
    </row>
    <row r="97" spans="2:20" ht="23.1" customHeight="1" x14ac:dyDescent="0.25">
      <c r="B97" s="45" t="s">
        <v>137</v>
      </c>
      <c r="C97" s="50">
        <v>58</v>
      </c>
      <c r="D97" s="50">
        <v>20</v>
      </c>
      <c r="E97" s="50">
        <v>13</v>
      </c>
      <c r="F97" s="50">
        <v>57</v>
      </c>
      <c r="G97" s="50">
        <v>1</v>
      </c>
      <c r="H97" s="50">
        <v>0</v>
      </c>
      <c r="I97" s="50">
        <v>7</v>
      </c>
      <c r="J97" s="50">
        <v>5</v>
      </c>
      <c r="K97" s="50">
        <v>0</v>
      </c>
      <c r="L97" s="50">
        <v>0</v>
      </c>
      <c r="M97" s="50">
        <v>0</v>
      </c>
      <c r="N97" s="50">
        <v>0</v>
      </c>
      <c r="O97" s="15">
        <f t="shared" si="35"/>
        <v>161</v>
      </c>
      <c r="P97" s="15">
        <f t="shared" si="36"/>
        <v>161</v>
      </c>
      <c r="R97" s="8"/>
      <c r="T97"/>
    </row>
    <row r="98" spans="2:20" ht="23.1" customHeight="1" x14ac:dyDescent="0.25">
      <c r="B98" s="46" t="s">
        <v>138</v>
      </c>
      <c r="C98" s="50">
        <v>75</v>
      </c>
      <c r="D98" s="50">
        <v>20</v>
      </c>
      <c r="E98" s="50">
        <v>9</v>
      </c>
      <c r="F98" s="50">
        <v>84</v>
      </c>
      <c r="G98" s="50">
        <v>1</v>
      </c>
      <c r="H98" s="50">
        <v>1</v>
      </c>
      <c r="I98" s="50">
        <v>7</v>
      </c>
      <c r="J98" s="50">
        <v>0</v>
      </c>
      <c r="K98" s="50">
        <v>0</v>
      </c>
      <c r="L98" s="50">
        <v>0</v>
      </c>
      <c r="M98" s="50">
        <v>200</v>
      </c>
      <c r="N98" s="50">
        <v>0</v>
      </c>
      <c r="O98" s="15">
        <f t="shared" si="35"/>
        <v>197</v>
      </c>
      <c r="P98" s="15">
        <f t="shared" si="36"/>
        <v>397</v>
      </c>
      <c r="R98" s="8"/>
      <c r="T98"/>
    </row>
    <row r="99" spans="2:20" ht="23.1" customHeight="1" x14ac:dyDescent="0.25">
      <c r="B99" s="45" t="s">
        <v>139</v>
      </c>
      <c r="C99" s="50">
        <v>100</v>
      </c>
      <c r="D99" s="50">
        <v>19</v>
      </c>
      <c r="E99" s="50">
        <v>10</v>
      </c>
      <c r="F99" s="50">
        <v>70</v>
      </c>
      <c r="G99" s="50">
        <v>0</v>
      </c>
      <c r="H99" s="50">
        <v>1</v>
      </c>
      <c r="I99" s="50">
        <v>7</v>
      </c>
      <c r="J99" s="50">
        <v>0</v>
      </c>
      <c r="K99" s="50">
        <v>0</v>
      </c>
      <c r="L99" s="50">
        <v>1</v>
      </c>
      <c r="M99" s="50">
        <v>190</v>
      </c>
      <c r="N99" s="50">
        <v>0</v>
      </c>
      <c r="O99" s="15">
        <f t="shared" si="35"/>
        <v>208</v>
      </c>
      <c r="P99" s="15">
        <f t="shared" si="36"/>
        <v>398</v>
      </c>
      <c r="R99" s="8"/>
      <c r="T99"/>
    </row>
    <row r="100" spans="2:20" ht="23.1" customHeight="1" x14ac:dyDescent="0.25">
      <c r="B100" s="47" t="s">
        <v>140</v>
      </c>
      <c r="C100" s="50">
        <v>90</v>
      </c>
      <c r="D100" s="50">
        <v>17</v>
      </c>
      <c r="E100" s="50">
        <v>9</v>
      </c>
      <c r="F100" s="50">
        <v>81</v>
      </c>
      <c r="G100" s="50">
        <v>1</v>
      </c>
      <c r="H100" s="50">
        <v>2</v>
      </c>
      <c r="I100" s="50">
        <v>6</v>
      </c>
      <c r="J100" s="50">
        <v>2</v>
      </c>
      <c r="K100" s="50">
        <v>0</v>
      </c>
      <c r="L100" s="50">
        <v>0</v>
      </c>
      <c r="M100" s="50">
        <v>308</v>
      </c>
      <c r="N100" s="50">
        <v>0</v>
      </c>
      <c r="O100" s="15">
        <f t="shared" si="35"/>
        <v>208</v>
      </c>
      <c r="P100" s="15">
        <f t="shared" si="36"/>
        <v>516</v>
      </c>
      <c r="R100" s="8"/>
      <c r="T100"/>
    </row>
    <row r="101" spans="2:20" ht="23.1" customHeight="1" x14ac:dyDescent="0.25">
      <c r="B101" s="45" t="s">
        <v>141</v>
      </c>
      <c r="C101" s="50">
        <v>36</v>
      </c>
      <c r="D101" s="50">
        <v>7</v>
      </c>
      <c r="E101" s="50">
        <v>8</v>
      </c>
      <c r="F101" s="50">
        <v>73</v>
      </c>
      <c r="G101" s="50">
        <v>1</v>
      </c>
      <c r="H101" s="50">
        <v>0</v>
      </c>
      <c r="I101" s="50">
        <v>7</v>
      </c>
      <c r="J101" s="50">
        <v>2</v>
      </c>
      <c r="K101" s="50">
        <v>0</v>
      </c>
      <c r="L101" s="50">
        <v>0</v>
      </c>
      <c r="M101" s="50">
        <v>225</v>
      </c>
      <c r="N101" s="50">
        <v>0</v>
      </c>
      <c r="O101" s="15">
        <f t="shared" si="35"/>
        <v>134</v>
      </c>
      <c r="P101" s="15">
        <f t="shared" si="36"/>
        <v>359</v>
      </c>
      <c r="R101" s="8"/>
      <c r="T101"/>
    </row>
    <row r="102" spans="2:20" ht="23.1" customHeight="1" x14ac:dyDescent="0.25">
      <c r="B102" s="46" t="s">
        <v>142</v>
      </c>
      <c r="C102" s="50">
        <v>110</v>
      </c>
      <c r="D102" s="50">
        <v>16</v>
      </c>
      <c r="E102" s="50">
        <v>11</v>
      </c>
      <c r="F102" s="50">
        <v>90</v>
      </c>
      <c r="G102" s="50">
        <v>3</v>
      </c>
      <c r="H102" s="50">
        <v>0</v>
      </c>
      <c r="I102" s="50">
        <v>3</v>
      </c>
      <c r="J102" s="50">
        <v>0</v>
      </c>
      <c r="K102" s="50">
        <v>1</v>
      </c>
      <c r="L102" s="50">
        <v>0</v>
      </c>
      <c r="M102" s="50">
        <v>135</v>
      </c>
      <c r="N102" s="50">
        <v>0</v>
      </c>
      <c r="O102" s="15">
        <f t="shared" si="35"/>
        <v>234</v>
      </c>
      <c r="P102" s="15">
        <f t="shared" si="36"/>
        <v>369</v>
      </c>
      <c r="R102" s="8"/>
      <c r="T102"/>
    </row>
    <row r="103" spans="2:20" ht="23.1" customHeight="1" x14ac:dyDescent="0.25">
      <c r="B103" s="45" t="s">
        <v>143</v>
      </c>
      <c r="C103" s="50">
        <v>98</v>
      </c>
      <c r="D103" s="50">
        <v>22</v>
      </c>
      <c r="E103" s="50">
        <v>8</v>
      </c>
      <c r="F103" s="50">
        <v>65</v>
      </c>
      <c r="G103" s="50">
        <v>3</v>
      </c>
      <c r="H103" s="50">
        <v>1</v>
      </c>
      <c r="I103" s="50">
        <v>3</v>
      </c>
      <c r="J103" s="50">
        <v>1</v>
      </c>
      <c r="K103" s="50">
        <v>1</v>
      </c>
      <c r="L103" s="50">
        <v>1</v>
      </c>
      <c r="M103" s="50">
        <v>200</v>
      </c>
      <c r="N103" s="50">
        <v>0</v>
      </c>
      <c r="O103" s="15">
        <f t="shared" si="35"/>
        <v>203</v>
      </c>
      <c r="P103" s="15">
        <f t="shared" si="36"/>
        <v>403</v>
      </c>
      <c r="R103" s="8"/>
      <c r="T103"/>
    </row>
    <row r="104" spans="2:20" ht="23.1" customHeight="1" x14ac:dyDescent="0.25">
      <c r="B104" s="47" t="s">
        <v>144</v>
      </c>
      <c r="C104" s="50">
        <v>76</v>
      </c>
      <c r="D104" s="50">
        <v>26</v>
      </c>
      <c r="E104" s="50">
        <v>15</v>
      </c>
      <c r="F104" s="50">
        <v>61</v>
      </c>
      <c r="G104" s="50">
        <v>5</v>
      </c>
      <c r="H104" s="50">
        <v>0</v>
      </c>
      <c r="I104" s="50">
        <v>1</v>
      </c>
      <c r="J104" s="50">
        <v>0</v>
      </c>
      <c r="K104" s="50">
        <v>11</v>
      </c>
      <c r="L104" s="50">
        <v>0</v>
      </c>
      <c r="M104" s="50">
        <v>200</v>
      </c>
      <c r="N104" s="50">
        <v>0</v>
      </c>
      <c r="O104" s="15">
        <f t="shared" si="35"/>
        <v>195</v>
      </c>
      <c r="P104" s="15">
        <f t="shared" si="36"/>
        <v>395</v>
      </c>
      <c r="R104" s="8"/>
      <c r="T104"/>
    </row>
    <row r="105" spans="2:20" ht="23.1" customHeight="1" x14ac:dyDescent="0.25">
      <c r="B105" s="45" t="s">
        <v>145</v>
      </c>
      <c r="C105" s="50">
        <v>104</v>
      </c>
      <c r="D105" s="50">
        <v>20</v>
      </c>
      <c r="E105" s="50">
        <v>8</v>
      </c>
      <c r="F105" s="50">
        <v>109</v>
      </c>
      <c r="G105" s="50">
        <v>2</v>
      </c>
      <c r="H105" s="50">
        <v>1</v>
      </c>
      <c r="I105" s="50">
        <v>2</v>
      </c>
      <c r="J105" s="50">
        <v>1</v>
      </c>
      <c r="K105" s="50">
        <v>1</v>
      </c>
      <c r="L105" s="50">
        <v>0</v>
      </c>
      <c r="M105" s="50">
        <v>180</v>
      </c>
      <c r="N105" s="50">
        <v>0</v>
      </c>
      <c r="O105" s="15">
        <f t="shared" si="35"/>
        <v>248</v>
      </c>
      <c r="P105" s="15">
        <f t="shared" si="36"/>
        <v>428</v>
      </c>
      <c r="R105" s="8"/>
      <c r="T105"/>
    </row>
    <row r="106" spans="2:20" ht="23.1" customHeight="1" x14ac:dyDescent="0.25">
      <c r="B106" s="26" t="s">
        <v>18</v>
      </c>
      <c r="C106" s="16">
        <f>SUM(C10:C105)</f>
        <v>4032</v>
      </c>
      <c r="D106" s="16">
        <f t="shared" ref="D106:P106" si="37">SUM(D10:D105)</f>
        <v>980</v>
      </c>
      <c r="E106" s="16">
        <f t="shared" si="37"/>
        <v>757</v>
      </c>
      <c r="F106" s="16">
        <f t="shared" si="37"/>
        <v>3488</v>
      </c>
      <c r="G106" s="16">
        <f t="shared" si="37"/>
        <v>68</v>
      </c>
      <c r="H106" s="16">
        <f t="shared" si="37"/>
        <v>95</v>
      </c>
      <c r="I106" s="16">
        <f t="shared" si="37"/>
        <v>438</v>
      </c>
      <c r="J106" s="16">
        <f t="shared" si="37"/>
        <v>128</v>
      </c>
      <c r="K106" s="16">
        <f t="shared" si="37"/>
        <v>86</v>
      </c>
      <c r="L106" s="16">
        <f t="shared" si="37"/>
        <v>36</v>
      </c>
      <c r="M106" s="16">
        <f t="shared" si="37"/>
        <v>10867</v>
      </c>
      <c r="N106" s="16">
        <f t="shared" si="37"/>
        <v>0</v>
      </c>
      <c r="O106" s="16">
        <f t="shared" si="37"/>
        <v>10108</v>
      </c>
      <c r="P106" s="16">
        <f t="shared" si="37"/>
        <v>20908</v>
      </c>
      <c r="R106" s="8"/>
      <c r="T106"/>
    </row>
    <row r="107" spans="2:20" ht="23.1" customHeight="1" x14ac:dyDescent="0.25">
      <c r="B107" s="26" t="s">
        <v>93</v>
      </c>
      <c r="C107" s="43">
        <f t="shared" ref="C107:N107" si="38">C106/$P$106</f>
        <v>0.19284484407882149</v>
      </c>
      <c r="D107" s="43">
        <f t="shared" si="38"/>
        <v>4.6872010713602447E-2</v>
      </c>
      <c r="E107" s="43">
        <f t="shared" si="38"/>
        <v>3.6206236847139854E-2</v>
      </c>
      <c r="F107" s="43">
        <f t="shared" si="38"/>
        <v>0.16682609527453607</v>
      </c>
      <c r="G107" s="43">
        <f t="shared" si="38"/>
        <v>3.2523436005356802E-3</v>
      </c>
      <c r="H107" s="43">
        <f t="shared" si="38"/>
        <v>4.543715324277788E-3</v>
      </c>
      <c r="I107" s="43">
        <f t="shared" si="38"/>
        <v>2.0948919074038647E-2</v>
      </c>
      <c r="J107" s="43">
        <f t="shared" si="38"/>
        <v>6.1220585421848097E-3</v>
      </c>
      <c r="K107" s="43">
        <f t="shared" si="38"/>
        <v>4.1132580830304192E-3</v>
      </c>
      <c r="L107" s="43">
        <f t="shared" si="38"/>
        <v>1.7218289649894778E-3</v>
      </c>
      <c r="M107" s="43">
        <f t="shared" si="38"/>
        <v>0.51975320451501816</v>
      </c>
      <c r="N107" s="43">
        <f t="shared" si="38"/>
        <v>0</v>
      </c>
      <c r="R107" s="8"/>
      <c r="T107"/>
    </row>
    <row r="108" spans="2:20" ht="23.1" customHeight="1" x14ac:dyDescent="0.25">
      <c r="B108" s="42" t="s">
        <v>94</v>
      </c>
      <c r="C108" s="44">
        <f>C106/$O$106</f>
        <v>0.39889196675900279</v>
      </c>
      <c r="D108" s="44">
        <f t="shared" ref="D108:N108" si="39">D106/$O$106</f>
        <v>9.6952908587257622E-2</v>
      </c>
      <c r="E108" s="44">
        <f t="shared" si="39"/>
        <v>7.4891175306687777E-2</v>
      </c>
      <c r="F108" s="44">
        <f t="shared" si="39"/>
        <v>0.34507320933913732</v>
      </c>
      <c r="G108" s="44">
        <f t="shared" si="39"/>
        <v>6.7273446774831812E-3</v>
      </c>
      <c r="H108" s="44">
        <f t="shared" si="39"/>
        <v>9.3984962406015032E-3</v>
      </c>
      <c r="I108" s="44">
        <f t="shared" si="39"/>
        <v>4.3332014246141672E-2</v>
      </c>
      <c r="J108" s="44">
        <f t="shared" si="39"/>
        <v>1.2663237039968342E-2</v>
      </c>
      <c r="K108" s="44">
        <f t="shared" si="39"/>
        <v>8.5081123862287295E-3</v>
      </c>
      <c r="L108" s="44">
        <f t="shared" si="39"/>
        <v>3.5615354174910962E-3</v>
      </c>
      <c r="M108" s="44"/>
      <c r="N108" s="44">
        <f t="shared" si="39"/>
        <v>0</v>
      </c>
      <c r="Q108" s="7"/>
      <c r="R108" s="8"/>
      <c r="T108"/>
    </row>
    <row r="109" spans="2:20" ht="23.1" customHeight="1" x14ac:dyDescent="0.25">
      <c r="B109" s="3"/>
      <c r="C109" s="18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Q109" s="7"/>
      <c r="R109" s="8"/>
      <c r="T109"/>
    </row>
    <row r="110" spans="2:20" ht="23.1" customHeight="1" x14ac:dyDescent="0.25">
      <c r="B110" s="3"/>
      <c r="C110" s="18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Q110" s="7"/>
      <c r="R110" s="8"/>
      <c r="T110"/>
    </row>
    <row r="111" spans="2:20" ht="23.1" customHeight="1" x14ac:dyDescent="0.25">
      <c r="B111" s="3"/>
      <c r="C111" s="18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Q111" s="7"/>
    </row>
    <row r="112" spans="2:20" ht="23.1" customHeight="1" x14ac:dyDescent="0.25">
      <c r="B112" s="3"/>
      <c r="C112" s="18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Q112" s="7"/>
    </row>
    <row r="113" spans="2:20" s="7" customFormat="1" ht="23.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/>
      <c r="P113"/>
      <c r="S113" s="8"/>
      <c r="T113" s="8"/>
    </row>
    <row r="114" spans="2:20" s="7" customFormat="1" ht="23.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/>
      <c r="P114"/>
      <c r="S114" s="8"/>
      <c r="T114" s="8"/>
    </row>
    <row r="115" spans="2:20" s="7" customFormat="1" ht="23.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/>
      <c r="P115"/>
      <c r="S115" s="8"/>
      <c r="T115" s="8"/>
    </row>
    <row r="116" spans="2:20" s="7" customFormat="1" ht="23.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/>
      <c r="P116"/>
      <c r="S116" s="8"/>
      <c r="T116" s="8"/>
    </row>
    <row r="117" spans="2:20" s="7" customFormat="1" ht="23.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/>
      <c r="P117"/>
      <c r="S117" s="8"/>
      <c r="T117" s="8"/>
    </row>
    <row r="118" spans="2:20" s="7" customFormat="1" ht="23.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/>
      <c r="P118"/>
      <c r="S118" s="8"/>
      <c r="T118" s="8"/>
    </row>
    <row r="119" spans="2:20" s="7" customFormat="1" ht="23.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/>
      <c r="P119"/>
      <c r="S119" s="8"/>
      <c r="T119" s="8"/>
    </row>
    <row r="120" spans="2:20" s="7" customFormat="1" ht="23.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/>
      <c r="P120"/>
      <c r="S120" s="8"/>
      <c r="T120" s="8"/>
    </row>
    <row r="121" spans="2:20" s="7" customFormat="1" ht="23.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/>
      <c r="P121"/>
      <c r="S121" s="8"/>
      <c r="T121" s="8"/>
    </row>
    <row r="122" spans="2:20" s="7" customFormat="1" ht="23.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/>
      <c r="P122"/>
      <c r="S122" s="8"/>
      <c r="T122" s="8"/>
    </row>
    <row r="123" spans="2:20" s="7" customFormat="1" ht="23.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/>
      <c r="P123"/>
      <c r="S123" s="8"/>
      <c r="T123" s="8"/>
    </row>
    <row r="124" spans="2:20" s="7" customFormat="1" ht="23.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/>
      <c r="P124"/>
      <c r="S124" s="8"/>
      <c r="T124" s="8"/>
    </row>
    <row r="125" spans="2:20" s="7" customFormat="1" ht="23.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/>
      <c r="P125"/>
      <c r="Q125"/>
      <c r="S125" s="8"/>
      <c r="T125" s="8"/>
    </row>
    <row r="126" spans="2:20" s="7" customFormat="1" ht="23.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/>
      <c r="P126"/>
      <c r="Q126"/>
      <c r="S126" s="8"/>
      <c r="T126" s="8"/>
    </row>
    <row r="127" spans="2:20" s="7" customFormat="1" ht="23.1" customHeight="1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/>
      <c r="P127"/>
      <c r="Q127"/>
      <c r="S127" s="8"/>
      <c r="T127" s="8"/>
    </row>
    <row r="128" spans="2:20" s="7" customFormat="1" ht="23.1" customHeight="1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/>
      <c r="P128"/>
      <c r="Q128"/>
      <c r="S128" s="8"/>
      <c r="T128" s="8"/>
    </row>
    <row r="129" spans="2:14" ht="23.1" customHeight="1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spans="2:14" ht="23.1" customHeight="1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2:14" ht="23.1" customHeight="1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2:14" ht="23.1" customHeight="1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2:14" ht="23.1" customHeight="1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2:14" ht="23.1" customHeight="1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2:14" ht="23.1" customHeight="1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2:14" ht="23.1" customHeight="1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2:14" ht="23.1" customHeight="1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2:14" ht="23.1" customHeight="1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2:14" ht="23.1" customHeight="1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2:14" ht="23.1" customHeight="1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2:14" ht="23.1" customHeight="1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2:14" ht="23.1" customHeight="1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2:14" ht="23.1" customHeight="1" x14ac:dyDescent="0.25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2:14" ht="23.1" customHeight="1" x14ac:dyDescent="0.25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2:14" ht="23.1" customHeight="1" x14ac:dyDescent="0.25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2:14" ht="23.1" customHeight="1" x14ac:dyDescent="0.25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2:14" ht="23.1" customHeight="1" x14ac:dyDescent="0.25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2:14" ht="23.1" customHeight="1" x14ac:dyDescent="0.25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2:14" ht="23.1" customHeight="1" x14ac:dyDescent="0.25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2:14" ht="23.1" customHeight="1" x14ac:dyDescent="0.25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2:14" ht="23.1" customHeight="1" x14ac:dyDescent="0.25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2:14" ht="23.1" customHeight="1" x14ac:dyDescent="0.25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2:14" ht="23.1" customHeight="1" x14ac:dyDescent="0.25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2:14" ht="23.1" customHeight="1" x14ac:dyDescent="0.25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2:14" ht="23.1" customHeight="1" x14ac:dyDescent="0.25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2:14" ht="23.1" customHeight="1" x14ac:dyDescent="0.25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2:14" ht="23.1" customHeight="1" x14ac:dyDescent="0.25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2:14" ht="23.1" customHeight="1" x14ac:dyDescent="0.25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2:14" ht="23.1" customHeight="1" x14ac:dyDescent="0.25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2:14" ht="23.1" customHeight="1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2:14" ht="23.1" customHeight="1" x14ac:dyDescent="0.2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2:14" ht="23.1" customHeight="1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2:14" ht="23.1" customHeight="1" x14ac:dyDescent="0.2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2:14" ht="23.1" customHeight="1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2:14" ht="23.1" customHeight="1" x14ac:dyDescent="0.2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2:14" ht="23.1" customHeight="1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2:14" ht="23.1" customHeight="1" x14ac:dyDescent="0.2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2:14" ht="23.1" customHeight="1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2:14" ht="23.1" customHeight="1" x14ac:dyDescent="0.2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2:14" ht="23.1" customHeight="1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2:14" ht="23.1" customHeight="1" x14ac:dyDescent="0.2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2:14" ht="23.1" customHeight="1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2:14" ht="23.1" customHeight="1" x14ac:dyDescent="0.2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2:14" ht="23.1" customHeight="1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honeticPr fontId="14" type="noConversion"/>
  <pageMargins left="0" right="0" top="0" bottom="0" header="0.15748031496063" footer="0.118110236220472"/>
  <pageSetup paperSize="9" scale="40" orientation="landscape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 tint="-0.249977111117893"/>
  </sheetPr>
  <dimension ref="B1:AF174"/>
  <sheetViews>
    <sheetView view="pageBreakPreview" topLeftCell="A36" zoomScale="60" workbookViewId="0">
      <selection activeCell="B58" sqref="B58:B105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710937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64" t="s">
        <v>23</v>
      </c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  <c r="S1" s="64"/>
      <c r="T1" s="64"/>
      <c r="U1" s="64"/>
      <c r="V1" s="64"/>
      <c r="W1" s="64"/>
      <c r="X1" s="64"/>
      <c r="Y1" s="64"/>
      <c r="Z1" s="64"/>
      <c r="AA1" s="64"/>
      <c r="AB1" s="64"/>
      <c r="AC1" s="64"/>
      <c r="AD1" s="64"/>
      <c r="AE1" s="64"/>
    </row>
    <row r="2" spans="2:32" ht="20.100000000000001" customHeight="1" x14ac:dyDescent="0.25">
      <c r="B2" s="65" t="s">
        <v>95</v>
      </c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  <c r="AA2" s="65"/>
      <c r="AB2" s="65"/>
      <c r="AC2" s="65"/>
      <c r="AD2" s="65"/>
      <c r="AE2" s="65"/>
    </row>
    <row r="3" spans="2:32" ht="20.100000000000001" customHeight="1" x14ac:dyDescent="0.25">
      <c r="B3" s="22" t="s">
        <v>96</v>
      </c>
      <c r="C3" s="71" t="str">
        <f>'22.07 Bwaise-Makerere'!C3:G3</f>
        <v>MCC - C1 - STN021- SIR APOLLO ROAD</v>
      </c>
      <c r="D3" s="71"/>
      <c r="E3" s="71"/>
      <c r="F3" s="71"/>
      <c r="G3" s="71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tr">
        <f>'26.07 Bwaise-Makerere-24h'!D5</f>
        <v>26.07.19</v>
      </c>
      <c r="E5" s="3"/>
      <c r="F5" s="41" t="s">
        <v>1</v>
      </c>
      <c r="G5" s="69" t="s">
        <v>176</v>
      </c>
      <c r="H5" s="70"/>
      <c r="I5" s="14"/>
      <c r="J5" s="2" t="s">
        <v>5</v>
      </c>
      <c r="K5" s="69" t="s">
        <v>186</v>
      </c>
      <c r="L5" s="70"/>
      <c r="M5" s="10"/>
      <c r="N5" s="10"/>
      <c r="O5" s="3"/>
      <c r="P5" s="3"/>
    </row>
    <row r="6" spans="2:32" ht="23.25" customHeight="1" x14ac:dyDescent="0.25">
      <c r="C6" s="2" t="s">
        <v>4</v>
      </c>
      <c r="D6" s="69" t="str">
        <f>'22.07 MAKERERE-BWAISE'!D6:E6</f>
        <v>MAKARERE</v>
      </c>
      <c r="E6" s="70"/>
      <c r="F6" s="2" t="s">
        <v>2</v>
      </c>
      <c r="G6" s="69" t="str">
        <f>'23.07 Makerere-Bwaise'!G6:H6</f>
        <v>BWAISE</v>
      </c>
      <c r="H6" s="70"/>
      <c r="J6" s="2" t="s">
        <v>21</v>
      </c>
      <c r="K6" s="69" t="str">
        <f>'26.07 Bwaise-Makerere-24h'!K6:L6</f>
        <v>SALIMAH</v>
      </c>
      <c r="L6" s="70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63" t="s">
        <v>88</v>
      </c>
      <c r="S8" s="63"/>
      <c r="T8" s="63"/>
      <c r="U8" s="63"/>
      <c r="V8" s="63"/>
      <c r="W8" s="63"/>
      <c r="X8" s="63"/>
      <c r="Y8" s="63"/>
      <c r="Z8" s="63"/>
      <c r="AA8" s="63"/>
      <c r="AB8" s="63"/>
      <c r="AC8" s="63"/>
      <c r="AD8" s="63"/>
      <c r="AE8" s="63"/>
      <c r="AF8" s="63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45" t="s">
        <v>37</v>
      </c>
      <c r="C10" s="50">
        <v>20</v>
      </c>
      <c r="D10" s="50">
        <v>4</v>
      </c>
      <c r="E10" s="50">
        <v>4</v>
      </c>
      <c r="F10" s="50">
        <v>46</v>
      </c>
      <c r="G10" s="50">
        <v>1</v>
      </c>
      <c r="H10" s="50">
        <v>3</v>
      </c>
      <c r="I10" s="50">
        <v>8</v>
      </c>
      <c r="J10" s="50">
        <v>0</v>
      </c>
      <c r="K10" s="50">
        <v>0</v>
      </c>
      <c r="L10" s="50">
        <v>0</v>
      </c>
      <c r="M10" s="50">
        <v>107</v>
      </c>
      <c r="N10" s="50">
        <v>0</v>
      </c>
      <c r="O10" s="15">
        <f t="shared" ref="O10:O73" si="0">SUM(C10:L10,N10)</f>
        <v>86</v>
      </c>
      <c r="P10" s="15">
        <f t="shared" ref="P10:P73" si="1">SUM(C10:N10)</f>
        <v>193</v>
      </c>
      <c r="R10" s="1" t="s">
        <v>6</v>
      </c>
      <c r="S10" s="17">
        <f t="shared" ref="S10:AF10" si="2">SUM(C10:C13)</f>
        <v>137</v>
      </c>
      <c r="T10" s="17">
        <f t="shared" si="2"/>
        <v>32</v>
      </c>
      <c r="U10" s="17">
        <f t="shared" si="2"/>
        <v>9</v>
      </c>
      <c r="V10" s="17">
        <f t="shared" si="2"/>
        <v>189</v>
      </c>
      <c r="W10" s="17">
        <f t="shared" si="2"/>
        <v>3</v>
      </c>
      <c r="X10" s="17">
        <f t="shared" si="2"/>
        <v>5</v>
      </c>
      <c r="Y10" s="17">
        <f t="shared" si="2"/>
        <v>62</v>
      </c>
      <c r="Z10" s="17">
        <f t="shared" si="2"/>
        <v>0</v>
      </c>
      <c r="AA10" s="17">
        <f t="shared" si="2"/>
        <v>0</v>
      </c>
      <c r="AB10" s="17">
        <f t="shared" si="2"/>
        <v>2</v>
      </c>
      <c r="AC10" s="17">
        <f t="shared" si="2"/>
        <v>524</v>
      </c>
      <c r="AD10" s="17">
        <f t="shared" si="2"/>
        <v>0</v>
      </c>
      <c r="AE10" s="31">
        <f t="shared" si="2"/>
        <v>439</v>
      </c>
      <c r="AF10" s="31">
        <f t="shared" si="2"/>
        <v>963</v>
      </c>
    </row>
    <row r="11" spans="2:32" s="6" customFormat="1" ht="23.1" customHeight="1" x14ac:dyDescent="0.25">
      <c r="B11" s="45" t="s">
        <v>38</v>
      </c>
      <c r="C11" s="50">
        <v>45</v>
      </c>
      <c r="D11" s="50">
        <v>12</v>
      </c>
      <c r="E11" s="50">
        <v>1</v>
      </c>
      <c r="F11" s="50">
        <v>27</v>
      </c>
      <c r="G11" s="50">
        <v>2</v>
      </c>
      <c r="H11" s="50">
        <v>0</v>
      </c>
      <c r="I11" s="50">
        <v>5</v>
      </c>
      <c r="J11" s="50">
        <v>0</v>
      </c>
      <c r="K11" s="50">
        <v>0</v>
      </c>
      <c r="L11" s="50">
        <v>0</v>
      </c>
      <c r="M11" s="50">
        <v>105</v>
      </c>
      <c r="N11" s="50">
        <v>0</v>
      </c>
      <c r="O11" s="15">
        <f t="shared" si="0"/>
        <v>92</v>
      </c>
      <c r="P11" s="15">
        <f t="shared" si="1"/>
        <v>197</v>
      </c>
      <c r="R11" s="1" t="s">
        <v>7</v>
      </c>
      <c r="S11" s="17">
        <f t="shared" ref="S11:AF11" si="3">SUM(C14:C17)</f>
        <v>110</v>
      </c>
      <c r="T11" s="17">
        <f t="shared" si="3"/>
        <v>27</v>
      </c>
      <c r="U11" s="17">
        <f t="shared" si="3"/>
        <v>10</v>
      </c>
      <c r="V11" s="17">
        <f t="shared" si="3"/>
        <v>194</v>
      </c>
      <c r="W11" s="17">
        <f t="shared" si="3"/>
        <v>6</v>
      </c>
      <c r="X11" s="17">
        <f t="shared" si="3"/>
        <v>5</v>
      </c>
      <c r="Y11" s="17">
        <f t="shared" si="3"/>
        <v>12</v>
      </c>
      <c r="Z11" s="17">
        <f t="shared" si="3"/>
        <v>2</v>
      </c>
      <c r="AA11" s="17">
        <f t="shared" si="3"/>
        <v>2</v>
      </c>
      <c r="AB11" s="17">
        <f t="shared" si="3"/>
        <v>2</v>
      </c>
      <c r="AC11" s="17">
        <f t="shared" si="3"/>
        <v>918</v>
      </c>
      <c r="AD11" s="17">
        <f t="shared" si="3"/>
        <v>0</v>
      </c>
      <c r="AE11" s="31">
        <f t="shared" si="3"/>
        <v>370</v>
      </c>
      <c r="AF11" s="31">
        <f t="shared" si="3"/>
        <v>1288</v>
      </c>
    </row>
    <row r="12" spans="2:32" ht="23.1" customHeight="1" x14ac:dyDescent="0.25">
      <c r="B12" s="45" t="s">
        <v>39</v>
      </c>
      <c r="C12" s="50">
        <v>36</v>
      </c>
      <c r="D12" s="50">
        <v>8</v>
      </c>
      <c r="E12" s="50">
        <v>2</v>
      </c>
      <c r="F12" s="50">
        <v>58</v>
      </c>
      <c r="G12" s="50">
        <v>0</v>
      </c>
      <c r="H12" s="50">
        <v>1</v>
      </c>
      <c r="I12" s="50">
        <v>45</v>
      </c>
      <c r="J12" s="50">
        <v>0</v>
      </c>
      <c r="K12" s="50">
        <v>0</v>
      </c>
      <c r="L12" s="50">
        <v>1</v>
      </c>
      <c r="M12" s="50">
        <v>156</v>
      </c>
      <c r="N12" s="50">
        <v>0</v>
      </c>
      <c r="O12" s="15">
        <f t="shared" si="0"/>
        <v>151</v>
      </c>
      <c r="P12" s="15">
        <f t="shared" si="1"/>
        <v>307</v>
      </c>
      <c r="R12" s="1" t="s">
        <v>8</v>
      </c>
      <c r="S12" s="17">
        <f t="shared" ref="S12:AF12" si="4">SUM(C18:C21)</f>
        <v>118</v>
      </c>
      <c r="T12" s="17">
        <f t="shared" si="4"/>
        <v>34</v>
      </c>
      <c r="U12" s="17">
        <f t="shared" si="4"/>
        <v>10</v>
      </c>
      <c r="V12" s="17">
        <f t="shared" si="4"/>
        <v>222</v>
      </c>
      <c r="W12" s="17">
        <f t="shared" si="4"/>
        <v>9</v>
      </c>
      <c r="X12" s="17">
        <f t="shared" si="4"/>
        <v>3</v>
      </c>
      <c r="Y12" s="17">
        <f t="shared" si="4"/>
        <v>15</v>
      </c>
      <c r="Z12" s="17">
        <f t="shared" si="4"/>
        <v>8</v>
      </c>
      <c r="AA12" s="17">
        <f t="shared" si="4"/>
        <v>0</v>
      </c>
      <c r="AB12" s="17">
        <f t="shared" si="4"/>
        <v>0</v>
      </c>
      <c r="AC12" s="17">
        <f t="shared" si="4"/>
        <v>895</v>
      </c>
      <c r="AD12" s="17">
        <f t="shared" si="4"/>
        <v>0</v>
      </c>
      <c r="AE12" s="31">
        <f t="shared" si="4"/>
        <v>419</v>
      </c>
      <c r="AF12" s="31">
        <f t="shared" si="4"/>
        <v>1314</v>
      </c>
    </row>
    <row r="13" spans="2:32" ht="23.1" customHeight="1" x14ac:dyDescent="0.25">
      <c r="B13" s="45" t="s">
        <v>40</v>
      </c>
      <c r="C13" s="50">
        <v>36</v>
      </c>
      <c r="D13" s="50">
        <v>8</v>
      </c>
      <c r="E13" s="50">
        <v>2</v>
      </c>
      <c r="F13" s="50">
        <v>58</v>
      </c>
      <c r="G13" s="50">
        <v>0</v>
      </c>
      <c r="H13" s="50">
        <v>1</v>
      </c>
      <c r="I13" s="50">
        <v>4</v>
      </c>
      <c r="J13" s="50">
        <v>0</v>
      </c>
      <c r="K13" s="50">
        <v>0</v>
      </c>
      <c r="L13" s="50">
        <v>1</v>
      </c>
      <c r="M13" s="50">
        <v>156</v>
      </c>
      <c r="N13" s="50">
        <v>0</v>
      </c>
      <c r="O13" s="15">
        <f t="shared" si="0"/>
        <v>110</v>
      </c>
      <c r="P13" s="15">
        <f t="shared" si="1"/>
        <v>266</v>
      </c>
      <c r="R13" s="1" t="s">
        <v>9</v>
      </c>
      <c r="S13" s="17">
        <f t="shared" ref="S13:AF13" si="5">SUM(C22:C25)</f>
        <v>128</v>
      </c>
      <c r="T13" s="17">
        <f t="shared" si="5"/>
        <v>34</v>
      </c>
      <c r="U13" s="17">
        <f t="shared" si="5"/>
        <v>13</v>
      </c>
      <c r="V13" s="17">
        <f t="shared" si="5"/>
        <v>226</v>
      </c>
      <c r="W13" s="17">
        <f t="shared" si="5"/>
        <v>5</v>
      </c>
      <c r="X13" s="17">
        <f t="shared" si="5"/>
        <v>2</v>
      </c>
      <c r="Y13" s="17">
        <f t="shared" si="5"/>
        <v>16</v>
      </c>
      <c r="Z13" s="17">
        <f t="shared" si="5"/>
        <v>13</v>
      </c>
      <c r="AA13" s="17">
        <f t="shared" si="5"/>
        <v>1</v>
      </c>
      <c r="AB13" s="17">
        <f t="shared" si="5"/>
        <v>0</v>
      </c>
      <c r="AC13" s="17">
        <f t="shared" si="5"/>
        <v>825</v>
      </c>
      <c r="AD13" s="17">
        <f t="shared" si="5"/>
        <v>0</v>
      </c>
      <c r="AE13" s="31">
        <f t="shared" si="5"/>
        <v>438</v>
      </c>
      <c r="AF13" s="31">
        <f t="shared" si="5"/>
        <v>1263</v>
      </c>
    </row>
    <row r="14" spans="2:32" ht="23.1" customHeight="1" x14ac:dyDescent="0.25">
      <c r="B14" s="45" t="s">
        <v>41</v>
      </c>
      <c r="C14" s="50">
        <v>35</v>
      </c>
      <c r="D14" s="50">
        <v>8</v>
      </c>
      <c r="E14" s="50">
        <v>2</v>
      </c>
      <c r="F14" s="50">
        <v>38</v>
      </c>
      <c r="G14" s="50">
        <v>1</v>
      </c>
      <c r="H14" s="50">
        <v>0</v>
      </c>
      <c r="I14" s="50">
        <v>3</v>
      </c>
      <c r="J14" s="50">
        <v>0</v>
      </c>
      <c r="K14" s="50">
        <v>1</v>
      </c>
      <c r="L14" s="50">
        <v>0</v>
      </c>
      <c r="M14" s="50">
        <v>168</v>
      </c>
      <c r="N14" s="50">
        <v>0</v>
      </c>
      <c r="O14" s="15">
        <f t="shared" si="0"/>
        <v>88</v>
      </c>
      <c r="P14" s="15">
        <f t="shared" si="1"/>
        <v>256</v>
      </c>
      <c r="R14" s="1" t="s">
        <v>10</v>
      </c>
      <c r="S14" s="17">
        <f t="shared" ref="S14:AF14" si="6">SUM(C26:C29)</f>
        <v>144</v>
      </c>
      <c r="T14" s="17">
        <f t="shared" si="6"/>
        <v>37</v>
      </c>
      <c r="U14" s="17">
        <f t="shared" si="6"/>
        <v>31</v>
      </c>
      <c r="V14" s="17">
        <f t="shared" si="6"/>
        <v>171</v>
      </c>
      <c r="W14" s="17">
        <f t="shared" si="6"/>
        <v>4</v>
      </c>
      <c r="X14" s="17">
        <f t="shared" si="6"/>
        <v>5</v>
      </c>
      <c r="Y14" s="17">
        <f t="shared" si="6"/>
        <v>19</v>
      </c>
      <c r="Z14" s="17">
        <f t="shared" si="6"/>
        <v>19</v>
      </c>
      <c r="AA14" s="17">
        <f t="shared" si="6"/>
        <v>8</v>
      </c>
      <c r="AB14" s="17">
        <f t="shared" si="6"/>
        <v>2</v>
      </c>
      <c r="AC14" s="17">
        <f t="shared" si="6"/>
        <v>715</v>
      </c>
      <c r="AD14" s="17">
        <f t="shared" si="6"/>
        <v>0</v>
      </c>
      <c r="AE14" s="31">
        <f t="shared" si="6"/>
        <v>440</v>
      </c>
      <c r="AF14" s="31">
        <f t="shared" si="6"/>
        <v>1155</v>
      </c>
    </row>
    <row r="15" spans="2:32" ht="23.1" customHeight="1" x14ac:dyDescent="0.25">
      <c r="B15" s="45" t="s">
        <v>42</v>
      </c>
      <c r="C15" s="50">
        <v>21</v>
      </c>
      <c r="D15" s="50">
        <v>10</v>
      </c>
      <c r="E15" s="50">
        <v>2</v>
      </c>
      <c r="F15" s="50">
        <v>33</v>
      </c>
      <c r="G15" s="50">
        <v>2</v>
      </c>
      <c r="H15" s="50">
        <v>2</v>
      </c>
      <c r="I15" s="50">
        <v>2</v>
      </c>
      <c r="J15" s="50">
        <v>2</v>
      </c>
      <c r="K15" s="50">
        <v>0</v>
      </c>
      <c r="L15" s="50">
        <v>0</v>
      </c>
      <c r="M15" s="50">
        <v>195</v>
      </c>
      <c r="N15" s="50">
        <v>0</v>
      </c>
      <c r="O15" s="15">
        <f t="shared" si="0"/>
        <v>74</v>
      </c>
      <c r="P15" s="15">
        <f t="shared" si="1"/>
        <v>269</v>
      </c>
      <c r="R15" s="1" t="s">
        <v>11</v>
      </c>
      <c r="S15" s="17">
        <f t="shared" ref="S15:AF15" si="7">SUM(C30:C33)</f>
        <v>193</v>
      </c>
      <c r="T15" s="17">
        <f t="shared" si="7"/>
        <v>51</v>
      </c>
      <c r="U15" s="17">
        <f t="shared" si="7"/>
        <v>18</v>
      </c>
      <c r="V15" s="17">
        <f t="shared" si="7"/>
        <v>190</v>
      </c>
      <c r="W15" s="17">
        <f t="shared" si="7"/>
        <v>1</v>
      </c>
      <c r="X15" s="17">
        <f t="shared" si="7"/>
        <v>5</v>
      </c>
      <c r="Y15" s="17">
        <f t="shared" si="7"/>
        <v>20</v>
      </c>
      <c r="Z15" s="17">
        <f t="shared" si="7"/>
        <v>14</v>
      </c>
      <c r="AA15" s="17">
        <f t="shared" si="7"/>
        <v>15</v>
      </c>
      <c r="AB15" s="17">
        <f t="shared" si="7"/>
        <v>3</v>
      </c>
      <c r="AC15" s="17">
        <f t="shared" si="7"/>
        <v>695</v>
      </c>
      <c r="AD15" s="17">
        <f t="shared" si="7"/>
        <v>0</v>
      </c>
      <c r="AE15" s="31">
        <f t="shared" si="7"/>
        <v>510</v>
      </c>
      <c r="AF15" s="31">
        <f t="shared" si="7"/>
        <v>1205</v>
      </c>
    </row>
    <row r="16" spans="2:32" ht="23.1" customHeight="1" x14ac:dyDescent="0.25">
      <c r="B16" s="45" t="s">
        <v>43</v>
      </c>
      <c r="C16" s="50">
        <v>24</v>
      </c>
      <c r="D16" s="50">
        <v>4</v>
      </c>
      <c r="E16" s="50">
        <v>6</v>
      </c>
      <c r="F16" s="50">
        <v>51</v>
      </c>
      <c r="G16" s="50">
        <v>1</v>
      </c>
      <c r="H16" s="50">
        <v>2</v>
      </c>
      <c r="I16" s="50">
        <v>2</v>
      </c>
      <c r="J16" s="50">
        <v>0</v>
      </c>
      <c r="K16" s="50">
        <v>1</v>
      </c>
      <c r="L16" s="50">
        <v>1</v>
      </c>
      <c r="M16" s="50">
        <v>260</v>
      </c>
      <c r="N16" s="50">
        <v>0</v>
      </c>
      <c r="O16" s="15">
        <f t="shared" si="0"/>
        <v>92</v>
      </c>
      <c r="P16" s="15">
        <f t="shared" si="1"/>
        <v>352</v>
      </c>
      <c r="R16" s="1" t="s">
        <v>12</v>
      </c>
      <c r="S16" s="17">
        <f t="shared" ref="S16:AF16" si="8">SUM(C34:C37)</f>
        <v>173</v>
      </c>
      <c r="T16" s="17">
        <f t="shared" si="8"/>
        <v>56</v>
      </c>
      <c r="U16" s="17">
        <f t="shared" si="8"/>
        <v>15</v>
      </c>
      <c r="V16" s="17">
        <f t="shared" si="8"/>
        <v>198</v>
      </c>
      <c r="W16" s="17">
        <f t="shared" si="8"/>
        <v>2</v>
      </c>
      <c r="X16" s="17">
        <f t="shared" si="8"/>
        <v>5</v>
      </c>
      <c r="Y16" s="17">
        <f t="shared" si="8"/>
        <v>16</v>
      </c>
      <c r="Z16" s="17">
        <f t="shared" si="8"/>
        <v>12</v>
      </c>
      <c r="AA16" s="17">
        <f t="shared" si="8"/>
        <v>19</v>
      </c>
      <c r="AB16" s="17">
        <f t="shared" si="8"/>
        <v>1</v>
      </c>
      <c r="AC16" s="17">
        <f t="shared" si="8"/>
        <v>605</v>
      </c>
      <c r="AD16" s="17">
        <f t="shared" si="8"/>
        <v>0</v>
      </c>
      <c r="AE16" s="31">
        <f t="shared" si="8"/>
        <v>497</v>
      </c>
      <c r="AF16" s="31">
        <f t="shared" si="8"/>
        <v>1102</v>
      </c>
    </row>
    <row r="17" spans="2:32" ht="23.1" customHeight="1" x14ac:dyDescent="0.25">
      <c r="B17" s="45" t="s">
        <v>44</v>
      </c>
      <c r="C17" s="50">
        <v>30</v>
      </c>
      <c r="D17" s="50">
        <v>5</v>
      </c>
      <c r="E17" s="50">
        <v>0</v>
      </c>
      <c r="F17" s="50">
        <v>72</v>
      </c>
      <c r="G17" s="50">
        <v>2</v>
      </c>
      <c r="H17" s="50">
        <v>1</v>
      </c>
      <c r="I17" s="50">
        <v>5</v>
      </c>
      <c r="J17" s="50">
        <v>0</v>
      </c>
      <c r="K17" s="50">
        <v>0</v>
      </c>
      <c r="L17" s="50">
        <v>1</v>
      </c>
      <c r="M17" s="50">
        <v>295</v>
      </c>
      <c r="N17" s="50">
        <v>0</v>
      </c>
      <c r="O17" s="15">
        <f t="shared" si="0"/>
        <v>116</v>
      </c>
      <c r="P17" s="15">
        <f t="shared" si="1"/>
        <v>411</v>
      </c>
      <c r="R17" s="1" t="s">
        <v>13</v>
      </c>
      <c r="S17" s="17">
        <f t="shared" ref="S17:AF17" si="9">SUM(C38:C41)</f>
        <v>149</v>
      </c>
      <c r="T17" s="17">
        <f t="shared" si="9"/>
        <v>42</v>
      </c>
      <c r="U17" s="17">
        <f t="shared" si="9"/>
        <v>15</v>
      </c>
      <c r="V17" s="17">
        <f t="shared" si="9"/>
        <v>221</v>
      </c>
      <c r="W17" s="17">
        <f t="shared" si="9"/>
        <v>6</v>
      </c>
      <c r="X17" s="17">
        <f t="shared" si="9"/>
        <v>3</v>
      </c>
      <c r="Y17" s="17">
        <f t="shared" si="9"/>
        <v>21</v>
      </c>
      <c r="Z17" s="17">
        <f t="shared" si="9"/>
        <v>18</v>
      </c>
      <c r="AA17" s="17">
        <f t="shared" si="9"/>
        <v>8</v>
      </c>
      <c r="AB17" s="17">
        <f t="shared" si="9"/>
        <v>4</v>
      </c>
      <c r="AC17" s="17">
        <f t="shared" si="9"/>
        <v>492</v>
      </c>
      <c r="AD17" s="17">
        <f t="shared" si="9"/>
        <v>0</v>
      </c>
      <c r="AE17" s="31">
        <f t="shared" si="9"/>
        <v>487</v>
      </c>
      <c r="AF17" s="31">
        <f t="shared" si="9"/>
        <v>979</v>
      </c>
    </row>
    <row r="18" spans="2:32" ht="23.1" customHeight="1" x14ac:dyDescent="0.25">
      <c r="B18" s="45" t="s">
        <v>45</v>
      </c>
      <c r="C18" s="50">
        <v>27</v>
      </c>
      <c r="D18" s="50">
        <v>7</v>
      </c>
      <c r="E18" s="50">
        <v>2</v>
      </c>
      <c r="F18" s="50">
        <v>77</v>
      </c>
      <c r="G18" s="50">
        <v>2</v>
      </c>
      <c r="H18" s="50">
        <v>1</v>
      </c>
      <c r="I18" s="50">
        <v>1</v>
      </c>
      <c r="J18" s="50">
        <v>2</v>
      </c>
      <c r="K18" s="50">
        <v>0</v>
      </c>
      <c r="L18" s="50">
        <v>0</v>
      </c>
      <c r="M18" s="50">
        <v>270</v>
      </c>
      <c r="N18" s="50">
        <v>0</v>
      </c>
      <c r="O18" s="15">
        <f t="shared" si="0"/>
        <v>119</v>
      </c>
      <c r="P18" s="15">
        <f t="shared" si="1"/>
        <v>389</v>
      </c>
      <c r="R18" s="1" t="s">
        <v>14</v>
      </c>
      <c r="S18" s="17">
        <f t="shared" ref="S18:AF18" si="10">SUM(C42:C45)</f>
        <v>211</v>
      </c>
      <c r="T18" s="17">
        <f t="shared" si="10"/>
        <v>68</v>
      </c>
      <c r="U18" s="17">
        <f t="shared" si="10"/>
        <v>23</v>
      </c>
      <c r="V18" s="17">
        <f t="shared" si="10"/>
        <v>170</v>
      </c>
      <c r="W18" s="17">
        <f t="shared" si="10"/>
        <v>4</v>
      </c>
      <c r="X18" s="17">
        <f t="shared" si="10"/>
        <v>3</v>
      </c>
      <c r="Y18" s="17">
        <f t="shared" si="10"/>
        <v>17</v>
      </c>
      <c r="Z18" s="17">
        <f t="shared" si="10"/>
        <v>14</v>
      </c>
      <c r="AA18" s="17">
        <f t="shared" si="10"/>
        <v>10</v>
      </c>
      <c r="AB18" s="17">
        <f t="shared" si="10"/>
        <v>1</v>
      </c>
      <c r="AC18" s="17">
        <f t="shared" si="10"/>
        <v>567</v>
      </c>
      <c r="AD18" s="17">
        <f t="shared" si="10"/>
        <v>0</v>
      </c>
      <c r="AE18" s="31">
        <f t="shared" si="10"/>
        <v>521</v>
      </c>
      <c r="AF18" s="31">
        <f t="shared" si="10"/>
        <v>1088</v>
      </c>
    </row>
    <row r="19" spans="2:32" ht="23.1" customHeight="1" x14ac:dyDescent="0.25">
      <c r="B19" s="45" t="s">
        <v>46</v>
      </c>
      <c r="C19" s="50">
        <v>21</v>
      </c>
      <c r="D19" s="50">
        <v>9</v>
      </c>
      <c r="E19" s="50">
        <v>0</v>
      </c>
      <c r="F19" s="50">
        <v>40</v>
      </c>
      <c r="G19" s="50">
        <v>4</v>
      </c>
      <c r="H19" s="50">
        <v>1</v>
      </c>
      <c r="I19" s="50">
        <v>8</v>
      </c>
      <c r="J19" s="50">
        <v>2</v>
      </c>
      <c r="K19" s="50">
        <v>0</v>
      </c>
      <c r="L19" s="50">
        <v>0</v>
      </c>
      <c r="M19" s="50">
        <v>205</v>
      </c>
      <c r="N19" s="50">
        <v>0</v>
      </c>
      <c r="O19" s="15">
        <f t="shared" si="0"/>
        <v>85</v>
      </c>
      <c r="P19" s="15">
        <f t="shared" si="1"/>
        <v>290</v>
      </c>
      <c r="R19" s="1" t="s">
        <v>15</v>
      </c>
      <c r="S19" s="17">
        <f t="shared" ref="S19:AF19" si="11">SUM(C46:C49)</f>
        <v>278</v>
      </c>
      <c r="T19" s="17">
        <f t="shared" si="11"/>
        <v>94</v>
      </c>
      <c r="U19" s="17">
        <f t="shared" si="11"/>
        <v>22</v>
      </c>
      <c r="V19" s="17">
        <f t="shared" si="11"/>
        <v>183</v>
      </c>
      <c r="W19" s="17">
        <f t="shared" si="11"/>
        <v>2</v>
      </c>
      <c r="X19" s="17">
        <f t="shared" si="11"/>
        <v>7</v>
      </c>
      <c r="Y19" s="17">
        <f t="shared" si="11"/>
        <v>25</v>
      </c>
      <c r="Z19" s="17">
        <f t="shared" si="11"/>
        <v>25</v>
      </c>
      <c r="AA19" s="17">
        <f t="shared" si="11"/>
        <v>14</v>
      </c>
      <c r="AB19" s="17">
        <f t="shared" si="11"/>
        <v>3</v>
      </c>
      <c r="AC19" s="17">
        <f t="shared" si="11"/>
        <v>630</v>
      </c>
      <c r="AD19" s="17">
        <f t="shared" si="11"/>
        <v>0</v>
      </c>
      <c r="AE19" s="31">
        <f t="shared" si="11"/>
        <v>653</v>
      </c>
      <c r="AF19" s="31">
        <f t="shared" si="11"/>
        <v>1283</v>
      </c>
    </row>
    <row r="20" spans="2:32" ht="23.1" customHeight="1" x14ac:dyDescent="0.25">
      <c r="B20" s="45" t="s">
        <v>47</v>
      </c>
      <c r="C20" s="50">
        <v>28</v>
      </c>
      <c r="D20" s="50">
        <v>13</v>
      </c>
      <c r="E20" s="50">
        <v>5</v>
      </c>
      <c r="F20" s="50">
        <v>50</v>
      </c>
      <c r="G20" s="50">
        <v>0</v>
      </c>
      <c r="H20" s="50">
        <v>1</v>
      </c>
      <c r="I20" s="50">
        <v>3</v>
      </c>
      <c r="J20" s="50">
        <v>2</v>
      </c>
      <c r="K20" s="50">
        <v>0</v>
      </c>
      <c r="L20" s="50">
        <v>0</v>
      </c>
      <c r="M20" s="50">
        <v>220</v>
      </c>
      <c r="N20" s="50">
        <v>0</v>
      </c>
      <c r="O20" s="15">
        <f t="shared" si="0"/>
        <v>102</v>
      </c>
      <c r="P20" s="15">
        <f t="shared" si="1"/>
        <v>322</v>
      </c>
      <c r="R20" s="1" t="s">
        <v>16</v>
      </c>
      <c r="S20" s="17">
        <f t="shared" ref="S20:AF20" si="12">SUM(C50:C53)</f>
        <v>244</v>
      </c>
      <c r="T20" s="17">
        <f t="shared" si="12"/>
        <v>67</v>
      </c>
      <c r="U20" s="17">
        <f t="shared" si="12"/>
        <v>20</v>
      </c>
      <c r="V20" s="17">
        <f t="shared" si="12"/>
        <v>204</v>
      </c>
      <c r="W20" s="17">
        <f t="shared" si="12"/>
        <v>1</v>
      </c>
      <c r="X20" s="17">
        <f t="shared" si="12"/>
        <v>1</v>
      </c>
      <c r="Y20" s="17">
        <f t="shared" si="12"/>
        <v>16</v>
      </c>
      <c r="Z20" s="17">
        <f t="shared" si="12"/>
        <v>10</v>
      </c>
      <c r="AA20" s="17">
        <f t="shared" si="12"/>
        <v>8</v>
      </c>
      <c r="AB20" s="17">
        <f t="shared" si="12"/>
        <v>2</v>
      </c>
      <c r="AC20" s="17">
        <f t="shared" si="12"/>
        <v>580</v>
      </c>
      <c r="AD20" s="17">
        <f t="shared" si="12"/>
        <v>0</v>
      </c>
      <c r="AE20" s="31">
        <f t="shared" si="12"/>
        <v>573</v>
      </c>
      <c r="AF20" s="31">
        <f t="shared" si="12"/>
        <v>1153</v>
      </c>
    </row>
    <row r="21" spans="2:32" ht="23.1" customHeight="1" x14ac:dyDescent="0.25">
      <c r="B21" s="45" t="s">
        <v>48</v>
      </c>
      <c r="C21" s="50">
        <v>42</v>
      </c>
      <c r="D21" s="50">
        <v>5</v>
      </c>
      <c r="E21" s="50">
        <v>3</v>
      </c>
      <c r="F21" s="50">
        <v>55</v>
      </c>
      <c r="G21" s="50">
        <v>3</v>
      </c>
      <c r="H21" s="50">
        <v>0</v>
      </c>
      <c r="I21" s="50">
        <v>3</v>
      </c>
      <c r="J21" s="50">
        <v>2</v>
      </c>
      <c r="K21" s="50">
        <v>0</v>
      </c>
      <c r="L21" s="50">
        <v>0</v>
      </c>
      <c r="M21" s="50">
        <v>200</v>
      </c>
      <c r="N21" s="50">
        <v>0</v>
      </c>
      <c r="O21" s="15">
        <f t="shared" si="0"/>
        <v>113</v>
      </c>
      <c r="P21" s="15">
        <f t="shared" si="1"/>
        <v>313</v>
      </c>
      <c r="R21" s="36" t="s">
        <v>20</v>
      </c>
      <c r="S21" s="34">
        <f t="shared" ref="S21:AF21" si="13">SUM(C54:C57)</f>
        <v>224</v>
      </c>
      <c r="T21" s="17">
        <f t="shared" si="13"/>
        <v>63</v>
      </c>
      <c r="U21" s="17">
        <f t="shared" si="13"/>
        <v>21</v>
      </c>
      <c r="V21" s="17">
        <f t="shared" si="13"/>
        <v>217</v>
      </c>
      <c r="W21" s="17">
        <f t="shared" si="13"/>
        <v>5</v>
      </c>
      <c r="X21" s="17">
        <f t="shared" si="13"/>
        <v>4</v>
      </c>
      <c r="Y21" s="17">
        <f t="shared" si="13"/>
        <v>14</v>
      </c>
      <c r="Z21" s="17">
        <f t="shared" si="13"/>
        <v>7</v>
      </c>
      <c r="AA21" s="17">
        <f t="shared" si="13"/>
        <v>2</v>
      </c>
      <c r="AB21" s="17">
        <f t="shared" si="13"/>
        <v>2</v>
      </c>
      <c r="AC21" s="17">
        <f t="shared" si="13"/>
        <v>757</v>
      </c>
      <c r="AD21" s="17">
        <f t="shared" si="13"/>
        <v>0</v>
      </c>
      <c r="AE21" s="31">
        <f t="shared" si="13"/>
        <v>559</v>
      </c>
      <c r="AF21" s="31">
        <f t="shared" si="13"/>
        <v>1316</v>
      </c>
    </row>
    <row r="22" spans="2:32" ht="23.1" customHeight="1" x14ac:dyDescent="0.25">
      <c r="B22" s="45" t="s">
        <v>49</v>
      </c>
      <c r="C22" s="50">
        <v>40</v>
      </c>
      <c r="D22" s="50">
        <v>13</v>
      </c>
      <c r="E22" s="50">
        <v>6</v>
      </c>
      <c r="F22" s="50">
        <v>50</v>
      </c>
      <c r="G22" s="50">
        <v>2</v>
      </c>
      <c r="H22" s="50">
        <v>0</v>
      </c>
      <c r="I22" s="50">
        <v>3</v>
      </c>
      <c r="J22" s="50">
        <v>6</v>
      </c>
      <c r="K22" s="50">
        <v>0</v>
      </c>
      <c r="L22" s="50">
        <v>0</v>
      </c>
      <c r="M22" s="50">
        <v>230</v>
      </c>
      <c r="N22" s="50">
        <v>0</v>
      </c>
      <c r="O22" s="15">
        <f t="shared" si="0"/>
        <v>120</v>
      </c>
      <c r="P22" s="15">
        <f t="shared" si="1"/>
        <v>350</v>
      </c>
      <c r="R22" s="36" t="s">
        <v>146</v>
      </c>
      <c r="S22" s="34">
        <f>SUM(C58:C61)</f>
        <v>148</v>
      </c>
      <c r="T22" s="34">
        <f t="shared" ref="T22:AF22" si="14">SUM(D58:D61)</f>
        <v>60</v>
      </c>
      <c r="U22" s="34">
        <f t="shared" si="14"/>
        <v>76</v>
      </c>
      <c r="V22" s="34">
        <f t="shared" si="14"/>
        <v>159</v>
      </c>
      <c r="W22" s="34">
        <f t="shared" si="14"/>
        <v>4</v>
      </c>
      <c r="X22" s="34">
        <f t="shared" si="14"/>
        <v>14</v>
      </c>
      <c r="Y22" s="34">
        <f t="shared" si="14"/>
        <v>8</v>
      </c>
      <c r="Z22" s="34">
        <f t="shared" si="14"/>
        <v>3</v>
      </c>
      <c r="AA22" s="34">
        <f t="shared" si="14"/>
        <v>2</v>
      </c>
      <c r="AB22" s="34">
        <f t="shared" si="14"/>
        <v>0</v>
      </c>
      <c r="AC22" s="34">
        <f t="shared" si="14"/>
        <v>320</v>
      </c>
      <c r="AD22" s="34">
        <f t="shared" si="14"/>
        <v>0</v>
      </c>
      <c r="AE22" s="31">
        <f t="shared" si="14"/>
        <v>474</v>
      </c>
      <c r="AF22" s="31">
        <f t="shared" si="14"/>
        <v>794</v>
      </c>
    </row>
    <row r="23" spans="2:32" ht="23.1" customHeight="1" x14ac:dyDescent="0.25">
      <c r="B23" s="45" t="s">
        <v>50</v>
      </c>
      <c r="C23" s="50">
        <v>31</v>
      </c>
      <c r="D23" s="50">
        <v>4</v>
      </c>
      <c r="E23" s="50">
        <v>3</v>
      </c>
      <c r="F23" s="50">
        <v>55</v>
      </c>
      <c r="G23" s="50">
        <v>1</v>
      </c>
      <c r="H23" s="50">
        <v>1</v>
      </c>
      <c r="I23" s="50">
        <v>4</v>
      </c>
      <c r="J23" s="50">
        <v>0</v>
      </c>
      <c r="K23" s="50">
        <v>0</v>
      </c>
      <c r="L23" s="50">
        <v>0</v>
      </c>
      <c r="M23" s="50">
        <v>170</v>
      </c>
      <c r="N23" s="50">
        <v>0</v>
      </c>
      <c r="O23" s="15">
        <f t="shared" si="0"/>
        <v>99</v>
      </c>
      <c r="P23" s="15">
        <f t="shared" si="1"/>
        <v>269</v>
      </c>
      <c r="R23" s="36" t="s">
        <v>147</v>
      </c>
      <c r="S23" s="34">
        <f>SUM(C62:C65)</f>
        <v>216</v>
      </c>
      <c r="T23" s="34">
        <f t="shared" ref="T23:AF23" si="15">SUM(D62:D65)</f>
        <v>28</v>
      </c>
      <c r="U23" s="34">
        <f t="shared" si="15"/>
        <v>16</v>
      </c>
      <c r="V23" s="34">
        <f t="shared" si="15"/>
        <v>229</v>
      </c>
      <c r="W23" s="34">
        <f t="shared" si="15"/>
        <v>8</v>
      </c>
      <c r="X23" s="34">
        <f t="shared" si="15"/>
        <v>5</v>
      </c>
      <c r="Y23" s="34">
        <f t="shared" si="15"/>
        <v>23</v>
      </c>
      <c r="Z23" s="34">
        <f t="shared" si="15"/>
        <v>13</v>
      </c>
      <c r="AA23" s="34">
        <f t="shared" si="15"/>
        <v>3</v>
      </c>
      <c r="AB23" s="34">
        <f t="shared" si="15"/>
        <v>0</v>
      </c>
      <c r="AC23" s="34">
        <f t="shared" si="15"/>
        <v>465</v>
      </c>
      <c r="AD23" s="34">
        <f t="shared" si="15"/>
        <v>0</v>
      </c>
      <c r="AE23" s="31">
        <f t="shared" si="15"/>
        <v>541</v>
      </c>
      <c r="AF23" s="31">
        <f t="shared" si="15"/>
        <v>1006</v>
      </c>
    </row>
    <row r="24" spans="2:32" ht="23.1" customHeight="1" x14ac:dyDescent="0.25">
      <c r="B24" s="45" t="s">
        <v>51</v>
      </c>
      <c r="C24" s="50">
        <v>37</v>
      </c>
      <c r="D24" s="50">
        <v>7</v>
      </c>
      <c r="E24" s="50">
        <v>1</v>
      </c>
      <c r="F24" s="50">
        <v>65</v>
      </c>
      <c r="G24" s="50">
        <v>2</v>
      </c>
      <c r="H24" s="50">
        <v>1</v>
      </c>
      <c r="I24" s="50">
        <v>4</v>
      </c>
      <c r="J24" s="50">
        <v>3</v>
      </c>
      <c r="K24" s="50">
        <v>1</v>
      </c>
      <c r="L24" s="50">
        <v>0</v>
      </c>
      <c r="M24" s="50">
        <v>215</v>
      </c>
      <c r="N24" s="50">
        <v>0</v>
      </c>
      <c r="O24" s="15">
        <f t="shared" si="0"/>
        <v>121</v>
      </c>
      <c r="P24" s="15">
        <f t="shared" si="1"/>
        <v>336</v>
      </c>
      <c r="R24" s="36" t="s">
        <v>148</v>
      </c>
      <c r="S24" s="34">
        <f>SUM(C66:C69)</f>
        <v>211</v>
      </c>
      <c r="T24" s="34">
        <f t="shared" ref="T24:AF24" si="16">SUM(D66:D69)</f>
        <v>25</v>
      </c>
      <c r="U24" s="34">
        <f t="shared" si="16"/>
        <v>25</v>
      </c>
      <c r="V24" s="34">
        <f t="shared" si="16"/>
        <v>204</v>
      </c>
      <c r="W24" s="34">
        <f t="shared" si="16"/>
        <v>4</v>
      </c>
      <c r="X24" s="34">
        <f t="shared" si="16"/>
        <v>0</v>
      </c>
      <c r="Y24" s="34">
        <f t="shared" si="16"/>
        <v>21</v>
      </c>
      <c r="Z24" s="34">
        <f t="shared" si="16"/>
        <v>3</v>
      </c>
      <c r="AA24" s="34">
        <f t="shared" si="16"/>
        <v>2</v>
      </c>
      <c r="AB24" s="34">
        <f t="shared" si="16"/>
        <v>0</v>
      </c>
      <c r="AC24" s="34">
        <f t="shared" si="16"/>
        <v>498</v>
      </c>
      <c r="AD24" s="34">
        <f t="shared" si="16"/>
        <v>1</v>
      </c>
      <c r="AE24" s="31">
        <f t="shared" si="16"/>
        <v>496</v>
      </c>
      <c r="AF24" s="31">
        <f t="shared" si="16"/>
        <v>994</v>
      </c>
    </row>
    <row r="25" spans="2:32" ht="23.1" customHeight="1" x14ac:dyDescent="0.25">
      <c r="B25" s="45" t="s">
        <v>52</v>
      </c>
      <c r="C25" s="50">
        <v>20</v>
      </c>
      <c r="D25" s="50">
        <v>10</v>
      </c>
      <c r="E25" s="50">
        <v>3</v>
      </c>
      <c r="F25" s="50">
        <v>56</v>
      </c>
      <c r="G25" s="50">
        <v>0</v>
      </c>
      <c r="H25" s="50">
        <v>0</v>
      </c>
      <c r="I25" s="50">
        <v>5</v>
      </c>
      <c r="J25" s="50">
        <v>4</v>
      </c>
      <c r="K25" s="50">
        <v>0</v>
      </c>
      <c r="L25" s="50">
        <v>0</v>
      </c>
      <c r="M25" s="50">
        <v>210</v>
      </c>
      <c r="N25" s="50">
        <v>0</v>
      </c>
      <c r="O25" s="15">
        <f t="shared" si="0"/>
        <v>98</v>
      </c>
      <c r="P25" s="15">
        <f t="shared" si="1"/>
        <v>308</v>
      </c>
      <c r="R25" s="36" t="s">
        <v>149</v>
      </c>
      <c r="S25" s="34">
        <f>SUM(C70:C73)</f>
        <v>163</v>
      </c>
      <c r="T25" s="34">
        <f t="shared" ref="T25:AF25" si="17">SUM(D70:D73)</f>
        <v>29</v>
      </c>
      <c r="U25" s="34">
        <f t="shared" si="17"/>
        <v>16</v>
      </c>
      <c r="V25" s="34">
        <f t="shared" si="17"/>
        <v>83</v>
      </c>
      <c r="W25" s="34">
        <f t="shared" si="17"/>
        <v>1</v>
      </c>
      <c r="X25" s="34">
        <f t="shared" si="17"/>
        <v>0</v>
      </c>
      <c r="Y25" s="34">
        <f t="shared" si="17"/>
        <v>10</v>
      </c>
      <c r="Z25" s="34">
        <f t="shared" si="17"/>
        <v>1</v>
      </c>
      <c r="AA25" s="34">
        <f t="shared" si="17"/>
        <v>1</v>
      </c>
      <c r="AB25" s="34">
        <f t="shared" si="17"/>
        <v>2</v>
      </c>
      <c r="AC25" s="34">
        <f t="shared" si="17"/>
        <v>362</v>
      </c>
      <c r="AD25" s="34">
        <f t="shared" si="17"/>
        <v>0</v>
      </c>
      <c r="AE25" s="31">
        <f t="shared" si="17"/>
        <v>306</v>
      </c>
      <c r="AF25" s="31">
        <f t="shared" si="17"/>
        <v>668</v>
      </c>
    </row>
    <row r="26" spans="2:32" ht="23.1" customHeight="1" x14ac:dyDescent="0.25">
      <c r="B26" s="45" t="s">
        <v>53</v>
      </c>
      <c r="C26" s="50">
        <v>31</v>
      </c>
      <c r="D26" s="50">
        <v>8</v>
      </c>
      <c r="E26" s="50">
        <v>3</v>
      </c>
      <c r="F26" s="50">
        <v>37</v>
      </c>
      <c r="G26" s="50">
        <v>2</v>
      </c>
      <c r="H26" s="50">
        <v>0</v>
      </c>
      <c r="I26" s="50">
        <v>3</v>
      </c>
      <c r="J26" s="50">
        <v>7</v>
      </c>
      <c r="K26" s="50">
        <v>1</v>
      </c>
      <c r="L26" s="50">
        <v>0</v>
      </c>
      <c r="M26" s="50">
        <v>160</v>
      </c>
      <c r="N26" s="50">
        <v>0</v>
      </c>
      <c r="O26" s="15">
        <f t="shared" si="0"/>
        <v>92</v>
      </c>
      <c r="P26" s="15">
        <f t="shared" si="1"/>
        <v>252</v>
      </c>
      <c r="R26" s="36" t="s">
        <v>150</v>
      </c>
      <c r="S26" s="34">
        <f>SUM(C74:C77)</f>
        <v>105</v>
      </c>
      <c r="T26" s="34">
        <f t="shared" ref="T26:AF26" si="18">SUM(D74:D77)</f>
        <v>19</v>
      </c>
      <c r="U26" s="34">
        <f t="shared" si="18"/>
        <v>7</v>
      </c>
      <c r="V26" s="34">
        <f t="shared" si="18"/>
        <v>32</v>
      </c>
      <c r="W26" s="34">
        <f t="shared" si="18"/>
        <v>0</v>
      </c>
      <c r="X26" s="34">
        <f t="shared" si="18"/>
        <v>1</v>
      </c>
      <c r="Y26" s="34">
        <f t="shared" si="18"/>
        <v>9</v>
      </c>
      <c r="Z26" s="34">
        <f t="shared" si="18"/>
        <v>0</v>
      </c>
      <c r="AA26" s="34">
        <f t="shared" si="18"/>
        <v>4</v>
      </c>
      <c r="AB26" s="34">
        <f t="shared" si="18"/>
        <v>0</v>
      </c>
      <c r="AC26" s="34">
        <f t="shared" si="18"/>
        <v>324</v>
      </c>
      <c r="AD26" s="34">
        <f t="shared" si="18"/>
        <v>0</v>
      </c>
      <c r="AE26" s="31">
        <f t="shared" si="18"/>
        <v>177</v>
      </c>
      <c r="AF26" s="31">
        <f t="shared" si="18"/>
        <v>501</v>
      </c>
    </row>
    <row r="27" spans="2:32" ht="23.1" customHeight="1" x14ac:dyDescent="0.25">
      <c r="B27" s="45" t="s">
        <v>54</v>
      </c>
      <c r="C27" s="50">
        <v>22</v>
      </c>
      <c r="D27" s="50">
        <v>7</v>
      </c>
      <c r="E27" s="50">
        <v>4</v>
      </c>
      <c r="F27" s="50">
        <v>34</v>
      </c>
      <c r="G27" s="50">
        <v>0</v>
      </c>
      <c r="H27" s="50">
        <v>0</v>
      </c>
      <c r="I27" s="50">
        <v>4</v>
      </c>
      <c r="J27" s="50">
        <v>4</v>
      </c>
      <c r="K27" s="50">
        <v>1</v>
      </c>
      <c r="L27" s="50">
        <v>1</v>
      </c>
      <c r="M27" s="50">
        <v>184</v>
      </c>
      <c r="N27" s="50">
        <v>0</v>
      </c>
      <c r="O27" s="15">
        <f t="shared" si="0"/>
        <v>77</v>
      </c>
      <c r="P27" s="15">
        <f t="shared" si="1"/>
        <v>261</v>
      </c>
      <c r="R27" s="36" t="s">
        <v>151</v>
      </c>
      <c r="S27" s="34">
        <f>SUM(C78:C81)</f>
        <v>69</v>
      </c>
      <c r="T27" s="34">
        <f t="shared" ref="T27:AF27" si="19">SUM(D78:D81)</f>
        <v>8</v>
      </c>
      <c r="U27" s="34">
        <f t="shared" si="19"/>
        <v>12</v>
      </c>
      <c r="V27" s="34">
        <f t="shared" si="19"/>
        <v>20</v>
      </c>
      <c r="W27" s="34">
        <f t="shared" si="19"/>
        <v>0</v>
      </c>
      <c r="X27" s="34">
        <f t="shared" si="19"/>
        <v>3</v>
      </c>
      <c r="Y27" s="34">
        <f t="shared" si="19"/>
        <v>6</v>
      </c>
      <c r="Z27" s="34">
        <f t="shared" si="19"/>
        <v>2</v>
      </c>
      <c r="AA27" s="34">
        <f t="shared" si="19"/>
        <v>2</v>
      </c>
      <c r="AB27" s="34">
        <f t="shared" si="19"/>
        <v>0</v>
      </c>
      <c r="AC27" s="34">
        <f t="shared" si="19"/>
        <v>266</v>
      </c>
      <c r="AD27" s="34">
        <f t="shared" si="19"/>
        <v>0</v>
      </c>
      <c r="AE27" s="31">
        <f t="shared" si="19"/>
        <v>122</v>
      </c>
      <c r="AF27" s="31">
        <f t="shared" si="19"/>
        <v>388</v>
      </c>
    </row>
    <row r="28" spans="2:32" ht="23.1" customHeight="1" x14ac:dyDescent="0.25">
      <c r="B28" s="45" t="s">
        <v>55</v>
      </c>
      <c r="C28" s="50">
        <v>61</v>
      </c>
      <c r="D28" s="50">
        <v>12</v>
      </c>
      <c r="E28" s="50">
        <v>13</v>
      </c>
      <c r="F28" s="50">
        <v>50</v>
      </c>
      <c r="G28" s="50">
        <v>2</v>
      </c>
      <c r="H28" s="50">
        <v>1</v>
      </c>
      <c r="I28" s="50">
        <v>8</v>
      </c>
      <c r="J28" s="50">
        <v>4</v>
      </c>
      <c r="K28" s="50">
        <v>2</v>
      </c>
      <c r="L28" s="50">
        <v>1</v>
      </c>
      <c r="M28" s="50">
        <v>196</v>
      </c>
      <c r="N28" s="50">
        <v>0</v>
      </c>
      <c r="O28" s="15">
        <f t="shared" si="0"/>
        <v>154</v>
      </c>
      <c r="P28" s="15">
        <f t="shared" si="1"/>
        <v>350</v>
      </c>
      <c r="R28" s="36" t="s">
        <v>152</v>
      </c>
      <c r="S28" s="34">
        <f>SUM(C82:C85)</f>
        <v>55</v>
      </c>
      <c r="T28" s="34">
        <f t="shared" ref="T28:AF28" si="20">SUM(D82:D85)</f>
        <v>1</v>
      </c>
      <c r="U28" s="34">
        <f t="shared" si="20"/>
        <v>4</v>
      </c>
      <c r="V28" s="34">
        <f t="shared" si="20"/>
        <v>8</v>
      </c>
      <c r="W28" s="34">
        <f t="shared" si="20"/>
        <v>0</v>
      </c>
      <c r="X28" s="34">
        <f t="shared" si="20"/>
        <v>0</v>
      </c>
      <c r="Y28" s="34">
        <f t="shared" si="20"/>
        <v>2</v>
      </c>
      <c r="Z28" s="34">
        <f t="shared" si="20"/>
        <v>2</v>
      </c>
      <c r="AA28" s="34">
        <f t="shared" si="20"/>
        <v>1</v>
      </c>
      <c r="AB28" s="34">
        <f t="shared" si="20"/>
        <v>0</v>
      </c>
      <c r="AC28" s="34">
        <f t="shared" si="20"/>
        <v>113</v>
      </c>
      <c r="AD28" s="34">
        <f t="shared" si="20"/>
        <v>0</v>
      </c>
      <c r="AE28" s="31">
        <f t="shared" si="20"/>
        <v>73</v>
      </c>
      <c r="AF28" s="31">
        <f t="shared" si="20"/>
        <v>186</v>
      </c>
    </row>
    <row r="29" spans="2:32" ht="23.1" customHeight="1" x14ac:dyDescent="0.25">
      <c r="B29" s="45" t="s">
        <v>56</v>
      </c>
      <c r="C29" s="50">
        <v>30</v>
      </c>
      <c r="D29" s="50">
        <v>10</v>
      </c>
      <c r="E29" s="50">
        <v>11</v>
      </c>
      <c r="F29" s="50">
        <v>50</v>
      </c>
      <c r="G29" s="50">
        <v>0</v>
      </c>
      <c r="H29" s="50">
        <v>4</v>
      </c>
      <c r="I29" s="50">
        <v>4</v>
      </c>
      <c r="J29" s="50">
        <v>4</v>
      </c>
      <c r="K29" s="50">
        <v>4</v>
      </c>
      <c r="L29" s="50">
        <v>0</v>
      </c>
      <c r="M29" s="50">
        <v>175</v>
      </c>
      <c r="N29" s="50">
        <v>0</v>
      </c>
      <c r="O29" s="15">
        <f t="shared" si="0"/>
        <v>117</v>
      </c>
      <c r="P29" s="15">
        <f t="shared" si="1"/>
        <v>292</v>
      </c>
      <c r="R29" s="36" t="s">
        <v>153</v>
      </c>
      <c r="S29" s="34">
        <f>SUM(C86:C89)</f>
        <v>25</v>
      </c>
      <c r="T29" s="34">
        <f t="shared" ref="T29:AF29" si="21">SUM(D86:D89)</f>
        <v>8</v>
      </c>
      <c r="U29" s="34">
        <f t="shared" si="21"/>
        <v>3</v>
      </c>
      <c r="V29" s="34">
        <f t="shared" si="21"/>
        <v>4</v>
      </c>
      <c r="W29" s="34">
        <f t="shared" si="21"/>
        <v>0</v>
      </c>
      <c r="X29" s="34">
        <f t="shared" si="21"/>
        <v>1</v>
      </c>
      <c r="Y29" s="34">
        <f t="shared" si="21"/>
        <v>3</v>
      </c>
      <c r="Z29" s="34">
        <f t="shared" si="21"/>
        <v>1</v>
      </c>
      <c r="AA29" s="34">
        <f t="shared" si="21"/>
        <v>0</v>
      </c>
      <c r="AB29" s="34">
        <f t="shared" si="21"/>
        <v>0</v>
      </c>
      <c r="AC29" s="34">
        <f t="shared" si="21"/>
        <v>70</v>
      </c>
      <c r="AD29" s="34">
        <f t="shared" si="21"/>
        <v>0</v>
      </c>
      <c r="AE29" s="31">
        <f t="shared" si="21"/>
        <v>45</v>
      </c>
      <c r="AF29" s="31">
        <f t="shared" si="21"/>
        <v>115</v>
      </c>
    </row>
    <row r="30" spans="2:32" ht="23.1" customHeight="1" x14ac:dyDescent="0.25">
      <c r="B30" s="45" t="s">
        <v>57</v>
      </c>
      <c r="C30" s="50">
        <v>52</v>
      </c>
      <c r="D30" s="50">
        <v>10</v>
      </c>
      <c r="E30" s="50">
        <v>5</v>
      </c>
      <c r="F30" s="50">
        <v>55</v>
      </c>
      <c r="G30" s="50">
        <v>0</v>
      </c>
      <c r="H30" s="50">
        <v>2</v>
      </c>
      <c r="I30" s="50">
        <v>2</v>
      </c>
      <c r="J30" s="50">
        <v>4</v>
      </c>
      <c r="K30" s="50">
        <v>1</v>
      </c>
      <c r="L30" s="50">
        <v>1</v>
      </c>
      <c r="M30" s="50">
        <v>190</v>
      </c>
      <c r="N30" s="50">
        <v>0</v>
      </c>
      <c r="O30" s="15">
        <f t="shared" si="0"/>
        <v>132</v>
      </c>
      <c r="P30" s="15">
        <f t="shared" si="1"/>
        <v>322</v>
      </c>
      <c r="R30" s="36" t="s">
        <v>154</v>
      </c>
      <c r="S30" s="34">
        <f>SUM(C90:C93)</f>
        <v>37</v>
      </c>
      <c r="T30" s="34">
        <f t="shared" ref="T30:AF30" si="22">SUM(D90:D93)</f>
        <v>3</v>
      </c>
      <c r="U30" s="34">
        <f t="shared" si="22"/>
        <v>5</v>
      </c>
      <c r="V30" s="34">
        <f t="shared" si="22"/>
        <v>10</v>
      </c>
      <c r="W30" s="34">
        <f t="shared" si="22"/>
        <v>0</v>
      </c>
      <c r="X30" s="34">
        <f t="shared" si="22"/>
        <v>0</v>
      </c>
      <c r="Y30" s="34">
        <f t="shared" si="22"/>
        <v>2</v>
      </c>
      <c r="Z30" s="34">
        <f t="shared" si="22"/>
        <v>0</v>
      </c>
      <c r="AA30" s="34">
        <f t="shared" si="22"/>
        <v>0</v>
      </c>
      <c r="AB30" s="34">
        <f t="shared" si="22"/>
        <v>0</v>
      </c>
      <c r="AC30" s="34">
        <f t="shared" si="22"/>
        <v>54</v>
      </c>
      <c r="AD30" s="34">
        <f t="shared" si="22"/>
        <v>0</v>
      </c>
      <c r="AE30" s="31">
        <f t="shared" si="22"/>
        <v>57</v>
      </c>
      <c r="AF30" s="31">
        <f t="shared" si="22"/>
        <v>111</v>
      </c>
    </row>
    <row r="31" spans="2:32" ht="23.1" customHeight="1" x14ac:dyDescent="0.25">
      <c r="B31" s="46" t="s">
        <v>58</v>
      </c>
      <c r="C31" s="50">
        <v>26</v>
      </c>
      <c r="D31" s="50">
        <v>12</v>
      </c>
      <c r="E31" s="50">
        <v>3</v>
      </c>
      <c r="F31" s="50">
        <v>56</v>
      </c>
      <c r="G31" s="50">
        <v>1</v>
      </c>
      <c r="H31" s="50">
        <v>2</v>
      </c>
      <c r="I31" s="50">
        <v>10</v>
      </c>
      <c r="J31" s="50">
        <v>4</v>
      </c>
      <c r="K31" s="50">
        <v>0</v>
      </c>
      <c r="L31" s="50">
        <v>0</v>
      </c>
      <c r="M31" s="50">
        <v>200</v>
      </c>
      <c r="N31" s="50">
        <v>0</v>
      </c>
      <c r="O31" s="15">
        <f t="shared" si="0"/>
        <v>114</v>
      </c>
      <c r="P31" s="15">
        <f t="shared" si="1"/>
        <v>314</v>
      </c>
      <c r="R31" s="36" t="s">
        <v>155</v>
      </c>
      <c r="S31" s="34">
        <f>SUM(C94:C97)</f>
        <v>48</v>
      </c>
      <c r="T31" s="34">
        <f t="shared" ref="T31:AF31" si="23">SUM(D94:D97)</f>
        <v>7</v>
      </c>
      <c r="U31" s="34">
        <f t="shared" si="23"/>
        <v>2</v>
      </c>
      <c r="V31" s="34">
        <f t="shared" si="23"/>
        <v>15</v>
      </c>
      <c r="W31" s="34">
        <f t="shared" si="23"/>
        <v>0</v>
      </c>
      <c r="X31" s="34">
        <f t="shared" si="23"/>
        <v>0</v>
      </c>
      <c r="Y31" s="34">
        <f t="shared" si="23"/>
        <v>7</v>
      </c>
      <c r="Z31" s="34">
        <f t="shared" si="23"/>
        <v>1</v>
      </c>
      <c r="AA31" s="34">
        <f t="shared" si="23"/>
        <v>1</v>
      </c>
      <c r="AB31" s="34">
        <f t="shared" si="23"/>
        <v>0</v>
      </c>
      <c r="AC31" s="34">
        <f t="shared" si="23"/>
        <v>129</v>
      </c>
      <c r="AD31" s="34">
        <f t="shared" si="23"/>
        <v>0</v>
      </c>
      <c r="AE31" s="31">
        <f t="shared" si="23"/>
        <v>81</v>
      </c>
      <c r="AF31" s="31">
        <f t="shared" si="23"/>
        <v>210</v>
      </c>
    </row>
    <row r="32" spans="2:32" ht="23.1" customHeight="1" x14ac:dyDescent="0.25">
      <c r="B32" s="46" t="s">
        <v>59</v>
      </c>
      <c r="C32" s="50">
        <v>55</v>
      </c>
      <c r="D32" s="50">
        <v>18</v>
      </c>
      <c r="E32" s="50">
        <v>3</v>
      </c>
      <c r="F32" s="50">
        <v>35</v>
      </c>
      <c r="G32" s="50">
        <v>0</v>
      </c>
      <c r="H32" s="50">
        <v>1</v>
      </c>
      <c r="I32" s="50">
        <v>2</v>
      </c>
      <c r="J32" s="50">
        <v>3</v>
      </c>
      <c r="K32" s="50">
        <v>6</v>
      </c>
      <c r="L32" s="50">
        <v>0</v>
      </c>
      <c r="M32" s="50">
        <v>130</v>
      </c>
      <c r="N32" s="50">
        <v>0</v>
      </c>
      <c r="O32" s="15">
        <f t="shared" si="0"/>
        <v>123</v>
      </c>
      <c r="P32" s="15">
        <f t="shared" si="1"/>
        <v>253</v>
      </c>
      <c r="R32" s="33" t="s">
        <v>156</v>
      </c>
      <c r="S32" s="34">
        <f>SUM(C98:C101)</f>
        <v>72</v>
      </c>
      <c r="T32" s="34">
        <f t="shared" ref="T32:AF32" si="24">SUM(D98:D101)</f>
        <v>3</v>
      </c>
      <c r="U32" s="34">
        <f t="shared" si="24"/>
        <v>2</v>
      </c>
      <c r="V32" s="34">
        <f t="shared" si="24"/>
        <v>80</v>
      </c>
      <c r="W32" s="34">
        <f t="shared" si="24"/>
        <v>3</v>
      </c>
      <c r="X32" s="34">
        <f t="shared" si="24"/>
        <v>0</v>
      </c>
      <c r="Y32" s="34">
        <f t="shared" si="24"/>
        <v>20</v>
      </c>
      <c r="Z32" s="34">
        <f t="shared" si="24"/>
        <v>1</v>
      </c>
      <c r="AA32" s="34">
        <f t="shared" si="24"/>
        <v>0</v>
      </c>
      <c r="AB32" s="34">
        <f t="shared" si="24"/>
        <v>0</v>
      </c>
      <c r="AC32" s="34">
        <f t="shared" si="24"/>
        <v>222</v>
      </c>
      <c r="AD32" s="34">
        <f t="shared" si="24"/>
        <v>0</v>
      </c>
      <c r="AE32" s="31">
        <f t="shared" si="24"/>
        <v>181</v>
      </c>
      <c r="AF32" s="31">
        <f t="shared" si="24"/>
        <v>403</v>
      </c>
    </row>
    <row r="33" spans="2:32" ht="23.1" customHeight="1" x14ac:dyDescent="0.25">
      <c r="B33" s="45" t="s">
        <v>60</v>
      </c>
      <c r="C33" s="50">
        <v>60</v>
      </c>
      <c r="D33" s="50">
        <v>11</v>
      </c>
      <c r="E33" s="50">
        <v>7</v>
      </c>
      <c r="F33" s="50">
        <v>44</v>
      </c>
      <c r="G33" s="50">
        <v>0</v>
      </c>
      <c r="H33" s="50">
        <v>0</v>
      </c>
      <c r="I33" s="50">
        <v>6</v>
      </c>
      <c r="J33" s="50">
        <v>3</v>
      </c>
      <c r="K33" s="50">
        <v>8</v>
      </c>
      <c r="L33" s="50">
        <v>2</v>
      </c>
      <c r="M33" s="50">
        <v>175</v>
      </c>
      <c r="N33" s="50">
        <v>0</v>
      </c>
      <c r="O33" s="15">
        <f t="shared" si="0"/>
        <v>141</v>
      </c>
      <c r="P33" s="15">
        <f t="shared" si="1"/>
        <v>316</v>
      </c>
      <c r="R33" s="33" t="s">
        <v>157</v>
      </c>
      <c r="S33" s="34">
        <f>SUM(C102:C105)</f>
        <v>76</v>
      </c>
      <c r="T33" s="34">
        <f t="shared" ref="T33:AF33" si="25">SUM(D102:D105)</f>
        <v>12</v>
      </c>
      <c r="U33" s="34">
        <f t="shared" si="25"/>
        <v>12</v>
      </c>
      <c r="V33" s="34">
        <f t="shared" si="25"/>
        <v>107</v>
      </c>
      <c r="W33" s="34">
        <f t="shared" si="25"/>
        <v>3</v>
      </c>
      <c r="X33" s="34">
        <f t="shared" si="25"/>
        <v>4</v>
      </c>
      <c r="Y33" s="34">
        <f t="shared" si="25"/>
        <v>11</v>
      </c>
      <c r="Z33" s="34">
        <f t="shared" si="25"/>
        <v>5</v>
      </c>
      <c r="AA33" s="34">
        <f t="shared" si="25"/>
        <v>2</v>
      </c>
      <c r="AB33" s="34">
        <f t="shared" si="25"/>
        <v>1</v>
      </c>
      <c r="AC33" s="34">
        <f t="shared" si="25"/>
        <v>242</v>
      </c>
      <c r="AD33" s="34">
        <f t="shared" si="25"/>
        <v>0</v>
      </c>
      <c r="AE33" s="31">
        <f t="shared" si="25"/>
        <v>233</v>
      </c>
      <c r="AF33" s="31">
        <f t="shared" si="25"/>
        <v>475</v>
      </c>
    </row>
    <row r="34" spans="2:32" ht="23.1" customHeight="1" x14ac:dyDescent="0.25">
      <c r="B34" s="46" t="s">
        <v>61</v>
      </c>
      <c r="C34" s="50">
        <v>27</v>
      </c>
      <c r="D34" s="50">
        <v>16</v>
      </c>
      <c r="E34" s="50">
        <v>3</v>
      </c>
      <c r="F34" s="50">
        <v>40</v>
      </c>
      <c r="G34" s="50">
        <v>0</v>
      </c>
      <c r="H34" s="50">
        <v>2</v>
      </c>
      <c r="I34" s="50">
        <v>5</v>
      </c>
      <c r="J34" s="50">
        <v>1</v>
      </c>
      <c r="K34" s="50">
        <v>5</v>
      </c>
      <c r="L34" s="50">
        <v>0</v>
      </c>
      <c r="M34" s="50">
        <v>180</v>
      </c>
      <c r="N34" s="50">
        <v>0</v>
      </c>
      <c r="O34" s="15">
        <f t="shared" si="0"/>
        <v>99</v>
      </c>
      <c r="P34" s="15">
        <f t="shared" si="1"/>
        <v>279</v>
      </c>
      <c r="R34" s="38" t="s">
        <v>90</v>
      </c>
      <c r="S34" s="39">
        <f t="shared" ref="S34:AF34" si="26">MAX(S10:S12)</f>
        <v>137</v>
      </c>
      <c r="T34" s="39">
        <f t="shared" si="26"/>
        <v>34</v>
      </c>
      <c r="U34" s="39">
        <f t="shared" si="26"/>
        <v>10</v>
      </c>
      <c r="V34" s="39">
        <f t="shared" si="26"/>
        <v>222</v>
      </c>
      <c r="W34" s="39">
        <f t="shared" si="26"/>
        <v>9</v>
      </c>
      <c r="X34" s="39">
        <f t="shared" si="26"/>
        <v>5</v>
      </c>
      <c r="Y34" s="39">
        <f t="shared" si="26"/>
        <v>62</v>
      </c>
      <c r="Z34" s="39">
        <f t="shared" si="26"/>
        <v>8</v>
      </c>
      <c r="AA34" s="39">
        <f t="shared" si="26"/>
        <v>2</v>
      </c>
      <c r="AB34" s="39">
        <f t="shared" si="26"/>
        <v>2</v>
      </c>
      <c r="AC34" s="39">
        <f t="shared" si="26"/>
        <v>918</v>
      </c>
      <c r="AD34" s="39">
        <f t="shared" si="26"/>
        <v>0</v>
      </c>
      <c r="AE34" s="40">
        <f t="shared" si="26"/>
        <v>439</v>
      </c>
      <c r="AF34" s="40">
        <f t="shared" si="26"/>
        <v>1314</v>
      </c>
    </row>
    <row r="35" spans="2:32" ht="23.1" customHeight="1" x14ac:dyDescent="0.25">
      <c r="B35" s="46" t="s">
        <v>62</v>
      </c>
      <c r="C35" s="50">
        <v>52</v>
      </c>
      <c r="D35" s="50">
        <v>9</v>
      </c>
      <c r="E35" s="50">
        <v>4</v>
      </c>
      <c r="F35" s="50">
        <v>68</v>
      </c>
      <c r="G35" s="50">
        <v>2</v>
      </c>
      <c r="H35" s="50">
        <v>1</v>
      </c>
      <c r="I35" s="50">
        <v>2</v>
      </c>
      <c r="J35" s="50">
        <v>3</v>
      </c>
      <c r="K35" s="50">
        <v>5</v>
      </c>
      <c r="L35" s="50">
        <v>0</v>
      </c>
      <c r="M35" s="50">
        <v>150</v>
      </c>
      <c r="N35" s="50">
        <v>0</v>
      </c>
      <c r="O35" s="15">
        <f t="shared" si="0"/>
        <v>146</v>
      </c>
      <c r="P35" s="15">
        <f t="shared" si="1"/>
        <v>296</v>
      </c>
      <c r="R35" s="38" t="s">
        <v>91</v>
      </c>
      <c r="S35" s="39">
        <f t="shared" ref="S35:AF35" si="27">MAX(S13:S18)</f>
        <v>211</v>
      </c>
      <c r="T35" s="39">
        <f t="shared" si="27"/>
        <v>68</v>
      </c>
      <c r="U35" s="39">
        <f t="shared" si="27"/>
        <v>31</v>
      </c>
      <c r="V35" s="39">
        <f t="shared" si="27"/>
        <v>226</v>
      </c>
      <c r="W35" s="39">
        <f t="shared" si="27"/>
        <v>6</v>
      </c>
      <c r="X35" s="39">
        <f t="shared" si="27"/>
        <v>5</v>
      </c>
      <c r="Y35" s="39">
        <f t="shared" si="27"/>
        <v>21</v>
      </c>
      <c r="Z35" s="39">
        <f t="shared" si="27"/>
        <v>19</v>
      </c>
      <c r="AA35" s="39">
        <f t="shared" si="27"/>
        <v>19</v>
      </c>
      <c r="AB35" s="39">
        <f t="shared" si="27"/>
        <v>4</v>
      </c>
      <c r="AC35" s="39">
        <f t="shared" si="27"/>
        <v>825</v>
      </c>
      <c r="AD35" s="39">
        <f t="shared" si="27"/>
        <v>0</v>
      </c>
      <c r="AE35" s="40">
        <f t="shared" si="27"/>
        <v>521</v>
      </c>
      <c r="AF35" s="40">
        <f t="shared" si="27"/>
        <v>1263</v>
      </c>
    </row>
    <row r="36" spans="2:32" ht="23.1" customHeight="1" x14ac:dyDescent="0.25">
      <c r="B36" s="46" t="s">
        <v>63</v>
      </c>
      <c r="C36" s="50">
        <v>42</v>
      </c>
      <c r="D36" s="50">
        <v>15</v>
      </c>
      <c r="E36" s="50">
        <v>2</v>
      </c>
      <c r="F36" s="50">
        <v>48</v>
      </c>
      <c r="G36" s="50">
        <v>0</v>
      </c>
      <c r="H36" s="50">
        <v>0</v>
      </c>
      <c r="I36" s="50">
        <v>6</v>
      </c>
      <c r="J36" s="50">
        <v>4</v>
      </c>
      <c r="K36" s="50">
        <v>6</v>
      </c>
      <c r="L36" s="50">
        <v>0</v>
      </c>
      <c r="M36" s="50">
        <v>140</v>
      </c>
      <c r="N36" s="50">
        <v>0</v>
      </c>
      <c r="O36" s="15">
        <f t="shared" si="0"/>
        <v>123</v>
      </c>
      <c r="P36" s="15">
        <f t="shared" si="1"/>
        <v>263</v>
      </c>
      <c r="R36" s="38" t="s">
        <v>92</v>
      </c>
      <c r="S36" s="39">
        <f t="shared" ref="S36:AF36" si="28">MAX(S19:S21)</f>
        <v>278</v>
      </c>
      <c r="T36" s="39">
        <f t="shared" si="28"/>
        <v>94</v>
      </c>
      <c r="U36" s="39">
        <f t="shared" si="28"/>
        <v>22</v>
      </c>
      <c r="V36" s="39">
        <f t="shared" si="28"/>
        <v>217</v>
      </c>
      <c r="W36" s="39">
        <f t="shared" si="28"/>
        <v>5</v>
      </c>
      <c r="X36" s="39">
        <f t="shared" si="28"/>
        <v>7</v>
      </c>
      <c r="Y36" s="39">
        <f t="shared" si="28"/>
        <v>25</v>
      </c>
      <c r="Z36" s="39">
        <f t="shared" si="28"/>
        <v>25</v>
      </c>
      <c r="AA36" s="39">
        <f t="shared" si="28"/>
        <v>14</v>
      </c>
      <c r="AB36" s="39">
        <f t="shared" si="28"/>
        <v>3</v>
      </c>
      <c r="AC36" s="39">
        <f t="shared" si="28"/>
        <v>757</v>
      </c>
      <c r="AD36" s="39">
        <f t="shared" si="28"/>
        <v>0</v>
      </c>
      <c r="AE36" s="40">
        <f t="shared" si="28"/>
        <v>653</v>
      </c>
      <c r="AF36" s="40">
        <f t="shared" si="28"/>
        <v>1316</v>
      </c>
    </row>
    <row r="37" spans="2:32" ht="23.1" customHeight="1" x14ac:dyDescent="0.25">
      <c r="B37" s="45" t="s">
        <v>64</v>
      </c>
      <c r="C37" s="50">
        <v>52</v>
      </c>
      <c r="D37" s="50">
        <v>16</v>
      </c>
      <c r="E37" s="50">
        <v>6</v>
      </c>
      <c r="F37" s="50">
        <v>42</v>
      </c>
      <c r="G37" s="50">
        <v>0</v>
      </c>
      <c r="H37" s="50">
        <v>2</v>
      </c>
      <c r="I37" s="50">
        <v>3</v>
      </c>
      <c r="J37" s="50">
        <v>4</v>
      </c>
      <c r="K37" s="50">
        <v>3</v>
      </c>
      <c r="L37" s="50">
        <v>1</v>
      </c>
      <c r="M37" s="50">
        <v>135</v>
      </c>
      <c r="N37" s="50">
        <v>0</v>
      </c>
      <c r="O37" s="15">
        <f t="shared" si="0"/>
        <v>129</v>
      </c>
      <c r="P37" s="15">
        <f t="shared" si="1"/>
        <v>264</v>
      </c>
      <c r="R37" s="37" t="s">
        <v>85</v>
      </c>
      <c r="S37" s="35">
        <f t="shared" ref="S37:AF37" si="29">SUM(S10:S12)</f>
        <v>365</v>
      </c>
      <c r="T37" s="16">
        <f t="shared" si="29"/>
        <v>93</v>
      </c>
      <c r="U37" s="16">
        <f t="shared" si="29"/>
        <v>29</v>
      </c>
      <c r="V37" s="16">
        <f t="shared" si="29"/>
        <v>605</v>
      </c>
      <c r="W37" s="16">
        <f t="shared" si="29"/>
        <v>18</v>
      </c>
      <c r="X37" s="16">
        <f t="shared" si="29"/>
        <v>13</v>
      </c>
      <c r="Y37" s="16">
        <f t="shared" si="29"/>
        <v>89</v>
      </c>
      <c r="Z37" s="16">
        <f t="shared" si="29"/>
        <v>10</v>
      </c>
      <c r="AA37" s="16">
        <f t="shared" si="29"/>
        <v>2</v>
      </c>
      <c r="AB37" s="16">
        <f t="shared" si="29"/>
        <v>4</v>
      </c>
      <c r="AC37" s="16">
        <f t="shared" si="29"/>
        <v>2337</v>
      </c>
      <c r="AD37" s="16">
        <f t="shared" si="29"/>
        <v>0</v>
      </c>
      <c r="AE37" s="32">
        <f t="shared" si="29"/>
        <v>1228</v>
      </c>
      <c r="AF37" s="32">
        <f t="shared" si="29"/>
        <v>3565</v>
      </c>
    </row>
    <row r="38" spans="2:32" ht="23.1" customHeight="1" x14ac:dyDescent="0.25">
      <c r="B38" s="46" t="s">
        <v>65</v>
      </c>
      <c r="C38" s="50">
        <v>31</v>
      </c>
      <c r="D38" s="50">
        <v>10</v>
      </c>
      <c r="E38" s="50">
        <v>7</v>
      </c>
      <c r="F38" s="50">
        <v>60</v>
      </c>
      <c r="G38" s="50">
        <v>0</v>
      </c>
      <c r="H38" s="50">
        <v>0</v>
      </c>
      <c r="I38" s="50">
        <v>7</v>
      </c>
      <c r="J38" s="50">
        <v>2</v>
      </c>
      <c r="K38" s="50">
        <v>1</v>
      </c>
      <c r="L38" s="50">
        <v>1</v>
      </c>
      <c r="M38" s="50">
        <v>165</v>
      </c>
      <c r="N38" s="50">
        <v>0</v>
      </c>
      <c r="O38" s="15">
        <f t="shared" si="0"/>
        <v>119</v>
      </c>
      <c r="P38" s="15">
        <f t="shared" si="1"/>
        <v>284</v>
      </c>
      <c r="R38" s="28" t="s">
        <v>86</v>
      </c>
      <c r="S38" s="16">
        <f t="shared" ref="S38:AF38" si="30">SUM(S13:S18)</f>
        <v>998</v>
      </c>
      <c r="T38" s="16">
        <f t="shared" si="30"/>
        <v>288</v>
      </c>
      <c r="U38" s="16">
        <f t="shared" si="30"/>
        <v>115</v>
      </c>
      <c r="V38" s="16">
        <f t="shared" si="30"/>
        <v>1176</v>
      </c>
      <c r="W38" s="16">
        <f t="shared" si="30"/>
        <v>22</v>
      </c>
      <c r="X38" s="16">
        <f t="shared" si="30"/>
        <v>23</v>
      </c>
      <c r="Y38" s="16">
        <f t="shared" si="30"/>
        <v>109</v>
      </c>
      <c r="Z38" s="16">
        <f t="shared" si="30"/>
        <v>90</v>
      </c>
      <c r="AA38" s="16">
        <f t="shared" si="30"/>
        <v>61</v>
      </c>
      <c r="AB38" s="16">
        <f t="shared" si="30"/>
        <v>11</v>
      </c>
      <c r="AC38" s="16">
        <f t="shared" si="30"/>
        <v>3899</v>
      </c>
      <c r="AD38" s="16">
        <f t="shared" si="30"/>
        <v>0</v>
      </c>
      <c r="AE38" s="32">
        <f t="shared" si="30"/>
        <v>2893</v>
      </c>
      <c r="AF38" s="32">
        <f t="shared" si="30"/>
        <v>6792</v>
      </c>
    </row>
    <row r="39" spans="2:32" ht="23.1" customHeight="1" x14ac:dyDescent="0.25">
      <c r="B39" s="46" t="s">
        <v>66</v>
      </c>
      <c r="C39" s="50">
        <v>39</v>
      </c>
      <c r="D39" s="50">
        <v>9</v>
      </c>
      <c r="E39" s="50">
        <v>2</v>
      </c>
      <c r="F39" s="50">
        <v>60</v>
      </c>
      <c r="G39" s="50">
        <v>5</v>
      </c>
      <c r="H39" s="50">
        <v>2</v>
      </c>
      <c r="I39" s="50">
        <v>3</v>
      </c>
      <c r="J39" s="50">
        <v>1</v>
      </c>
      <c r="K39" s="50">
        <v>2</v>
      </c>
      <c r="L39" s="50">
        <v>0</v>
      </c>
      <c r="M39" s="50">
        <v>125</v>
      </c>
      <c r="N39" s="50">
        <v>0</v>
      </c>
      <c r="O39" s="15">
        <f t="shared" si="0"/>
        <v>123</v>
      </c>
      <c r="P39" s="15">
        <f t="shared" si="1"/>
        <v>248</v>
      </c>
      <c r="R39" s="29" t="s">
        <v>87</v>
      </c>
      <c r="S39" s="16">
        <f t="shared" ref="S39:AF39" si="31">SUM(S19:S21)</f>
        <v>746</v>
      </c>
      <c r="T39" s="16">
        <f t="shared" si="31"/>
        <v>224</v>
      </c>
      <c r="U39" s="16">
        <f t="shared" si="31"/>
        <v>63</v>
      </c>
      <c r="V39" s="16">
        <f t="shared" si="31"/>
        <v>604</v>
      </c>
      <c r="W39" s="16">
        <f t="shared" si="31"/>
        <v>8</v>
      </c>
      <c r="X39" s="16">
        <f t="shared" si="31"/>
        <v>12</v>
      </c>
      <c r="Y39" s="16">
        <f t="shared" si="31"/>
        <v>55</v>
      </c>
      <c r="Z39" s="16">
        <f t="shared" si="31"/>
        <v>42</v>
      </c>
      <c r="AA39" s="16">
        <f t="shared" si="31"/>
        <v>24</v>
      </c>
      <c r="AB39" s="16">
        <f t="shared" si="31"/>
        <v>7</v>
      </c>
      <c r="AC39" s="16">
        <f t="shared" si="31"/>
        <v>1967</v>
      </c>
      <c r="AD39" s="16">
        <f t="shared" si="31"/>
        <v>0</v>
      </c>
      <c r="AE39" s="32">
        <f t="shared" si="31"/>
        <v>1785</v>
      </c>
      <c r="AF39" s="32">
        <f t="shared" si="31"/>
        <v>3752</v>
      </c>
    </row>
    <row r="40" spans="2:32" ht="23.1" customHeight="1" x14ac:dyDescent="0.25">
      <c r="B40" s="46" t="s">
        <v>67</v>
      </c>
      <c r="C40" s="50">
        <v>53</v>
      </c>
      <c r="D40" s="50">
        <v>15</v>
      </c>
      <c r="E40" s="50">
        <v>4</v>
      </c>
      <c r="F40" s="50">
        <v>60</v>
      </c>
      <c r="G40" s="50">
        <v>1</v>
      </c>
      <c r="H40" s="50">
        <v>0</v>
      </c>
      <c r="I40" s="50">
        <v>9</v>
      </c>
      <c r="J40" s="50">
        <v>5</v>
      </c>
      <c r="K40" s="50">
        <v>3</v>
      </c>
      <c r="L40" s="50">
        <v>2</v>
      </c>
      <c r="M40" s="50">
        <v>140</v>
      </c>
      <c r="N40" s="50">
        <v>0</v>
      </c>
      <c r="O40" s="15">
        <f t="shared" si="0"/>
        <v>152</v>
      </c>
      <c r="P40" s="15">
        <f t="shared" si="1"/>
        <v>292</v>
      </c>
      <c r="R40" s="5" t="s">
        <v>17</v>
      </c>
      <c r="S40" s="16">
        <f t="shared" ref="S40:AF40" si="32">SUM(S10:S21)</f>
        <v>2109</v>
      </c>
      <c r="T40" s="16">
        <f t="shared" si="32"/>
        <v>605</v>
      </c>
      <c r="U40" s="16">
        <f t="shared" si="32"/>
        <v>207</v>
      </c>
      <c r="V40" s="16">
        <f t="shared" si="32"/>
        <v>2385</v>
      </c>
      <c r="W40" s="16">
        <f t="shared" si="32"/>
        <v>48</v>
      </c>
      <c r="X40" s="16">
        <f t="shared" si="32"/>
        <v>48</v>
      </c>
      <c r="Y40" s="16">
        <f t="shared" si="32"/>
        <v>253</v>
      </c>
      <c r="Z40" s="16">
        <f t="shared" si="32"/>
        <v>142</v>
      </c>
      <c r="AA40" s="16">
        <f t="shared" si="32"/>
        <v>87</v>
      </c>
      <c r="AB40" s="16">
        <f t="shared" si="32"/>
        <v>22</v>
      </c>
      <c r="AC40" s="16">
        <f t="shared" si="32"/>
        <v>8203</v>
      </c>
      <c r="AD40" s="16">
        <f t="shared" si="32"/>
        <v>0</v>
      </c>
      <c r="AE40" s="32">
        <f t="shared" si="32"/>
        <v>5906</v>
      </c>
      <c r="AF40" s="32">
        <f t="shared" si="32"/>
        <v>14109</v>
      </c>
    </row>
    <row r="41" spans="2:32" ht="23.1" customHeight="1" x14ac:dyDescent="0.25">
      <c r="B41" s="45" t="s">
        <v>68</v>
      </c>
      <c r="C41" s="50">
        <v>26</v>
      </c>
      <c r="D41" s="50">
        <v>8</v>
      </c>
      <c r="E41" s="50">
        <v>2</v>
      </c>
      <c r="F41" s="50">
        <v>41</v>
      </c>
      <c r="G41" s="50">
        <v>0</v>
      </c>
      <c r="H41" s="50">
        <v>1</v>
      </c>
      <c r="I41" s="50">
        <v>2</v>
      </c>
      <c r="J41" s="50">
        <v>10</v>
      </c>
      <c r="K41" s="50">
        <v>2</v>
      </c>
      <c r="L41" s="50">
        <v>1</v>
      </c>
      <c r="M41" s="50">
        <v>62</v>
      </c>
      <c r="N41" s="50">
        <v>0</v>
      </c>
      <c r="O41" s="15">
        <f t="shared" si="0"/>
        <v>93</v>
      </c>
      <c r="P41" s="15">
        <f t="shared" si="1"/>
        <v>155</v>
      </c>
      <c r="R41" s="5" t="s">
        <v>159</v>
      </c>
      <c r="S41" s="16">
        <f>SUM(S10:S33)</f>
        <v>3334</v>
      </c>
      <c r="T41" s="16">
        <f t="shared" ref="T41:AF41" si="33">SUM(T10:T33)</f>
        <v>808</v>
      </c>
      <c r="U41" s="16">
        <f t="shared" si="33"/>
        <v>387</v>
      </c>
      <c r="V41" s="16">
        <f t="shared" si="33"/>
        <v>3336</v>
      </c>
      <c r="W41" s="16">
        <f t="shared" si="33"/>
        <v>71</v>
      </c>
      <c r="X41" s="16">
        <f t="shared" si="33"/>
        <v>76</v>
      </c>
      <c r="Y41" s="16">
        <f t="shared" si="33"/>
        <v>375</v>
      </c>
      <c r="Z41" s="16">
        <f t="shared" si="33"/>
        <v>174</v>
      </c>
      <c r="AA41" s="16">
        <f t="shared" si="33"/>
        <v>105</v>
      </c>
      <c r="AB41" s="16">
        <f t="shared" si="33"/>
        <v>25</v>
      </c>
      <c r="AC41" s="16">
        <f t="shared" si="33"/>
        <v>11268</v>
      </c>
      <c r="AD41" s="16">
        <f t="shared" si="33"/>
        <v>1</v>
      </c>
      <c r="AE41" s="32">
        <f t="shared" si="33"/>
        <v>8692</v>
      </c>
      <c r="AF41" s="32">
        <f t="shared" si="33"/>
        <v>19960</v>
      </c>
    </row>
    <row r="42" spans="2:32" ht="23.1" customHeight="1" x14ac:dyDescent="0.25">
      <c r="B42" s="46" t="s">
        <v>69</v>
      </c>
      <c r="C42" s="50">
        <v>69</v>
      </c>
      <c r="D42" s="50">
        <v>22</v>
      </c>
      <c r="E42" s="50">
        <v>8</v>
      </c>
      <c r="F42" s="50">
        <v>56</v>
      </c>
      <c r="G42" s="50">
        <v>0</v>
      </c>
      <c r="H42" s="50">
        <v>1</v>
      </c>
      <c r="I42" s="50">
        <v>4</v>
      </c>
      <c r="J42" s="50">
        <v>7</v>
      </c>
      <c r="K42" s="50">
        <v>4</v>
      </c>
      <c r="L42" s="50">
        <v>0</v>
      </c>
      <c r="M42" s="50">
        <v>163</v>
      </c>
      <c r="N42" s="50">
        <v>0</v>
      </c>
      <c r="O42" s="15">
        <f t="shared" si="0"/>
        <v>171</v>
      </c>
      <c r="P42" s="15">
        <f t="shared" si="1"/>
        <v>334</v>
      </c>
      <c r="R42" s="5" t="s">
        <v>160</v>
      </c>
      <c r="S42" s="48">
        <f>S41/S40</f>
        <v>1.5808440018966334</v>
      </c>
      <c r="T42" s="48">
        <f t="shared" ref="T42:AF42" si="34">T41/T40</f>
        <v>1.3355371900826447</v>
      </c>
      <c r="U42" s="48">
        <f t="shared" si="34"/>
        <v>1.8695652173913044</v>
      </c>
      <c r="V42" s="48">
        <f t="shared" si="34"/>
        <v>1.3987421383647798</v>
      </c>
      <c r="W42" s="48">
        <f t="shared" si="34"/>
        <v>1.4791666666666667</v>
      </c>
      <c r="X42" s="48">
        <f t="shared" si="34"/>
        <v>1.5833333333333333</v>
      </c>
      <c r="Y42" s="48">
        <f t="shared" si="34"/>
        <v>1.482213438735178</v>
      </c>
      <c r="Z42" s="48">
        <f t="shared" si="34"/>
        <v>1.2253521126760563</v>
      </c>
      <c r="AA42" s="48">
        <f t="shared" si="34"/>
        <v>1.2068965517241379</v>
      </c>
      <c r="AB42" s="48">
        <f t="shared" si="34"/>
        <v>1.1363636363636365</v>
      </c>
      <c r="AC42" s="48">
        <f t="shared" si="34"/>
        <v>1.3736437888577351</v>
      </c>
      <c r="AD42" s="48" t="e">
        <f t="shared" si="34"/>
        <v>#DIV/0!</v>
      </c>
      <c r="AE42" s="48">
        <f t="shared" si="34"/>
        <v>1.4717236708432102</v>
      </c>
      <c r="AF42" s="48">
        <f t="shared" si="34"/>
        <v>1.4146998369834858</v>
      </c>
    </row>
    <row r="43" spans="2:32" ht="23.1" customHeight="1" x14ac:dyDescent="0.25">
      <c r="B43" s="45" t="s">
        <v>70</v>
      </c>
      <c r="C43" s="50">
        <v>57</v>
      </c>
      <c r="D43" s="50">
        <v>19</v>
      </c>
      <c r="E43" s="50">
        <v>6</v>
      </c>
      <c r="F43" s="50">
        <v>58</v>
      </c>
      <c r="G43" s="50">
        <v>2</v>
      </c>
      <c r="H43" s="50">
        <v>0</v>
      </c>
      <c r="I43" s="50">
        <v>6</v>
      </c>
      <c r="J43" s="50">
        <v>1</v>
      </c>
      <c r="K43" s="50">
        <v>1</v>
      </c>
      <c r="L43" s="50">
        <v>0</v>
      </c>
      <c r="M43" s="50">
        <v>172</v>
      </c>
      <c r="N43" s="50">
        <v>0</v>
      </c>
      <c r="O43" s="15">
        <f t="shared" si="0"/>
        <v>150</v>
      </c>
      <c r="P43" s="15">
        <f t="shared" si="1"/>
        <v>322</v>
      </c>
    </row>
    <row r="44" spans="2:32" ht="23.1" customHeight="1" x14ac:dyDescent="0.25">
      <c r="B44" s="47" t="s">
        <v>71</v>
      </c>
      <c r="C44" s="50">
        <v>50</v>
      </c>
      <c r="D44" s="50">
        <v>17</v>
      </c>
      <c r="E44" s="50">
        <v>7</v>
      </c>
      <c r="F44" s="50">
        <v>56</v>
      </c>
      <c r="G44" s="50">
        <v>0</v>
      </c>
      <c r="H44" s="50">
        <v>0</v>
      </c>
      <c r="I44" s="50">
        <v>1</v>
      </c>
      <c r="J44" s="50">
        <v>6</v>
      </c>
      <c r="K44" s="50">
        <v>4</v>
      </c>
      <c r="L44" s="50">
        <v>0</v>
      </c>
      <c r="M44" s="50">
        <v>110</v>
      </c>
      <c r="N44" s="50">
        <v>0</v>
      </c>
      <c r="O44" s="15">
        <f t="shared" si="0"/>
        <v>141</v>
      </c>
      <c r="P44" s="15">
        <f t="shared" si="1"/>
        <v>251</v>
      </c>
    </row>
    <row r="45" spans="2:32" ht="23.1" customHeight="1" x14ac:dyDescent="0.25">
      <c r="B45" s="45" t="s">
        <v>72</v>
      </c>
      <c r="C45" s="50">
        <v>35</v>
      </c>
      <c r="D45" s="50">
        <v>10</v>
      </c>
      <c r="E45" s="50">
        <v>2</v>
      </c>
      <c r="F45" s="50">
        <v>0</v>
      </c>
      <c r="G45" s="50">
        <v>2</v>
      </c>
      <c r="H45" s="50">
        <v>2</v>
      </c>
      <c r="I45" s="50">
        <v>6</v>
      </c>
      <c r="J45" s="50">
        <v>0</v>
      </c>
      <c r="K45" s="50">
        <v>1</v>
      </c>
      <c r="L45" s="50">
        <v>1</v>
      </c>
      <c r="M45" s="50">
        <v>122</v>
      </c>
      <c r="N45" s="50">
        <v>0</v>
      </c>
      <c r="O45" s="15">
        <f t="shared" si="0"/>
        <v>59</v>
      </c>
      <c r="P45" s="15">
        <f t="shared" si="1"/>
        <v>181</v>
      </c>
    </row>
    <row r="46" spans="2:32" ht="23.1" customHeight="1" x14ac:dyDescent="0.25">
      <c r="B46" s="46" t="s">
        <v>73</v>
      </c>
      <c r="C46" s="50">
        <v>65</v>
      </c>
      <c r="D46" s="50">
        <v>22</v>
      </c>
      <c r="E46" s="50">
        <v>10</v>
      </c>
      <c r="F46" s="50">
        <v>50</v>
      </c>
      <c r="G46" s="50">
        <v>0</v>
      </c>
      <c r="H46" s="50">
        <v>1</v>
      </c>
      <c r="I46" s="50">
        <v>6</v>
      </c>
      <c r="J46" s="50">
        <v>1</v>
      </c>
      <c r="K46" s="50">
        <v>4</v>
      </c>
      <c r="L46" s="50">
        <v>3</v>
      </c>
      <c r="M46" s="50">
        <v>145</v>
      </c>
      <c r="N46" s="50">
        <v>0</v>
      </c>
      <c r="O46" s="15">
        <f t="shared" si="0"/>
        <v>162</v>
      </c>
      <c r="P46" s="15">
        <f t="shared" si="1"/>
        <v>307</v>
      </c>
      <c r="R46" s="8"/>
      <c r="T46"/>
    </row>
    <row r="47" spans="2:32" ht="23.1" customHeight="1" x14ac:dyDescent="0.25">
      <c r="B47" s="46" t="s">
        <v>74</v>
      </c>
      <c r="C47" s="50">
        <v>60</v>
      </c>
      <c r="D47" s="50">
        <v>20</v>
      </c>
      <c r="E47" s="50">
        <v>6</v>
      </c>
      <c r="F47" s="50">
        <v>40</v>
      </c>
      <c r="G47" s="50">
        <v>2</v>
      </c>
      <c r="H47" s="50">
        <v>4</v>
      </c>
      <c r="I47" s="50">
        <v>7</v>
      </c>
      <c r="J47" s="50">
        <v>3</v>
      </c>
      <c r="K47" s="50">
        <v>0</v>
      </c>
      <c r="L47" s="50">
        <v>0</v>
      </c>
      <c r="M47" s="50">
        <v>150</v>
      </c>
      <c r="N47" s="50">
        <v>0</v>
      </c>
      <c r="O47" s="15">
        <f t="shared" si="0"/>
        <v>142</v>
      </c>
      <c r="P47" s="15">
        <f t="shared" si="1"/>
        <v>292</v>
      </c>
      <c r="R47" s="8"/>
      <c r="T47"/>
    </row>
    <row r="48" spans="2:32" ht="23.1" customHeight="1" x14ac:dyDescent="0.25">
      <c r="B48" s="46" t="s">
        <v>75</v>
      </c>
      <c r="C48" s="50">
        <v>89</v>
      </c>
      <c r="D48" s="50">
        <v>33</v>
      </c>
      <c r="E48" s="50">
        <v>4</v>
      </c>
      <c r="F48" s="50">
        <v>53</v>
      </c>
      <c r="G48" s="50">
        <v>0</v>
      </c>
      <c r="H48" s="50">
        <v>0</v>
      </c>
      <c r="I48" s="50">
        <v>5</v>
      </c>
      <c r="J48" s="50">
        <v>15</v>
      </c>
      <c r="K48" s="50">
        <v>8</v>
      </c>
      <c r="L48" s="50">
        <v>0</v>
      </c>
      <c r="M48" s="50">
        <v>180</v>
      </c>
      <c r="N48" s="50">
        <v>0</v>
      </c>
      <c r="O48" s="15">
        <f t="shared" si="0"/>
        <v>207</v>
      </c>
      <c r="P48" s="15">
        <f t="shared" si="1"/>
        <v>387</v>
      </c>
      <c r="R48" s="8"/>
      <c r="T48"/>
    </row>
    <row r="49" spans="2:20" ht="23.1" customHeight="1" x14ac:dyDescent="0.25">
      <c r="B49" s="45" t="s">
        <v>76</v>
      </c>
      <c r="C49" s="50">
        <v>64</v>
      </c>
      <c r="D49" s="50">
        <v>19</v>
      </c>
      <c r="E49" s="50">
        <v>2</v>
      </c>
      <c r="F49" s="50">
        <v>40</v>
      </c>
      <c r="G49" s="50">
        <v>0</v>
      </c>
      <c r="H49" s="50">
        <v>2</v>
      </c>
      <c r="I49" s="50">
        <v>7</v>
      </c>
      <c r="J49" s="50">
        <v>6</v>
      </c>
      <c r="K49" s="50">
        <v>2</v>
      </c>
      <c r="L49" s="50">
        <v>0</v>
      </c>
      <c r="M49" s="50">
        <v>155</v>
      </c>
      <c r="N49" s="50">
        <v>0</v>
      </c>
      <c r="O49" s="15">
        <f t="shared" si="0"/>
        <v>142</v>
      </c>
      <c r="P49" s="15">
        <f t="shared" si="1"/>
        <v>297</v>
      </c>
      <c r="R49" s="8"/>
      <c r="T49"/>
    </row>
    <row r="50" spans="2:20" ht="23.1" customHeight="1" x14ac:dyDescent="0.25">
      <c r="B50" s="46" t="s">
        <v>77</v>
      </c>
      <c r="C50" s="50">
        <v>72</v>
      </c>
      <c r="D50" s="50">
        <v>23</v>
      </c>
      <c r="E50" s="50">
        <v>4</v>
      </c>
      <c r="F50" s="50">
        <v>47</v>
      </c>
      <c r="G50" s="50">
        <v>0</v>
      </c>
      <c r="H50" s="50">
        <v>0</v>
      </c>
      <c r="I50" s="50">
        <v>2</v>
      </c>
      <c r="J50" s="50">
        <v>3</v>
      </c>
      <c r="K50" s="50">
        <v>3</v>
      </c>
      <c r="L50" s="50">
        <v>0</v>
      </c>
      <c r="M50" s="50">
        <v>130</v>
      </c>
      <c r="N50" s="50">
        <v>0</v>
      </c>
      <c r="O50" s="15">
        <f t="shared" si="0"/>
        <v>154</v>
      </c>
      <c r="P50" s="15">
        <f t="shared" si="1"/>
        <v>284</v>
      </c>
      <c r="R50" s="8"/>
      <c r="T50"/>
    </row>
    <row r="51" spans="2:20" ht="23.1" customHeight="1" x14ac:dyDescent="0.25">
      <c r="B51" s="46" t="s">
        <v>78</v>
      </c>
      <c r="C51" s="50">
        <v>45</v>
      </c>
      <c r="D51" s="50">
        <v>12</v>
      </c>
      <c r="E51" s="50">
        <v>3</v>
      </c>
      <c r="F51" s="50">
        <v>57</v>
      </c>
      <c r="G51" s="50">
        <v>0</v>
      </c>
      <c r="H51" s="50">
        <v>0</v>
      </c>
      <c r="I51" s="50">
        <v>3</v>
      </c>
      <c r="J51" s="50">
        <v>2</v>
      </c>
      <c r="K51" s="50">
        <v>1</v>
      </c>
      <c r="L51" s="50">
        <v>0</v>
      </c>
      <c r="M51" s="50">
        <v>135</v>
      </c>
      <c r="N51" s="50">
        <v>0</v>
      </c>
      <c r="O51" s="15">
        <f t="shared" si="0"/>
        <v>123</v>
      </c>
      <c r="P51" s="15">
        <f t="shared" si="1"/>
        <v>258</v>
      </c>
      <c r="R51" s="8"/>
      <c r="T51"/>
    </row>
    <row r="52" spans="2:20" ht="23.1" customHeight="1" x14ac:dyDescent="0.25">
      <c r="B52" s="46" t="s">
        <v>79</v>
      </c>
      <c r="C52" s="50">
        <v>67</v>
      </c>
      <c r="D52" s="50">
        <v>17</v>
      </c>
      <c r="E52" s="50">
        <v>5</v>
      </c>
      <c r="F52" s="50">
        <v>40</v>
      </c>
      <c r="G52" s="50">
        <v>0</v>
      </c>
      <c r="H52" s="50">
        <v>0</v>
      </c>
      <c r="I52" s="50">
        <v>7</v>
      </c>
      <c r="J52" s="50">
        <v>0</v>
      </c>
      <c r="K52" s="50">
        <v>2</v>
      </c>
      <c r="L52" s="50">
        <v>2</v>
      </c>
      <c r="M52" s="50">
        <v>165</v>
      </c>
      <c r="N52" s="50">
        <v>0</v>
      </c>
      <c r="O52" s="15">
        <f t="shared" si="0"/>
        <v>140</v>
      </c>
      <c r="P52" s="15">
        <f t="shared" si="1"/>
        <v>305</v>
      </c>
      <c r="R52" s="8"/>
      <c r="T52"/>
    </row>
    <row r="53" spans="2:20" ht="23.1" customHeight="1" x14ac:dyDescent="0.25">
      <c r="B53" s="45" t="s">
        <v>80</v>
      </c>
      <c r="C53" s="50">
        <v>60</v>
      </c>
      <c r="D53" s="50">
        <v>15</v>
      </c>
      <c r="E53" s="50">
        <v>8</v>
      </c>
      <c r="F53" s="50">
        <v>60</v>
      </c>
      <c r="G53" s="50">
        <v>1</v>
      </c>
      <c r="H53" s="50">
        <v>1</v>
      </c>
      <c r="I53" s="50">
        <v>4</v>
      </c>
      <c r="J53" s="50">
        <v>5</v>
      </c>
      <c r="K53" s="50">
        <v>2</v>
      </c>
      <c r="L53" s="50">
        <v>0</v>
      </c>
      <c r="M53" s="50">
        <v>150</v>
      </c>
      <c r="N53" s="50">
        <v>0</v>
      </c>
      <c r="O53" s="15">
        <f t="shared" si="0"/>
        <v>156</v>
      </c>
      <c r="P53" s="15">
        <f t="shared" si="1"/>
        <v>306</v>
      </c>
      <c r="R53" s="8"/>
      <c r="T53"/>
    </row>
    <row r="54" spans="2:20" ht="23.1" customHeight="1" x14ac:dyDescent="0.25">
      <c r="B54" s="45" t="s">
        <v>81</v>
      </c>
      <c r="C54" s="50">
        <v>70</v>
      </c>
      <c r="D54" s="50">
        <v>16</v>
      </c>
      <c r="E54" s="50">
        <v>7</v>
      </c>
      <c r="F54" s="50">
        <v>65</v>
      </c>
      <c r="G54" s="50">
        <v>4</v>
      </c>
      <c r="H54" s="50">
        <v>0</v>
      </c>
      <c r="I54" s="50">
        <v>6</v>
      </c>
      <c r="J54" s="50">
        <v>3</v>
      </c>
      <c r="K54" s="50">
        <v>0</v>
      </c>
      <c r="L54" s="50">
        <v>2</v>
      </c>
      <c r="M54" s="50">
        <v>162</v>
      </c>
      <c r="N54" s="50">
        <v>0</v>
      </c>
      <c r="O54" s="15">
        <f t="shared" si="0"/>
        <v>173</v>
      </c>
      <c r="P54" s="15">
        <f t="shared" si="1"/>
        <v>335</v>
      </c>
      <c r="R54" s="8"/>
      <c r="T54"/>
    </row>
    <row r="55" spans="2:20" ht="23.1" customHeight="1" x14ac:dyDescent="0.25">
      <c r="B55" s="45" t="s">
        <v>82</v>
      </c>
      <c r="C55" s="50">
        <v>50</v>
      </c>
      <c r="D55" s="50">
        <v>19</v>
      </c>
      <c r="E55" s="50">
        <v>7</v>
      </c>
      <c r="F55" s="50">
        <v>46</v>
      </c>
      <c r="G55" s="50">
        <v>0</v>
      </c>
      <c r="H55" s="50">
        <v>2</v>
      </c>
      <c r="I55" s="50">
        <v>2</v>
      </c>
      <c r="J55" s="50">
        <v>1</v>
      </c>
      <c r="K55" s="50">
        <v>0</v>
      </c>
      <c r="L55" s="50">
        <v>0</v>
      </c>
      <c r="M55" s="50">
        <v>215</v>
      </c>
      <c r="N55" s="50">
        <v>0</v>
      </c>
      <c r="O55" s="15">
        <f t="shared" si="0"/>
        <v>127</v>
      </c>
      <c r="P55" s="15">
        <f t="shared" si="1"/>
        <v>342</v>
      </c>
      <c r="R55" s="8"/>
      <c r="T55"/>
    </row>
    <row r="56" spans="2:20" ht="23.1" customHeight="1" x14ac:dyDescent="0.25">
      <c r="B56" s="45" t="s">
        <v>83</v>
      </c>
      <c r="C56" s="50">
        <v>50</v>
      </c>
      <c r="D56" s="50">
        <v>8</v>
      </c>
      <c r="E56" s="50">
        <v>2</v>
      </c>
      <c r="F56" s="50">
        <v>56</v>
      </c>
      <c r="G56" s="50">
        <v>1</v>
      </c>
      <c r="H56" s="50">
        <v>2</v>
      </c>
      <c r="I56" s="50">
        <v>2</v>
      </c>
      <c r="J56" s="50">
        <v>2</v>
      </c>
      <c r="K56" s="50">
        <v>1</v>
      </c>
      <c r="L56" s="50">
        <v>0</v>
      </c>
      <c r="M56" s="50">
        <v>200</v>
      </c>
      <c r="N56" s="50">
        <v>0</v>
      </c>
      <c r="O56" s="15">
        <f t="shared" si="0"/>
        <v>124</v>
      </c>
      <c r="P56" s="15">
        <f t="shared" si="1"/>
        <v>324</v>
      </c>
      <c r="R56" s="8"/>
      <c r="T56"/>
    </row>
    <row r="57" spans="2:20" ht="23.1" customHeight="1" x14ac:dyDescent="0.25">
      <c r="B57" s="45" t="s">
        <v>84</v>
      </c>
      <c r="C57" s="50">
        <v>54</v>
      </c>
      <c r="D57" s="50">
        <v>20</v>
      </c>
      <c r="E57" s="50">
        <v>5</v>
      </c>
      <c r="F57" s="50">
        <v>50</v>
      </c>
      <c r="G57" s="50">
        <v>0</v>
      </c>
      <c r="H57" s="50">
        <v>0</v>
      </c>
      <c r="I57" s="50">
        <v>4</v>
      </c>
      <c r="J57" s="50">
        <v>1</v>
      </c>
      <c r="K57" s="50">
        <v>1</v>
      </c>
      <c r="L57" s="50">
        <v>0</v>
      </c>
      <c r="M57" s="50">
        <v>180</v>
      </c>
      <c r="N57" s="50">
        <v>0</v>
      </c>
      <c r="O57" s="15">
        <f t="shared" si="0"/>
        <v>135</v>
      </c>
      <c r="P57" s="15">
        <f t="shared" si="1"/>
        <v>315</v>
      </c>
      <c r="R57" s="8"/>
      <c r="T57"/>
    </row>
    <row r="58" spans="2:20" ht="23.1" customHeight="1" x14ac:dyDescent="0.25">
      <c r="B58" s="45" t="s">
        <v>99</v>
      </c>
      <c r="C58" s="50">
        <v>25</v>
      </c>
      <c r="D58" s="50">
        <v>10</v>
      </c>
      <c r="E58" s="50">
        <v>6</v>
      </c>
      <c r="F58" s="50">
        <v>3</v>
      </c>
      <c r="G58" s="50">
        <v>2</v>
      </c>
      <c r="H58" s="50">
        <v>8</v>
      </c>
      <c r="I58" s="50">
        <v>0</v>
      </c>
      <c r="J58" s="50">
        <v>2</v>
      </c>
      <c r="K58" s="50">
        <v>0</v>
      </c>
      <c r="L58" s="50">
        <v>0</v>
      </c>
      <c r="M58" s="50">
        <v>95</v>
      </c>
      <c r="N58" s="50">
        <v>0</v>
      </c>
      <c r="O58" s="15">
        <f t="shared" si="0"/>
        <v>56</v>
      </c>
      <c r="P58" s="15">
        <f t="shared" si="1"/>
        <v>151</v>
      </c>
      <c r="R58" s="8"/>
      <c r="T58"/>
    </row>
    <row r="59" spans="2:20" ht="23.1" customHeight="1" x14ac:dyDescent="0.25">
      <c r="B59" s="45" t="s">
        <v>100</v>
      </c>
      <c r="C59" s="50">
        <v>39</v>
      </c>
      <c r="D59" s="50">
        <v>9</v>
      </c>
      <c r="E59" s="50">
        <v>6</v>
      </c>
      <c r="F59" s="50">
        <v>55</v>
      </c>
      <c r="G59" s="50">
        <v>2</v>
      </c>
      <c r="H59" s="50">
        <v>2</v>
      </c>
      <c r="I59" s="50">
        <v>6</v>
      </c>
      <c r="J59" s="50">
        <v>0</v>
      </c>
      <c r="K59" s="50">
        <v>2</v>
      </c>
      <c r="L59" s="50">
        <v>0</v>
      </c>
      <c r="M59" s="50">
        <v>75</v>
      </c>
      <c r="N59" s="50">
        <v>0</v>
      </c>
      <c r="O59" s="15">
        <f t="shared" si="0"/>
        <v>121</v>
      </c>
      <c r="P59" s="15">
        <f t="shared" si="1"/>
        <v>196</v>
      </c>
      <c r="R59" s="8"/>
      <c r="T59"/>
    </row>
    <row r="60" spans="2:20" ht="23.1" customHeight="1" x14ac:dyDescent="0.25">
      <c r="B60" s="45" t="s">
        <v>101</v>
      </c>
      <c r="C60" s="50">
        <v>40</v>
      </c>
      <c r="D60" s="50">
        <v>30</v>
      </c>
      <c r="E60" s="50">
        <v>6</v>
      </c>
      <c r="F60" s="50">
        <v>100</v>
      </c>
      <c r="G60" s="50">
        <v>0</v>
      </c>
      <c r="H60" s="50">
        <v>0</v>
      </c>
      <c r="I60" s="50">
        <v>2</v>
      </c>
      <c r="J60" s="50">
        <v>1</v>
      </c>
      <c r="K60" s="50">
        <v>0</v>
      </c>
      <c r="L60" s="50">
        <v>0</v>
      </c>
      <c r="M60" s="50">
        <v>50</v>
      </c>
      <c r="N60" s="50">
        <v>0</v>
      </c>
      <c r="O60" s="15">
        <f t="shared" si="0"/>
        <v>179</v>
      </c>
      <c r="P60" s="15">
        <f t="shared" si="1"/>
        <v>229</v>
      </c>
      <c r="R60" s="8"/>
      <c r="T60"/>
    </row>
    <row r="61" spans="2:20" ht="23.1" customHeight="1" x14ac:dyDescent="0.25">
      <c r="B61" s="45" t="s">
        <v>102</v>
      </c>
      <c r="C61" s="50">
        <v>44</v>
      </c>
      <c r="D61" s="50">
        <v>11</v>
      </c>
      <c r="E61" s="50">
        <v>58</v>
      </c>
      <c r="F61" s="50">
        <v>1</v>
      </c>
      <c r="G61" s="50">
        <v>0</v>
      </c>
      <c r="H61" s="50">
        <v>4</v>
      </c>
      <c r="I61" s="50">
        <v>0</v>
      </c>
      <c r="J61" s="50">
        <v>0</v>
      </c>
      <c r="K61" s="50">
        <v>0</v>
      </c>
      <c r="L61" s="50">
        <v>0</v>
      </c>
      <c r="M61" s="50">
        <v>100</v>
      </c>
      <c r="N61" s="50">
        <v>0</v>
      </c>
      <c r="O61" s="15">
        <f t="shared" si="0"/>
        <v>118</v>
      </c>
      <c r="P61" s="15">
        <f t="shared" si="1"/>
        <v>218</v>
      </c>
      <c r="R61" s="8"/>
      <c r="T61"/>
    </row>
    <row r="62" spans="2:20" ht="23.1" customHeight="1" x14ac:dyDescent="0.25">
      <c r="B62" s="45" t="s">
        <v>107</v>
      </c>
      <c r="C62" s="50">
        <v>50</v>
      </c>
      <c r="D62" s="50">
        <v>12</v>
      </c>
      <c r="E62" s="50">
        <v>3</v>
      </c>
      <c r="F62" s="50">
        <v>38</v>
      </c>
      <c r="G62" s="50">
        <v>1</v>
      </c>
      <c r="H62" s="50">
        <v>0</v>
      </c>
      <c r="I62" s="50">
        <v>3</v>
      </c>
      <c r="J62" s="50">
        <v>2</v>
      </c>
      <c r="K62" s="50">
        <v>1</v>
      </c>
      <c r="L62" s="50">
        <v>0</v>
      </c>
      <c r="M62" s="50">
        <v>100</v>
      </c>
      <c r="N62" s="50">
        <v>0</v>
      </c>
      <c r="O62" s="15">
        <f t="shared" si="0"/>
        <v>110</v>
      </c>
      <c r="P62" s="15">
        <f t="shared" si="1"/>
        <v>210</v>
      </c>
      <c r="R62" s="8"/>
      <c r="T62"/>
    </row>
    <row r="63" spans="2:20" ht="23.1" customHeight="1" x14ac:dyDescent="0.25">
      <c r="B63" s="45" t="s">
        <v>108</v>
      </c>
      <c r="C63" s="50">
        <v>56</v>
      </c>
      <c r="D63" s="50">
        <v>7</v>
      </c>
      <c r="E63" s="50">
        <v>5</v>
      </c>
      <c r="F63" s="50">
        <v>80</v>
      </c>
      <c r="G63" s="50">
        <v>1</v>
      </c>
      <c r="H63" s="50">
        <v>1</v>
      </c>
      <c r="I63" s="50">
        <v>11</v>
      </c>
      <c r="J63" s="50">
        <v>1</v>
      </c>
      <c r="K63" s="50">
        <v>0</v>
      </c>
      <c r="L63" s="50">
        <v>0</v>
      </c>
      <c r="M63" s="50">
        <v>85</v>
      </c>
      <c r="N63" s="50">
        <v>0</v>
      </c>
      <c r="O63" s="15">
        <f t="shared" si="0"/>
        <v>162</v>
      </c>
      <c r="P63" s="15">
        <f t="shared" si="1"/>
        <v>247</v>
      </c>
      <c r="R63" s="8"/>
      <c r="T63"/>
    </row>
    <row r="64" spans="2:20" ht="23.1" customHeight="1" x14ac:dyDescent="0.25">
      <c r="B64" s="45" t="s">
        <v>109</v>
      </c>
      <c r="C64" s="50">
        <v>52</v>
      </c>
      <c r="D64" s="50">
        <v>7</v>
      </c>
      <c r="E64" s="50">
        <v>1</v>
      </c>
      <c r="F64" s="50">
        <v>56</v>
      </c>
      <c r="G64" s="50">
        <v>4</v>
      </c>
      <c r="H64" s="50">
        <v>4</v>
      </c>
      <c r="I64" s="50">
        <v>1</v>
      </c>
      <c r="J64" s="50">
        <v>10</v>
      </c>
      <c r="K64" s="50">
        <v>0</v>
      </c>
      <c r="L64" s="50">
        <v>0</v>
      </c>
      <c r="M64" s="50">
        <v>130</v>
      </c>
      <c r="N64" s="50">
        <v>0</v>
      </c>
      <c r="O64" s="15">
        <f t="shared" si="0"/>
        <v>135</v>
      </c>
      <c r="P64" s="15">
        <f t="shared" si="1"/>
        <v>265</v>
      </c>
      <c r="R64" s="8"/>
      <c r="T64"/>
    </row>
    <row r="65" spans="2:20" ht="23.1" customHeight="1" x14ac:dyDescent="0.25">
      <c r="B65" s="45" t="s">
        <v>158</v>
      </c>
      <c r="C65" s="50">
        <v>58</v>
      </c>
      <c r="D65" s="50">
        <v>2</v>
      </c>
      <c r="E65" s="50">
        <v>7</v>
      </c>
      <c r="F65" s="50">
        <v>55</v>
      </c>
      <c r="G65" s="50">
        <v>2</v>
      </c>
      <c r="H65" s="50">
        <v>0</v>
      </c>
      <c r="I65" s="50">
        <v>8</v>
      </c>
      <c r="J65" s="50">
        <v>0</v>
      </c>
      <c r="K65" s="50">
        <v>2</v>
      </c>
      <c r="L65" s="50">
        <v>0</v>
      </c>
      <c r="M65" s="50">
        <v>150</v>
      </c>
      <c r="N65" s="50">
        <v>0</v>
      </c>
      <c r="O65" s="15">
        <f t="shared" si="0"/>
        <v>134</v>
      </c>
      <c r="P65" s="15">
        <f t="shared" si="1"/>
        <v>284</v>
      </c>
      <c r="R65" s="8"/>
      <c r="T65"/>
    </row>
    <row r="66" spans="2:20" ht="23.1" customHeight="1" x14ac:dyDescent="0.25">
      <c r="B66" s="45" t="s">
        <v>103</v>
      </c>
      <c r="C66" s="50">
        <v>43</v>
      </c>
      <c r="D66" s="50">
        <v>11</v>
      </c>
      <c r="E66" s="50">
        <v>11</v>
      </c>
      <c r="F66" s="50">
        <v>59</v>
      </c>
      <c r="G66" s="50">
        <v>1</v>
      </c>
      <c r="H66" s="50">
        <v>0</v>
      </c>
      <c r="I66" s="50">
        <v>8</v>
      </c>
      <c r="J66" s="50">
        <v>1</v>
      </c>
      <c r="K66" s="50">
        <v>1</v>
      </c>
      <c r="L66" s="50">
        <v>0</v>
      </c>
      <c r="M66" s="50">
        <v>172</v>
      </c>
      <c r="N66" s="50">
        <v>0</v>
      </c>
      <c r="O66" s="15">
        <f t="shared" si="0"/>
        <v>135</v>
      </c>
      <c r="P66" s="15">
        <f t="shared" si="1"/>
        <v>307</v>
      </c>
      <c r="R66" s="8"/>
      <c r="T66"/>
    </row>
    <row r="67" spans="2:20" ht="23.1" customHeight="1" x14ac:dyDescent="0.25">
      <c r="B67" s="45" t="s">
        <v>104</v>
      </c>
      <c r="C67" s="50">
        <v>54</v>
      </c>
      <c r="D67" s="50">
        <v>3</v>
      </c>
      <c r="E67" s="50">
        <v>6</v>
      </c>
      <c r="F67" s="50">
        <v>58</v>
      </c>
      <c r="G67" s="50">
        <v>1</v>
      </c>
      <c r="H67" s="50">
        <v>0</v>
      </c>
      <c r="I67" s="50">
        <v>4</v>
      </c>
      <c r="J67" s="50">
        <v>1</v>
      </c>
      <c r="K67" s="50">
        <v>0</v>
      </c>
      <c r="L67" s="50">
        <v>0</v>
      </c>
      <c r="M67" s="50">
        <v>157</v>
      </c>
      <c r="N67" s="50">
        <v>0</v>
      </c>
      <c r="O67" s="15">
        <f t="shared" si="0"/>
        <v>127</v>
      </c>
      <c r="P67" s="15">
        <f t="shared" si="1"/>
        <v>284</v>
      </c>
      <c r="R67" s="8"/>
      <c r="T67"/>
    </row>
    <row r="68" spans="2:20" ht="23.1" customHeight="1" x14ac:dyDescent="0.25">
      <c r="B68" s="45" t="s">
        <v>105</v>
      </c>
      <c r="C68" s="50">
        <v>51</v>
      </c>
      <c r="D68" s="50">
        <v>4</v>
      </c>
      <c r="E68" s="50">
        <v>5</v>
      </c>
      <c r="F68" s="50">
        <v>41</v>
      </c>
      <c r="G68" s="50">
        <v>2</v>
      </c>
      <c r="H68" s="50">
        <v>0</v>
      </c>
      <c r="I68" s="50">
        <v>3</v>
      </c>
      <c r="J68" s="50">
        <v>1</v>
      </c>
      <c r="K68" s="50">
        <v>1</v>
      </c>
      <c r="L68" s="50">
        <v>0</v>
      </c>
      <c r="M68" s="50">
        <v>79</v>
      </c>
      <c r="N68" s="50">
        <v>0</v>
      </c>
      <c r="O68" s="15">
        <f t="shared" si="0"/>
        <v>108</v>
      </c>
      <c r="P68" s="15">
        <f t="shared" si="1"/>
        <v>187</v>
      </c>
      <c r="R68" s="8"/>
      <c r="T68"/>
    </row>
    <row r="69" spans="2:20" ht="23.1" customHeight="1" x14ac:dyDescent="0.25">
      <c r="B69" s="45" t="s">
        <v>106</v>
      </c>
      <c r="C69" s="50">
        <v>63</v>
      </c>
      <c r="D69" s="50">
        <v>7</v>
      </c>
      <c r="E69" s="50">
        <v>3</v>
      </c>
      <c r="F69" s="50">
        <v>46</v>
      </c>
      <c r="G69" s="50">
        <v>0</v>
      </c>
      <c r="H69" s="50">
        <v>0</v>
      </c>
      <c r="I69" s="50">
        <v>6</v>
      </c>
      <c r="J69" s="50">
        <v>0</v>
      </c>
      <c r="K69" s="50">
        <v>0</v>
      </c>
      <c r="L69" s="50">
        <v>0</v>
      </c>
      <c r="M69" s="50">
        <v>90</v>
      </c>
      <c r="N69" s="50">
        <v>1</v>
      </c>
      <c r="O69" s="15">
        <f t="shared" si="0"/>
        <v>126</v>
      </c>
      <c r="P69" s="15">
        <f t="shared" si="1"/>
        <v>216</v>
      </c>
      <c r="R69" s="8"/>
      <c r="T69"/>
    </row>
    <row r="70" spans="2:20" ht="23.1" customHeight="1" x14ac:dyDescent="0.25">
      <c r="B70" s="45" t="s">
        <v>110</v>
      </c>
      <c r="C70" s="50">
        <v>37</v>
      </c>
      <c r="D70" s="50">
        <v>5</v>
      </c>
      <c r="E70" s="50">
        <v>4</v>
      </c>
      <c r="F70" s="50">
        <v>29</v>
      </c>
      <c r="G70" s="50">
        <v>0</v>
      </c>
      <c r="H70" s="50">
        <v>0</v>
      </c>
      <c r="I70" s="50">
        <v>4</v>
      </c>
      <c r="J70" s="50">
        <v>0</v>
      </c>
      <c r="K70" s="50">
        <v>0</v>
      </c>
      <c r="L70" s="50">
        <v>2</v>
      </c>
      <c r="M70" s="50">
        <v>90</v>
      </c>
      <c r="N70" s="50">
        <v>0</v>
      </c>
      <c r="O70" s="15">
        <f t="shared" si="0"/>
        <v>81</v>
      </c>
      <c r="P70" s="15">
        <f t="shared" si="1"/>
        <v>171</v>
      </c>
      <c r="R70" s="8"/>
      <c r="T70"/>
    </row>
    <row r="71" spans="2:20" ht="23.1" customHeight="1" x14ac:dyDescent="0.25">
      <c r="B71" s="45" t="s">
        <v>111</v>
      </c>
      <c r="C71" s="50">
        <v>39</v>
      </c>
      <c r="D71" s="50">
        <v>6</v>
      </c>
      <c r="E71" s="50">
        <v>4</v>
      </c>
      <c r="F71" s="50">
        <v>24</v>
      </c>
      <c r="G71" s="50">
        <v>0</v>
      </c>
      <c r="H71" s="50">
        <v>0</v>
      </c>
      <c r="I71" s="50">
        <v>2</v>
      </c>
      <c r="J71" s="50">
        <v>1</v>
      </c>
      <c r="K71" s="50">
        <v>0</v>
      </c>
      <c r="L71" s="50">
        <v>0</v>
      </c>
      <c r="M71" s="50">
        <v>66</v>
      </c>
      <c r="N71" s="50">
        <v>0</v>
      </c>
      <c r="O71" s="15">
        <f t="shared" si="0"/>
        <v>76</v>
      </c>
      <c r="P71" s="15">
        <f t="shared" si="1"/>
        <v>142</v>
      </c>
      <c r="R71" s="8"/>
      <c r="T71"/>
    </row>
    <row r="72" spans="2:20" ht="23.1" customHeight="1" x14ac:dyDescent="0.25">
      <c r="B72" s="45" t="s">
        <v>112</v>
      </c>
      <c r="C72" s="50">
        <v>47</v>
      </c>
      <c r="D72" s="50">
        <v>10</v>
      </c>
      <c r="E72" s="50">
        <v>5</v>
      </c>
      <c r="F72" s="50">
        <v>21</v>
      </c>
      <c r="G72" s="50">
        <v>1</v>
      </c>
      <c r="H72" s="50">
        <v>0</v>
      </c>
      <c r="I72" s="50">
        <v>4</v>
      </c>
      <c r="J72" s="50">
        <v>0</v>
      </c>
      <c r="K72" s="50">
        <v>0</v>
      </c>
      <c r="L72" s="50">
        <v>0</v>
      </c>
      <c r="M72" s="50">
        <v>107</v>
      </c>
      <c r="N72" s="50">
        <v>0</v>
      </c>
      <c r="O72" s="15">
        <f t="shared" si="0"/>
        <v>88</v>
      </c>
      <c r="P72" s="15">
        <f t="shared" si="1"/>
        <v>195</v>
      </c>
      <c r="R72" s="8"/>
      <c r="T72"/>
    </row>
    <row r="73" spans="2:20" ht="23.1" customHeight="1" x14ac:dyDescent="0.25">
      <c r="B73" s="45" t="s">
        <v>113</v>
      </c>
      <c r="C73" s="50">
        <v>40</v>
      </c>
      <c r="D73" s="50">
        <v>8</v>
      </c>
      <c r="E73" s="50">
        <v>3</v>
      </c>
      <c r="F73" s="50">
        <v>9</v>
      </c>
      <c r="G73" s="50">
        <v>0</v>
      </c>
      <c r="H73" s="50">
        <v>0</v>
      </c>
      <c r="I73" s="50">
        <v>0</v>
      </c>
      <c r="J73" s="50">
        <v>0</v>
      </c>
      <c r="K73" s="50">
        <v>1</v>
      </c>
      <c r="L73" s="50">
        <v>0</v>
      </c>
      <c r="M73" s="50">
        <v>99</v>
      </c>
      <c r="N73" s="50">
        <v>0</v>
      </c>
      <c r="O73" s="15">
        <f t="shared" si="0"/>
        <v>61</v>
      </c>
      <c r="P73" s="15">
        <f t="shared" si="1"/>
        <v>160</v>
      </c>
      <c r="R73" s="8"/>
      <c r="T73"/>
    </row>
    <row r="74" spans="2:20" ht="23.1" customHeight="1" x14ac:dyDescent="0.25">
      <c r="B74" s="45" t="s">
        <v>114</v>
      </c>
      <c r="C74" s="50">
        <v>32</v>
      </c>
      <c r="D74" s="50">
        <v>4</v>
      </c>
      <c r="E74" s="50">
        <v>1</v>
      </c>
      <c r="F74" s="50">
        <v>15</v>
      </c>
      <c r="G74" s="50">
        <v>0</v>
      </c>
      <c r="H74" s="50">
        <v>1</v>
      </c>
      <c r="I74" s="50">
        <v>2</v>
      </c>
      <c r="J74" s="50">
        <v>0</v>
      </c>
      <c r="K74" s="50">
        <v>0</v>
      </c>
      <c r="L74" s="50">
        <v>0</v>
      </c>
      <c r="M74" s="50">
        <v>110</v>
      </c>
      <c r="N74" s="50">
        <v>0</v>
      </c>
      <c r="O74" s="15">
        <f t="shared" ref="O74:O105" si="35">SUM(C74:L74,N74)</f>
        <v>55</v>
      </c>
      <c r="P74" s="15">
        <f t="shared" ref="P74:P105" si="36">SUM(C74:N74)</f>
        <v>165</v>
      </c>
      <c r="R74" s="8"/>
      <c r="T74"/>
    </row>
    <row r="75" spans="2:20" ht="23.1" customHeight="1" x14ac:dyDescent="0.25">
      <c r="B75" s="45" t="s">
        <v>115</v>
      </c>
      <c r="C75" s="50">
        <v>25</v>
      </c>
      <c r="D75" s="50">
        <v>3</v>
      </c>
      <c r="E75" s="50">
        <v>1</v>
      </c>
      <c r="F75" s="50">
        <v>8</v>
      </c>
      <c r="G75" s="50">
        <v>0</v>
      </c>
      <c r="H75" s="50">
        <v>0</v>
      </c>
      <c r="I75" s="50">
        <v>0</v>
      </c>
      <c r="J75" s="50">
        <v>0</v>
      </c>
      <c r="K75" s="50">
        <v>1</v>
      </c>
      <c r="L75" s="50">
        <v>0</v>
      </c>
      <c r="M75" s="50">
        <v>55</v>
      </c>
      <c r="N75" s="50">
        <v>0</v>
      </c>
      <c r="O75" s="15">
        <f t="shared" si="35"/>
        <v>38</v>
      </c>
      <c r="P75" s="15">
        <f t="shared" si="36"/>
        <v>93</v>
      </c>
      <c r="R75" s="8"/>
      <c r="T75"/>
    </row>
    <row r="76" spans="2:20" ht="23.1" customHeight="1" x14ac:dyDescent="0.25">
      <c r="B76" s="45" t="s">
        <v>116</v>
      </c>
      <c r="C76" s="50">
        <v>27</v>
      </c>
      <c r="D76" s="50">
        <v>6</v>
      </c>
      <c r="E76" s="50">
        <v>3</v>
      </c>
      <c r="F76" s="50">
        <v>5</v>
      </c>
      <c r="G76" s="50">
        <v>0</v>
      </c>
      <c r="H76" s="50">
        <v>0</v>
      </c>
      <c r="I76" s="50">
        <v>2</v>
      </c>
      <c r="J76" s="50">
        <v>0</v>
      </c>
      <c r="K76" s="50">
        <v>1</v>
      </c>
      <c r="L76" s="50">
        <v>0</v>
      </c>
      <c r="M76" s="50">
        <v>96</v>
      </c>
      <c r="N76" s="50">
        <v>0</v>
      </c>
      <c r="O76" s="15">
        <f t="shared" si="35"/>
        <v>44</v>
      </c>
      <c r="P76" s="15">
        <f t="shared" si="36"/>
        <v>140</v>
      </c>
      <c r="R76" s="8"/>
      <c r="T76"/>
    </row>
    <row r="77" spans="2:20" ht="23.1" customHeight="1" x14ac:dyDescent="0.25">
      <c r="B77" s="45" t="s">
        <v>117</v>
      </c>
      <c r="C77" s="50">
        <v>21</v>
      </c>
      <c r="D77" s="50">
        <v>6</v>
      </c>
      <c r="E77" s="50">
        <v>2</v>
      </c>
      <c r="F77" s="50">
        <v>4</v>
      </c>
      <c r="G77" s="50">
        <v>0</v>
      </c>
      <c r="H77" s="50">
        <v>0</v>
      </c>
      <c r="I77" s="50">
        <v>5</v>
      </c>
      <c r="J77" s="50">
        <v>0</v>
      </c>
      <c r="K77" s="50">
        <v>2</v>
      </c>
      <c r="L77" s="50">
        <v>0</v>
      </c>
      <c r="M77" s="50">
        <v>63</v>
      </c>
      <c r="N77" s="50">
        <v>0</v>
      </c>
      <c r="O77" s="15">
        <f t="shared" si="35"/>
        <v>40</v>
      </c>
      <c r="P77" s="15">
        <f t="shared" si="36"/>
        <v>103</v>
      </c>
      <c r="R77" s="8"/>
      <c r="T77"/>
    </row>
    <row r="78" spans="2:20" ht="23.1" customHeight="1" x14ac:dyDescent="0.25">
      <c r="B78" s="46" t="s">
        <v>118</v>
      </c>
      <c r="C78" s="50">
        <v>23</v>
      </c>
      <c r="D78" s="50">
        <v>2</v>
      </c>
      <c r="E78" s="50">
        <v>3</v>
      </c>
      <c r="F78" s="50">
        <v>5</v>
      </c>
      <c r="G78" s="50">
        <v>0</v>
      </c>
      <c r="H78" s="50">
        <v>2</v>
      </c>
      <c r="I78" s="50">
        <v>3</v>
      </c>
      <c r="J78" s="50">
        <v>0</v>
      </c>
      <c r="K78" s="50">
        <v>2</v>
      </c>
      <c r="L78" s="50">
        <v>0</v>
      </c>
      <c r="M78" s="50">
        <v>90</v>
      </c>
      <c r="N78" s="50">
        <v>0</v>
      </c>
      <c r="O78" s="15">
        <f t="shared" si="35"/>
        <v>40</v>
      </c>
      <c r="P78" s="15">
        <f t="shared" si="36"/>
        <v>130</v>
      </c>
      <c r="R78" s="8"/>
      <c r="T78"/>
    </row>
    <row r="79" spans="2:20" ht="23.1" customHeight="1" x14ac:dyDescent="0.25">
      <c r="B79" s="45" t="s">
        <v>119</v>
      </c>
      <c r="C79" s="50">
        <v>25</v>
      </c>
      <c r="D79" s="50">
        <v>2</v>
      </c>
      <c r="E79" s="50">
        <v>4</v>
      </c>
      <c r="F79" s="50">
        <v>9</v>
      </c>
      <c r="G79" s="50">
        <v>0</v>
      </c>
      <c r="H79" s="50">
        <v>0</v>
      </c>
      <c r="I79" s="50">
        <v>1</v>
      </c>
      <c r="J79" s="50">
        <v>0</v>
      </c>
      <c r="K79" s="50">
        <v>0</v>
      </c>
      <c r="L79" s="50">
        <v>0</v>
      </c>
      <c r="M79" s="50">
        <v>67</v>
      </c>
      <c r="N79" s="50">
        <v>0</v>
      </c>
      <c r="O79" s="15">
        <f t="shared" si="35"/>
        <v>41</v>
      </c>
      <c r="P79" s="15">
        <f t="shared" si="36"/>
        <v>108</v>
      </c>
      <c r="R79" s="8"/>
      <c r="T79"/>
    </row>
    <row r="80" spans="2:20" ht="23.1" customHeight="1" x14ac:dyDescent="0.25">
      <c r="B80" s="47" t="s">
        <v>120</v>
      </c>
      <c r="C80" s="50">
        <v>14</v>
      </c>
      <c r="D80" s="50">
        <v>3</v>
      </c>
      <c r="E80" s="50">
        <v>2</v>
      </c>
      <c r="F80" s="50">
        <v>6</v>
      </c>
      <c r="G80" s="50">
        <v>0</v>
      </c>
      <c r="H80" s="50">
        <v>0</v>
      </c>
      <c r="I80" s="50">
        <v>0</v>
      </c>
      <c r="J80" s="50">
        <v>0</v>
      </c>
      <c r="K80" s="50">
        <v>0</v>
      </c>
      <c r="L80" s="50">
        <v>0</v>
      </c>
      <c r="M80" s="50">
        <v>65</v>
      </c>
      <c r="N80" s="50">
        <v>0</v>
      </c>
      <c r="O80" s="15">
        <f t="shared" si="35"/>
        <v>25</v>
      </c>
      <c r="P80" s="15">
        <f t="shared" si="36"/>
        <v>90</v>
      </c>
      <c r="R80" s="8"/>
      <c r="T80"/>
    </row>
    <row r="81" spans="2:20" ht="23.1" customHeight="1" x14ac:dyDescent="0.25">
      <c r="B81" s="45" t="s">
        <v>121</v>
      </c>
      <c r="C81" s="50">
        <v>7</v>
      </c>
      <c r="D81" s="50">
        <v>1</v>
      </c>
      <c r="E81" s="50">
        <v>3</v>
      </c>
      <c r="F81" s="50">
        <v>0</v>
      </c>
      <c r="G81" s="50">
        <v>0</v>
      </c>
      <c r="H81" s="50">
        <v>1</v>
      </c>
      <c r="I81" s="50">
        <v>2</v>
      </c>
      <c r="J81" s="50">
        <v>2</v>
      </c>
      <c r="K81" s="50">
        <v>0</v>
      </c>
      <c r="L81" s="50">
        <v>0</v>
      </c>
      <c r="M81" s="50">
        <v>44</v>
      </c>
      <c r="N81" s="50">
        <v>0</v>
      </c>
      <c r="O81" s="15">
        <f t="shared" si="35"/>
        <v>16</v>
      </c>
      <c r="P81" s="15">
        <f t="shared" si="36"/>
        <v>60</v>
      </c>
      <c r="R81" s="8"/>
      <c r="T81"/>
    </row>
    <row r="82" spans="2:20" ht="23.1" customHeight="1" x14ac:dyDescent="0.25">
      <c r="B82" s="46" t="s">
        <v>122</v>
      </c>
      <c r="C82" s="50">
        <v>24</v>
      </c>
      <c r="D82" s="50">
        <v>1</v>
      </c>
      <c r="E82" s="50">
        <v>2</v>
      </c>
      <c r="F82" s="50">
        <v>5</v>
      </c>
      <c r="G82" s="50">
        <v>0</v>
      </c>
      <c r="H82" s="50">
        <v>0</v>
      </c>
      <c r="I82" s="50">
        <v>1</v>
      </c>
      <c r="J82" s="50">
        <v>1</v>
      </c>
      <c r="K82" s="50">
        <v>0</v>
      </c>
      <c r="L82" s="50">
        <v>0</v>
      </c>
      <c r="M82" s="50">
        <v>42</v>
      </c>
      <c r="N82" s="50">
        <v>0</v>
      </c>
      <c r="O82" s="15">
        <f t="shared" si="35"/>
        <v>34</v>
      </c>
      <c r="P82" s="15">
        <f t="shared" si="36"/>
        <v>76</v>
      </c>
      <c r="R82" s="8"/>
      <c r="T82"/>
    </row>
    <row r="83" spans="2:20" ht="23.1" customHeight="1" x14ac:dyDescent="0.25">
      <c r="B83" s="45" t="s">
        <v>123</v>
      </c>
      <c r="C83" s="50">
        <v>5</v>
      </c>
      <c r="D83" s="50">
        <v>0</v>
      </c>
      <c r="E83" s="50">
        <v>1</v>
      </c>
      <c r="F83" s="50">
        <v>0</v>
      </c>
      <c r="G83" s="50">
        <v>0</v>
      </c>
      <c r="H83" s="50">
        <v>0</v>
      </c>
      <c r="I83" s="50">
        <v>0</v>
      </c>
      <c r="J83" s="50">
        <v>0</v>
      </c>
      <c r="K83" s="50">
        <v>0</v>
      </c>
      <c r="L83" s="50">
        <v>0</v>
      </c>
      <c r="M83" s="50">
        <v>20</v>
      </c>
      <c r="N83" s="50">
        <v>0</v>
      </c>
      <c r="O83" s="15">
        <f t="shared" si="35"/>
        <v>6</v>
      </c>
      <c r="P83" s="15">
        <f t="shared" si="36"/>
        <v>26</v>
      </c>
      <c r="R83" s="8"/>
      <c r="T83"/>
    </row>
    <row r="84" spans="2:20" ht="23.1" customHeight="1" x14ac:dyDescent="0.25">
      <c r="B84" s="47" t="s">
        <v>124</v>
      </c>
      <c r="C84" s="50">
        <v>11</v>
      </c>
      <c r="D84" s="50">
        <v>0</v>
      </c>
      <c r="E84" s="50">
        <v>0</v>
      </c>
      <c r="F84" s="50">
        <v>1</v>
      </c>
      <c r="G84" s="50">
        <v>0</v>
      </c>
      <c r="H84" s="50">
        <v>0</v>
      </c>
      <c r="I84" s="50">
        <v>1</v>
      </c>
      <c r="J84" s="50">
        <v>1</v>
      </c>
      <c r="K84" s="50">
        <v>0</v>
      </c>
      <c r="L84" s="50">
        <v>0</v>
      </c>
      <c r="M84" s="50">
        <v>26</v>
      </c>
      <c r="N84" s="50">
        <v>0</v>
      </c>
      <c r="O84" s="15">
        <f t="shared" si="35"/>
        <v>14</v>
      </c>
      <c r="P84" s="15">
        <f t="shared" si="36"/>
        <v>40</v>
      </c>
      <c r="R84" s="8"/>
      <c r="T84"/>
    </row>
    <row r="85" spans="2:20" ht="23.1" customHeight="1" x14ac:dyDescent="0.25">
      <c r="B85" s="45" t="s">
        <v>125</v>
      </c>
      <c r="C85" s="50">
        <v>15</v>
      </c>
      <c r="D85" s="50">
        <v>0</v>
      </c>
      <c r="E85" s="50">
        <v>1</v>
      </c>
      <c r="F85" s="50">
        <v>2</v>
      </c>
      <c r="G85" s="50">
        <v>0</v>
      </c>
      <c r="H85" s="50">
        <v>0</v>
      </c>
      <c r="I85" s="50">
        <v>0</v>
      </c>
      <c r="J85" s="50">
        <v>0</v>
      </c>
      <c r="K85" s="50">
        <v>1</v>
      </c>
      <c r="L85" s="50">
        <v>0</v>
      </c>
      <c r="M85" s="50">
        <v>25</v>
      </c>
      <c r="N85" s="50">
        <v>0</v>
      </c>
      <c r="O85" s="15">
        <f t="shared" si="35"/>
        <v>19</v>
      </c>
      <c r="P85" s="15">
        <f t="shared" si="36"/>
        <v>44</v>
      </c>
      <c r="R85" s="8"/>
      <c r="T85"/>
    </row>
    <row r="86" spans="2:20" ht="23.1" customHeight="1" x14ac:dyDescent="0.25">
      <c r="B86" s="46" t="s">
        <v>126</v>
      </c>
      <c r="C86" s="50">
        <v>8</v>
      </c>
      <c r="D86" s="50">
        <v>2</v>
      </c>
      <c r="E86" s="50">
        <v>1</v>
      </c>
      <c r="F86" s="50">
        <v>1</v>
      </c>
      <c r="G86" s="50">
        <v>0</v>
      </c>
      <c r="H86" s="50">
        <v>0</v>
      </c>
      <c r="I86" s="50">
        <v>1</v>
      </c>
      <c r="J86" s="50">
        <v>0</v>
      </c>
      <c r="K86" s="50">
        <v>0</v>
      </c>
      <c r="L86" s="50">
        <v>0</v>
      </c>
      <c r="M86" s="50">
        <v>31</v>
      </c>
      <c r="N86" s="50">
        <v>0</v>
      </c>
      <c r="O86" s="15">
        <f t="shared" si="35"/>
        <v>13</v>
      </c>
      <c r="P86" s="15">
        <f t="shared" si="36"/>
        <v>44</v>
      </c>
      <c r="R86" s="8"/>
      <c r="T86"/>
    </row>
    <row r="87" spans="2:20" ht="23.1" customHeight="1" x14ac:dyDescent="0.25">
      <c r="B87" s="45" t="s">
        <v>127</v>
      </c>
      <c r="C87" s="50">
        <v>6</v>
      </c>
      <c r="D87" s="50">
        <v>3</v>
      </c>
      <c r="E87" s="50">
        <v>2</v>
      </c>
      <c r="F87" s="50">
        <v>0</v>
      </c>
      <c r="G87" s="50">
        <v>0</v>
      </c>
      <c r="H87" s="50">
        <v>0</v>
      </c>
      <c r="I87" s="50">
        <v>0</v>
      </c>
      <c r="J87" s="50">
        <v>0</v>
      </c>
      <c r="K87" s="50">
        <v>0</v>
      </c>
      <c r="L87" s="50">
        <v>0</v>
      </c>
      <c r="M87" s="50">
        <v>16</v>
      </c>
      <c r="N87" s="50">
        <v>0</v>
      </c>
      <c r="O87" s="15">
        <f t="shared" si="35"/>
        <v>11</v>
      </c>
      <c r="P87" s="15">
        <f t="shared" si="36"/>
        <v>27</v>
      </c>
      <c r="R87" s="8"/>
      <c r="T87"/>
    </row>
    <row r="88" spans="2:20" ht="23.1" customHeight="1" x14ac:dyDescent="0.25">
      <c r="B88" s="47" t="s">
        <v>128</v>
      </c>
      <c r="C88" s="50">
        <v>3</v>
      </c>
      <c r="D88" s="50">
        <v>0</v>
      </c>
      <c r="E88" s="50">
        <v>0</v>
      </c>
      <c r="F88" s="50">
        <v>3</v>
      </c>
      <c r="G88" s="50">
        <v>0</v>
      </c>
      <c r="H88" s="50">
        <v>1</v>
      </c>
      <c r="I88" s="50">
        <v>0</v>
      </c>
      <c r="J88" s="50">
        <v>0</v>
      </c>
      <c r="K88" s="50">
        <v>0</v>
      </c>
      <c r="L88" s="50">
        <v>0</v>
      </c>
      <c r="M88" s="50">
        <v>9</v>
      </c>
      <c r="N88" s="50">
        <v>0</v>
      </c>
      <c r="O88" s="15">
        <f t="shared" si="35"/>
        <v>7</v>
      </c>
      <c r="P88" s="15">
        <f t="shared" si="36"/>
        <v>16</v>
      </c>
      <c r="R88" s="8"/>
      <c r="T88"/>
    </row>
    <row r="89" spans="2:20" ht="23.1" customHeight="1" x14ac:dyDescent="0.25">
      <c r="B89" s="45" t="s">
        <v>129</v>
      </c>
      <c r="C89" s="50">
        <v>8</v>
      </c>
      <c r="D89" s="50">
        <v>3</v>
      </c>
      <c r="E89" s="50">
        <v>0</v>
      </c>
      <c r="F89" s="50">
        <v>0</v>
      </c>
      <c r="G89" s="50">
        <v>0</v>
      </c>
      <c r="H89" s="50">
        <v>0</v>
      </c>
      <c r="I89" s="50">
        <v>2</v>
      </c>
      <c r="J89" s="50">
        <v>1</v>
      </c>
      <c r="K89" s="50">
        <v>0</v>
      </c>
      <c r="L89" s="50">
        <v>0</v>
      </c>
      <c r="M89" s="50">
        <v>14</v>
      </c>
      <c r="N89" s="50">
        <v>0</v>
      </c>
      <c r="O89" s="15">
        <f t="shared" si="35"/>
        <v>14</v>
      </c>
      <c r="P89" s="15">
        <f t="shared" si="36"/>
        <v>28</v>
      </c>
      <c r="R89" s="8"/>
      <c r="T89"/>
    </row>
    <row r="90" spans="2:20" ht="23.1" customHeight="1" x14ac:dyDescent="0.25">
      <c r="B90" s="46" t="s">
        <v>130</v>
      </c>
      <c r="C90" s="50">
        <v>9</v>
      </c>
      <c r="D90" s="50">
        <v>0</v>
      </c>
      <c r="E90" s="50">
        <v>2</v>
      </c>
      <c r="F90" s="50">
        <v>0</v>
      </c>
      <c r="G90" s="50">
        <v>0</v>
      </c>
      <c r="H90" s="50">
        <v>0</v>
      </c>
      <c r="I90" s="50">
        <v>1</v>
      </c>
      <c r="J90" s="50">
        <v>0</v>
      </c>
      <c r="K90" s="50">
        <v>0</v>
      </c>
      <c r="L90" s="50">
        <v>0</v>
      </c>
      <c r="M90" s="50">
        <v>9</v>
      </c>
      <c r="N90" s="50">
        <v>0</v>
      </c>
      <c r="O90" s="15">
        <f t="shared" si="35"/>
        <v>12</v>
      </c>
      <c r="P90" s="15">
        <f t="shared" si="36"/>
        <v>21</v>
      </c>
      <c r="R90" s="8"/>
      <c r="T90"/>
    </row>
    <row r="91" spans="2:20" ht="23.1" customHeight="1" x14ac:dyDescent="0.25">
      <c r="B91" s="45" t="s">
        <v>131</v>
      </c>
      <c r="C91" s="50">
        <v>7</v>
      </c>
      <c r="D91" s="50">
        <v>1</v>
      </c>
      <c r="E91" s="50">
        <v>0</v>
      </c>
      <c r="F91" s="50">
        <v>4</v>
      </c>
      <c r="G91" s="50">
        <v>0</v>
      </c>
      <c r="H91" s="50">
        <v>0</v>
      </c>
      <c r="I91" s="50">
        <v>0</v>
      </c>
      <c r="J91" s="50">
        <v>0</v>
      </c>
      <c r="K91" s="50">
        <v>0</v>
      </c>
      <c r="L91" s="50">
        <v>0</v>
      </c>
      <c r="M91" s="50">
        <v>15</v>
      </c>
      <c r="N91" s="50">
        <v>0</v>
      </c>
      <c r="O91" s="15">
        <f t="shared" si="35"/>
        <v>12</v>
      </c>
      <c r="P91" s="15">
        <f t="shared" si="36"/>
        <v>27</v>
      </c>
      <c r="R91" s="8"/>
      <c r="T91"/>
    </row>
    <row r="92" spans="2:20" ht="23.1" customHeight="1" x14ac:dyDescent="0.25">
      <c r="B92" s="47" t="s">
        <v>132</v>
      </c>
      <c r="C92" s="50">
        <v>11</v>
      </c>
      <c r="D92" s="50">
        <v>0</v>
      </c>
      <c r="E92" s="50">
        <v>1</v>
      </c>
      <c r="F92" s="50">
        <v>3</v>
      </c>
      <c r="G92" s="50">
        <v>0</v>
      </c>
      <c r="H92" s="50">
        <v>0</v>
      </c>
      <c r="I92" s="50">
        <v>0</v>
      </c>
      <c r="J92" s="50">
        <v>0</v>
      </c>
      <c r="K92" s="50">
        <v>0</v>
      </c>
      <c r="L92" s="50">
        <v>0</v>
      </c>
      <c r="M92" s="50">
        <v>21</v>
      </c>
      <c r="N92" s="50">
        <v>0</v>
      </c>
      <c r="O92" s="15">
        <f t="shared" si="35"/>
        <v>15</v>
      </c>
      <c r="P92" s="15">
        <f t="shared" si="36"/>
        <v>36</v>
      </c>
      <c r="R92" s="8"/>
      <c r="T92"/>
    </row>
    <row r="93" spans="2:20" ht="23.1" customHeight="1" x14ac:dyDescent="0.25">
      <c r="B93" s="45" t="s">
        <v>133</v>
      </c>
      <c r="C93" s="50">
        <v>10</v>
      </c>
      <c r="D93" s="50">
        <v>2</v>
      </c>
      <c r="E93" s="50">
        <v>2</v>
      </c>
      <c r="F93" s="50">
        <v>3</v>
      </c>
      <c r="G93" s="50">
        <v>0</v>
      </c>
      <c r="H93" s="50">
        <v>0</v>
      </c>
      <c r="I93" s="50">
        <v>1</v>
      </c>
      <c r="J93" s="50">
        <v>0</v>
      </c>
      <c r="K93" s="50">
        <v>0</v>
      </c>
      <c r="L93" s="50">
        <v>0</v>
      </c>
      <c r="M93" s="50">
        <v>9</v>
      </c>
      <c r="N93" s="50">
        <v>0</v>
      </c>
      <c r="O93" s="15">
        <f t="shared" si="35"/>
        <v>18</v>
      </c>
      <c r="P93" s="15">
        <f t="shared" si="36"/>
        <v>27</v>
      </c>
      <c r="R93" s="8"/>
      <c r="T93"/>
    </row>
    <row r="94" spans="2:20" ht="23.1" customHeight="1" x14ac:dyDescent="0.25">
      <c r="B94" s="46" t="s">
        <v>134</v>
      </c>
      <c r="C94" s="50">
        <v>31</v>
      </c>
      <c r="D94" s="50">
        <v>4</v>
      </c>
      <c r="E94" s="50">
        <v>0</v>
      </c>
      <c r="F94" s="50">
        <v>3</v>
      </c>
      <c r="G94" s="50">
        <v>0</v>
      </c>
      <c r="H94" s="50">
        <v>0</v>
      </c>
      <c r="I94" s="50">
        <v>3</v>
      </c>
      <c r="J94" s="50">
        <v>0</v>
      </c>
      <c r="K94" s="50">
        <v>0</v>
      </c>
      <c r="L94" s="50">
        <v>0</v>
      </c>
      <c r="M94" s="50">
        <v>30</v>
      </c>
      <c r="N94" s="50">
        <v>0</v>
      </c>
      <c r="O94" s="15">
        <f t="shared" si="35"/>
        <v>41</v>
      </c>
      <c r="P94" s="15">
        <f t="shared" si="36"/>
        <v>71</v>
      </c>
      <c r="R94" s="8"/>
      <c r="T94"/>
    </row>
    <row r="95" spans="2:20" ht="23.1" customHeight="1" x14ac:dyDescent="0.25">
      <c r="B95" s="45" t="s">
        <v>135</v>
      </c>
      <c r="C95" s="50">
        <v>5</v>
      </c>
      <c r="D95" s="50">
        <v>0</v>
      </c>
      <c r="E95" s="50">
        <v>0</v>
      </c>
      <c r="F95" s="50">
        <v>4</v>
      </c>
      <c r="G95" s="50">
        <v>0</v>
      </c>
      <c r="H95" s="50">
        <v>0</v>
      </c>
      <c r="I95" s="50">
        <v>3</v>
      </c>
      <c r="J95" s="50">
        <v>0</v>
      </c>
      <c r="K95" s="50">
        <v>0</v>
      </c>
      <c r="L95" s="50">
        <v>0</v>
      </c>
      <c r="M95" s="50">
        <v>35</v>
      </c>
      <c r="N95" s="50">
        <v>0</v>
      </c>
      <c r="O95" s="15">
        <f t="shared" si="35"/>
        <v>12</v>
      </c>
      <c r="P95" s="15">
        <f t="shared" si="36"/>
        <v>47</v>
      </c>
      <c r="R95" s="8"/>
      <c r="T95"/>
    </row>
    <row r="96" spans="2:20" ht="23.1" customHeight="1" x14ac:dyDescent="0.25">
      <c r="B96" s="47" t="s">
        <v>136</v>
      </c>
      <c r="C96" s="50">
        <v>7</v>
      </c>
      <c r="D96" s="50">
        <v>2</v>
      </c>
      <c r="E96" s="50">
        <v>1</v>
      </c>
      <c r="F96" s="50">
        <v>2</v>
      </c>
      <c r="G96" s="50">
        <v>0</v>
      </c>
      <c r="H96" s="50">
        <v>0</v>
      </c>
      <c r="I96" s="50">
        <v>1</v>
      </c>
      <c r="J96" s="50">
        <v>0</v>
      </c>
      <c r="K96" s="50">
        <v>1</v>
      </c>
      <c r="L96" s="50">
        <v>0</v>
      </c>
      <c r="M96" s="50">
        <v>28</v>
      </c>
      <c r="N96" s="50">
        <v>0</v>
      </c>
      <c r="O96" s="15">
        <f t="shared" si="35"/>
        <v>14</v>
      </c>
      <c r="P96" s="15">
        <f t="shared" si="36"/>
        <v>42</v>
      </c>
      <c r="R96" s="8"/>
      <c r="T96"/>
    </row>
    <row r="97" spans="2:20" ht="23.1" customHeight="1" x14ac:dyDescent="0.25">
      <c r="B97" s="45" t="s">
        <v>137</v>
      </c>
      <c r="C97" s="50">
        <v>5</v>
      </c>
      <c r="D97" s="50">
        <v>1</v>
      </c>
      <c r="E97" s="50">
        <v>1</v>
      </c>
      <c r="F97" s="50">
        <v>6</v>
      </c>
      <c r="G97" s="50">
        <v>0</v>
      </c>
      <c r="H97" s="50">
        <v>0</v>
      </c>
      <c r="I97" s="50">
        <v>0</v>
      </c>
      <c r="J97" s="50">
        <v>1</v>
      </c>
      <c r="K97" s="50">
        <v>0</v>
      </c>
      <c r="L97" s="50">
        <v>0</v>
      </c>
      <c r="M97" s="50">
        <v>36</v>
      </c>
      <c r="N97" s="50">
        <v>0</v>
      </c>
      <c r="O97" s="15">
        <f t="shared" si="35"/>
        <v>14</v>
      </c>
      <c r="P97" s="15">
        <f t="shared" si="36"/>
        <v>50</v>
      </c>
      <c r="R97" s="8"/>
      <c r="T97"/>
    </row>
    <row r="98" spans="2:20" ht="23.1" customHeight="1" x14ac:dyDescent="0.25">
      <c r="B98" s="46" t="s">
        <v>138</v>
      </c>
      <c r="C98" s="50">
        <v>13</v>
      </c>
      <c r="D98" s="50">
        <v>0</v>
      </c>
      <c r="E98" s="50">
        <v>2</v>
      </c>
      <c r="F98" s="50">
        <v>11</v>
      </c>
      <c r="G98" s="50">
        <v>0</v>
      </c>
      <c r="H98" s="50">
        <v>0</v>
      </c>
      <c r="I98" s="50">
        <v>7</v>
      </c>
      <c r="J98" s="50">
        <v>1</v>
      </c>
      <c r="K98" s="50">
        <v>0</v>
      </c>
      <c r="L98" s="50">
        <v>0</v>
      </c>
      <c r="M98" s="50">
        <v>93</v>
      </c>
      <c r="N98" s="50">
        <v>0</v>
      </c>
      <c r="O98" s="15">
        <f t="shared" si="35"/>
        <v>34</v>
      </c>
      <c r="P98" s="15">
        <f t="shared" si="36"/>
        <v>127</v>
      </c>
      <c r="R98" s="8"/>
      <c r="T98"/>
    </row>
    <row r="99" spans="2:20" ht="23.1" customHeight="1" x14ac:dyDescent="0.25">
      <c r="B99" s="45" t="s">
        <v>139</v>
      </c>
      <c r="C99" s="50">
        <v>27</v>
      </c>
      <c r="D99" s="50">
        <v>1</v>
      </c>
      <c r="E99" s="50">
        <v>0</v>
      </c>
      <c r="F99" s="50">
        <v>22</v>
      </c>
      <c r="G99" s="50">
        <v>1</v>
      </c>
      <c r="H99" s="50">
        <v>0</v>
      </c>
      <c r="I99" s="50">
        <v>2</v>
      </c>
      <c r="J99" s="50">
        <v>0</v>
      </c>
      <c r="K99" s="50">
        <v>0</v>
      </c>
      <c r="L99" s="50">
        <v>0</v>
      </c>
      <c r="M99" s="50">
        <v>51</v>
      </c>
      <c r="N99" s="50">
        <v>0</v>
      </c>
      <c r="O99" s="15">
        <f t="shared" si="35"/>
        <v>53</v>
      </c>
      <c r="P99" s="15">
        <f t="shared" si="36"/>
        <v>104</v>
      </c>
      <c r="R99" s="8"/>
      <c r="T99"/>
    </row>
    <row r="100" spans="2:20" ht="23.1" customHeight="1" x14ac:dyDescent="0.25">
      <c r="B100" s="47" t="s">
        <v>140</v>
      </c>
      <c r="C100" s="50">
        <v>23</v>
      </c>
      <c r="D100" s="50">
        <v>1</v>
      </c>
      <c r="E100" s="50">
        <v>0</v>
      </c>
      <c r="F100" s="50">
        <v>27</v>
      </c>
      <c r="G100" s="50">
        <v>0</v>
      </c>
      <c r="H100" s="50">
        <v>0</v>
      </c>
      <c r="I100" s="50">
        <v>5</v>
      </c>
      <c r="J100" s="50">
        <v>0</v>
      </c>
      <c r="K100" s="50">
        <v>0</v>
      </c>
      <c r="L100" s="50">
        <v>0</v>
      </c>
      <c r="M100" s="50">
        <v>55</v>
      </c>
      <c r="N100" s="50">
        <v>0</v>
      </c>
      <c r="O100" s="15">
        <f t="shared" si="35"/>
        <v>56</v>
      </c>
      <c r="P100" s="15">
        <f t="shared" si="36"/>
        <v>111</v>
      </c>
      <c r="R100" s="8"/>
      <c r="T100"/>
    </row>
    <row r="101" spans="2:20" ht="23.1" customHeight="1" x14ac:dyDescent="0.25">
      <c r="B101" s="45" t="s">
        <v>141</v>
      </c>
      <c r="C101" s="50">
        <v>9</v>
      </c>
      <c r="D101" s="50">
        <v>1</v>
      </c>
      <c r="E101" s="50">
        <v>0</v>
      </c>
      <c r="F101" s="50">
        <v>20</v>
      </c>
      <c r="G101" s="50">
        <v>2</v>
      </c>
      <c r="H101" s="50">
        <v>0</v>
      </c>
      <c r="I101" s="50">
        <v>6</v>
      </c>
      <c r="J101" s="50">
        <v>0</v>
      </c>
      <c r="K101" s="50">
        <v>0</v>
      </c>
      <c r="L101" s="50">
        <v>0</v>
      </c>
      <c r="M101" s="50">
        <v>23</v>
      </c>
      <c r="N101" s="50">
        <v>0</v>
      </c>
      <c r="O101" s="15">
        <f t="shared" si="35"/>
        <v>38</v>
      </c>
      <c r="P101" s="15">
        <f t="shared" si="36"/>
        <v>61</v>
      </c>
      <c r="R101" s="8"/>
      <c r="T101"/>
    </row>
    <row r="102" spans="2:20" ht="23.1" customHeight="1" x14ac:dyDescent="0.25">
      <c r="B102" s="46" t="s">
        <v>142</v>
      </c>
      <c r="C102" s="50">
        <v>19</v>
      </c>
      <c r="D102" s="50">
        <v>1</v>
      </c>
      <c r="E102" s="50">
        <v>8</v>
      </c>
      <c r="F102" s="50">
        <v>20</v>
      </c>
      <c r="G102" s="50">
        <v>0</v>
      </c>
      <c r="H102" s="50">
        <v>1</v>
      </c>
      <c r="I102" s="50">
        <v>4</v>
      </c>
      <c r="J102" s="50">
        <v>0</v>
      </c>
      <c r="K102" s="50">
        <v>1</v>
      </c>
      <c r="L102" s="50">
        <v>1</v>
      </c>
      <c r="M102" s="50">
        <v>57</v>
      </c>
      <c r="N102" s="50">
        <v>0</v>
      </c>
      <c r="O102" s="15">
        <f t="shared" si="35"/>
        <v>55</v>
      </c>
      <c r="P102" s="15">
        <f t="shared" si="36"/>
        <v>112</v>
      </c>
      <c r="R102" s="8"/>
      <c r="T102"/>
    </row>
    <row r="103" spans="2:20" ht="23.1" customHeight="1" x14ac:dyDescent="0.25">
      <c r="B103" s="45" t="s">
        <v>143</v>
      </c>
      <c r="C103" s="50">
        <v>16</v>
      </c>
      <c r="D103" s="50">
        <v>1</v>
      </c>
      <c r="E103" s="50">
        <v>0</v>
      </c>
      <c r="F103" s="50">
        <v>27</v>
      </c>
      <c r="G103" s="50">
        <v>0</v>
      </c>
      <c r="H103" s="50">
        <v>0</v>
      </c>
      <c r="I103" s="50">
        <v>3</v>
      </c>
      <c r="J103" s="50">
        <v>4</v>
      </c>
      <c r="K103" s="50">
        <v>0</v>
      </c>
      <c r="L103" s="50">
        <v>0</v>
      </c>
      <c r="M103" s="50">
        <v>44</v>
      </c>
      <c r="N103" s="50">
        <v>0</v>
      </c>
      <c r="O103" s="15">
        <f t="shared" si="35"/>
        <v>51</v>
      </c>
      <c r="P103" s="15">
        <f t="shared" si="36"/>
        <v>95</v>
      </c>
      <c r="R103" s="8"/>
      <c r="T103"/>
    </row>
    <row r="104" spans="2:20" ht="23.1" customHeight="1" x14ac:dyDescent="0.25">
      <c r="B104" s="47" t="s">
        <v>144</v>
      </c>
      <c r="C104" s="50">
        <v>17</v>
      </c>
      <c r="D104" s="50">
        <v>9</v>
      </c>
      <c r="E104" s="50">
        <v>2</v>
      </c>
      <c r="F104" s="50">
        <v>30</v>
      </c>
      <c r="G104" s="50">
        <v>1</v>
      </c>
      <c r="H104" s="50">
        <v>0</v>
      </c>
      <c r="I104" s="50">
        <v>3</v>
      </c>
      <c r="J104" s="50">
        <v>0</v>
      </c>
      <c r="K104" s="50">
        <v>1</v>
      </c>
      <c r="L104" s="50">
        <v>0</v>
      </c>
      <c r="M104" s="50">
        <v>61</v>
      </c>
      <c r="N104" s="50">
        <v>0</v>
      </c>
      <c r="O104" s="15">
        <f t="shared" si="35"/>
        <v>63</v>
      </c>
      <c r="P104" s="15">
        <f t="shared" si="36"/>
        <v>124</v>
      </c>
      <c r="R104" s="8"/>
      <c r="T104"/>
    </row>
    <row r="105" spans="2:20" ht="23.1" customHeight="1" x14ac:dyDescent="0.25">
      <c r="B105" s="45" t="s">
        <v>145</v>
      </c>
      <c r="C105" s="50">
        <v>24</v>
      </c>
      <c r="D105" s="50">
        <v>1</v>
      </c>
      <c r="E105" s="50">
        <v>2</v>
      </c>
      <c r="F105" s="50">
        <v>30</v>
      </c>
      <c r="G105" s="50">
        <v>2</v>
      </c>
      <c r="H105" s="50">
        <v>3</v>
      </c>
      <c r="I105" s="50">
        <v>1</v>
      </c>
      <c r="J105" s="50">
        <v>1</v>
      </c>
      <c r="K105" s="50">
        <v>0</v>
      </c>
      <c r="L105" s="50">
        <v>0</v>
      </c>
      <c r="M105" s="50">
        <v>80</v>
      </c>
      <c r="N105" s="50">
        <v>0</v>
      </c>
      <c r="O105" s="15">
        <f t="shared" si="35"/>
        <v>64</v>
      </c>
      <c r="P105" s="15">
        <f t="shared" si="36"/>
        <v>144</v>
      </c>
      <c r="R105" s="8"/>
      <c r="T105"/>
    </row>
    <row r="106" spans="2:20" ht="23.1" customHeight="1" x14ac:dyDescent="0.25">
      <c r="B106" s="26" t="s">
        <v>18</v>
      </c>
      <c r="C106" s="16">
        <f>SUM(C10:C105)</f>
        <v>3334</v>
      </c>
      <c r="D106" s="16">
        <f t="shared" ref="D106:P106" si="37">SUM(D10:D105)</f>
        <v>808</v>
      </c>
      <c r="E106" s="16">
        <f t="shared" si="37"/>
        <v>387</v>
      </c>
      <c r="F106" s="16">
        <f t="shared" si="37"/>
        <v>3336</v>
      </c>
      <c r="G106" s="16">
        <f t="shared" si="37"/>
        <v>71</v>
      </c>
      <c r="H106" s="16">
        <f t="shared" si="37"/>
        <v>76</v>
      </c>
      <c r="I106" s="16">
        <f t="shared" si="37"/>
        <v>375</v>
      </c>
      <c r="J106" s="16">
        <f t="shared" si="37"/>
        <v>174</v>
      </c>
      <c r="K106" s="16">
        <f t="shared" si="37"/>
        <v>105</v>
      </c>
      <c r="L106" s="16">
        <f t="shared" si="37"/>
        <v>25</v>
      </c>
      <c r="M106" s="16">
        <f t="shared" si="37"/>
        <v>11268</v>
      </c>
      <c r="N106" s="16">
        <f t="shared" si="37"/>
        <v>1</v>
      </c>
      <c r="O106" s="16">
        <f t="shared" si="37"/>
        <v>8692</v>
      </c>
      <c r="P106" s="16">
        <f t="shared" si="37"/>
        <v>19960</v>
      </c>
      <c r="R106" s="8"/>
      <c r="T106"/>
    </row>
    <row r="107" spans="2:20" ht="23.1" customHeight="1" x14ac:dyDescent="0.25">
      <c r="B107" s="26" t="s">
        <v>93</v>
      </c>
      <c r="C107" s="43">
        <f t="shared" ref="C107:N107" si="38">C106/$P$106</f>
        <v>0.16703406813627256</v>
      </c>
      <c r="D107" s="43">
        <f t="shared" si="38"/>
        <v>4.0480961923847696E-2</v>
      </c>
      <c r="E107" s="43">
        <f t="shared" si="38"/>
        <v>1.9388777555110221E-2</v>
      </c>
      <c r="F107" s="43">
        <f t="shared" si="38"/>
        <v>0.16713426853707414</v>
      </c>
      <c r="G107" s="43">
        <f t="shared" si="38"/>
        <v>3.5571142284569137E-3</v>
      </c>
      <c r="H107" s="43">
        <f t="shared" si="38"/>
        <v>3.8076152304609219E-3</v>
      </c>
      <c r="I107" s="43">
        <f t="shared" si="38"/>
        <v>1.8787575150300603E-2</v>
      </c>
      <c r="J107" s="43">
        <f t="shared" si="38"/>
        <v>8.7174348697394797E-3</v>
      </c>
      <c r="K107" s="43">
        <f t="shared" si="38"/>
        <v>5.2605210420841684E-3</v>
      </c>
      <c r="L107" s="43">
        <f t="shared" si="38"/>
        <v>1.25250501002004E-3</v>
      </c>
      <c r="M107" s="43">
        <f t="shared" si="38"/>
        <v>0.56452905811623244</v>
      </c>
      <c r="N107" s="43">
        <f t="shared" si="38"/>
        <v>5.0100200400801603E-5</v>
      </c>
      <c r="R107" s="8"/>
      <c r="T107"/>
    </row>
    <row r="108" spans="2:20" ht="23.1" customHeight="1" x14ac:dyDescent="0.25">
      <c r="B108" s="42" t="s">
        <v>94</v>
      </c>
      <c r="C108" s="44">
        <f>C106/$O$106</f>
        <v>0.38357109986194199</v>
      </c>
      <c r="D108" s="44">
        <f t="shared" ref="D108:N108" si="39">D106/$O$106</f>
        <v>9.295904279797515E-2</v>
      </c>
      <c r="E108" s="44">
        <f t="shared" si="39"/>
        <v>4.4523699953980672E-2</v>
      </c>
      <c r="F108" s="44">
        <f t="shared" si="39"/>
        <v>0.38380119650253108</v>
      </c>
      <c r="G108" s="44">
        <f t="shared" si="39"/>
        <v>8.1684307409111822E-3</v>
      </c>
      <c r="H108" s="44">
        <f t="shared" si="39"/>
        <v>8.7436723423838011E-3</v>
      </c>
      <c r="I108" s="44">
        <f t="shared" si="39"/>
        <v>4.3143120110446388E-2</v>
      </c>
      <c r="J108" s="44">
        <f t="shared" si="39"/>
        <v>2.0018407731247124E-2</v>
      </c>
      <c r="K108" s="44">
        <f t="shared" si="39"/>
        <v>1.2080073630924988E-2</v>
      </c>
      <c r="L108" s="44">
        <f t="shared" si="39"/>
        <v>2.8762080073630927E-3</v>
      </c>
      <c r="M108" s="44"/>
      <c r="N108" s="44">
        <f t="shared" si="39"/>
        <v>1.1504832029452371E-4</v>
      </c>
      <c r="Q108" s="7"/>
      <c r="R108" s="8"/>
      <c r="T108"/>
    </row>
    <row r="109" spans="2:20" ht="23.1" customHeight="1" x14ac:dyDescent="0.25">
      <c r="B109" s="3"/>
      <c r="C109" s="18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Q109" s="7"/>
      <c r="R109" s="8"/>
      <c r="T109"/>
    </row>
    <row r="110" spans="2:20" ht="23.1" customHeight="1" x14ac:dyDescent="0.25">
      <c r="B110" s="3"/>
      <c r="C110" s="18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Q110" s="7"/>
      <c r="R110" s="8"/>
      <c r="T110"/>
    </row>
    <row r="111" spans="2:20" ht="23.1" customHeight="1" x14ac:dyDescent="0.25">
      <c r="B111" s="3"/>
      <c r="C111" s="18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Q111" s="7"/>
    </row>
    <row r="112" spans="2:20" ht="23.1" customHeight="1" x14ac:dyDescent="0.25">
      <c r="B112" s="3"/>
      <c r="C112" s="18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Q112" s="7"/>
    </row>
    <row r="113" spans="2:20" s="7" customFormat="1" ht="23.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/>
      <c r="P113"/>
      <c r="S113" s="8"/>
      <c r="T113" s="8"/>
    </row>
    <row r="114" spans="2:20" s="7" customFormat="1" ht="23.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/>
      <c r="P114"/>
      <c r="S114" s="8"/>
      <c r="T114" s="8"/>
    </row>
    <row r="115" spans="2:20" s="7" customFormat="1" ht="23.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/>
      <c r="P115"/>
      <c r="S115" s="8"/>
      <c r="T115" s="8"/>
    </row>
    <row r="116" spans="2:20" s="7" customFormat="1" ht="23.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/>
      <c r="P116"/>
      <c r="S116" s="8"/>
      <c r="T116" s="8"/>
    </row>
    <row r="117" spans="2:20" s="7" customFormat="1" ht="23.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/>
      <c r="P117"/>
      <c r="S117" s="8"/>
      <c r="T117" s="8"/>
    </row>
    <row r="118" spans="2:20" s="7" customFormat="1" ht="23.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/>
      <c r="P118"/>
      <c r="S118" s="8"/>
      <c r="T118" s="8"/>
    </row>
    <row r="119" spans="2:20" s="7" customFormat="1" ht="23.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/>
      <c r="P119"/>
      <c r="S119" s="8"/>
      <c r="T119" s="8"/>
    </row>
    <row r="120" spans="2:20" s="7" customFormat="1" ht="23.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/>
      <c r="P120"/>
      <c r="S120" s="8"/>
      <c r="T120" s="8"/>
    </row>
    <row r="121" spans="2:20" s="7" customFormat="1" ht="23.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/>
      <c r="P121"/>
      <c r="S121" s="8"/>
      <c r="T121" s="8"/>
    </row>
    <row r="122" spans="2:20" s="7" customFormat="1" ht="23.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/>
      <c r="P122"/>
      <c r="S122" s="8"/>
      <c r="T122" s="8"/>
    </row>
    <row r="123" spans="2:20" s="7" customFormat="1" ht="23.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/>
      <c r="P123"/>
      <c r="S123" s="8"/>
      <c r="T123" s="8"/>
    </row>
    <row r="124" spans="2:20" s="7" customFormat="1" ht="23.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/>
      <c r="P124"/>
      <c r="S124" s="8"/>
      <c r="T124" s="8"/>
    </row>
    <row r="125" spans="2:20" s="7" customFormat="1" ht="23.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/>
      <c r="P125"/>
      <c r="Q125"/>
      <c r="S125" s="8"/>
      <c r="T125" s="8"/>
    </row>
    <row r="126" spans="2:20" s="7" customFormat="1" ht="23.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/>
      <c r="P126"/>
      <c r="Q126"/>
      <c r="S126" s="8"/>
      <c r="T126" s="8"/>
    </row>
    <row r="127" spans="2:20" s="7" customFormat="1" ht="23.1" customHeight="1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/>
      <c r="P127"/>
      <c r="Q127"/>
      <c r="S127" s="8"/>
      <c r="T127" s="8"/>
    </row>
    <row r="128" spans="2:20" s="7" customFormat="1" ht="23.1" customHeight="1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/>
      <c r="P128"/>
      <c r="Q128"/>
      <c r="S128" s="8"/>
      <c r="T128" s="8"/>
    </row>
    <row r="129" spans="2:14" ht="23.1" customHeight="1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spans="2:14" ht="23.1" customHeight="1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2:14" ht="23.1" customHeight="1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2:14" ht="23.1" customHeight="1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2:14" ht="23.1" customHeight="1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2:14" ht="23.1" customHeight="1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2:14" ht="23.1" customHeight="1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2:14" ht="23.1" customHeight="1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2:14" ht="23.1" customHeight="1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2:14" ht="23.1" customHeight="1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2:14" ht="23.1" customHeight="1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2:14" ht="23.1" customHeight="1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2:14" ht="23.1" customHeight="1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2:14" ht="23.1" customHeight="1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2:14" ht="23.1" customHeight="1" x14ac:dyDescent="0.25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2:14" ht="23.1" customHeight="1" x14ac:dyDescent="0.25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2:14" ht="23.1" customHeight="1" x14ac:dyDescent="0.25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2:14" ht="23.1" customHeight="1" x14ac:dyDescent="0.25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2:14" ht="23.1" customHeight="1" x14ac:dyDescent="0.25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2:14" ht="23.1" customHeight="1" x14ac:dyDescent="0.25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2:14" ht="23.1" customHeight="1" x14ac:dyDescent="0.25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2:14" ht="23.1" customHeight="1" x14ac:dyDescent="0.25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2:14" ht="23.1" customHeight="1" x14ac:dyDescent="0.25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2:14" ht="23.1" customHeight="1" x14ac:dyDescent="0.25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2:14" ht="23.1" customHeight="1" x14ac:dyDescent="0.25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2:14" ht="23.1" customHeight="1" x14ac:dyDescent="0.25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2:14" ht="23.1" customHeight="1" x14ac:dyDescent="0.25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2:14" ht="23.1" customHeight="1" x14ac:dyDescent="0.25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2:14" ht="23.1" customHeight="1" x14ac:dyDescent="0.25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2:14" ht="23.1" customHeight="1" x14ac:dyDescent="0.25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2:14" ht="23.1" customHeight="1" x14ac:dyDescent="0.25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2:14" ht="23.1" customHeight="1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2:14" ht="23.1" customHeight="1" x14ac:dyDescent="0.2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2:14" ht="23.1" customHeight="1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2:14" ht="23.1" customHeight="1" x14ac:dyDescent="0.2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2:14" ht="23.1" customHeight="1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2:14" ht="23.1" customHeight="1" x14ac:dyDescent="0.2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2:14" ht="23.1" customHeight="1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2:14" ht="23.1" customHeight="1" x14ac:dyDescent="0.2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2:14" ht="23.1" customHeight="1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2:14" ht="23.1" customHeight="1" x14ac:dyDescent="0.2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2:14" ht="23.1" customHeight="1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2:14" ht="23.1" customHeight="1" x14ac:dyDescent="0.2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2:14" ht="23.1" customHeight="1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2:14" ht="23.1" customHeight="1" x14ac:dyDescent="0.2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2:14" ht="23.1" customHeight="1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 tint="-0.249977111117893"/>
  </sheetPr>
  <dimension ref="B1:AF174"/>
  <sheetViews>
    <sheetView view="pageBreakPreview" topLeftCell="A34" zoomScale="60" workbookViewId="0">
      <selection activeCell="M103" sqref="M103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710937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64" t="s">
        <v>23</v>
      </c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  <c r="S1" s="64"/>
      <c r="T1" s="64"/>
      <c r="U1" s="64"/>
      <c r="V1" s="64"/>
      <c r="W1" s="64"/>
      <c r="X1" s="64"/>
      <c r="Y1" s="64"/>
      <c r="Z1" s="64"/>
      <c r="AA1" s="64"/>
      <c r="AB1" s="64"/>
      <c r="AC1" s="64"/>
      <c r="AD1" s="64"/>
      <c r="AE1" s="64"/>
    </row>
    <row r="2" spans="2:32" ht="20.100000000000001" customHeight="1" x14ac:dyDescent="0.25">
      <c r="B2" s="65" t="s">
        <v>95</v>
      </c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  <c r="AA2" s="65"/>
      <c r="AB2" s="65"/>
      <c r="AC2" s="65"/>
      <c r="AD2" s="65"/>
      <c r="AE2" s="65"/>
    </row>
    <row r="3" spans="2:32" ht="20.100000000000001" customHeight="1" x14ac:dyDescent="0.25">
      <c r="B3" s="22" t="s">
        <v>96</v>
      </c>
      <c r="C3" s="71" t="str">
        <f>'22.07 Bwaise-Makerere'!C3:G3</f>
        <v>MCC - C1 - STN021- SIR APOLLO ROAD</v>
      </c>
      <c r="D3" s="71"/>
      <c r="E3" s="71"/>
      <c r="F3" s="71"/>
      <c r="G3" s="71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">
        <v>166</v>
      </c>
      <c r="E5" s="3"/>
      <c r="F5" s="41" t="s">
        <v>1</v>
      </c>
      <c r="G5" s="69" t="str">
        <f>'26.07 Makerere-Bwaise-24h'!G5:H5</f>
        <v>PREMIUM DESIGN LTD</v>
      </c>
      <c r="H5" s="70"/>
      <c r="I5" s="14"/>
      <c r="J5" s="2" t="s">
        <v>5</v>
      </c>
      <c r="K5" s="69" t="s">
        <v>181</v>
      </c>
      <c r="L5" s="70"/>
      <c r="M5" s="10"/>
      <c r="N5" s="10"/>
      <c r="O5" s="3"/>
      <c r="P5" s="3"/>
    </row>
    <row r="6" spans="2:32" ht="23.25" customHeight="1" x14ac:dyDescent="0.25">
      <c r="C6" s="2" t="s">
        <v>4</v>
      </c>
      <c r="D6" s="69" t="str">
        <f>'22.07 Bwaise-Makerere'!D6:E6</f>
        <v>Bwaise</v>
      </c>
      <c r="E6" s="70"/>
      <c r="F6" s="2" t="s">
        <v>2</v>
      </c>
      <c r="G6" s="69" t="str">
        <f>'22.07 Bwaise-Makerere'!G6:H6</f>
        <v>Makerere</v>
      </c>
      <c r="H6" s="70"/>
      <c r="J6" s="2" t="s">
        <v>21</v>
      </c>
      <c r="K6" s="69" t="str">
        <f>'26.07 Makerere-Bwaise-24h'!K6:L6</f>
        <v>SALIMAH</v>
      </c>
      <c r="L6" s="70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63" t="s">
        <v>88</v>
      </c>
      <c r="S8" s="63"/>
      <c r="T8" s="63"/>
      <c r="U8" s="63"/>
      <c r="V8" s="63"/>
      <c r="W8" s="63"/>
      <c r="X8" s="63"/>
      <c r="Y8" s="63"/>
      <c r="Z8" s="63"/>
      <c r="AA8" s="63"/>
      <c r="AB8" s="63"/>
      <c r="AC8" s="63"/>
      <c r="AD8" s="63"/>
      <c r="AE8" s="63"/>
      <c r="AF8" s="63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45" t="s">
        <v>37</v>
      </c>
      <c r="C10" s="50">
        <v>66</v>
      </c>
      <c r="D10" s="50">
        <v>7</v>
      </c>
      <c r="E10" s="50">
        <v>3</v>
      </c>
      <c r="F10" s="50">
        <v>78</v>
      </c>
      <c r="G10" s="50">
        <v>0</v>
      </c>
      <c r="H10" s="50">
        <v>1</v>
      </c>
      <c r="I10" s="50">
        <v>6</v>
      </c>
      <c r="J10" s="50">
        <v>0</v>
      </c>
      <c r="K10" s="50">
        <v>0</v>
      </c>
      <c r="L10" s="50">
        <v>0</v>
      </c>
      <c r="M10" s="50">
        <v>150</v>
      </c>
      <c r="N10" s="50">
        <v>0</v>
      </c>
      <c r="O10" s="15">
        <f t="shared" ref="O10:O73" si="0">SUM(C10:L10,N10)</f>
        <v>161</v>
      </c>
      <c r="P10" s="15">
        <f t="shared" ref="P10:P73" si="1">SUM(C10:N10)</f>
        <v>311</v>
      </c>
      <c r="R10" s="1" t="s">
        <v>6</v>
      </c>
      <c r="S10" s="17">
        <f t="shared" ref="S10:AF10" si="2">SUM(C10:C13)</f>
        <v>237</v>
      </c>
      <c r="T10" s="17">
        <f t="shared" si="2"/>
        <v>27</v>
      </c>
      <c r="U10" s="17">
        <f t="shared" si="2"/>
        <v>15</v>
      </c>
      <c r="V10" s="17">
        <f t="shared" si="2"/>
        <v>302</v>
      </c>
      <c r="W10" s="17">
        <f t="shared" si="2"/>
        <v>7</v>
      </c>
      <c r="X10" s="17">
        <f t="shared" si="2"/>
        <v>2</v>
      </c>
      <c r="Y10" s="17">
        <f t="shared" si="2"/>
        <v>13</v>
      </c>
      <c r="Z10" s="17">
        <f t="shared" si="2"/>
        <v>5</v>
      </c>
      <c r="AA10" s="17">
        <f t="shared" si="2"/>
        <v>0</v>
      </c>
      <c r="AB10" s="17">
        <f t="shared" si="2"/>
        <v>1</v>
      </c>
      <c r="AC10" s="17">
        <f t="shared" si="2"/>
        <v>610</v>
      </c>
      <c r="AD10" s="17">
        <f t="shared" si="2"/>
        <v>0</v>
      </c>
      <c r="AE10" s="31">
        <f t="shared" si="2"/>
        <v>609</v>
      </c>
      <c r="AF10" s="31">
        <f t="shared" si="2"/>
        <v>1219</v>
      </c>
    </row>
    <row r="11" spans="2:32" s="6" customFormat="1" ht="23.1" customHeight="1" x14ac:dyDescent="0.25">
      <c r="B11" s="45" t="s">
        <v>38</v>
      </c>
      <c r="C11" s="50">
        <v>60</v>
      </c>
      <c r="D11" s="50">
        <v>6</v>
      </c>
      <c r="E11" s="50">
        <v>6</v>
      </c>
      <c r="F11" s="50">
        <v>77</v>
      </c>
      <c r="G11" s="50">
        <v>2</v>
      </c>
      <c r="H11" s="50">
        <v>0</v>
      </c>
      <c r="I11" s="50">
        <v>2</v>
      </c>
      <c r="J11" s="50">
        <v>3</v>
      </c>
      <c r="K11" s="50">
        <v>0</v>
      </c>
      <c r="L11" s="50">
        <v>0</v>
      </c>
      <c r="M11" s="50">
        <v>140</v>
      </c>
      <c r="N11" s="50">
        <v>0</v>
      </c>
      <c r="O11" s="15">
        <f t="shared" si="0"/>
        <v>156</v>
      </c>
      <c r="P11" s="15">
        <f t="shared" si="1"/>
        <v>296</v>
      </c>
      <c r="R11" s="1" t="s">
        <v>7</v>
      </c>
      <c r="S11" s="17">
        <f t="shared" ref="S11:AF11" si="3">SUM(C14:C17)</f>
        <v>283</v>
      </c>
      <c r="T11" s="17">
        <f t="shared" si="3"/>
        <v>56</v>
      </c>
      <c r="U11" s="17">
        <f t="shared" si="3"/>
        <v>41</v>
      </c>
      <c r="V11" s="17">
        <f t="shared" si="3"/>
        <v>307</v>
      </c>
      <c r="W11" s="17">
        <f t="shared" si="3"/>
        <v>7</v>
      </c>
      <c r="X11" s="17">
        <f t="shared" si="3"/>
        <v>3</v>
      </c>
      <c r="Y11" s="17">
        <f t="shared" si="3"/>
        <v>15</v>
      </c>
      <c r="Z11" s="17">
        <f t="shared" si="3"/>
        <v>3</v>
      </c>
      <c r="AA11" s="17">
        <f t="shared" si="3"/>
        <v>6</v>
      </c>
      <c r="AB11" s="17">
        <f t="shared" si="3"/>
        <v>3</v>
      </c>
      <c r="AC11" s="17">
        <f t="shared" si="3"/>
        <v>583</v>
      </c>
      <c r="AD11" s="17">
        <f t="shared" si="3"/>
        <v>0</v>
      </c>
      <c r="AE11" s="31">
        <f t="shared" si="3"/>
        <v>724</v>
      </c>
      <c r="AF11" s="31">
        <f t="shared" si="3"/>
        <v>1307</v>
      </c>
    </row>
    <row r="12" spans="2:32" ht="23.1" customHeight="1" x14ac:dyDescent="0.25">
      <c r="B12" s="45" t="s">
        <v>39</v>
      </c>
      <c r="C12" s="50">
        <v>54</v>
      </c>
      <c r="D12" s="50">
        <v>5</v>
      </c>
      <c r="E12" s="50">
        <v>1</v>
      </c>
      <c r="F12" s="50">
        <v>67</v>
      </c>
      <c r="G12" s="50">
        <v>4</v>
      </c>
      <c r="H12" s="50">
        <v>0</v>
      </c>
      <c r="I12" s="50">
        <v>3</v>
      </c>
      <c r="J12" s="50">
        <v>2</v>
      </c>
      <c r="K12" s="50">
        <v>0</v>
      </c>
      <c r="L12" s="50">
        <v>0</v>
      </c>
      <c r="M12" s="50">
        <v>138</v>
      </c>
      <c r="N12" s="50">
        <v>0</v>
      </c>
      <c r="O12" s="15">
        <f t="shared" si="0"/>
        <v>136</v>
      </c>
      <c r="P12" s="15">
        <f t="shared" si="1"/>
        <v>274</v>
      </c>
      <c r="R12" s="1" t="s">
        <v>8</v>
      </c>
      <c r="S12" s="17">
        <f t="shared" ref="S12:AF12" si="4">SUM(C18:C21)</f>
        <v>301</v>
      </c>
      <c r="T12" s="17">
        <f t="shared" si="4"/>
        <v>67</v>
      </c>
      <c r="U12" s="17">
        <f t="shared" si="4"/>
        <v>41</v>
      </c>
      <c r="V12" s="17">
        <f t="shared" si="4"/>
        <v>187</v>
      </c>
      <c r="W12" s="17">
        <f t="shared" si="4"/>
        <v>77</v>
      </c>
      <c r="X12" s="17">
        <f t="shared" si="4"/>
        <v>4</v>
      </c>
      <c r="Y12" s="17">
        <f t="shared" si="4"/>
        <v>15</v>
      </c>
      <c r="Z12" s="17">
        <f t="shared" si="4"/>
        <v>10</v>
      </c>
      <c r="AA12" s="17">
        <f t="shared" si="4"/>
        <v>5</v>
      </c>
      <c r="AB12" s="17">
        <f t="shared" si="4"/>
        <v>1</v>
      </c>
      <c r="AC12" s="17">
        <f t="shared" si="4"/>
        <v>825</v>
      </c>
      <c r="AD12" s="17">
        <f t="shared" si="4"/>
        <v>0</v>
      </c>
      <c r="AE12" s="31">
        <f t="shared" si="4"/>
        <v>708</v>
      </c>
      <c r="AF12" s="31">
        <f t="shared" si="4"/>
        <v>1533</v>
      </c>
    </row>
    <row r="13" spans="2:32" ht="23.1" customHeight="1" x14ac:dyDescent="0.25">
      <c r="B13" s="45" t="s">
        <v>40</v>
      </c>
      <c r="C13" s="50">
        <v>57</v>
      </c>
      <c r="D13" s="50">
        <v>9</v>
      </c>
      <c r="E13" s="50">
        <v>5</v>
      </c>
      <c r="F13" s="50">
        <v>80</v>
      </c>
      <c r="G13" s="50">
        <v>1</v>
      </c>
      <c r="H13" s="50">
        <v>1</v>
      </c>
      <c r="I13" s="50">
        <v>2</v>
      </c>
      <c r="J13" s="50">
        <v>0</v>
      </c>
      <c r="K13" s="50">
        <v>0</v>
      </c>
      <c r="L13" s="50">
        <v>1</v>
      </c>
      <c r="M13" s="50">
        <v>182</v>
      </c>
      <c r="N13" s="50">
        <v>0</v>
      </c>
      <c r="O13" s="15">
        <f t="shared" si="0"/>
        <v>156</v>
      </c>
      <c r="P13" s="15">
        <f t="shared" si="1"/>
        <v>338</v>
      </c>
      <c r="R13" s="1" t="s">
        <v>9</v>
      </c>
      <c r="S13" s="17">
        <f t="shared" ref="S13:AF13" si="5">SUM(C22:C25)</f>
        <v>280</v>
      </c>
      <c r="T13" s="17">
        <f t="shared" si="5"/>
        <v>99</v>
      </c>
      <c r="U13" s="17">
        <f t="shared" si="5"/>
        <v>44</v>
      </c>
      <c r="V13" s="17">
        <f t="shared" si="5"/>
        <v>201</v>
      </c>
      <c r="W13" s="17">
        <f t="shared" si="5"/>
        <v>4</v>
      </c>
      <c r="X13" s="17">
        <f t="shared" si="5"/>
        <v>2</v>
      </c>
      <c r="Y13" s="17">
        <f t="shared" si="5"/>
        <v>19</v>
      </c>
      <c r="Z13" s="17">
        <f t="shared" si="5"/>
        <v>13</v>
      </c>
      <c r="AA13" s="17">
        <f t="shared" si="5"/>
        <v>4</v>
      </c>
      <c r="AB13" s="17">
        <f t="shared" si="5"/>
        <v>1</v>
      </c>
      <c r="AC13" s="17">
        <f t="shared" si="5"/>
        <v>787</v>
      </c>
      <c r="AD13" s="17">
        <f t="shared" si="5"/>
        <v>0</v>
      </c>
      <c r="AE13" s="31">
        <f t="shared" si="5"/>
        <v>667</v>
      </c>
      <c r="AF13" s="31">
        <f t="shared" si="5"/>
        <v>1454</v>
      </c>
    </row>
    <row r="14" spans="2:32" ht="23.1" customHeight="1" x14ac:dyDescent="0.25">
      <c r="B14" s="45" t="s">
        <v>41</v>
      </c>
      <c r="C14" s="50">
        <v>72</v>
      </c>
      <c r="D14" s="50">
        <v>13</v>
      </c>
      <c r="E14" s="50">
        <v>11</v>
      </c>
      <c r="F14" s="50">
        <v>71</v>
      </c>
      <c r="G14" s="50">
        <v>2</v>
      </c>
      <c r="H14" s="50">
        <v>0</v>
      </c>
      <c r="I14" s="50">
        <v>3</v>
      </c>
      <c r="J14" s="50">
        <v>2</v>
      </c>
      <c r="K14" s="50">
        <v>1</v>
      </c>
      <c r="L14" s="50">
        <v>1</v>
      </c>
      <c r="M14" s="50">
        <v>175</v>
      </c>
      <c r="N14" s="50">
        <v>0</v>
      </c>
      <c r="O14" s="15">
        <f t="shared" si="0"/>
        <v>176</v>
      </c>
      <c r="P14" s="15">
        <f t="shared" si="1"/>
        <v>351</v>
      </c>
      <c r="R14" s="1" t="s">
        <v>10</v>
      </c>
      <c r="S14" s="17">
        <f t="shared" ref="S14:AF14" si="6">SUM(C26:C29)</f>
        <v>300</v>
      </c>
      <c r="T14" s="17">
        <f t="shared" si="6"/>
        <v>81</v>
      </c>
      <c r="U14" s="17">
        <f t="shared" si="6"/>
        <v>50</v>
      </c>
      <c r="V14" s="17">
        <f t="shared" si="6"/>
        <v>241</v>
      </c>
      <c r="W14" s="17">
        <f t="shared" si="6"/>
        <v>2</v>
      </c>
      <c r="X14" s="17">
        <f t="shared" si="6"/>
        <v>2</v>
      </c>
      <c r="Y14" s="17">
        <f t="shared" si="6"/>
        <v>19</v>
      </c>
      <c r="Z14" s="17">
        <f t="shared" si="6"/>
        <v>11</v>
      </c>
      <c r="AA14" s="17">
        <f t="shared" si="6"/>
        <v>3</v>
      </c>
      <c r="AB14" s="17">
        <f t="shared" si="6"/>
        <v>0</v>
      </c>
      <c r="AC14" s="17">
        <f t="shared" si="6"/>
        <v>674</v>
      </c>
      <c r="AD14" s="17">
        <f t="shared" si="6"/>
        <v>0</v>
      </c>
      <c r="AE14" s="31">
        <f t="shared" si="6"/>
        <v>709</v>
      </c>
      <c r="AF14" s="31">
        <f t="shared" si="6"/>
        <v>1383</v>
      </c>
    </row>
    <row r="15" spans="2:32" ht="23.1" customHeight="1" x14ac:dyDescent="0.25">
      <c r="B15" s="45" t="s">
        <v>42</v>
      </c>
      <c r="C15" s="50">
        <v>67</v>
      </c>
      <c r="D15" s="50">
        <v>17</v>
      </c>
      <c r="E15" s="50">
        <v>14</v>
      </c>
      <c r="F15" s="50">
        <v>71</v>
      </c>
      <c r="G15" s="50">
        <v>2</v>
      </c>
      <c r="H15" s="50">
        <v>3</v>
      </c>
      <c r="I15" s="50">
        <v>3</v>
      </c>
      <c r="J15" s="50">
        <v>1</v>
      </c>
      <c r="K15" s="50">
        <v>2</v>
      </c>
      <c r="L15" s="50">
        <v>0</v>
      </c>
      <c r="M15" s="50">
        <v>125</v>
      </c>
      <c r="N15" s="50">
        <v>0</v>
      </c>
      <c r="O15" s="15">
        <f t="shared" si="0"/>
        <v>180</v>
      </c>
      <c r="P15" s="15">
        <f t="shared" si="1"/>
        <v>305</v>
      </c>
      <c r="R15" s="1" t="s">
        <v>11</v>
      </c>
      <c r="S15" s="17">
        <f t="shared" ref="S15:AF15" si="7">SUM(C30:C33)</f>
        <v>262</v>
      </c>
      <c r="T15" s="17">
        <f t="shared" si="7"/>
        <v>67</v>
      </c>
      <c r="U15" s="17">
        <f t="shared" si="7"/>
        <v>43</v>
      </c>
      <c r="V15" s="17">
        <f t="shared" si="7"/>
        <v>207</v>
      </c>
      <c r="W15" s="17">
        <f t="shared" si="7"/>
        <v>5</v>
      </c>
      <c r="X15" s="17">
        <f t="shared" si="7"/>
        <v>2</v>
      </c>
      <c r="Y15" s="17">
        <f t="shared" si="7"/>
        <v>18</v>
      </c>
      <c r="Z15" s="17">
        <f t="shared" si="7"/>
        <v>7</v>
      </c>
      <c r="AA15" s="17">
        <f t="shared" si="7"/>
        <v>10</v>
      </c>
      <c r="AB15" s="17">
        <f t="shared" si="7"/>
        <v>3</v>
      </c>
      <c r="AC15" s="17">
        <f t="shared" si="7"/>
        <v>588</v>
      </c>
      <c r="AD15" s="17">
        <f t="shared" si="7"/>
        <v>0</v>
      </c>
      <c r="AE15" s="31">
        <f t="shared" si="7"/>
        <v>624</v>
      </c>
      <c r="AF15" s="31">
        <f t="shared" si="7"/>
        <v>1212</v>
      </c>
    </row>
    <row r="16" spans="2:32" ht="23.1" customHeight="1" x14ac:dyDescent="0.25">
      <c r="B16" s="45" t="s">
        <v>43</v>
      </c>
      <c r="C16" s="50">
        <v>76</v>
      </c>
      <c r="D16" s="50">
        <v>11</v>
      </c>
      <c r="E16" s="50">
        <v>8</v>
      </c>
      <c r="F16" s="50">
        <v>87</v>
      </c>
      <c r="G16" s="50">
        <v>1</v>
      </c>
      <c r="H16" s="50">
        <v>0</v>
      </c>
      <c r="I16" s="50">
        <v>5</v>
      </c>
      <c r="J16" s="50">
        <v>0</v>
      </c>
      <c r="K16" s="50">
        <v>1</v>
      </c>
      <c r="L16" s="50">
        <v>1</v>
      </c>
      <c r="M16" s="50">
        <v>117</v>
      </c>
      <c r="N16" s="50">
        <v>0</v>
      </c>
      <c r="O16" s="15">
        <f t="shared" si="0"/>
        <v>190</v>
      </c>
      <c r="P16" s="15">
        <f t="shared" si="1"/>
        <v>307</v>
      </c>
      <c r="R16" s="1" t="s">
        <v>12</v>
      </c>
      <c r="S16" s="17">
        <f t="shared" ref="S16:AF16" si="8">SUM(C34:C37)</f>
        <v>225</v>
      </c>
      <c r="T16" s="17">
        <f t="shared" si="8"/>
        <v>84</v>
      </c>
      <c r="U16" s="17">
        <f t="shared" si="8"/>
        <v>96</v>
      </c>
      <c r="V16" s="17">
        <f t="shared" si="8"/>
        <v>101</v>
      </c>
      <c r="W16" s="17">
        <f t="shared" si="8"/>
        <v>3</v>
      </c>
      <c r="X16" s="17">
        <f t="shared" si="8"/>
        <v>23</v>
      </c>
      <c r="Y16" s="17">
        <f t="shared" si="8"/>
        <v>18</v>
      </c>
      <c r="Z16" s="17">
        <f t="shared" si="8"/>
        <v>9</v>
      </c>
      <c r="AA16" s="17">
        <f t="shared" si="8"/>
        <v>3</v>
      </c>
      <c r="AB16" s="17">
        <f t="shared" si="8"/>
        <v>2</v>
      </c>
      <c r="AC16" s="17">
        <f t="shared" si="8"/>
        <v>585</v>
      </c>
      <c r="AD16" s="17">
        <f t="shared" si="8"/>
        <v>0</v>
      </c>
      <c r="AE16" s="31">
        <f t="shared" si="8"/>
        <v>564</v>
      </c>
      <c r="AF16" s="31">
        <f t="shared" si="8"/>
        <v>1149</v>
      </c>
    </row>
    <row r="17" spans="2:32" ht="23.1" customHeight="1" x14ac:dyDescent="0.25">
      <c r="B17" s="45" t="s">
        <v>44</v>
      </c>
      <c r="C17" s="50">
        <v>68</v>
      </c>
      <c r="D17" s="50">
        <v>15</v>
      </c>
      <c r="E17" s="50">
        <v>8</v>
      </c>
      <c r="F17" s="50">
        <v>78</v>
      </c>
      <c r="G17" s="50">
        <v>2</v>
      </c>
      <c r="H17" s="50">
        <v>0</v>
      </c>
      <c r="I17" s="50">
        <v>4</v>
      </c>
      <c r="J17" s="50">
        <v>0</v>
      </c>
      <c r="K17" s="50">
        <v>2</v>
      </c>
      <c r="L17" s="50">
        <v>1</v>
      </c>
      <c r="M17" s="50">
        <v>166</v>
      </c>
      <c r="N17" s="50">
        <v>0</v>
      </c>
      <c r="O17" s="15">
        <f t="shared" si="0"/>
        <v>178</v>
      </c>
      <c r="P17" s="15">
        <f t="shared" si="1"/>
        <v>344</v>
      </c>
      <c r="R17" s="1" t="s">
        <v>13</v>
      </c>
      <c r="S17" s="17">
        <f t="shared" ref="S17:AF17" si="9">SUM(C38:C41)</f>
        <v>223</v>
      </c>
      <c r="T17" s="17">
        <f t="shared" si="9"/>
        <v>63</v>
      </c>
      <c r="U17" s="17">
        <f t="shared" si="9"/>
        <v>32</v>
      </c>
      <c r="V17" s="17">
        <f t="shared" si="9"/>
        <v>135</v>
      </c>
      <c r="W17" s="17">
        <f t="shared" si="9"/>
        <v>8</v>
      </c>
      <c r="X17" s="17">
        <f t="shared" si="9"/>
        <v>3</v>
      </c>
      <c r="Y17" s="17">
        <f t="shared" si="9"/>
        <v>26</v>
      </c>
      <c r="Z17" s="17">
        <f t="shared" si="9"/>
        <v>9</v>
      </c>
      <c r="AA17" s="17">
        <f t="shared" si="9"/>
        <v>1</v>
      </c>
      <c r="AB17" s="17">
        <f t="shared" si="9"/>
        <v>2</v>
      </c>
      <c r="AC17" s="17">
        <f t="shared" si="9"/>
        <v>432</v>
      </c>
      <c r="AD17" s="17">
        <f t="shared" si="9"/>
        <v>0</v>
      </c>
      <c r="AE17" s="31">
        <f t="shared" si="9"/>
        <v>502</v>
      </c>
      <c r="AF17" s="31">
        <f t="shared" si="9"/>
        <v>934</v>
      </c>
    </row>
    <row r="18" spans="2:32" ht="23.1" customHeight="1" x14ac:dyDescent="0.25">
      <c r="B18" s="45" t="s">
        <v>45</v>
      </c>
      <c r="C18" s="50">
        <v>83</v>
      </c>
      <c r="D18" s="50">
        <v>15</v>
      </c>
      <c r="E18" s="50">
        <v>6</v>
      </c>
      <c r="F18" s="50">
        <v>55</v>
      </c>
      <c r="G18" s="50">
        <v>3</v>
      </c>
      <c r="H18" s="50">
        <v>0</v>
      </c>
      <c r="I18" s="50">
        <v>3</v>
      </c>
      <c r="J18" s="50">
        <v>1</v>
      </c>
      <c r="K18" s="50">
        <v>2</v>
      </c>
      <c r="L18" s="50">
        <v>0</v>
      </c>
      <c r="M18" s="50">
        <v>177</v>
      </c>
      <c r="N18" s="50">
        <v>0</v>
      </c>
      <c r="O18" s="15">
        <f t="shared" si="0"/>
        <v>168</v>
      </c>
      <c r="P18" s="15">
        <f t="shared" si="1"/>
        <v>345</v>
      </c>
      <c r="R18" s="1" t="s">
        <v>14</v>
      </c>
      <c r="S18" s="17">
        <f t="shared" ref="S18:AF18" si="10">SUM(C42:C45)</f>
        <v>248</v>
      </c>
      <c r="T18" s="17">
        <f t="shared" si="10"/>
        <v>76</v>
      </c>
      <c r="U18" s="17">
        <f t="shared" si="10"/>
        <v>32</v>
      </c>
      <c r="V18" s="17">
        <f t="shared" si="10"/>
        <v>226</v>
      </c>
      <c r="W18" s="17">
        <f t="shared" si="10"/>
        <v>3</v>
      </c>
      <c r="X18" s="17">
        <f t="shared" si="10"/>
        <v>5</v>
      </c>
      <c r="Y18" s="17">
        <f t="shared" si="10"/>
        <v>22</v>
      </c>
      <c r="Z18" s="17">
        <f t="shared" si="10"/>
        <v>14</v>
      </c>
      <c r="AA18" s="17">
        <f t="shared" si="10"/>
        <v>0</v>
      </c>
      <c r="AB18" s="17">
        <f t="shared" si="10"/>
        <v>3</v>
      </c>
      <c r="AC18" s="17">
        <f t="shared" si="10"/>
        <v>466</v>
      </c>
      <c r="AD18" s="17">
        <f t="shared" si="10"/>
        <v>0</v>
      </c>
      <c r="AE18" s="31">
        <f t="shared" si="10"/>
        <v>462</v>
      </c>
      <c r="AF18" s="31">
        <f t="shared" si="10"/>
        <v>777</v>
      </c>
    </row>
    <row r="19" spans="2:32" ht="23.1" customHeight="1" x14ac:dyDescent="0.25">
      <c r="B19" s="45" t="s">
        <v>46</v>
      </c>
      <c r="C19" s="50">
        <v>74</v>
      </c>
      <c r="D19" s="50">
        <v>16</v>
      </c>
      <c r="E19" s="50">
        <v>16</v>
      </c>
      <c r="F19" s="50">
        <v>0</v>
      </c>
      <c r="G19" s="50">
        <v>73</v>
      </c>
      <c r="H19" s="50">
        <v>2</v>
      </c>
      <c r="I19" s="50">
        <v>0</v>
      </c>
      <c r="J19" s="50">
        <v>6</v>
      </c>
      <c r="K19" s="50">
        <v>2</v>
      </c>
      <c r="L19" s="50">
        <v>0</v>
      </c>
      <c r="M19" s="50">
        <v>173</v>
      </c>
      <c r="N19" s="50">
        <v>0</v>
      </c>
      <c r="O19" s="15">
        <f t="shared" si="0"/>
        <v>189</v>
      </c>
      <c r="P19" s="15">
        <f t="shared" si="1"/>
        <v>362</v>
      </c>
      <c r="R19" s="1" t="s">
        <v>15</v>
      </c>
      <c r="S19" s="17">
        <f t="shared" ref="S19:AF19" si="11">SUM(C46:C49)</f>
        <v>206</v>
      </c>
      <c r="T19" s="17">
        <f t="shared" si="11"/>
        <v>82</v>
      </c>
      <c r="U19" s="17">
        <f t="shared" si="11"/>
        <v>54</v>
      </c>
      <c r="V19" s="17">
        <f t="shared" si="11"/>
        <v>147</v>
      </c>
      <c r="W19" s="17">
        <f t="shared" si="11"/>
        <v>5</v>
      </c>
      <c r="X19" s="17">
        <f t="shared" si="11"/>
        <v>2</v>
      </c>
      <c r="Y19" s="17">
        <f t="shared" si="11"/>
        <v>30</v>
      </c>
      <c r="Z19" s="17">
        <f t="shared" si="11"/>
        <v>12</v>
      </c>
      <c r="AA19" s="17">
        <f t="shared" si="11"/>
        <v>0</v>
      </c>
      <c r="AB19" s="17">
        <f t="shared" si="11"/>
        <v>2</v>
      </c>
      <c r="AC19" s="17">
        <f t="shared" si="11"/>
        <v>595</v>
      </c>
      <c r="AD19" s="17">
        <f t="shared" si="11"/>
        <v>0</v>
      </c>
      <c r="AE19" s="31">
        <f t="shared" si="11"/>
        <v>540</v>
      </c>
      <c r="AF19" s="31">
        <f t="shared" si="11"/>
        <v>1135</v>
      </c>
    </row>
    <row r="20" spans="2:32" ht="23.1" customHeight="1" x14ac:dyDescent="0.25">
      <c r="B20" s="45" t="s">
        <v>47</v>
      </c>
      <c r="C20" s="50">
        <v>71</v>
      </c>
      <c r="D20" s="50">
        <v>17</v>
      </c>
      <c r="E20" s="50">
        <v>11</v>
      </c>
      <c r="F20" s="50">
        <v>80</v>
      </c>
      <c r="G20" s="50">
        <v>1</v>
      </c>
      <c r="H20" s="50">
        <v>1</v>
      </c>
      <c r="I20" s="50">
        <v>5</v>
      </c>
      <c r="J20" s="50">
        <v>1</v>
      </c>
      <c r="K20" s="50">
        <v>0</v>
      </c>
      <c r="L20" s="50">
        <v>0</v>
      </c>
      <c r="M20" s="50">
        <v>250</v>
      </c>
      <c r="N20" s="50">
        <v>0</v>
      </c>
      <c r="O20" s="15">
        <f t="shared" si="0"/>
        <v>187</v>
      </c>
      <c r="P20" s="15">
        <f t="shared" si="1"/>
        <v>437</v>
      </c>
      <c r="R20" s="1" t="s">
        <v>16</v>
      </c>
      <c r="S20" s="17">
        <f t="shared" ref="S20:AF20" si="12">SUM(C50:C53)</f>
        <v>175</v>
      </c>
      <c r="T20" s="17">
        <f t="shared" si="12"/>
        <v>92</v>
      </c>
      <c r="U20" s="17">
        <f t="shared" si="12"/>
        <v>49</v>
      </c>
      <c r="V20" s="17">
        <f t="shared" si="12"/>
        <v>171</v>
      </c>
      <c r="W20" s="17">
        <f t="shared" si="12"/>
        <v>7</v>
      </c>
      <c r="X20" s="17">
        <f t="shared" si="12"/>
        <v>3</v>
      </c>
      <c r="Y20" s="17">
        <f t="shared" si="12"/>
        <v>22</v>
      </c>
      <c r="Z20" s="17">
        <f t="shared" si="12"/>
        <v>16</v>
      </c>
      <c r="AA20" s="17">
        <f t="shared" si="12"/>
        <v>1</v>
      </c>
      <c r="AB20" s="17">
        <f t="shared" si="12"/>
        <v>1</v>
      </c>
      <c r="AC20" s="17">
        <f t="shared" si="12"/>
        <v>544</v>
      </c>
      <c r="AD20" s="17">
        <f t="shared" si="12"/>
        <v>0</v>
      </c>
      <c r="AE20" s="31">
        <f t="shared" si="12"/>
        <v>537</v>
      </c>
      <c r="AF20" s="31">
        <f t="shared" si="12"/>
        <v>1081</v>
      </c>
    </row>
    <row r="21" spans="2:32" ht="23.1" customHeight="1" x14ac:dyDescent="0.25">
      <c r="B21" s="45" t="s">
        <v>48</v>
      </c>
      <c r="C21" s="50">
        <v>73</v>
      </c>
      <c r="D21" s="50">
        <v>19</v>
      </c>
      <c r="E21" s="50">
        <v>8</v>
      </c>
      <c r="F21" s="50">
        <v>52</v>
      </c>
      <c r="G21" s="50">
        <v>0</v>
      </c>
      <c r="H21" s="50">
        <v>1</v>
      </c>
      <c r="I21" s="50">
        <v>7</v>
      </c>
      <c r="J21" s="50">
        <v>2</v>
      </c>
      <c r="K21" s="50">
        <v>1</v>
      </c>
      <c r="L21" s="50">
        <v>1</v>
      </c>
      <c r="M21" s="50">
        <v>225</v>
      </c>
      <c r="N21" s="50">
        <v>0</v>
      </c>
      <c r="O21" s="15">
        <f t="shared" si="0"/>
        <v>164</v>
      </c>
      <c r="P21" s="15">
        <f t="shared" si="1"/>
        <v>389</v>
      </c>
      <c r="R21" s="36" t="s">
        <v>20</v>
      </c>
      <c r="S21" s="34">
        <f t="shared" ref="S21:AF21" si="13">SUM(C54:C57)</f>
        <v>167</v>
      </c>
      <c r="T21" s="17">
        <f t="shared" si="13"/>
        <v>75</v>
      </c>
      <c r="U21" s="17">
        <f t="shared" si="13"/>
        <v>30</v>
      </c>
      <c r="V21" s="17">
        <f t="shared" si="13"/>
        <v>200</v>
      </c>
      <c r="W21" s="17">
        <f t="shared" si="13"/>
        <v>3</v>
      </c>
      <c r="X21" s="17">
        <f t="shared" si="13"/>
        <v>3</v>
      </c>
      <c r="Y21" s="17">
        <f t="shared" si="13"/>
        <v>23</v>
      </c>
      <c r="Z21" s="17">
        <f t="shared" si="13"/>
        <v>9</v>
      </c>
      <c r="AA21" s="17">
        <f t="shared" si="13"/>
        <v>2</v>
      </c>
      <c r="AB21" s="17">
        <f t="shared" si="13"/>
        <v>2</v>
      </c>
      <c r="AC21" s="17">
        <f t="shared" si="13"/>
        <v>450</v>
      </c>
      <c r="AD21" s="17">
        <f t="shared" si="13"/>
        <v>0</v>
      </c>
      <c r="AE21" s="31">
        <f t="shared" si="13"/>
        <v>514</v>
      </c>
      <c r="AF21" s="31">
        <f t="shared" si="13"/>
        <v>964</v>
      </c>
    </row>
    <row r="22" spans="2:32" ht="23.1" customHeight="1" x14ac:dyDescent="0.25">
      <c r="B22" s="45" t="s">
        <v>49</v>
      </c>
      <c r="C22" s="50">
        <v>72</v>
      </c>
      <c r="D22" s="50">
        <v>26</v>
      </c>
      <c r="E22" s="50">
        <v>8</v>
      </c>
      <c r="F22" s="50">
        <v>48</v>
      </c>
      <c r="G22" s="50">
        <v>3</v>
      </c>
      <c r="H22" s="50">
        <v>0</v>
      </c>
      <c r="I22" s="50">
        <v>5</v>
      </c>
      <c r="J22" s="50">
        <v>4</v>
      </c>
      <c r="K22" s="50">
        <v>1</v>
      </c>
      <c r="L22" s="50">
        <v>1</v>
      </c>
      <c r="M22" s="50">
        <v>198</v>
      </c>
      <c r="N22" s="50">
        <v>0</v>
      </c>
      <c r="O22" s="15">
        <f t="shared" si="0"/>
        <v>168</v>
      </c>
      <c r="P22" s="15">
        <f t="shared" si="1"/>
        <v>366</v>
      </c>
      <c r="R22" s="36" t="s">
        <v>146</v>
      </c>
      <c r="S22" s="34">
        <f>SUM(C58:C61)</f>
        <v>176</v>
      </c>
      <c r="T22" s="34">
        <f t="shared" ref="T22:AF22" si="14">SUM(D58:D61)</f>
        <v>25</v>
      </c>
      <c r="U22" s="34">
        <f t="shared" si="14"/>
        <v>23</v>
      </c>
      <c r="V22" s="34">
        <f t="shared" si="14"/>
        <v>172</v>
      </c>
      <c r="W22" s="34">
        <f t="shared" si="14"/>
        <v>5</v>
      </c>
      <c r="X22" s="34">
        <f t="shared" si="14"/>
        <v>10</v>
      </c>
      <c r="Y22" s="34">
        <f t="shared" si="14"/>
        <v>10</v>
      </c>
      <c r="Z22" s="34">
        <f t="shared" si="14"/>
        <v>4</v>
      </c>
      <c r="AA22" s="34">
        <f t="shared" si="14"/>
        <v>4</v>
      </c>
      <c r="AB22" s="34">
        <f t="shared" si="14"/>
        <v>3</v>
      </c>
      <c r="AC22" s="34">
        <f t="shared" si="14"/>
        <v>569</v>
      </c>
      <c r="AD22" s="34">
        <f t="shared" si="14"/>
        <v>0</v>
      </c>
      <c r="AE22" s="31">
        <f t="shared" si="14"/>
        <v>432</v>
      </c>
      <c r="AF22" s="31">
        <f t="shared" si="14"/>
        <v>1001</v>
      </c>
    </row>
    <row r="23" spans="2:32" ht="23.1" customHeight="1" x14ac:dyDescent="0.25">
      <c r="B23" s="45" t="s">
        <v>50</v>
      </c>
      <c r="C23" s="50">
        <v>71</v>
      </c>
      <c r="D23" s="50">
        <v>24</v>
      </c>
      <c r="E23" s="50">
        <v>8</v>
      </c>
      <c r="F23" s="50">
        <v>40</v>
      </c>
      <c r="G23" s="50">
        <v>0</v>
      </c>
      <c r="H23" s="50">
        <v>2</v>
      </c>
      <c r="I23" s="50">
        <v>3</v>
      </c>
      <c r="J23" s="50">
        <v>3</v>
      </c>
      <c r="K23" s="50">
        <v>1</v>
      </c>
      <c r="L23" s="50">
        <v>0</v>
      </c>
      <c r="M23" s="50">
        <v>197</v>
      </c>
      <c r="N23" s="50">
        <v>0</v>
      </c>
      <c r="O23" s="15">
        <f t="shared" si="0"/>
        <v>152</v>
      </c>
      <c r="P23" s="15">
        <f t="shared" si="1"/>
        <v>349</v>
      </c>
      <c r="R23" s="36" t="s">
        <v>147</v>
      </c>
      <c r="S23" s="34">
        <f>SUM(C62:C65)</f>
        <v>202</v>
      </c>
      <c r="T23" s="34">
        <f t="shared" ref="T23:AF23" si="15">SUM(D62:D65)</f>
        <v>41</v>
      </c>
      <c r="U23" s="34">
        <f t="shared" si="15"/>
        <v>22</v>
      </c>
      <c r="V23" s="34">
        <f t="shared" si="15"/>
        <v>181</v>
      </c>
      <c r="W23" s="34">
        <f t="shared" si="15"/>
        <v>3</v>
      </c>
      <c r="X23" s="34">
        <f t="shared" si="15"/>
        <v>4</v>
      </c>
      <c r="Y23" s="34">
        <f t="shared" si="15"/>
        <v>2</v>
      </c>
      <c r="Z23" s="34">
        <f t="shared" si="15"/>
        <v>2</v>
      </c>
      <c r="AA23" s="34">
        <f t="shared" si="15"/>
        <v>4</v>
      </c>
      <c r="AB23" s="34">
        <f t="shared" si="15"/>
        <v>2</v>
      </c>
      <c r="AC23" s="34">
        <f t="shared" si="15"/>
        <v>500</v>
      </c>
      <c r="AD23" s="34">
        <f t="shared" si="15"/>
        <v>0</v>
      </c>
      <c r="AE23" s="31">
        <f t="shared" si="15"/>
        <v>463</v>
      </c>
      <c r="AF23" s="31">
        <f t="shared" si="15"/>
        <v>963</v>
      </c>
    </row>
    <row r="24" spans="2:32" ht="23.1" customHeight="1" x14ac:dyDescent="0.25">
      <c r="B24" s="45" t="s">
        <v>51</v>
      </c>
      <c r="C24" s="50">
        <v>76</v>
      </c>
      <c r="D24" s="50">
        <v>26</v>
      </c>
      <c r="E24" s="50">
        <v>18</v>
      </c>
      <c r="F24" s="50">
        <v>56</v>
      </c>
      <c r="G24" s="50">
        <v>0</v>
      </c>
      <c r="H24" s="50">
        <v>0</v>
      </c>
      <c r="I24" s="50">
        <v>5</v>
      </c>
      <c r="J24" s="50">
        <v>5</v>
      </c>
      <c r="K24" s="50">
        <v>1</v>
      </c>
      <c r="L24" s="50">
        <v>0</v>
      </c>
      <c r="M24" s="50">
        <v>192</v>
      </c>
      <c r="N24" s="50">
        <v>0</v>
      </c>
      <c r="O24" s="15">
        <f t="shared" si="0"/>
        <v>187</v>
      </c>
      <c r="P24" s="15">
        <f t="shared" si="1"/>
        <v>379</v>
      </c>
      <c r="R24" s="36" t="s">
        <v>148</v>
      </c>
      <c r="S24" s="34">
        <f>SUM(C66:C69)</f>
        <v>201</v>
      </c>
      <c r="T24" s="34">
        <f t="shared" ref="T24:AF24" si="16">SUM(D66:D69)</f>
        <v>26</v>
      </c>
      <c r="U24" s="34">
        <f t="shared" si="16"/>
        <v>29</v>
      </c>
      <c r="V24" s="34">
        <f t="shared" si="16"/>
        <v>128</v>
      </c>
      <c r="W24" s="34">
        <f t="shared" si="16"/>
        <v>2</v>
      </c>
      <c r="X24" s="34">
        <f t="shared" si="16"/>
        <v>4</v>
      </c>
      <c r="Y24" s="34">
        <f t="shared" si="16"/>
        <v>14</v>
      </c>
      <c r="Z24" s="34">
        <f t="shared" si="16"/>
        <v>6</v>
      </c>
      <c r="AA24" s="34">
        <f t="shared" si="16"/>
        <v>0</v>
      </c>
      <c r="AB24" s="34">
        <f t="shared" si="16"/>
        <v>3</v>
      </c>
      <c r="AC24" s="34">
        <f t="shared" si="16"/>
        <v>458</v>
      </c>
      <c r="AD24" s="34">
        <f t="shared" si="16"/>
        <v>0</v>
      </c>
      <c r="AE24" s="31">
        <f t="shared" si="16"/>
        <v>413</v>
      </c>
      <c r="AF24" s="31">
        <f t="shared" si="16"/>
        <v>871</v>
      </c>
    </row>
    <row r="25" spans="2:32" ht="23.1" customHeight="1" x14ac:dyDescent="0.25">
      <c r="B25" s="45" t="s">
        <v>52</v>
      </c>
      <c r="C25" s="50">
        <v>61</v>
      </c>
      <c r="D25" s="50">
        <v>23</v>
      </c>
      <c r="E25" s="50">
        <v>10</v>
      </c>
      <c r="F25" s="50">
        <v>57</v>
      </c>
      <c r="G25" s="50">
        <v>1</v>
      </c>
      <c r="H25" s="50">
        <v>0</v>
      </c>
      <c r="I25" s="50">
        <v>6</v>
      </c>
      <c r="J25" s="50">
        <v>1</v>
      </c>
      <c r="K25" s="50">
        <v>1</v>
      </c>
      <c r="L25" s="50">
        <v>0</v>
      </c>
      <c r="M25" s="50">
        <v>200</v>
      </c>
      <c r="N25" s="50">
        <v>0</v>
      </c>
      <c r="O25" s="15">
        <f t="shared" si="0"/>
        <v>160</v>
      </c>
      <c r="P25" s="15">
        <f t="shared" si="1"/>
        <v>360</v>
      </c>
      <c r="R25" s="36" t="s">
        <v>149</v>
      </c>
      <c r="S25" s="34">
        <f>SUM(C70:C73)</f>
        <v>140</v>
      </c>
      <c r="T25" s="34">
        <f t="shared" ref="T25:AF25" si="17">SUM(D70:D73)</f>
        <v>12</v>
      </c>
      <c r="U25" s="34">
        <f t="shared" si="17"/>
        <v>18</v>
      </c>
      <c r="V25" s="34">
        <f t="shared" si="17"/>
        <v>88</v>
      </c>
      <c r="W25" s="34">
        <f t="shared" si="17"/>
        <v>3</v>
      </c>
      <c r="X25" s="34">
        <f t="shared" si="17"/>
        <v>5</v>
      </c>
      <c r="Y25" s="34">
        <f t="shared" si="17"/>
        <v>7</v>
      </c>
      <c r="Z25" s="34">
        <f t="shared" si="17"/>
        <v>8</v>
      </c>
      <c r="AA25" s="34">
        <f t="shared" si="17"/>
        <v>2</v>
      </c>
      <c r="AB25" s="34">
        <f t="shared" si="17"/>
        <v>3</v>
      </c>
      <c r="AC25" s="34">
        <f t="shared" si="17"/>
        <v>392</v>
      </c>
      <c r="AD25" s="34">
        <f t="shared" si="17"/>
        <v>0</v>
      </c>
      <c r="AE25" s="31">
        <f t="shared" si="17"/>
        <v>286</v>
      </c>
      <c r="AF25" s="31">
        <f t="shared" si="17"/>
        <v>678</v>
      </c>
    </row>
    <row r="26" spans="2:32" ht="23.1" customHeight="1" x14ac:dyDescent="0.25">
      <c r="B26" s="45" t="s">
        <v>53</v>
      </c>
      <c r="C26" s="50">
        <v>90</v>
      </c>
      <c r="D26" s="50">
        <v>22</v>
      </c>
      <c r="E26" s="50">
        <v>13</v>
      </c>
      <c r="F26" s="50">
        <v>77</v>
      </c>
      <c r="G26" s="50">
        <v>1</v>
      </c>
      <c r="H26" s="50">
        <v>0</v>
      </c>
      <c r="I26" s="50">
        <v>7</v>
      </c>
      <c r="J26" s="50">
        <v>4</v>
      </c>
      <c r="K26" s="50">
        <v>0</v>
      </c>
      <c r="L26" s="50">
        <v>0</v>
      </c>
      <c r="M26" s="50">
        <v>225</v>
      </c>
      <c r="N26" s="50">
        <v>0</v>
      </c>
      <c r="O26" s="15">
        <f t="shared" si="0"/>
        <v>214</v>
      </c>
      <c r="P26" s="15">
        <f t="shared" si="1"/>
        <v>439</v>
      </c>
      <c r="R26" s="36" t="s">
        <v>150</v>
      </c>
      <c r="S26" s="34">
        <f>SUM(C74:C77)</f>
        <v>113</v>
      </c>
      <c r="T26" s="34">
        <f t="shared" ref="T26:AF26" si="18">SUM(D74:D77)</f>
        <v>22</v>
      </c>
      <c r="U26" s="34">
        <f t="shared" si="18"/>
        <v>17</v>
      </c>
      <c r="V26" s="34">
        <f t="shared" si="18"/>
        <v>31</v>
      </c>
      <c r="W26" s="34">
        <f t="shared" si="18"/>
        <v>7</v>
      </c>
      <c r="X26" s="34">
        <f t="shared" si="18"/>
        <v>0</v>
      </c>
      <c r="Y26" s="34">
        <f t="shared" si="18"/>
        <v>7</v>
      </c>
      <c r="Z26" s="34">
        <f t="shared" si="18"/>
        <v>3</v>
      </c>
      <c r="AA26" s="34">
        <f t="shared" si="18"/>
        <v>0</v>
      </c>
      <c r="AB26" s="34">
        <f t="shared" si="18"/>
        <v>1</v>
      </c>
      <c r="AC26" s="34">
        <f t="shared" si="18"/>
        <v>353</v>
      </c>
      <c r="AD26" s="34">
        <f t="shared" si="18"/>
        <v>0</v>
      </c>
      <c r="AE26" s="31">
        <f t="shared" si="18"/>
        <v>201</v>
      </c>
      <c r="AF26" s="31">
        <f t="shared" si="18"/>
        <v>554</v>
      </c>
    </row>
    <row r="27" spans="2:32" ht="23.1" customHeight="1" x14ac:dyDescent="0.25">
      <c r="B27" s="45" t="s">
        <v>54</v>
      </c>
      <c r="C27" s="50">
        <v>71</v>
      </c>
      <c r="D27" s="50">
        <v>21</v>
      </c>
      <c r="E27" s="50">
        <v>13</v>
      </c>
      <c r="F27" s="50">
        <v>58</v>
      </c>
      <c r="G27" s="50">
        <v>0</v>
      </c>
      <c r="H27" s="50">
        <v>2</v>
      </c>
      <c r="I27" s="50">
        <v>4</v>
      </c>
      <c r="J27" s="50">
        <v>2</v>
      </c>
      <c r="K27" s="50">
        <v>0</v>
      </c>
      <c r="L27" s="50">
        <v>0</v>
      </c>
      <c r="M27" s="50">
        <v>154</v>
      </c>
      <c r="N27" s="50">
        <v>0</v>
      </c>
      <c r="O27" s="15">
        <f t="shared" si="0"/>
        <v>171</v>
      </c>
      <c r="P27" s="15">
        <f t="shared" si="1"/>
        <v>325</v>
      </c>
      <c r="R27" s="36" t="s">
        <v>151</v>
      </c>
      <c r="S27" s="34">
        <f>SUM(C78:C81)</f>
        <v>65</v>
      </c>
      <c r="T27" s="34">
        <f t="shared" ref="T27:AF27" si="19">SUM(D78:D81)</f>
        <v>14</v>
      </c>
      <c r="U27" s="34">
        <f t="shared" si="19"/>
        <v>4</v>
      </c>
      <c r="V27" s="34">
        <f t="shared" si="19"/>
        <v>16</v>
      </c>
      <c r="W27" s="34">
        <f t="shared" si="19"/>
        <v>1</v>
      </c>
      <c r="X27" s="34">
        <f t="shared" si="19"/>
        <v>2</v>
      </c>
      <c r="Y27" s="34">
        <f t="shared" si="19"/>
        <v>2</v>
      </c>
      <c r="Z27" s="34">
        <f t="shared" si="19"/>
        <v>1</v>
      </c>
      <c r="AA27" s="34">
        <f t="shared" si="19"/>
        <v>0</v>
      </c>
      <c r="AB27" s="34">
        <f t="shared" si="19"/>
        <v>1</v>
      </c>
      <c r="AC27" s="34">
        <f t="shared" si="19"/>
        <v>115</v>
      </c>
      <c r="AD27" s="34">
        <f t="shared" si="19"/>
        <v>0</v>
      </c>
      <c r="AE27" s="31">
        <f t="shared" si="19"/>
        <v>106</v>
      </c>
      <c r="AF27" s="31">
        <f t="shared" si="19"/>
        <v>221</v>
      </c>
    </row>
    <row r="28" spans="2:32" ht="23.1" customHeight="1" x14ac:dyDescent="0.25">
      <c r="B28" s="45" t="s">
        <v>55</v>
      </c>
      <c r="C28" s="50">
        <v>63</v>
      </c>
      <c r="D28" s="50">
        <v>22</v>
      </c>
      <c r="E28" s="50">
        <v>16</v>
      </c>
      <c r="F28" s="50">
        <v>62</v>
      </c>
      <c r="G28" s="50">
        <v>0</v>
      </c>
      <c r="H28" s="50">
        <v>0</v>
      </c>
      <c r="I28" s="50">
        <v>7</v>
      </c>
      <c r="J28" s="50">
        <v>1</v>
      </c>
      <c r="K28" s="50">
        <v>2</v>
      </c>
      <c r="L28" s="50">
        <v>0</v>
      </c>
      <c r="M28" s="50">
        <v>145</v>
      </c>
      <c r="N28" s="50">
        <v>0</v>
      </c>
      <c r="O28" s="15">
        <f t="shared" si="0"/>
        <v>173</v>
      </c>
      <c r="P28" s="15">
        <f t="shared" si="1"/>
        <v>318</v>
      </c>
      <c r="R28" s="36" t="s">
        <v>152</v>
      </c>
      <c r="S28" s="34">
        <f>SUM(C82:C85)</f>
        <v>28</v>
      </c>
      <c r="T28" s="34">
        <f t="shared" ref="T28:AF28" si="20">SUM(D82:D85)</f>
        <v>4</v>
      </c>
      <c r="U28" s="34">
        <f t="shared" si="20"/>
        <v>0</v>
      </c>
      <c r="V28" s="34">
        <f t="shared" si="20"/>
        <v>8</v>
      </c>
      <c r="W28" s="34">
        <f t="shared" si="20"/>
        <v>0</v>
      </c>
      <c r="X28" s="34">
        <f t="shared" si="20"/>
        <v>3</v>
      </c>
      <c r="Y28" s="34">
        <f t="shared" si="20"/>
        <v>1</v>
      </c>
      <c r="Z28" s="34">
        <f t="shared" si="20"/>
        <v>3</v>
      </c>
      <c r="AA28" s="34">
        <f t="shared" si="20"/>
        <v>2</v>
      </c>
      <c r="AB28" s="34">
        <f t="shared" si="20"/>
        <v>1</v>
      </c>
      <c r="AC28" s="34">
        <f t="shared" si="20"/>
        <v>80</v>
      </c>
      <c r="AD28" s="34">
        <f t="shared" si="20"/>
        <v>0</v>
      </c>
      <c r="AE28" s="31">
        <f t="shared" si="20"/>
        <v>50</v>
      </c>
      <c r="AF28" s="31">
        <f t="shared" si="20"/>
        <v>130</v>
      </c>
    </row>
    <row r="29" spans="2:32" ht="23.1" customHeight="1" x14ac:dyDescent="0.25">
      <c r="B29" s="45" t="s">
        <v>56</v>
      </c>
      <c r="C29" s="50">
        <v>76</v>
      </c>
      <c r="D29" s="50">
        <v>16</v>
      </c>
      <c r="E29" s="50">
        <v>8</v>
      </c>
      <c r="F29" s="50">
        <v>44</v>
      </c>
      <c r="G29" s="50">
        <v>1</v>
      </c>
      <c r="H29" s="50">
        <v>0</v>
      </c>
      <c r="I29" s="50">
        <v>1</v>
      </c>
      <c r="J29" s="50">
        <v>4</v>
      </c>
      <c r="K29" s="50">
        <v>1</v>
      </c>
      <c r="L29" s="50">
        <v>0</v>
      </c>
      <c r="M29" s="50">
        <v>150</v>
      </c>
      <c r="N29" s="50">
        <v>0</v>
      </c>
      <c r="O29" s="15">
        <f t="shared" si="0"/>
        <v>151</v>
      </c>
      <c r="P29" s="15">
        <f t="shared" si="1"/>
        <v>301</v>
      </c>
      <c r="R29" s="36" t="s">
        <v>153</v>
      </c>
      <c r="S29" s="34">
        <f>SUM(C86:C89)</f>
        <v>26</v>
      </c>
      <c r="T29" s="34">
        <f t="shared" ref="T29:AF29" si="21">SUM(D86:D89)</f>
        <v>9</v>
      </c>
      <c r="U29" s="34">
        <f t="shared" si="21"/>
        <v>1</v>
      </c>
      <c r="V29" s="34">
        <f t="shared" si="21"/>
        <v>2</v>
      </c>
      <c r="W29" s="34">
        <f t="shared" si="21"/>
        <v>0</v>
      </c>
      <c r="X29" s="34">
        <f t="shared" si="21"/>
        <v>2</v>
      </c>
      <c r="Y29" s="34">
        <f t="shared" si="21"/>
        <v>3</v>
      </c>
      <c r="Z29" s="34">
        <f t="shared" si="21"/>
        <v>0</v>
      </c>
      <c r="AA29" s="34">
        <f t="shared" si="21"/>
        <v>2</v>
      </c>
      <c r="AB29" s="34">
        <f t="shared" si="21"/>
        <v>0</v>
      </c>
      <c r="AC29" s="34">
        <f t="shared" si="21"/>
        <v>36</v>
      </c>
      <c r="AD29" s="34">
        <f t="shared" si="21"/>
        <v>0</v>
      </c>
      <c r="AE29" s="31">
        <f t="shared" si="21"/>
        <v>45</v>
      </c>
      <c r="AF29" s="31">
        <f t="shared" si="21"/>
        <v>81</v>
      </c>
    </row>
    <row r="30" spans="2:32" ht="23.1" customHeight="1" x14ac:dyDescent="0.25">
      <c r="B30" s="45" t="s">
        <v>57</v>
      </c>
      <c r="C30" s="50">
        <v>67</v>
      </c>
      <c r="D30" s="50">
        <v>18</v>
      </c>
      <c r="E30" s="50">
        <v>12</v>
      </c>
      <c r="F30" s="50">
        <v>44</v>
      </c>
      <c r="G30" s="50">
        <v>1</v>
      </c>
      <c r="H30" s="50">
        <v>0</v>
      </c>
      <c r="I30" s="50">
        <v>4</v>
      </c>
      <c r="J30" s="50">
        <v>2</v>
      </c>
      <c r="K30" s="50">
        <v>3</v>
      </c>
      <c r="L30" s="50">
        <v>1</v>
      </c>
      <c r="M30" s="50">
        <v>152</v>
      </c>
      <c r="N30" s="50">
        <v>0</v>
      </c>
      <c r="O30" s="15">
        <f t="shared" si="0"/>
        <v>152</v>
      </c>
      <c r="P30" s="15">
        <f t="shared" si="1"/>
        <v>304</v>
      </c>
      <c r="R30" s="36" t="s">
        <v>154</v>
      </c>
      <c r="S30" s="34">
        <f>SUM(C90:C93)</f>
        <v>15</v>
      </c>
      <c r="T30" s="34">
        <f t="shared" ref="T30:AF30" si="22">SUM(D90:D93)</f>
        <v>0</v>
      </c>
      <c r="U30" s="34">
        <f t="shared" si="22"/>
        <v>1</v>
      </c>
      <c r="V30" s="34">
        <f t="shared" si="22"/>
        <v>1</v>
      </c>
      <c r="W30" s="34">
        <f t="shared" si="22"/>
        <v>1</v>
      </c>
      <c r="X30" s="34">
        <f t="shared" si="22"/>
        <v>1</v>
      </c>
      <c r="Y30" s="34">
        <f t="shared" si="22"/>
        <v>3</v>
      </c>
      <c r="Z30" s="34">
        <f t="shared" si="22"/>
        <v>0</v>
      </c>
      <c r="AA30" s="34">
        <f t="shared" si="22"/>
        <v>0</v>
      </c>
      <c r="AB30" s="34">
        <f t="shared" si="22"/>
        <v>0</v>
      </c>
      <c r="AC30" s="34">
        <f t="shared" si="22"/>
        <v>44</v>
      </c>
      <c r="AD30" s="34">
        <f t="shared" si="22"/>
        <v>0</v>
      </c>
      <c r="AE30" s="31">
        <f t="shared" si="22"/>
        <v>22</v>
      </c>
      <c r="AF30" s="31">
        <f t="shared" si="22"/>
        <v>66</v>
      </c>
    </row>
    <row r="31" spans="2:32" ht="23.1" customHeight="1" x14ac:dyDescent="0.25">
      <c r="B31" s="46" t="s">
        <v>58</v>
      </c>
      <c r="C31" s="50">
        <v>52</v>
      </c>
      <c r="D31" s="50">
        <v>12</v>
      </c>
      <c r="E31" s="50">
        <v>12</v>
      </c>
      <c r="F31" s="50">
        <v>43</v>
      </c>
      <c r="G31" s="50">
        <v>2</v>
      </c>
      <c r="H31" s="50">
        <v>0</v>
      </c>
      <c r="I31" s="50">
        <v>3</v>
      </c>
      <c r="J31" s="50">
        <v>2</v>
      </c>
      <c r="K31" s="50">
        <v>3</v>
      </c>
      <c r="L31" s="50">
        <v>0</v>
      </c>
      <c r="M31" s="50">
        <v>150</v>
      </c>
      <c r="N31" s="50">
        <v>0</v>
      </c>
      <c r="O31" s="15">
        <f t="shared" si="0"/>
        <v>129</v>
      </c>
      <c r="P31" s="15">
        <f t="shared" si="1"/>
        <v>279</v>
      </c>
      <c r="R31" s="36" t="s">
        <v>155</v>
      </c>
      <c r="S31" s="34">
        <f>SUM(C94:C97)</f>
        <v>12</v>
      </c>
      <c r="T31" s="34">
        <f t="shared" ref="T31:AF31" si="23">SUM(D94:D97)</f>
        <v>2</v>
      </c>
      <c r="U31" s="34">
        <f t="shared" si="23"/>
        <v>1</v>
      </c>
      <c r="V31" s="34">
        <f t="shared" si="23"/>
        <v>10</v>
      </c>
      <c r="W31" s="34">
        <f t="shared" si="23"/>
        <v>1</v>
      </c>
      <c r="X31" s="34">
        <f t="shared" si="23"/>
        <v>3</v>
      </c>
      <c r="Y31" s="34">
        <f t="shared" si="23"/>
        <v>3</v>
      </c>
      <c r="Z31" s="34">
        <f t="shared" si="23"/>
        <v>1</v>
      </c>
      <c r="AA31" s="34">
        <f t="shared" si="23"/>
        <v>1</v>
      </c>
      <c r="AB31" s="34">
        <f t="shared" si="23"/>
        <v>0</v>
      </c>
      <c r="AC31" s="34">
        <f t="shared" si="23"/>
        <v>41</v>
      </c>
      <c r="AD31" s="34">
        <f t="shared" si="23"/>
        <v>0</v>
      </c>
      <c r="AE31" s="31">
        <f t="shared" si="23"/>
        <v>34</v>
      </c>
      <c r="AF31" s="31">
        <f t="shared" si="23"/>
        <v>75</v>
      </c>
    </row>
    <row r="32" spans="2:32" ht="23.1" customHeight="1" x14ac:dyDescent="0.25">
      <c r="B32" s="46" t="s">
        <v>59</v>
      </c>
      <c r="C32" s="50">
        <v>72</v>
      </c>
      <c r="D32" s="50">
        <v>25</v>
      </c>
      <c r="E32" s="50">
        <v>11</v>
      </c>
      <c r="F32" s="50">
        <v>52</v>
      </c>
      <c r="G32" s="50">
        <v>2</v>
      </c>
      <c r="H32" s="50">
        <v>1</v>
      </c>
      <c r="I32" s="50">
        <v>8</v>
      </c>
      <c r="J32" s="50">
        <v>3</v>
      </c>
      <c r="K32" s="50">
        <v>2</v>
      </c>
      <c r="L32" s="50">
        <v>2</v>
      </c>
      <c r="M32" s="50">
        <v>158</v>
      </c>
      <c r="N32" s="50">
        <v>0</v>
      </c>
      <c r="O32" s="15">
        <f t="shared" si="0"/>
        <v>178</v>
      </c>
      <c r="P32" s="15">
        <f t="shared" si="1"/>
        <v>336</v>
      </c>
      <c r="R32" s="33" t="s">
        <v>156</v>
      </c>
      <c r="S32" s="34">
        <f>SUM(C98:C101)</f>
        <v>36</v>
      </c>
      <c r="T32" s="34">
        <f t="shared" ref="T32:AF32" si="24">SUM(D98:D101)</f>
        <v>7</v>
      </c>
      <c r="U32" s="34">
        <f t="shared" si="24"/>
        <v>5</v>
      </c>
      <c r="V32" s="34">
        <f t="shared" si="24"/>
        <v>28</v>
      </c>
      <c r="W32" s="34">
        <f t="shared" si="24"/>
        <v>0</v>
      </c>
      <c r="X32" s="34">
        <f t="shared" si="24"/>
        <v>9</v>
      </c>
      <c r="Y32" s="34">
        <f t="shared" si="24"/>
        <v>7</v>
      </c>
      <c r="Z32" s="34">
        <f t="shared" si="24"/>
        <v>4</v>
      </c>
      <c r="AA32" s="34">
        <f t="shared" si="24"/>
        <v>0</v>
      </c>
      <c r="AB32" s="34">
        <f t="shared" si="24"/>
        <v>1</v>
      </c>
      <c r="AC32" s="34">
        <f t="shared" si="24"/>
        <v>182</v>
      </c>
      <c r="AD32" s="34">
        <f t="shared" si="24"/>
        <v>0</v>
      </c>
      <c r="AE32" s="31">
        <f t="shared" si="24"/>
        <v>97</v>
      </c>
      <c r="AF32" s="31">
        <f t="shared" si="24"/>
        <v>279</v>
      </c>
    </row>
    <row r="33" spans="2:32" ht="23.1" customHeight="1" x14ac:dyDescent="0.25">
      <c r="B33" s="45" t="s">
        <v>60</v>
      </c>
      <c r="C33" s="50">
        <v>71</v>
      </c>
      <c r="D33" s="50">
        <v>12</v>
      </c>
      <c r="E33" s="50">
        <v>8</v>
      </c>
      <c r="F33" s="50">
        <v>68</v>
      </c>
      <c r="G33" s="50">
        <v>0</v>
      </c>
      <c r="H33" s="50">
        <v>1</v>
      </c>
      <c r="I33" s="50">
        <v>3</v>
      </c>
      <c r="J33" s="50">
        <v>0</v>
      </c>
      <c r="K33" s="50">
        <v>2</v>
      </c>
      <c r="L33" s="50">
        <v>0</v>
      </c>
      <c r="M33" s="50">
        <v>128</v>
      </c>
      <c r="N33" s="50">
        <v>0</v>
      </c>
      <c r="O33" s="15">
        <f t="shared" si="0"/>
        <v>165</v>
      </c>
      <c r="P33" s="15">
        <f t="shared" si="1"/>
        <v>293</v>
      </c>
      <c r="R33" s="33" t="s">
        <v>157</v>
      </c>
      <c r="S33" s="34">
        <f>SUM(C102:C105)</f>
        <v>53</v>
      </c>
      <c r="T33" s="34">
        <f t="shared" ref="T33:AF33" si="25">SUM(D102:D105)</f>
        <v>9</v>
      </c>
      <c r="U33" s="34">
        <f t="shared" si="25"/>
        <v>14</v>
      </c>
      <c r="V33" s="34">
        <f t="shared" si="25"/>
        <v>99</v>
      </c>
      <c r="W33" s="34">
        <f t="shared" si="25"/>
        <v>35</v>
      </c>
      <c r="X33" s="34">
        <f t="shared" si="25"/>
        <v>0</v>
      </c>
      <c r="Y33" s="34">
        <f t="shared" si="25"/>
        <v>3</v>
      </c>
      <c r="Z33" s="34">
        <f t="shared" si="25"/>
        <v>4</v>
      </c>
      <c r="AA33" s="34">
        <f t="shared" si="25"/>
        <v>0</v>
      </c>
      <c r="AB33" s="34">
        <f t="shared" si="25"/>
        <v>1</v>
      </c>
      <c r="AC33" s="34">
        <f t="shared" si="25"/>
        <v>192</v>
      </c>
      <c r="AD33" s="34">
        <f t="shared" si="25"/>
        <v>0</v>
      </c>
      <c r="AE33" s="31">
        <f t="shared" si="25"/>
        <v>218</v>
      </c>
      <c r="AF33" s="31">
        <f t="shared" si="25"/>
        <v>410</v>
      </c>
    </row>
    <row r="34" spans="2:32" ht="23.1" customHeight="1" x14ac:dyDescent="0.25">
      <c r="B34" s="46" t="s">
        <v>61</v>
      </c>
      <c r="C34" s="50">
        <v>63</v>
      </c>
      <c r="D34" s="50">
        <v>25</v>
      </c>
      <c r="E34" s="50">
        <v>72</v>
      </c>
      <c r="F34" s="50">
        <v>1</v>
      </c>
      <c r="G34" s="50">
        <v>0</v>
      </c>
      <c r="H34" s="50">
        <v>10</v>
      </c>
      <c r="I34" s="50">
        <v>2</v>
      </c>
      <c r="J34" s="50">
        <v>2</v>
      </c>
      <c r="K34" s="50">
        <v>2</v>
      </c>
      <c r="L34" s="50">
        <v>1</v>
      </c>
      <c r="M34" s="50">
        <v>150</v>
      </c>
      <c r="N34" s="50">
        <v>0</v>
      </c>
      <c r="O34" s="15">
        <f t="shared" si="0"/>
        <v>178</v>
      </c>
      <c r="P34" s="15">
        <f t="shared" si="1"/>
        <v>328</v>
      </c>
      <c r="R34" s="38" t="s">
        <v>90</v>
      </c>
      <c r="S34" s="39">
        <f t="shared" ref="S34:AF34" si="26">MAX(S10:S12)</f>
        <v>301</v>
      </c>
      <c r="T34" s="39">
        <f t="shared" si="26"/>
        <v>67</v>
      </c>
      <c r="U34" s="39">
        <f t="shared" si="26"/>
        <v>41</v>
      </c>
      <c r="V34" s="39">
        <f t="shared" si="26"/>
        <v>307</v>
      </c>
      <c r="W34" s="39">
        <f t="shared" si="26"/>
        <v>77</v>
      </c>
      <c r="X34" s="39">
        <f t="shared" si="26"/>
        <v>4</v>
      </c>
      <c r="Y34" s="39">
        <f t="shared" si="26"/>
        <v>15</v>
      </c>
      <c r="Z34" s="39">
        <f t="shared" si="26"/>
        <v>10</v>
      </c>
      <c r="AA34" s="39">
        <f t="shared" si="26"/>
        <v>6</v>
      </c>
      <c r="AB34" s="39">
        <f t="shared" si="26"/>
        <v>3</v>
      </c>
      <c r="AC34" s="39">
        <f t="shared" si="26"/>
        <v>825</v>
      </c>
      <c r="AD34" s="39">
        <f t="shared" si="26"/>
        <v>0</v>
      </c>
      <c r="AE34" s="40">
        <f t="shared" si="26"/>
        <v>724</v>
      </c>
      <c r="AF34" s="40">
        <f t="shared" si="26"/>
        <v>1533</v>
      </c>
    </row>
    <row r="35" spans="2:32" ht="23.1" customHeight="1" x14ac:dyDescent="0.25">
      <c r="B35" s="46" t="s">
        <v>62</v>
      </c>
      <c r="C35" s="50">
        <v>74</v>
      </c>
      <c r="D35" s="50">
        <v>18</v>
      </c>
      <c r="E35" s="50">
        <v>12</v>
      </c>
      <c r="F35" s="50">
        <v>19</v>
      </c>
      <c r="G35" s="50">
        <v>2</v>
      </c>
      <c r="H35" s="50">
        <v>4</v>
      </c>
      <c r="I35" s="50">
        <v>8</v>
      </c>
      <c r="J35" s="50">
        <v>4</v>
      </c>
      <c r="K35" s="50">
        <v>0</v>
      </c>
      <c r="L35" s="50">
        <v>0</v>
      </c>
      <c r="M35" s="50">
        <v>175</v>
      </c>
      <c r="N35" s="50">
        <v>0</v>
      </c>
      <c r="O35" s="15">
        <f t="shared" si="0"/>
        <v>141</v>
      </c>
      <c r="P35" s="15">
        <f t="shared" si="1"/>
        <v>316</v>
      </c>
      <c r="R35" s="38" t="s">
        <v>91</v>
      </c>
      <c r="S35" s="39">
        <f t="shared" ref="S35:AF35" si="27">MAX(S13:S18)</f>
        <v>300</v>
      </c>
      <c r="T35" s="39">
        <f t="shared" si="27"/>
        <v>99</v>
      </c>
      <c r="U35" s="39">
        <f t="shared" si="27"/>
        <v>96</v>
      </c>
      <c r="V35" s="39">
        <f t="shared" si="27"/>
        <v>241</v>
      </c>
      <c r="W35" s="39">
        <f t="shared" si="27"/>
        <v>8</v>
      </c>
      <c r="X35" s="39">
        <f t="shared" si="27"/>
        <v>23</v>
      </c>
      <c r="Y35" s="39">
        <f t="shared" si="27"/>
        <v>26</v>
      </c>
      <c r="Z35" s="39">
        <f t="shared" si="27"/>
        <v>14</v>
      </c>
      <c r="AA35" s="39">
        <f t="shared" si="27"/>
        <v>10</v>
      </c>
      <c r="AB35" s="39">
        <f t="shared" si="27"/>
        <v>3</v>
      </c>
      <c r="AC35" s="39">
        <f t="shared" si="27"/>
        <v>787</v>
      </c>
      <c r="AD35" s="39">
        <f t="shared" si="27"/>
        <v>0</v>
      </c>
      <c r="AE35" s="40">
        <f t="shared" si="27"/>
        <v>709</v>
      </c>
      <c r="AF35" s="40">
        <f t="shared" si="27"/>
        <v>1454</v>
      </c>
    </row>
    <row r="36" spans="2:32" ht="23.1" customHeight="1" x14ac:dyDescent="0.25">
      <c r="B36" s="46" t="s">
        <v>63</v>
      </c>
      <c r="C36" s="50">
        <v>42</v>
      </c>
      <c r="D36" s="50">
        <v>20</v>
      </c>
      <c r="E36" s="50">
        <v>6</v>
      </c>
      <c r="F36" s="50">
        <v>46</v>
      </c>
      <c r="G36" s="50">
        <v>0</v>
      </c>
      <c r="H36" s="50">
        <v>2</v>
      </c>
      <c r="I36" s="50">
        <v>5</v>
      </c>
      <c r="J36" s="50">
        <v>1</v>
      </c>
      <c r="K36" s="50">
        <v>0</v>
      </c>
      <c r="L36" s="50">
        <v>0</v>
      </c>
      <c r="M36" s="50">
        <v>157</v>
      </c>
      <c r="N36" s="50">
        <v>0</v>
      </c>
      <c r="O36" s="15">
        <f t="shared" si="0"/>
        <v>122</v>
      </c>
      <c r="P36" s="15">
        <f t="shared" si="1"/>
        <v>279</v>
      </c>
      <c r="R36" s="38" t="s">
        <v>92</v>
      </c>
      <c r="S36" s="39">
        <f t="shared" ref="S36:AF36" si="28">MAX(S19:S21)</f>
        <v>206</v>
      </c>
      <c r="T36" s="39">
        <f t="shared" si="28"/>
        <v>92</v>
      </c>
      <c r="U36" s="39">
        <f t="shared" si="28"/>
        <v>54</v>
      </c>
      <c r="V36" s="39">
        <f t="shared" si="28"/>
        <v>200</v>
      </c>
      <c r="W36" s="39">
        <f t="shared" si="28"/>
        <v>7</v>
      </c>
      <c r="X36" s="39">
        <f t="shared" si="28"/>
        <v>3</v>
      </c>
      <c r="Y36" s="39">
        <f t="shared" si="28"/>
        <v>30</v>
      </c>
      <c r="Z36" s="39">
        <f t="shared" si="28"/>
        <v>16</v>
      </c>
      <c r="AA36" s="39">
        <f t="shared" si="28"/>
        <v>2</v>
      </c>
      <c r="AB36" s="39">
        <f t="shared" si="28"/>
        <v>2</v>
      </c>
      <c r="AC36" s="39">
        <f t="shared" si="28"/>
        <v>595</v>
      </c>
      <c r="AD36" s="39">
        <f t="shared" si="28"/>
        <v>0</v>
      </c>
      <c r="AE36" s="40">
        <f t="shared" si="28"/>
        <v>540</v>
      </c>
      <c r="AF36" s="40">
        <f t="shared" si="28"/>
        <v>1135</v>
      </c>
    </row>
    <row r="37" spans="2:32" ht="23.1" customHeight="1" x14ac:dyDescent="0.25">
      <c r="B37" s="45" t="s">
        <v>64</v>
      </c>
      <c r="C37" s="50">
        <v>46</v>
      </c>
      <c r="D37" s="50">
        <v>21</v>
      </c>
      <c r="E37" s="50">
        <v>6</v>
      </c>
      <c r="F37" s="50">
        <v>35</v>
      </c>
      <c r="G37" s="50">
        <v>1</v>
      </c>
      <c r="H37" s="50">
        <v>7</v>
      </c>
      <c r="I37" s="50">
        <v>3</v>
      </c>
      <c r="J37" s="50">
        <v>2</v>
      </c>
      <c r="K37" s="50">
        <v>1</v>
      </c>
      <c r="L37" s="50">
        <v>1</v>
      </c>
      <c r="M37" s="50">
        <v>103</v>
      </c>
      <c r="N37" s="50">
        <v>0</v>
      </c>
      <c r="O37" s="15">
        <f t="shared" si="0"/>
        <v>123</v>
      </c>
      <c r="P37" s="15">
        <f t="shared" si="1"/>
        <v>226</v>
      </c>
      <c r="R37" s="37" t="s">
        <v>85</v>
      </c>
      <c r="S37" s="35">
        <f t="shared" ref="S37:AF37" si="29">SUM(S10:S12)</f>
        <v>821</v>
      </c>
      <c r="T37" s="16">
        <f t="shared" si="29"/>
        <v>150</v>
      </c>
      <c r="U37" s="16">
        <f t="shared" si="29"/>
        <v>97</v>
      </c>
      <c r="V37" s="16">
        <f t="shared" si="29"/>
        <v>796</v>
      </c>
      <c r="W37" s="16">
        <f t="shared" si="29"/>
        <v>91</v>
      </c>
      <c r="X37" s="16">
        <f t="shared" si="29"/>
        <v>9</v>
      </c>
      <c r="Y37" s="16">
        <f t="shared" si="29"/>
        <v>43</v>
      </c>
      <c r="Z37" s="16">
        <f t="shared" si="29"/>
        <v>18</v>
      </c>
      <c r="AA37" s="16">
        <f t="shared" si="29"/>
        <v>11</v>
      </c>
      <c r="AB37" s="16">
        <f t="shared" si="29"/>
        <v>5</v>
      </c>
      <c r="AC37" s="16">
        <f t="shared" si="29"/>
        <v>2018</v>
      </c>
      <c r="AD37" s="16">
        <f t="shared" si="29"/>
        <v>0</v>
      </c>
      <c r="AE37" s="32">
        <f t="shared" si="29"/>
        <v>2041</v>
      </c>
      <c r="AF37" s="32">
        <f t="shared" si="29"/>
        <v>4059</v>
      </c>
    </row>
    <row r="38" spans="2:32" ht="23.1" customHeight="1" x14ac:dyDescent="0.25">
      <c r="B38" s="46" t="s">
        <v>65</v>
      </c>
      <c r="C38" s="50">
        <v>41</v>
      </c>
      <c r="D38" s="50">
        <v>11</v>
      </c>
      <c r="E38" s="50">
        <v>4</v>
      </c>
      <c r="F38" s="50">
        <v>23</v>
      </c>
      <c r="G38" s="50">
        <v>2</v>
      </c>
      <c r="H38" s="50">
        <v>0</v>
      </c>
      <c r="I38" s="50">
        <v>6</v>
      </c>
      <c r="J38" s="50">
        <v>4</v>
      </c>
      <c r="K38" s="50">
        <v>0</v>
      </c>
      <c r="L38" s="50">
        <v>1</v>
      </c>
      <c r="M38" s="50">
        <v>82</v>
      </c>
      <c r="N38" s="50">
        <v>0</v>
      </c>
      <c r="O38" s="15">
        <f t="shared" si="0"/>
        <v>92</v>
      </c>
      <c r="P38" s="15">
        <f t="shared" si="1"/>
        <v>174</v>
      </c>
      <c r="R38" s="28" t="s">
        <v>86</v>
      </c>
      <c r="S38" s="16">
        <f t="shared" ref="S38:AF38" si="30">SUM(S13:S18)</f>
        <v>1538</v>
      </c>
      <c r="T38" s="16">
        <f t="shared" si="30"/>
        <v>470</v>
      </c>
      <c r="U38" s="16">
        <f t="shared" si="30"/>
        <v>297</v>
      </c>
      <c r="V38" s="16">
        <f t="shared" si="30"/>
        <v>1111</v>
      </c>
      <c r="W38" s="16">
        <f t="shared" si="30"/>
        <v>25</v>
      </c>
      <c r="X38" s="16">
        <f t="shared" si="30"/>
        <v>37</v>
      </c>
      <c r="Y38" s="16">
        <f t="shared" si="30"/>
        <v>122</v>
      </c>
      <c r="Z38" s="16">
        <f t="shared" si="30"/>
        <v>63</v>
      </c>
      <c r="AA38" s="16">
        <f t="shared" si="30"/>
        <v>21</v>
      </c>
      <c r="AB38" s="16">
        <f t="shared" si="30"/>
        <v>11</v>
      </c>
      <c r="AC38" s="16">
        <f t="shared" si="30"/>
        <v>3532</v>
      </c>
      <c r="AD38" s="16">
        <f t="shared" si="30"/>
        <v>0</v>
      </c>
      <c r="AE38" s="32">
        <f t="shared" si="30"/>
        <v>3528</v>
      </c>
      <c r="AF38" s="32">
        <f t="shared" si="30"/>
        <v>6909</v>
      </c>
    </row>
    <row r="39" spans="2:32" ht="23.1" customHeight="1" x14ac:dyDescent="0.25">
      <c r="B39" s="46" t="s">
        <v>66</v>
      </c>
      <c r="C39" s="50">
        <v>53</v>
      </c>
      <c r="D39" s="50">
        <v>12</v>
      </c>
      <c r="E39" s="50">
        <v>6</v>
      </c>
      <c r="F39" s="50">
        <v>30</v>
      </c>
      <c r="G39" s="50">
        <v>6</v>
      </c>
      <c r="H39" s="50">
        <v>0</v>
      </c>
      <c r="I39" s="50">
        <v>6</v>
      </c>
      <c r="J39" s="50">
        <v>3</v>
      </c>
      <c r="K39" s="50">
        <v>0</v>
      </c>
      <c r="L39" s="50">
        <v>0</v>
      </c>
      <c r="M39" s="50">
        <v>125</v>
      </c>
      <c r="N39" s="50">
        <v>0</v>
      </c>
      <c r="O39" s="15">
        <f t="shared" si="0"/>
        <v>116</v>
      </c>
      <c r="P39" s="15">
        <f t="shared" si="1"/>
        <v>241</v>
      </c>
      <c r="R39" s="29" t="s">
        <v>87</v>
      </c>
      <c r="S39" s="16">
        <f t="shared" ref="S39:AF39" si="31">SUM(S19:S21)</f>
        <v>548</v>
      </c>
      <c r="T39" s="16">
        <f t="shared" si="31"/>
        <v>249</v>
      </c>
      <c r="U39" s="16">
        <f t="shared" si="31"/>
        <v>133</v>
      </c>
      <c r="V39" s="16">
        <f t="shared" si="31"/>
        <v>518</v>
      </c>
      <c r="W39" s="16">
        <f t="shared" si="31"/>
        <v>15</v>
      </c>
      <c r="X39" s="16">
        <f t="shared" si="31"/>
        <v>8</v>
      </c>
      <c r="Y39" s="16">
        <f t="shared" si="31"/>
        <v>75</v>
      </c>
      <c r="Z39" s="16">
        <f t="shared" si="31"/>
        <v>37</v>
      </c>
      <c r="AA39" s="16">
        <f t="shared" si="31"/>
        <v>3</v>
      </c>
      <c r="AB39" s="16">
        <f t="shared" si="31"/>
        <v>5</v>
      </c>
      <c r="AC39" s="16">
        <f t="shared" si="31"/>
        <v>1589</v>
      </c>
      <c r="AD39" s="16">
        <f t="shared" si="31"/>
        <v>0</v>
      </c>
      <c r="AE39" s="32">
        <f t="shared" si="31"/>
        <v>1591</v>
      </c>
      <c r="AF39" s="32">
        <f t="shared" si="31"/>
        <v>3180</v>
      </c>
    </row>
    <row r="40" spans="2:32" ht="23.1" customHeight="1" x14ac:dyDescent="0.25">
      <c r="B40" s="46" t="s">
        <v>67</v>
      </c>
      <c r="C40" s="50">
        <v>69</v>
      </c>
      <c r="D40" s="50">
        <v>20</v>
      </c>
      <c r="E40" s="50">
        <v>12</v>
      </c>
      <c r="F40" s="50">
        <v>31</v>
      </c>
      <c r="G40" s="50">
        <v>0</v>
      </c>
      <c r="H40" s="50">
        <v>2</v>
      </c>
      <c r="I40" s="50">
        <v>11</v>
      </c>
      <c r="J40" s="50">
        <v>0</v>
      </c>
      <c r="K40" s="50">
        <v>0</v>
      </c>
      <c r="L40" s="50">
        <v>0</v>
      </c>
      <c r="M40" s="50">
        <v>135</v>
      </c>
      <c r="N40" s="50">
        <v>0</v>
      </c>
      <c r="O40" s="15">
        <f t="shared" si="0"/>
        <v>145</v>
      </c>
      <c r="P40" s="15">
        <f t="shared" si="1"/>
        <v>280</v>
      </c>
      <c r="R40" s="5" t="s">
        <v>17</v>
      </c>
      <c r="S40" s="16">
        <f t="shared" ref="S40:AF40" si="32">SUM(S10:S21)</f>
        <v>2907</v>
      </c>
      <c r="T40" s="16">
        <f t="shared" si="32"/>
        <v>869</v>
      </c>
      <c r="U40" s="16">
        <f t="shared" si="32"/>
        <v>527</v>
      </c>
      <c r="V40" s="16">
        <f t="shared" si="32"/>
        <v>2425</v>
      </c>
      <c r="W40" s="16">
        <f t="shared" si="32"/>
        <v>131</v>
      </c>
      <c r="X40" s="16">
        <f t="shared" si="32"/>
        <v>54</v>
      </c>
      <c r="Y40" s="16">
        <f t="shared" si="32"/>
        <v>240</v>
      </c>
      <c r="Z40" s="16">
        <f t="shared" si="32"/>
        <v>118</v>
      </c>
      <c r="AA40" s="16">
        <f t="shared" si="32"/>
        <v>35</v>
      </c>
      <c r="AB40" s="16">
        <f t="shared" si="32"/>
        <v>21</v>
      </c>
      <c r="AC40" s="16">
        <f t="shared" si="32"/>
        <v>7139</v>
      </c>
      <c r="AD40" s="16">
        <f t="shared" si="32"/>
        <v>0</v>
      </c>
      <c r="AE40" s="32">
        <f t="shared" si="32"/>
        <v>7160</v>
      </c>
      <c r="AF40" s="32">
        <f t="shared" si="32"/>
        <v>14148</v>
      </c>
    </row>
    <row r="41" spans="2:32" ht="23.1" customHeight="1" x14ac:dyDescent="0.25">
      <c r="B41" s="45" t="s">
        <v>68</v>
      </c>
      <c r="C41" s="50">
        <v>60</v>
      </c>
      <c r="D41" s="50">
        <v>20</v>
      </c>
      <c r="E41" s="50">
        <v>10</v>
      </c>
      <c r="F41" s="50">
        <v>51</v>
      </c>
      <c r="G41" s="50">
        <v>0</v>
      </c>
      <c r="H41" s="50">
        <v>1</v>
      </c>
      <c r="I41" s="50">
        <v>3</v>
      </c>
      <c r="J41" s="50">
        <v>2</v>
      </c>
      <c r="K41" s="50">
        <v>1</v>
      </c>
      <c r="L41" s="50">
        <v>1</v>
      </c>
      <c r="M41" s="50">
        <v>90</v>
      </c>
      <c r="N41" s="50">
        <v>0</v>
      </c>
      <c r="O41" s="15">
        <f t="shared" si="0"/>
        <v>149</v>
      </c>
      <c r="P41" s="15">
        <f t="shared" si="1"/>
        <v>239</v>
      </c>
      <c r="R41" s="5" t="s">
        <v>159</v>
      </c>
      <c r="S41" s="16">
        <f>SUM(S10:S33)</f>
        <v>3974</v>
      </c>
      <c r="T41" s="16">
        <f t="shared" ref="T41:AF41" si="33">SUM(T10:T33)</f>
        <v>1040</v>
      </c>
      <c r="U41" s="16">
        <f t="shared" si="33"/>
        <v>662</v>
      </c>
      <c r="V41" s="16">
        <f t="shared" si="33"/>
        <v>3189</v>
      </c>
      <c r="W41" s="16">
        <f t="shared" si="33"/>
        <v>189</v>
      </c>
      <c r="X41" s="16">
        <f t="shared" si="33"/>
        <v>97</v>
      </c>
      <c r="Y41" s="16">
        <f t="shared" si="33"/>
        <v>302</v>
      </c>
      <c r="Z41" s="16">
        <f t="shared" si="33"/>
        <v>154</v>
      </c>
      <c r="AA41" s="16">
        <f t="shared" si="33"/>
        <v>50</v>
      </c>
      <c r="AB41" s="16">
        <f t="shared" si="33"/>
        <v>37</v>
      </c>
      <c r="AC41" s="16">
        <f t="shared" si="33"/>
        <v>10101</v>
      </c>
      <c r="AD41" s="16">
        <f t="shared" si="33"/>
        <v>0</v>
      </c>
      <c r="AE41" s="32">
        <f t="shared" si="33"/>
        <v>9527</v>
      </c>
      <c r="AF41" s="32">
        <f t="shared" si="33"/>
        <v>19477</v>
      </c>
    </row>
    <row r="42" spans="2:32" ht="23.1" customHeight="1" x14ac:dyDescent="0.25">
      <c r="B42" s="46" t="s">
        <v>69</v>
      </c>
      <c r="C42" s="50">
        <v>50</v>
      </c>
      <c r="D42" s="50">
        <v>17</v>
      </c>
      <c r="E42" s="50">
        <v>6</v>
      </c>
      <c r="F42" s="50">
        <v>33</v>
      </c>
      <c r="G42" s="50">
        <v>1</v>
      </c>
      <c r="H42" s="50">
        <v>1</v>
      </c>
      <c r="I42" s="50">
        <v>5</v>
      </c>
      <c r="J42" s="50">
        <v>5</v>
      </c>
      <c r="K42" s="50">
        <v>0</v>
      </c>
      <c r="L42" s="50">
        <v>2</v>
      </c>
      <c r="M42" s="50">
        <v>88</v>
      </c>
      <c r="N42" s="50">
        <v>0</v>
      </c>
      <c r="O42" s="15">
        <f t="shared" si="0"/>
        <v>120</v>
      </c>
      <c r="P42" s="15">
        <f t="shared" si="1"/>
        <v>208</v>
      </c>
      <c r="R42" s="5" t="s">
        <v>160</v>
      </c>
      <c r="S42" s="48">
        <f>S41/S40</f>
        <v>1.3670450636394909</v>
      </c>
      <c r="T42" s="48">
        <f t="shared" ref="T42:AF42" si="34">T41/T40</f>
        <v>1.1967779056386652</v>
      </c>
      <c r="U42" s="48">
        <f t="shared" si="34"/>
        <v>1.2561669829222011</v>
      </c>
      <c r="V42" s="48">
        <f t="shared" si="34"/>
        <v>1.3150515463917525</v>
      </c>
      <c r="W42" s="48">
        <f t="shared" si="34"/>
        <v>1.4427480916030535</v>
      </c>
      <c r="X42" s="48">
        <f t="shared" si="34"/>
        <v>1.7962962962962963</v>
      </c>
      <c r="Y42" s="48">
        <f t="shared" si="34"/>
        <v>1.2583333333333333</v>
      </c>
      <c r="Z42" s="48">
        <f t="shared" si="34"/>
        <v>1.3050847457627119</v>
      </c>
      <c r="AA42" s="48">
        <f t="shared" si="34"/>
        <v>1.4285714285714286</v>
      </c>
      <c r="AB42" s="48">
        <f t="shared" si="34"/>
        <v>1.7619047619047619</v>
      </c>
      <c r="AC42" s="48">
        <f t="shared" si="34"/>
        <v>1.4149040481860204</v>
      </c>
      <c r="AD42" s="48" t="e">
        <f t="shared" si="34"/>
        <v>#DIV/0!</v>
      </c>
      <c r="AE42" s="48">
        <f t="shared" si="34"/>
        <v>1.330586592178771</v>
      </c>
      <c r="AF42" s="48">
        <f t="shared" si="34"/>
        <v>1.3766610121571954</v>
      </c>
    </row>
    <row r="43" spans="2:32" ht="23.1" customHeight="1" x14ac:dyDescent="0.25">
      <c r="B43" s="45" t="s">
        <v>70</v>
      </c>
      <c r="C43" s="50">
        <v>55</v>
      </c>
      <c r="D43" s="50">
        <v>21</v>
      </c>
      <c r="E43" s="50">
        <v>12</v>
      </c>
      <c r="F43" s="50">
        <v>46</v>
      </c>
      <c r="G43" s="50">
        <v>1</v>
      </c>
      <c r="H43" s="50">
        <v>0</v>
      </c>
      <c r="I43" s="50">
        <v>1</v>
      </c>
      <c r="J43" s="50">
        <v>4</v>
      </c>
      <c r="K43" s="50">
        <v>0</v>
      </c>
      <c r="L43" s="50">
        <v>0</v>
      </c>
      <c r="M43" s="50">
        <v>100</v>
      </c>
      <c r="N43" s="50">
        <v>0</v>
      </c>
      <c r="O43" s="15">
        <f t="shared" si="0"/>
        <v>140</v>
      </c>
      <c r="P43" s="15">
        <f t="shared" si="1"/>
        <v>240</v>
      </c>
    </row>
    <row r="44" spans="2:32" ht="23.1" customHeight="1" x14ac:dyDescent="0.25">
      <c r="B44" s="47" t="s">
        <v>71</v>
      </c>
      <c r="C44" s="50">
        <v>72</v>
      </c>
      <c r="D44" s="50">
        <v>15</v>
      </c>
      <c r="E44" s="50">
        <v>5</v>
      </c>
      <c r="F44" s="50">
        <v>85</v>
      </c>
      <c r="G44" s="50">
        <v>0</v>
      </c>
      <c r="H44" s="50">
        <v>2</v>
      </c>
      <c r="I44" s="50">
        <v>7</v>
      </c>
      <c r="J44" s="50">
        <v>1</v>
      </c>
      <c r="K44" s="50">
        <v>0</v>
      </c>
      <c r="L44" s="50">
        <v>0</v>
      </c>
      <c r="M44" s="50">
        <v>103</v>
      </c>
      <c r="N44" s="50">
        <v>0</v>
      </c>
      <c r="O44" s="15">
        <f t="shared" si="0"/>
        <v>187</v>
      </c>
      <c r="P44" s="15">
        <f t="shared" si="1"/>
        <v>290</v>
      </c>
    </row>
    <row r="45" spans="2:32" ht="23.1" customHeight="1" x14ac:dyDescent="0.25">
      <c r="B45" s="45" t="s">
        <v>72</v>
      </c>
      <c r="C45" s="50">
        <v>71</v>
      </c>
      <c r="D45" s="50">
        <v>23</v>
      </c>
      <c r="E45" s="50">
        <v>9</v>
      </c>
      <c r="F45" s="50">
        <v>62</v>
      </c>
      <c r="G45" s="50">
        <v>1</v>
      </c>
      <c r="H45" s="50">
        <v>2</v>
      </c>
      <c r="I45" s="50">
        <v>9</v>
      </c>
      <c r="J45" s="50">
        <v>4</v>
      </c>
      <c r="K45" s="50">
        <v>0</v>
      </c>
      <c r="L45" s="50">
        <v>1</v>
      </c>
      <c r="M45" s="50">
        <v>175</v>
      </c>
      <c r="N45" s="50">
        <v>0</v>
      </c>
      <c r="O45" s="15">
        <v>15</v>
      </c>
      <c r="P45" s="15">
        <v>39</v>
      </c>
    </row>
    <row r="46" spans="2:32" ht="23.1" customHeight="1" x14ac:dyDescent="0.25">
      <c r="B46" s="46" t="s">
        <v>73</v>
      </c>
      <c r="C46" s="50">
        <v>65</v>
      </c>
      <c r="D46" s="50">
        <v>19</v>
      </c>
      <c r="E46" s="50">
        <v>15</v>
      </c>
      <c r="F46" s="50">
        <v>39</v>
      </c>
      <c r="G46" s="50">
        <v>0</v>
      </c>
      <c r="H46" s="50">
        <v>0</v>
      </c>
      <c r="I46" s="50">
        <v>3</v>
      </c>
      <c r="J46" s="50">
        <v>5</v>
      </c>
      <c r="K46" s="50">
        <v>0</v>
      </c>
      <c r="L46" s="50">
        <v>0</v>
      </c>
      <c r="M46" s="50">
        <v>166</v>
      </c>
      <c r="N46" s="50">
        <v>0</v>
      </c>
      <c r="O46" s="15">
        <f t="shared" si="0"/>
        <v>146</v>
      </c>
      <c r="P46" s="15">
        <f t="shared" si="1"/>
        <v>312</v>
      </c>
      <c r="R46" s="8"/>
      <c r="T46"/>
    </row>
    <row r="47" spans="2:32" ht="23.1" customHeight="1" x14ac:dyDescent="0.25">
      <c r="B47" s="46" t="s">
        <v>74</v>
      </c>
      <c r="C47" s="50">
        <v>41</v>
      </c>
      <c r="D47" s="50">
        <v>22</v>
      </c>
      <c r="E47" s="50">
        <v>11</v>
      </c>
      <c r="F47" s="50">
        <v>31</v>
      </c>
      <c r="G47" s="50">
        <v>0</v>
      </c>
      <c r="H47" s="50">
        <v>0</v>
      </c>
      <c r="I47" s="50">
        <v>9</v>
      </c>
      <c r="J47" s="50">
        <v>3</v>
      </c>
      <c r="K47" s="50">
        <v>0</v>
      </c>
      <c r="L47" s="50">
        <v>1</v>
      </c>
      <c r="M47" s="50">
        <v>142</v>
      </c>
      <c r="N47" s="50">
        <v>0</v>
      </c>
      <c r="O47" s="15">
        <f t="shared" si="0"/>
        <v>118</v>
      </c>
      <c r="P47" s="15">
        <f t="shared" si="1"/>
        <v>260</v>
      </c>
      <c r="R47" s="8"/>
      <c r="T47"/>
    </row>
    <row r="48" spans="2:32" ht="23.1" customHeight="1" x14ac:dyDescent="0.25">
      <c r="B48" s="46" t="s">
        <v>75</v>
      </c>
      <c r="C48" s="50">
        <v>54</v>
      </c>
      <c r="D48" s="50">
        <v>20</v>
      </c>
      <c r="E48" s="50">
        <v>13</v>
      </c>
      <c r="F48" s="50">
        <v>50</v>
      </c>
      <c r="G48" s="50">
        <v>1</v>
      </c>
      <c r="H48" s="50">
        <v>1</v>
      </c>
      <c r="I48" s="50">
        <v>9</v>
      </c>
      <c r="J48" s="50">
        <v>0</v>
      </c>
      <c r="K48" s="50">
        <v>0</v>
      </c>
      <c r="L48" s="50">
        <v>1</v>
      </c>
      <c r="M48" s="50">
        <v>172</v>
      </c>
      <c r="N48" s="50">
        <v>0</v>
      </c>
      <c r="O48" s="15">
        <f t="shared" si="0"/>
        <v>149</v>
      </c>
      <c r="P48" s="15">
        <f t="shared" si="1"/>
        <v>321</v>
      </c>
      <c r="R48" s="8"/>
      <c r="T48"/>
    </row>
    <row r="49" spans="2:20" ht="23.1" customHeight="1" x14ac:dyDescent="0.25">
      <c r="B49" s="45" t="s">
        <v>76</v>
      </c>
      <c r="C49" s="50">
        <v>46</v>
      </c>
      <c r="D49" s="50">
        <v>21</v>
      </c>
      <c r="E49" s="50">
        <v>15</v>
      </c>
      <c r="F49" s="50">
        <v>27</v>
      </c>
      <c r="G49" s="50">
        <v>4</v>
      </c>
      <c r="H49" s="50">
        <v>1</v>
      </c>
      <c r="I49" s="50">
        <v>9</v>
      </c>
      <c r="J49" s="50">
        <v>4</v>
      </c>
      <c r="K49" s="50">
        <v>0</v>
      </c>
      <c r="L49" s="50">
        <v>0</v>
      </c>
      <c r="M49" s="50">
        <v>115</v>
      </c>
      <c r="N49" s="50">
        <v>0</v>
      </c>
      <c r="O49" s="15">
        <f t="shared" si="0"/>
        <v>127</v>
      </c>
      <c r="P49" s="15">
        <f t="shared" si="1"/>
        <v>242</v>
      </c>
      <c r="R49" s="8"/>
      <c r="T49"/>
    </row>
    <row r="50" spans="2:20" ht="23.1" customHeight="1" x14ac:dyDescent="0.25">
      <c r="B50" s="46" t="s">
        <v>77</v>
      </c>
      <c r="C50" s="50">
        <v>54</v>
      </c>
      <c r="D50" s="50">
        <v>17</v>
      </c>
      <c r="E50" s="50">
        <v>16</v>
      </c>
      <c r="F50" s="50">
        <v>59</v>
      </c>
      <c r="G50" s="50">
        <v>2</v>
      </c>
      <c r="H50" s="50">
        <v>1</v>
      </c>
      <c r="I50" s="50">
        <v>7</v>
      </c>
      <c r="J50" s="50">
        <v>5</v>
      </c>
      <c r="K50" s="50">
        <v>0</v>
      </c>
      <c r="L50" s="50">
        <v>0</v>
      </c>
      <c r="M50" s="50">
        <v>160</v>
      </c>
      <c r="N50" s="50">
        <v>0</v>
      </c>
      <c r="O50" s="15">
        <f t="shared" si="0"/>
        <v>161</v>
      </c>
      <c r="P50" s="15">
        <f t="shared" si="1"/>
        <v>321</v>
      </c>
      <c r="R50" s="8"/>
      <c r="T50"/>
    </row>
    <row r="51" spans="2:20" ht="23.1" customHeight="1" x14ac:dyDescent="0.25">
      <c r="B51" s="46" t="s">
        <v>78</v>
      </c>
      <c r="C51" s="50">
        <v>38</v>
      </c>
      <c r="D51" s="50">
        <v>13</v>
      </c>
      <c r="E51" s="50">
        <v>12</v>
      </c>
      <c r="F51" s="50">
        <v>19</v>
      </c>
      <c r="G51" s="50">
        <v>1</v>
      </c>
      <c r="H51" s="50">
        <v>1</v>
      </c>
      <c r="I51" s="50">
        <v>6</v>
      </c>
      <c r="J51" s="50">
        <v>4</v>
      </c>
      <c r="K51" s="50">
        <v>1</v>
      </c>
      <c r="L51" s="50">
        <v>1</v>
      </c>
      <c r="M51" s="50">
        <v>115</v>
      </c>
      <c r="N51" s="50">
        <v>0</v>
      </c>
      <c r="O51" s="15">
        <f t="shared" si="0"/>
        <v>96</v>
      </c>
      <c r="P51" s="15">
        <f t="shared" si="1"/>
        <v>211</v>
      </c>
      <c r="R51" s="8"/>
      <c r="T51"/>
    </row>
    <row r="52" spans="2:20" ht="23.1" customHeight="1" x14ac:dyDescent="0.25">
      <c r="B52" s="46" t="s">
        <v>79</v>
      </c>
      <c r="C52" s="50">
        <v>35</v>
      </c>
      <c r="D52" s="50">
        <v>29</v>
      </c>
      <c r="E52" s="50">
        <v>14</v>
      </c>
      <c r="F52" s="50">
        <v>41</v>
      </c>
      <c r="G52" s="50">
        <v>3</v>
      </c>
      <c r="H52" s="50">
        <v>0</v>
      </c>
      <c r="I52" s="50">
        <v>6</v>
      </c>
      <c r="J52" s="50">
        <v>4</v>
      </c>
      <c r="K52" s="50">
        <v>0</v>
      </c>
      <c r="L52" s="50">
        <v>0</v>
      </c>
      <c r="M52" s="50">
        <v>147</v>
      </c>
      <c r="N52" s="50">
        <v>0</v>
      </c>
      <c r="O52" s="15">
        <f t="shared" si="0"/>
        <v>132</v>
      </c>
      <c r="P52" s="15">
        <f t="shared" si="1"/>
        <v>279</v>
      </c>
      <c r="R52" s="8"/>
      <c r="T52"/>
    </row>
    <row r="53" spans="2:20" ht="23.1" customHeight="1" x14ac:dyDescent="0.25">
      <c r="B53" s="45" t="s">
        <v>80</v>
      </c>
      <c r="C53" s="50">
        <v>48</v>
      </c>
      <c r="D53" s="50">
        <v>33</v>
      </c>
      <c r="E53" s="50">
        <v>7</v>
      </c>
      <c r="F53" s="50">
        <v>52</v>
      </c>
      <c r="G53" s="50">
        <v>1</v>
      </c>
      <c r="H53" s="50">
        <v>1</v>
      </c>
      <c r="I53" s="50">
        <v>3</v>
      </c>
      <c r="J53" s="50">
        <v>3</v>
      </c>
      <c r="K53" s="50">
        <v>0</v>
      </c>
      <c r="L53" s="50">
        <v>0</v>
      </c>
      <c r="M53" s="50">
        <v>122</v>
      </c>
      <c r="N53" s="50">
        <v>0</v>
      </c>
      <c r="O53" s="15">
        <f t="shared" si="0"/>
        <v>148</v>
      </c>
      <c r="P53" s="15">
        <f t="shared" si="1"/>
        <v>270</v>
      </c>
      <c r="R53" s="8"/>
      <c r="T53"/>
    </row>
    <row r="54" spans="2:20" ht="23.1" customHeight="1" x14ac:dyDescent="0.25">
      <c r="B54" s="45" t="s">
        <v>81</v>
      </c>
      <c r="C54" s="50">
        <v>44</v>
      </c>
      <c r="D54" s="50">
        <v>21</v>
      </c>
      <c r="E54" s="50">
        <v>10</v>
      </c>
      <c r="F54" s="50">
        <v>30</v>
      </c>
      <c r="G54" s="50">
        <v>2</v>
      </c>
      <c r="H54" s="50">
        <v>0</v>
      </c>
      <c r="I54" s="50">
        <v>7</v>
      </c>
      <c r="J54" s="50">
        <v>3</v>
      </c>
      <c r="K54" s="50">
        <v>1</v>
      </c>
      <c r="L54" s="50">
        <v>1</v>
      </c>
      <c r="M54" s="50">
        <v>125</v>
      </c>
      <c r="N54" s="50">
        <v>0</v>
      </c>
      <c r="O54" s="15">
        <f t="shared" si="0"/>
        <v>119</v>
      </c>
      <c r="P54" s="15">
        <f t="shared" si="1"/>
        <v>244</v>
      </c>
      <c r="R54" s="8"/>
      <c r="T54"/>
    </row>
    <row r="55" spans="2:20" ht="23.1" customHeight="1" x14ac:dyDescent="0.25">
      <c r="B55" s="45" t="s">
        <v>82</v>
      </c>
      <c r="C55" s="50">
        <v>30</v>
      </c>
      <c r="D55" s="50">
        <v>28</v>
      </c>
      <c r="E55" s="50">
        <v>7</v>
      </c>
      <c r="F55" s="50">
        <v>58</v>
      </c>
      <c r="G55" s="50">
        <v>0</v>
      </c>
      <c r="H55" s="50">
        <v>3</v>
      </c>
      <c r="I55" s="50">
        <v>10</v>
      </c>
      <c r="J55" s="50">
        <v>3</v>
      </c>
      <c r="K55" s="50">
        <v>1</v>
      </c>
      <c r="L55" s="50">
        <v>1</v>
      </c>
      <c r="M55" s="50">
        <v>125</v>
      </c>
      <c r="N55" s="50">
        <v>0</v>
      </c>
      <c r="O55" s="15">
        <f t="shared" si="0"/>
        <v>141</v>
      </c>
      <c r="P55" s="15">
        <f t="shared" si="1"/>
        <v>266</v>
      </c>
      <c r="R55" s="8"/>
      <c r="T55"/>
    </row>
    <row r="56" spans="2:20" ht="23.1" customHeight="1" x14ac:dyDescent="0.25">
      <c r="B56" s="45" t="s">
        <v>83</v>
      </c>
      <c r="C56" s="50">
        <v>33</v>
      </c>
      <c r="D56" s="50">
        <v>11</v>
      </c>
      <c r="E56" s="50">
        <v>8</v>
      </c>
      <c r="F56" s="50">
        <v>37</v>
      </c>
      <c r="G56" s="50">
        <v>1</v>
      </c>
      <c r="H56" s="50">
        <v>0</v>
      </c>
      <c r="I56" s="50">
        <v>5</v>
      </c>
      <c r="J56" s="50">
        <v>1</v>
      </c>
      <c r="K56" s="50">
        <v>0</v>
      </c>
      <c r="L56" s="50">
        <v>0</v>
      </c>
      <c r="M56" s="50">
        <v>115</v>
      </c>
      <c r="N56" s="50">
        <v>0</v>
      </c>
      <c r="O56" s="15">
        <f t="shared" si="0"/>
        <v>96</v>
      </c>
      <c r="P56" s="15">
        <f t="shared" si="1"/>
        <v>211</v>
      </c>
      <c r="R56" s="8"/>
      <c r="T56"/>
    </row>
    <row r="57" spans="2:20" ht="23.1" customHeight="1" x14ac:dyDescent="0.25">
      <c r="B57" s="45" t="s">
        <v>84</v>
      </c>
      <c r="C57" s="50">
        <v>60</v>
      </c>
      <c r="D57" s="50">
        <v>15</v>
      </c>
      <c r="E57" s="50">
        <v>5</v>
      </c>
      <c r="F57" s="50">
        <v>75</v>
      </c>
      <c r="G57" s="50">
        <v>0</v>
      </c>
      <c r="H57" s="50">
        <v>0</v>
      </c>
      <c r="I57" s="50">
        <v>1</v>
      </c>
      <c r="J57" s="50">
        <v>2</v>
      </c>
      <c r="K57" s="50">
        <v>0</v>
      </c>
      <c r="L57" s="50">
        <v>0</v>
      </c>
      <c r="M57" s="50">
        <v>85</v>
      </c>
      <c r="N57" s="50">
        <v>0</v>
      </c>
      <c r="O57" s="15">
        <f t="shared" si="0"/>
        <v>158</v>
      </c>
      <c r="P57" s="15">
        <f t="shared" si="1"/>
        <v>243</v>
      </c>
      <c r="R57" s="8"/>
      <c r="T57"/>
    </row>
    <row r="58" spans="2:20" ht="23.1" customHeight="1" x14ac:dyDescent="0.25">
      <c r="B58" s="45" t="s">
        <v>99</v>
      </c>
      <c r="C58" s="50">
        <v>45</v>
      </c>
      <c r="D58" s="50">
        <v>8</v>
      </c>
      <c r="E58" s="50">
        <v>4</v>
      </c>
      <c r="F58" s="50">
        <v>50</v>
      </c>
      <c r="G58" s="50">
        <v>1</v>
      </c>
      <c r="H58" s="50">
        <v>5</v>
      </c>
      <c r="I58" s="50">
        <v>2</v>
      </c>
      <c r="J58" s="50">
        <v>0</v>
      </c>
      <c r="K58" s="50">
        <v>0</v>
      </c>
      <c r="L58" s="50">
        <v>0</v>
      </c>
      <c r="M58" s="50">
        <v>140</v>
      </c>
      <c r="N58" s="50">
        <v>0</v>
      </c>
      <c r="O58" s="15">
        <f t="shared" si="0"/>
        <v>115</v>
      </c>
      <c r="P58" s="15">
        <f t="shared" si="1"/>
        <v>255</v>
      </c>
      <c r="R58" s="8"/>
      <c r="T58"/>
    </row>
    <row r="59" spans="2:20" ht="23.1" customHeight="1" x14ac:dyDescent="0.25">
      <c r="B59" s="45" t="s">
        <v>100</v>
      </c>
      <c r="C59" s="50">
        <v>59</v>
      </c>
      <c r="D59" s="50">
        <v>4</v>
      </c>
      <c r="E59" s="50">
        <v>5</v>
      </c>
      <c r="F59" s="50">
        <v>43</v>
      </c>
      <c r="G59" s="50">
        <v>2</v>
      </c>
      <c r="H59" s="50">
        <v>1</v>
      </c>
      <c r="I59" s="50">
        <v>4</v>
      </c>
      <c r="J59" s="50">
        <v>1</v>
      </c>
      <c r="K59" s="50">
        <v>0</v>
      </c>
      <c r="L59" s="50">
        <v>2</v>
      </c>
      <c r="M59" s="50">
        <v>160</v>
      </c>
      <c r="N59" s="50">
        <v>0</v>
      </c>
      <c r="O59" s="15">
        <f t="shared" si="0"/>
        <v>121</v>
      </c>
      <c r="P59" s="15">
        <f t="shared" si="1"/>
        <v>281</v>
      </c>
      <c r="R59" s="8"/>
      <c r="T59"/>
    </row>
    <row r="60" spans="2:20" ht="23.1" customHeight="1" x14ac:dyDescent="0.25">
      <c r="B60" s="45" t="s">
        <v>101</v>
      </c>
      <c r="C60" s="50">
        <v>40</v>
      </c>
      <c r="D60" s="50">
        <v>10</v>
      </c>
      <c r="E60" s="50">
        <v>6</v>
      </c>
      <c r="F60" s="50">
        <v>45</v>
      </c>
      <c r="G60" s="50">
        <v>2</v>
      </c>
      <c r="H60" s="50">
        <v>4</v>
      </c>
      <c r="I60" s="50">
        <v>2</v>
      </c>
      <c r="J60" s="50">
        <v>0</v>
      </c>
      <c r="K60" s="50">
        <v>3</v>
      </c>
      <c r="L60" s="50">
        <v>0</v>
      </c>
      <c r="M60" s="50">
        <v>152</v>
      </c>
      <c r="N60" s="50">
        <v>0</v>
      </c>
      <c r="O60" s="15">
        <f t="shared" si="0"/>
        <v>112</v>
      </c>
      <c r="P60" s="15">
        <f t="shared" si="1"/>
        <v>264</v>
      </c>
      <c r="R60" s="8"/>
      <c r="T60"/>
    </row>
    <row r="61" spans="2:20" ht="23.1" customHeight="1" x14ac:dyDescent="0.25">
      <c r="B61" s="45" t="s">
        <v>102</v>
      </c>
      <c r="C61" s="50">
        <v>32</v>
      </c>
      <c r="D61" s="50">
        <v>3</v>
      </c>
      <c r="E61" s="50">
        <v>8</v>
      </c>
      <c r="F61" s="50">
        <v>34</v>
      </c>
      <c r="G61" s="50">
        <v>0</v>
      </c>
      <c r="H61" s="50">
        <v>0</v>
      </c>
      <c r="I61" s="50">
        <v>2</v>
      </c>
      <c r="J61" s="50">
        <v>3</v>
      </c>
      <c r="K61" s="50">
        <v>1</v>
      </c>
      <c r="L61" s="50">
        <v>1</v>
      </c>
      <c r="M61" s="50">
        <v>117</v>
      </c>
      <c r="N61" s="50">
        <v>0</v>
      </c>
      <c r="O61" s="15">
        <f t="shared" si="0"/>
        <v>84</v>
      </c>
      <c r="P61" s="15">
        <f t="shared" si="1"/>
        <v>201</v>
      </c>
      <c r="R61" s="8"/>
      <c r="T61"/>
    </row>
    <row r="62" spans="2:20" ht="23.1" customHeight="1" x14ac:dyDescent="0.25">
      <c r="B62" s="45" t="s">
        <v>107</v>
      </c>
      <c r="C62" s="50">
        <v>57</v>
      </c>
      <c r="D62" s="50">
        <v>4</v>
      </c>
      <c r="E62" s="50">
        <v>10</v>
      </c>
      <c r="F62" s="50">
        <v>50</v>
      </c>
      <c r="G62" s="50">
        <v>1</v>
      </c>
      <c r="H62" s="50">
        <v>2</v>
      </c>
      <c r="I62" s="50">
        <v>1</v>
      </c>
      <c r="J62" s="50">
        <v>0</v>
      </c>
      <c r="K62" s="50">
        <v>0</v>
      </c>
      <c r="L62" s="50">
        <v>0</v>
      </c>
      <c r="M62" s="50">
        <v>100</v>
      </c>
      <c r="N62" s="50">
        <v>0</v>
      </c>
      <c r="O62" s="15">
        <f t="shared" si="0"/>
        <v>125</v>
      </c>
      <c r="P62" s="15">
        <f t="shared" si="1"/>
        <v>225</v>
      </c>
      <c r="R62" s="8"/>
      <c r="T62"/>
    </row>
    <row r="63" spans="2:20" ht="23.1" customHeight="1" x14ac:dyDescent="0.25">
      <c r="B63" s="45" t="s">
        <v>108</v>
      </c>
      <c r="C63" s="50">
        <v>50</v>
      </c>
      <c r="D63" s="50">
        <v>10</v>
      </c>
      <c r="E63" s="50">
        <v>6</v>
      </c>
      <c r="F63" s="50">
        <v>52</v>
      </c>
      <c r="G63" s="50">
        <v>0</v>
      </c>
      <c r="H63" s="50">
        <v>0</v>
      </c>
      <c r="I63" s="50">
        <v>0</v>
      </c>
      <c r="J63" s="50">
        <v>1</v>
      </c>
      <c r="K63" s="50">
        <v>1</v>
      </c>
      <c r="L63" s="50">
        <v>0</v>
      </c>
      <c r="M63" s="50">
        <v>120</v>
      </c>
      <c r="N63" s="50">
        <v>0</v>
      </c>
      <c r="O63" s="15">
        <f t="shared" si="0"/>
        <v>120</v>
      </c>
      <c r="P63" s="15">
        <f t="shared" si="1"/>
        <v>240</v>
      </c>
      <c r="R63" s="8"/>
      <c r="T63"/>
    </row>
    <row r="64" spans="2:20" ht="23.1" customHeight="1" x14ac:dyDescent="0.25">
      <c r="B64" s="45" t="s">
        <v>109</v>
      </c>
      <c r="C64" s="50">
        <v>30</v>
      </c>
      <c r="D64" s="50">
        <v>9</v>
      </c>
      <c r="E64" s="50">
        <v>0</v>
      </c>
      <c r="F64" s="50">
        <v>23</v>
      </c>
      <c r="G64" s="50">
        <v>1</v>
      </c>
      <c r="H64" s="50">
        <v>0</v>
      </c>
      <c r="I64" s="50">
        <v>1</v>
      </c>
      <c r="J64" s="50">
        <v>0</v>
      </c>
      <c r="K64" s="50">
        <v>3</v>
      </c>
      <c r="L64" s="50">
        <v>0</v>
      </c>
      <c r="M64" s="50">
        <v>125</v>
      </c>
      <c r="N64" s="50">
        <v>0</v>
      </c>
      <c r="O64" s="15">
        <f t="shared" si="0"/>
        <v>67</v>
      </c>
      <c r="P64" s="15">
        <f t="shared" si="1"/>
        <v>192</v>
      </c>
      <c r="R64" s="8"/>
      <c r="T64"/>
    </row>
    <row r="65" spans="2:20" ht="23.1" customHeight="1" x14ac:dyDescent="0.25">
      <c r="B65" s="45" t="s">
        <v>158</v>
      </c>
      <c r="C65" s="50">
        <v>65</v>
      </c>
      <c r="D65" s="50">
        <v>18</v>
      </c>
      <c r="E65" s="50">
        <v>6</v>
      </c>
      <c r="F65" s="50">
        <v>56</v>
      </c>
      <c r="G65" s="50">
        <v>1</v>
      </c>
      <c r="H65" s="50">
        <v>2</v>
      </c>
      <c r="I65" s="50">
        <v>0</v>
      </c>
      <c r="J65" s="50">
        <v>1</v>
      </c>
      <c r="K65" s="50">
        <v>0</v>
      </c>
      <c r="L65" s="50">
        <v>2</v>
      </c>
      <c r="M65" s="50">
        <v>155</v>
      </c>
      <c r="N65" s="50">
        <v>0</v>
      </c>
      <c r="O65" s="15">
        <f t="shared" si="0"/>
        <v>151</v>
      </c>
      <c r="P65" s="15">
        <f t="shared" si="1"/>
        <v>306</v>
      </c>
      <c r="R65" s="8"/>
      <c r="T65"/>
    </row>
    <row r="66" spans="2:20" ht="23.1" customHeight="1" x14ac:dyDescent="0.25">
      <c r="B66" s="45" t="s">
        <v>103</v>
      </c>
      <c r="C66" s="50">
        <v>71</v>
      </c>
      <c r="D66" s="50">
        <v>3</v>
      </c>
      <c r="E66" s="50">
        <v>5</v>
      </c>
      <c r="F66" s="50">
        <v>45</v>
      </c>
      <c r="G66" s="50">
        <v>0</v>
      </c>
      <c r="H66" s="50">
        <v>1</v>
      </c>
      <c r="I66" s="50">
        <v>5</v>
      </c>
      <c r="J66" s="50">
        <v>1</v>
      </c>
      <c r="K66" s="50">
        <v>0</v>
      </c>
      <c r="L66" s="50">
        <v>1</v>
      </c>
      <c r="M66" s="50">
        <v>91</v>
      </c>
      <c r="N66" s="50">
        <v>0</v>
      </c>
      <c r="O66" s="15">
        <f t="shared" si="0"/>
        <v>132</v>
      </c>
      <c r="P66" s="15">
        <f t="shared" si="1"/>
        <v>223</v>
      </c>
      <c r="R66" s="8"/>
      <c r="T66"/>
    </row>
    <row r="67" spans="2:20" ht="23.1" customHeight="1" x14ac:dyDescent="0.25">
      <c r="B67" s="45" t="s">
        <v>104</v>
      </c>
      <c r="C67" s="50">
        <v>33</v>
      </c>
      <c r="D67" s="50">
        <v>7</v>
      </c>
      <c r="E67" s="50">
        <v>7</v>
      </c>
      <c r="F67" s="50">
        <v>18</v>
      </c>
      <c r="G67" s="50">
        <v>0</v>
      </c>
      <c r="H67" s="50">
        <v>0</v>
      </c>
      <c r="I67" s="50">
        <v>5</v>
      </c>
      <c r="J67" s="50">
        <v>1</v>
      </c>
      <c r="K67" s="50">
        <v>0</v>
      </c>
      <c r="L67" s="50">
        <v>1</v>
      </c>
      <c r="M67" s="50">
        <v>95</v>
      </c>
      <c r="N67" s="50">
        <v>0</v>
      </c>
      <c r="O67" s="15">
        <f t="shared" si="0"/>
        <v>72</v>
      </c>
      <c r="P67" s="15">
        <f t="shared" si="1"/>
        <v>167</v>
      </c>
      <c r="R67" s="8"/>
      <c r="T67"/>
    </row>
    <row r="68" spans="2:20" ht="23.1" customHeight="1" x14ac:dyDescent="0.25">
      <c r="B68" s="45" t="s">
        <v>105</v>
      </c>
      <c r="C68" s="50">
        <v>46</v>
      </c>
      <c r="D68" s="50">
        <v>13</v>
      </c>
      <c r="E68" s="50">
        <v>8</v>
      </c>
      <c r="F68" s="50">
        <v>36</v>
      </c>
      <c r="G68" s="50">
        <v>2</v>
      </c>
      <c r="H68" s="50">
        <v>1</v>
      </c>
      <c r="I68" s="50">
        <v>3</v>
      </c>
      <c r="J68" s="50">
        <v>3</v>
      </c>
      <c r="K68" s="50">
        <v>0</v>
      </c>
      <c r="L68" s="50">
        <v>0</v>
      </c>
      <c r="M68" s="50">
        <v>97</v>
      </c>
      <c r="N68" s="50">
        <v>0</v>
      </c>
      <c r="O68" s="15">
        <f t="shared" si="0"/>
        <v>112</v>
      </c>
      <c r="P68" s="15">
        <f t="shared" si="1"/>
        <v>209</v>
      </c>
      <c r="R68" s="8"/>
      <c r="T68"/>
    </row>
    <row r="69" spans="2:20" ht="23.1" customHeight="1" x14ac:dyDescent="0.25">
      <c r="B69" s="45" t="s">
        <v>106</v>
      </c>
      <c r="C69" s="50">
        <v>51</v>
      </c>
      <c r="D69" s="50">
        <v>3</v>
      </c>
      <c r="E69" s="50">
        <v>9</v>
      </c>
      <c r="F69" s="50">
        <v>29</v>
      </c>
      <c r="G69" s="50">
        <v>0</v>
      </c>
      <c r="H69" s="50">
        <v>2</v>
      </c>
      <c r="I69" s="50">
        <v>1</v>
      </c>
      <c r="J69" s="50">
        <v>1</v>
      </c>
      <c r="K69" s="50">
        <v>0</v>
      </c>
      <c r="L69" s="50">
        <v>1</v>
      </c>
      <c r="M69" s="50">
        <v>175</v>
      </c>
      <c r="N69" s="50">
        <v>0</v>
      </c>
      <c r="O69" s="15">
        <f t="shared" si="0"/>
        <v>97</v>
      </c>
      <c r="P69" s="15">
        <f t="shared" si="1"/>
        <v>272</v>
      </c>
      <c r="R69" s="8"/>
      <c r="T69"/>
    </row>
    <row r="70" spans="2:20" ht="23.1" customHeight="1" x14ac:dyDescent="0.25">
      <c r="B70" s="45" t="s">
        <v>110</v>
      </c>
      <c r="C70" s="50">
        <v>20</v>
      </c>
      <c r="D70" s="50">
        <v>1</v>
      </c>
      <c r="E70" s="50">
        <v>3</v>
      </c>
      <c r="F70" s="50">
        <v>25</v>
      </c>
      <c r="G70" s="50">
        <v>3</v>
      </c>
      <c r="H70" s="50">
        <v>0</v>
      </c>
      <c r="I70" s="50">
        <v>1</v>
      </c>
      <c r="J70" s="50">
        <v>3</v>
      </c>
      <c r="K70" s="50">
        <v>0</v>
      </c>
      <c r="L70" s="50">
        <v>1</v>
      </c>
      <c r="M70" s="50">
        <v>70</v>
      </c>
      <c r="N70" s="50">
        <v>0</v>
      </c>
      <c r="O70" s="15">
        <f t="shared" si="0"/>
        <v>57</v>
      </c>
      <c r="P70" s="15">
        <f t="shared" si="1"/>
        <v>127</v>
      </c>
      <c r="R70" s="8"/>
      <c r="T70"/>
    </row>
    <row r="71" spans="2:20" ht="23.1" customHeight="1" x14ac:dyDescent="0.25">
      <c r="B71" s="45" t="s">
        <v>111</v>
      </c>
      <c r="C71" s="50">
        <v>29</v>
      </c>
      <c r="D71" s="50">
        <v>3</v>
      </c>
      <c r="E71" s="50">
        <v>4</v>
      </c>
      <c r="F71" s="50">
        <v>23</v>
      </c>
      <c r="G71" s="50">
        <v>0</v>
      </c>
      <c r="H71" s="50">
        <v>0</v>
      </c>
      <c r="I71" s="50">
        <v>2</v>
      </c>
      <c r="J71" s="50">
        <v>1</v>
      </c>
      <c r="K71" s="50">
        <v>1</v>
      </c>
      <c r="L71" s="50">
        <v>0</v>
      </c>
      <c r="M71" s="50">
        <v>130</v>
      </c>
      <c r="N71" s="50">
        <v>0</v>
      </c>
      <c r="O71" s="15">
        <f t="shared" si="0"/>
        <v>63</v>
      </c>
      <c r="P71" s="15">
        <f t="shared" si="1"/>
        <v>193</v>
      </c>
      <c r="R71" s="8"/>
      <c r="T71"/>
    </row>
    <row r="72" spans="2:20" ht="23.1" customHeight="1" x14ac:dyDescent="0.25">
      <c r="B72" s="45" t="s">
        <v>112</v>
      </c>
      <c r="C72" s="50">
        <v>42</v>
      </c>
      <c r="D72" s="50">
        <v>6</v>
      </c>
      <c r="E72" s="50">
        <v>8</v>
      </c>
      <c r="F72" s="50">
        <v>18</v>
      </c>
      <c r="G72" s="50">
        <v>0</v>
      </c>
      <c r="H72" s="50">
        <v>2</v>
      </c>
      <c r="I72" s="50">
        <v>4</v>
      </c>
      <c r="J72" s="50">
        <v>1</v>
      </c>
      <c r="K72" s="50">
        <v>0</v>
      </c>
      <c r="L72" s="50">
        <v>2</v>
      </c>
      <c r="M72" s="50">
        <v>130</v>
      </c>
      <c r="N72" s="50">
        <v>0</v>
      </c>
      <c r="O72" s="15">
        <f t="shared" si="0"/>
        <v>83</v>
      </c>
      <c r="P72" s="15">
        <f t="shared" si="1"/>
        <v>213</v>
      </c>
      <c r="R72" s="8"/>
      <c r="T72"/>
    </row>
    <row r="73" spans="2:20" ht="23.1" customHeight="1" x14ac:dyDescent="0.25">
      <c r="B73" s="45" t="s">
        <v>113</v>
      </c>
      <c r="C73" s="50">
        <v>49</v>
      </c>
      <c r="D73" s="50">
        <v>2</v>
      </c>
      <c r="E73" s="50">
        <v>3</v>
      </c>
      <c r="F73" s="50">
        <v>22</v>
      </c>
      <c r="G73" s="50">
        <v>0</v>
      </c>
      <c r="H73" s="50">
        <v>3</v>
      </c>
      <c r="I73" s="50">
        <v>0</v>
      </c>
      <c r="J73" s="50">
        <v>3</v>
      </c>
      <c r="K73" s="50">
        <v>1</v>
      </c>
      <c r="L73" s="50">
        <v>0</v>
      </c>
      <c r="M73" s="50">
        <v>62</v>
      </c>
      <c r="N73" s="50">
        <v>0</v>
      </c>
      <c r="O73" s="15">
        <f t="shared" si="0"/>
        <v>83</v>
      </c>
      <c r="P73" s="15">
        <f t="shared" si="1"/>
        <v>145</v>
      </c>
      <c r="R73" s="8"/>
      <c r="T73"/>
    </row>
    <row r="74" spans="2:20" ht="23.1" customHeight="1" x14ac:dyDescent="0.25">
      <c r="B74" s="45" t="s">
        <v>114</v>
      </c>
      <c r="C74" s="50">
        <v>22</v>
      </c>
      <c r="D74" s="50">
        <v>8</v>
      </c>
      <c r="E74" s="50">
        <v>6</v>
      </c>
      <c r="F74" s="50">
        <v>14</v>
      </c>
      <c r="G74" s="50">
        <v>1</v>
      </c>
      <c r="H74" s="50">
        <v>0</v>
      </c>
      <c r="I74" s="50">
        <v>2</v>
      </c>
      <c r="J74" s="50">
        <v>2</v>
      </c>
      <c r="K74" s="50">
        <v>0</v>
      </c>
      <c r="L74" s="50">
        <v>0</v>
      </c>
      <c r="M74" s="50">
        <v>94</v>
      </c>
      <c r="N74" s="50">
        <v>0</v>
      </c>
      <c r="O74" s="15">
        <f t="shared" ref="O74:O105" si="35">SUM(C74:L74,N74)</f>
        <v>55</v>
      </c>
      <c r="P74" s="15">
        <f t="shared" ref="P74:P105" si="36">SUM(C74:N74)</f>
        <v>149</v>
      </c>
      <c r="R74" s="8"/>
      <c r="T74"/>
    </row>
    <row r="75" spans="2:20" ht="23.1" customHeight="1" x14ac:dyDescent="0.25">
      <c r="B75" s="45" t="s">
        <v>115</v>
      </c>
      <c r="C75" s="50">
        <v>44</v>
      </c>
      <c r="D75" s="50">
        <v>6</v>
      </c>
      <c r="E75" s="50">
        <v>3</v>
      </c>
      <c r="F75" s="50">
        <v>8</v>
      </c>
      <c r="G75" s="50">
        <v>2</v>
      </c>
      <c r="H75" s="50">
        <v>0</v>
      </c>
      <c r="I75" s="50">
        <v>4</v>
      </c>
      <c r="J75" s="50">
        <v>1</v>
      </c>
      <c r="K75" s="50">
        <v>0</v>
      </c>
      <c r="L75" s="50">
        <v>1</v>
      </c>
      <c r="M75" s="50">
        <v>110</v>
      </c>
      <c r="N75" s="50">
        <v>0</v>
      </c>
      <c r="O75" s="15">
        <f t="shared" si="35"/>
        <v>69</v>
      </c>
      <c r="P75" s="15">
        <f t="shared" si="36"/>
        <v>179</v>
      </c>
      <c r="R75" s="8"/>
      <c r="T75"/>
    </row>
    <row r="76" spans="2:20" ht="23.1" customHeight="1" x14ac:dyDescent="0.25">
      <c r="B76" s="45" t="s">
        <v>116</v>
      </c>
      <c r="C76" s="50">
        <v>27</v>
      </c>
      <c r="D76" s="50">
        <v>4</v>
      </c>
      <c r="E76" s="50">
        <v>4</v>
      </c>
      <c r="F76" s="50">
        <v>6</v>
      </c>
      <c r="G76" s="50">
        <v>2</v>
      </c>
      <c r="H76" s="50">
        <v>0</v>
      </c>
      <c r="I76" s="50">
        <v>0</v>
      </c>
      <c r="J76" s="50">
        <v>0</v>
      </c>
      <c r="K76" s="50">
        <v>0</v>
      </c>
      <c r="L76" s="50">
        <v>0</v>
      </c>
      <c r="M76" s="50">
        <v>92</v>
      </c>
      <c r="N76" s="50">
        <v>0</v>
      </c>
      <c r="O76" s="15">
        <f t="shared" si="35"/>
        <v>43</v>
      </c>
      <c r="P76" s="15">
        <f t="shared" si="36"/>
        <v>135</v>
      </c>
      <c r="R76" s="8"/>
      <c r="T76"/>
    </row>
    <row r="77" spans="2:20" ht="23.1" customHeight="1" x14ac:dyDescent="0.25">
      <c r="B77" s="45" t="s">
        <v>117</v>
      </c>
      <c r="C77" s="50">
        <v>20</v>
      </c>
      <c r="D77" s="50">
        <v>4</v>
      </c>
      <c r="E77" s="50">
        <v>4</v>
      </c>
      <c r="F77" s="50">
        <v>3</v>
      </c>
      <c r="G77" s="50">
        <v>2</v>
      </c>
      <c r="H77" s="50">
        <v>0</v>
      </c>
      <c r="I77" s="50">
        <v>1</v>
      </c>
      <c r="J77" s="50">
        <v>0</v>
      </c>
      <c r="K77" s="50">
        <v>0</v>
      </c>
      <c r="L77" s="50">
        <v>0</v>
      </c>
      <c r="M77" s="50">
        <v>57</v>
      </c>
      <c r="N77" s="50">
        <v>0</v>
      </c>
      <c r="O77" s="15">
        <f t="shared" si="35"/>
        <v>34</v>
      </c>
      <c r="P77" s="15">
        <f t="shared" si="36"/>
        <v>91</v>
      </c>
      <c r="R77" s="8"/>
      <c r="T77"/>
    </row>
    <row r="78" spans="2:20" ht="23.1" customHeight="1" x14ac:dyDescent="0.25">
      <c r="B78" s="46" t="s">
        <v>118</v>
      </c>
      <c r="C78" s="50">
        <v>24</v>
      </c>
      <c r="D78" s="50">
        <v>3</v>
      </c>
      <c r="E78" s="50">
        <v>1</v>
      </c>
      <c r="F78" s="50">
        <v>6</v>
      </c>
      <c r="G78" s="50">
        <v>0</v>
      </c>
      <c r="H78" s="50">
        <v>1</v>
      </c>
      <c r="I78" s="50">
        <v>0</v>
      </c>
      <c r="J78" s="50">
        <v>0</v>
      </c>
      <c r="K78" s="50">
        <v>0</v>
      </c>
      <c r="L78" s="50">
        <v>0</v>
      </c>
      <c r="M78" s="50">
        <v>35</v>
      </c>
      <c r="N78" s="50">
        <v>0</v>
      </c>
      <c r="O78" s="15">
        <f t="shared" si="35"/>
        <v>35</v>
      </c>
      <c r="P78" s="15">
        <f t="shared" si="36"/>
        <v>70</v>
      </c>
      <c r="R78" s="8"/>
      <c r="T78"/>
    </row>
    <row r="79" spans="2:20" ht="23.1" customHeight="1" x14ac:dyDescent="0.25">
      <c r="B79" s="45" t="s">
        <v>119</v>
      </c>
      <c r="C79" s="50">
        <v>9</v>
      </c>
      <c r="D79" s="50">
        <v>4</v>
      </c>
      <c r="E79" s="50">
        <v>2</v>
      </c>
      <c r="F79" s="50">
        <v>6</v>
      </c>
      <c r="G79" s="50">
        <v>1</v>
      </c>
      <c r="H79" s="50">
        <v>0</v>
      </c>
      <c r="I79" s="50">
        <v>0</v>
      </c>
      <c r="J79" s="50">
        <v>0</v>
      </c>
      <c r="K79" s="50">
        <v>0</v>
      </c>
      <c r="L79" s="50">
        <v>0</v>
      </c>
      <c r="M79" s="50">
        <v>30</v>
      </c>
      <c r="N79" s="50">
        <v>0</v>
      </c>
      <c r="O79" s="15">
        <f t="shared" si="35"/>
        <v>22</v>
      </c>
      <c r="P79" s="15">
        <f t="shared" si="36"/>
        <v>52</v>
      </c>
      <c r="R79" s="8"/>
      <c r="T79"/>
    </row>
    <row r="80" spans="2:20" ht="23.1" customHeight="1" x14ac:dyDescent="0.25">
      <c r="B80" s="47" t="s">
        <v>120</v>
      </c>
      <c r="C80" s="50">
        <v>21</v>
      </c>
      <c r="D80" s="50">
        <v>3</v>
      </c>
      <c r="E80" s="50">
        <v>1</v>
      </c>
      <c r="F80" s="50">
        <v>2</v>
      </c>
      <c r="G80" s="50">
        <v>0</v>
      </c>
      <c r="H80" s="50">
        <v>0</v>
      </c>
      <c r="I80" s="50">
        <v>0</v>
      </c>
      <c r="J80" s="50">
        <v>0</v>
      </c>
      <c r="K80" s="50">
        <v>0</v>
      </c>
      <c r="L80" s="50">
        <v>0</v>
      </c>
      <c r="M80" s="50">
        <v>32</v>
      </c>
      <c r="N80" s="50">
        <v>0</v>
      </c>
      <c r="O80" s="15">
        <f t="shared" si="35"/>
        <v>27</v>
      </c>
      <c r="P80" s="15">
        <f t="shared" si="36"/>
        <v>59</v>
      </c>
      <c r="R80" s="8"/>
      <c r="T80"/>
    </row>
    <row r="81" spans="2:20" ht="23.1" customHeight="1" x14ac:dyDescent="0.25">
      <c r="B81" s="45" t="s">
        <v>121</v>
      </c>
      <c r="C81" s="50">
        <v>11</v>
      </c>
      <c r="D81" s="50">
        <v>4</v>
      </c>
      <c r="E81" s="50">
        <v>0</v>
      </c>
      <c r="F81" s="50">
        <v>2</v>
      </c>
      <c r="G81" s="50">
        <v>0</v>
      </c>
      <c r="H81" s="50">
        <v>1</v>
      </c>
      <c r="I81" s="50">
        <v>2</v>
      </c>
      <c r="J81" s="50">
        <v>1</v>
      </c>
      <c r="K81" s="50">
        <v>0</v>
      </c>
      <c r="L81" s="50">
        <v>1</v>
      </c>
      <c r="M81" s="50">
        <v>18</v>
      </c>
      <c r="N81" s="50">
        <v>0</v>
      </c>
      <c r="O81" s="15">
        <f t="shared" si="35"/>
        <v>22</v>
      </c>
      <c r="P81" s="15">
        <f t="shared" si="36"/>
        <v>40</v>
      </c>
      <c r="R81" s="8"/>
      <c r="T81"/>
    </row>
    <row r="82" spans="2:20" ht="23.1" customHeight="1" x14ac:dyDescent="0.25">
      <c r="B82" s="46" t="s">
        <v>122</v>
      </c>
      <c r="C82" s="50">
        <v>5</v>
      </c>
      <c r="D82" s="50">
        <v>3</v>
      </c>
      <c r="E82" s="50">
        <v>0</v>
      </c>
      <c r="F82" s="50">
        <v>0</v>
      </c>
      <c r="G82" s="50">
        <v>0</v>
      </c>
      <c r="H82" s="50">
        <v>1</v>
      </c>
      <c r="I82" s="50">
        <v>0</v>
      </c>
      <c r="J82" s="50">
        <v>0</v>
      </c>
      <c r="K82" s="50">
        <v>0</v>
      </c>
      <c r="L82" s="50">
        <v>0</v>
      </c>
      <c r="M82" s="50">
        <v>30</v>
      </c>
      <c r="N82" s="50">
        <v>0</v>
      </c>
      <c r="O82" s="15">
        <f t="shared" si="35"/>
        <v>9</v>
      </c>
      <c r="P82" s="15">
        <f t="shared" si="36"/>
        <v>39</v>
      </c>
      <c r="R82" s="8"/>
      <c r="T82"/>
    </row>
    <row r="83" spans="2:20" ht="23.1" customHeight="1" x14ac:dyDescent="0.25">
      <c r="B83" s="45" t="s">
        <v>123</v>
      </c>
      <c r="C83" s="50">
        <v>10</v>
      </c>
      <c r="D83" s="50">
        <v>0</v>
      </c>
      <c r="E83" s="50">
        <v>0</v>
      </c>
      <c r="F83" s="50">
        <v>7</v>
      </c>
      <c r="G83" s="50">
        <v>0</v>
      </c>
      <c r="H83" s="50">
        <v>1</v>
      </c>
      <c r="I83" s="50">
        <v>0</v>
      </c>
      <c r="J83" s="50">
        <v>1</v>
      </c>
      <c r="K83" s="50">
        <v>1</v>
      </c>
      <c r="L83" s="50">
        <v>0</v>
      </c>
      <c r="M83" s="50">
        <v>29</v>
      </c>
      <c r="N83" s="50">
        <v>0</v>
      </c>
      <c r="O83" s="15">
        <f t="shared" si="35"/>
        <v>20</v>
      </c>
      <c r="P83" s="15">
        <f t="shared" si="36"/>
        <v>49</v>
      </c>
      <c r="R83" s="8"/>
      <c r="T83"/>
    </row>
    <row r="84" spans="2:20" ht="23.1" customHeight="1" x14ac:dyDescent="0.25">
      <c r="B84" s="47" t="s">
        <v>124</v>
      </c>
      <c r="C84" s="50">
        <v>6</v>
      </c>
      <c r="D84" s="50">
        <v>0</v>
      </c>
      <c r="E84" s="50">
        <v>0</v>
      </c>
      <c r="F84" s="50">
        <v>1</v>
      </c>
      <c r="G84" s="50">
        <v>0</v>
      </c>
      <c r="H84" s="50">
        <v>0</v>
      </c>
      <c r="I84" s="50">
        <v>0</v>
      </c>
      <c r="J84" s="50">
        <v>1</v>
      </c>
      <c r="K84" s="50">
        <v>0</v>
      </c>
      <c r="L84" s="50">
        <v>1</v>
      </c>
      <c r="M84" s="50">
        <v>11</v>
      </c>
      <c r="N84" s="50">
        <v>0</v>
      </c>
      <c r="O84" s="15">
        <f t="shared" si="35"/>
        <v>9</v>
      </c>
      <c r="P84" s="15">
        <f t="shared" si="36"/>
        <v>20</v>
      </c>
      <c r="R84" s="8"/>
      <c r="T84"/>
    </row>
    <row r="85" spans="2:20" ht="23.1" customHeight="1" x14ac:dyDescent="0.25">
      <c r="B85" s="45" t="s">
        <v>125</v>
      </c>
      <c r="C85" s="50">
        <v>7</v>
      </c>
      <c r="D85" s="50">
        <v>1</v>
      </c>
      <c r="E85" s="50">
        <v>0</v>
      </c>
      <c r="F85" s="50">
        <v>0</v>
      </c>
      <c r="G85" s="50">
        <v>0</v>
      </c>
      <c r="H85" s="50">
        <v>1</v>
      </c>
      <c r="I85" s="50">
        <v>1</v>
      </c>
      <c r="J85" s="50">
        <v>1</v>
      </c>
      <c r="K85" s="50">
        <v>1</v>
      </c>
      <c r="L85" s="50">
        <v>0</v>
      </c>
      <c r="M85" s="50">
        <v>10</v>
      </c>
      <c r="N85" s="50">
        <v>0</v>
      </c>
      <c r="O85" s="15">
        <f t="shared" si="35"/>
        <v>12</v>
      </c>
      <c r="P85" s="15">
        <f t="shared" si="36"/>
        <v>22</v>
      </c>
      <c r="R85" s="8"/>
      <c r="T85"/>
    </row>
    <row r="86" spans="2:20" ht="23.1" customHeight="1" x14ac:dyDescent="0.25">
      <c r="B86" s="46" t="s">
        <v>126</v>
      </c>
      <c r="C86" s="50">
        <v>7</v>
      </c>
      <c r="D86" s="50">
        <v>0</v>
      </c>
      <c r="E86" s="50">
        <v>0</v>
      </c>
      <c r="F86" s="50">
        <v>0</v>
      </c>
      <c r="G86" s="50">
        <v>0</v>
      </c>
      <c r="H86" s="50">
        <v>0</v>
      </c>
      <c r="I86" s="50">
        <v>1</v>
      </c>
      <c r="J86" s="50">
        <v>0</v>
      </c>
      <c r="K86" s="50">
        <v>0</v>
      </c>
      <c r="L86" s="50">
        <v>0</v>
      </c>
      <c r="M86" s="50">
        <v>11</v>
      </c>
      <c r="N86" s="50">
        <v>0</v>
      </c>
      <c r="O86" s="15">
        <f t="shared" si="35"/>
        <v>8</v>
      </c>
      <c r="P86" s="15">
        <f t="shared" si="36"/>
        <v>19</v>
      </c>
      <c r="R86" s="8"/>
      <c r="T86"/>
    </row>
    <row r="87" spans="2:20" ht="23.1" customHeight="1" x14ac:dyDescent="0.25">
      <c r="B87" s="45" t="s">
        <v>127</v>
      </c>
      <c r="C87" s="50">
        <v>9</v>
      </c>
      <c r="D87" s="50">
        <v>8</v>
      </c>
      <c r="E87" s="50">
        <v>0</v>
      </c>
      <c r="F87" s="50">
        <v>0</v>
      </c>
      <c r="G87" s="50">
        <v>0</v>
      </c>
      <c r="H87" s="50">
        <v>0</v>
      </c>
      <c r="I87" s="50">
        <v>1</v>
      </c>
      <c r="J87" s="50">
        <v>0</v>
      </c>
      <c r="K87" s="50">
        <v>2</v>
      </c>
      <c r="L87" s="50">
        <v>0</v>
      </c>
      <c r="M87" s="50">
        <v>16</v>
      </c>
      <c r="N87" s="50">
        <v>0</v>
      </c>
      <c r="O87" s="15">
        <f t="shared" si="35"/>
        <v>20</v>
      </c>
      <c r="P87" s="15">
        <f t="shared" si="36"/>
        <v>36</v>
      </c>
      <c r="R87" s="8"/>
      <c r="T87"/>
    </row>
    <row r="88" spans="2:20" ht="23.1" customHeight="1" x14ac:dyDescent="0.25">
      <c r="B88" s="47" t="s">
        <v>128</v>
      </c>
      <c r="C88" s="50">
        <v>4</v>
      </c>
      <c r="D88" s="50">
        <v>1</v>
      </c>
      <c r="E88" s="50">
        <v>0</v>
      </c>
      <c r="F88" s="50">
        <v>0</v>
      </c>
      <c r="G88" s="50">
        <v>0</v>
      </c>
      <c r="H88" s="50">
        <v>1</v>
      </c>
      <c r="I88" s="50">
        <v>0</v>
      </c>
      <c r="J88" s="50">
        <v>0</v>
      </c>
      <c r="K88" s="50">
        <v>0</v>
      </c>
      <c r="L88" s="50">
        <v>0</v>
      </c>
      <c r="M88" s="50">
        <v>3</v>
      </c>
      <c r="N88" s="50">
        <v>0</v>
      </c>
      <c r="O88" s="15">
        <f t="shared" si="35"/>
        <v>6</v>
      </c>
      <c r="P88" s="15">
        <f t="shared" si="36"/>
        <v>9</v>
      </c>
      <c r="R88" s="8"/>
      <c r="T88"/>
    </row>
    <row r="89" spans="2:20" ht="23.1" customHeight="1" x14ac:dyDescent="0.25">
      <c r="B89" s="45" t="s">
        <v>129</v>
      </c>
      <c r="C89" s="50">
        <v>6</v>
      </c>
      <c r="D89" s="50">
        <v>0</v>
      </c>
      <c r="E89" s="50">
        <v>1</v>
      </c>
      <c r="F89" s="50">
        <v>2</v>
      </c>
      <c r="G89" s="50">
        <v>0</v>
      </c>
      <c r="H89" s="50">
        <v>1</v>
      </c>
      <c r="I89" s="50">
        <v>1</v>
      </c>
      <c r="J89" s="50">
        <v>0</v>
      </c>
      <c r="K89" s="50">
        <v>0</v>
      </c>
      <c r="L89" s="50">
        <v>0</v>
      </c>
      <c r="M89" s="50">
        <v>6</v>
      </c>
      <c r="N89" s="50">
        <v>0</v>
      </c>
      <c r="O89" s="15">
        <f t="shared" si="35"/>
        <v>11</v>
      </c>
      <c r="P89" s="15">
        <f t="shared" si="36"/>
        <v>17</v>
      </c>
      <c r="R89" s="8"/>
      <c r="T89"/>
    </row>
    <row r="90" spans="2:20" ht="23.1" customHeight="1" x14ac:dyDescent="0.25">
      <c r="B90" s="46" t="s">
        <v>130</v>
      </c>
      <c r="C90" s="50">
        <v>8</v>
      </c>
      <c r="D90" s="50">
        <v>0</v>
      </c>
      <c r="E90" s="50">
        <v>1</v>
      </c>
      <c r="F90" s="50">
        <v>0</v>
      </c>
      <c r="G90" s="50">
        <v>0</v>
      </c>
      <c r="H90" s="50">
        <v>1</v>
      </c>
      <c r="I90" s="50">
        <v>2</v>
      </c>
      <c r="J90" s="50">
        <v>0</v>
      </c>
      <c r="K90" s="50">
        <v>0</v>
      </c>
      <c r="L90" s="50">
        <v>0</v>
      </c>
      <c r="M90" s="50">
        <v>17</v>
      </c>
      <c r="N90" s="50">
        <v>0</v>
      </c>
      <c r="O90" s="15">
        <f t="shared" si="35"/>
        <v>12</v>
      </c>
      <c r="P90" s="15">
        <f t="shared" si="36"/>
        <v>29</v>
      </c>
      <c r="R90" s="8"/>
      <c r="T90"/>
    </row>
    <row r="91" spans="2:20" ht="23.1" customHeight="1" x14ac:dyDescent="0.25">
      <c r="B91" s="45" t="s">
        <v>131</v>
      </c>
      <c r="C91" s="50">
        <v>3</v>
      </c>
      <c r="D91" s="50">
        <v>0</v>
      </c>
      <c r="E91" s="50">
        <v>0</v>
      </c>
      <c r="F91" s="50">
        <v>1</v>
      </c>
      <c r="G91" s="50">
        <v>0</v>
      </c>
      <c r="H91" s="50">
        <v>0</v>
      </c>
      <c r="I91" s="50">
        <v>0</v>
      </c>
      <c r="J91" s="50">
        <v>0</v>
      </c>
      <c r="K91" s="50">
        <v>0</v>
      </c>
      <c r="L91" s="50">
        <v>0</v>
      </c>
      <c r="M91" s="50">
        <v>3</v>
      </c>
      <c r="N91" s="50">
        <v>0</v>
      </c>
      <c r="O91" s="15">
        <f t="shared" si="35"/>
        <v>4</v>
      </c>
      <c r="P91" s="15">
        <f t="shared" si="36"/>
        <v>7</v>
      </c>
      <c r="R91" s="8"/>
      <c r="T91"/>
    </row>
    <row r="92" spans="2:20" ht="23.1" customHeight="1" x14ac:dyDescent="0.25">
      <c r="B92" s="47" t="s">
        <v>132</v>
      </c>
      <c r="C92" s="50">
        <v>4</v>
      </c>
      <c r="D92" s="50">
        <v>0</v>
      </c>
      <c r="E92" s="50">
        <v>0</v>
      </c>
      <c r="F92" s="50">
        <v>0</v>
      </c>
      <c r="G92" s="50">
        <v>0</v>
      </c>
      <c r="H92" s="50">
        <v>0</v>
      </c>
      <c r="I92" s="50">
        <v>1</v>
      </c>
      <c r="J92" s="50">
        <v>0</v>
      </c>
      <c r="K92" s="50">
        <v>0</v>
      </c>
      <c r="L92" s="50">
        <v>0</v>
      </c>
      <c r="M92" s="50">
        <v>11</v>
      </c>
      <c r="N92" s="50">
        <v>0</v>
      </c>
      <c r="O92" s="15">
        <f t="shared" si="35"/>
        <v>5</v>
      </c>
      <c r="P92" s="15">
        <f t="shared" si="36"/>
        <v>16</v>
      </c>
      <c r="R92" s="8"/>
      <c r="T92"/>
    </row>
    <row r="93" spans="2:20" ht="23.1" customHeight="1" x14ac:dyDescent="0.25">
      <c r="B93" s="45" t="s">
        <v>133</v>
      </c>
      <c r="C93" s="50">
        <v>0</v>
      </c>
      <c r="D93" s="50">
        <v>0</v>
      </c>
      <c r="E93" s="50">
        <v>0</v>
      </c>
      <c r="F93" s="50">
        <v>0</v>
      </c>
      <c r="G93" s="50">
        <v>1</v>
      </c>
      <c r="H93" s="50">
        <v>0</v>
      </c>
      <c r="I93" s="50">
        <v>0</v>
      </c>
      <c r="J93" s="50">
        <v>0</v>
      </c>
      <c r="K93" s="50">
        <v>0</v>
      </c>
      <c r="L93" s="50">
        <v>0</v>
      </c>
      <c r="M93" s="50">
        <v>13</v>
      </c>
      <c r="N93" s="50">
        <v>0</v>
      </c>
      <c r="O93" s="15">
        <f t="shared" si="35"/>
        <v>1</v>
      </c>
      <c r="P93" s="15">
        <f t="shared" si="36"/>
        <v>14</v>
      </c>
      <c r="R93" s="8"/>
      <c r="T93"/>
    </row>
    <row r="94" spans="2:20" ht="23.1" customHeight="1" x14ac:dyDescent="0.25">
      <c r="B94" s="46" t="s">
        <v>134</v>
      </c>
      <c r="C94" s="50">
        <v>3</v>
      </c>
      <c r="D94" s="50">
        <v>0</v>
      </c>
      <c r="E94" s="50">
        <v>1</v>
      </c>
      <c r="F94" s="50">
        <v>4</v>
      </c>
      <c r="G94" s="50">
        <v>1</v>
      </c>
      <c r="H94" s="50">
        <v>0</v>
      </c>
      <c r="I94" s="50">
        <v>2</v>
      </c>
      <c r="J94" s="50">
        <v>0</v>
      </c>
      <c r="K94" s="50">
        <v>0</v>
      </c>
      <c r="L94" s="50">
        <v>0</v>
      </c>
      <c r="M94" s="50">
        <v>15</v>
      </c>
      <c r="N94" s="50">
        <v>0</v>
      </c>
      <c r="O94" s="15">
        <f t="shared" si="35"/>
        <v>11</v>
      </c>
      <c r="P94" s="15">
        <f t="shared" si="36"/>
        <v>26</v>
      </c>
      <c r="R94" s="8"/>
      <c r="T94"/>
    </row>
    <row r="95" spans="2:20" ht="23.1" customHeight="1" x14ac:dyDescent="0.25">
      <c r="B95" s="45" t="s">
        <v>135</v>
      </c>
      <c r="C95" s="50">
        <v>4</v>
      </c>
      <c r="D95" s="50">
        <v>0</v>
      </c>
      <c r="E95" s="50">
        <v>0</v>
      </c>
      <c r="F95" s="50">
        <v>1</v>
      </c>
      <c r="G95" s="50">
        <v>0</v>
      </c>
      <c r="H95" s="50">
        <v>1</v>
      </c>
      <c r="I95" s="50">
        <v>1</v>
      </c>
      <c r="J95" s="50">
        <v>0</v>
      </c>
      <c r="K95" s="50">
        <v>0</v>
      </c>
      <c r="L95" s="50">
        <v>0</v>
      </c>
      <c r="M95" s="50">
        <v>8</v>
      </c>
      <c r="N95" s="50">
        <v>0</v>
      </c>
      <c r="O95" s="15">
        <f t="shared" si="35"/>
        <v>7</v>
      </c>
      <c r="P95" s="15">
        <f t="shared" si="36"/>
        <v>15</v>
      </c>
      <c r="R95" s="8"/>
      <c r="T95"/>
    </row>
    <row r="96" spans="2:20" ht="23.1" customHeight="1" x14ac:dyDescent="0.25">
      <c r="B96" s="47" t="s">
        <v>136</v>
      </c>
      <c r="C96" s="50">
        <v>3</v>
      </c>
      <c r="D96" s="50">
        <v>2</v>
      </c>
      <c r="E96" s="50">
        <v>0</v>
      </c>
      <c r="F96" s="50">
        <v>5</v>
      </c>
      <c r="G96" s="50">
        <v>0</v>
      </c>
      <c r="H96" s="50">
        <v>2</v>
      </c>
      <c r="I96" s="50">
        <v>0</v>
      </c>
      <c r="J96" s="50">
        <v>1</v>
      </c>
      <c r="K96" s="50">
        <v>1</v>
      </c>
      <c r="L96" s="50">
        <v>0</v>
      </c>
      <c r="M96" s="50">
        <v>10</v>
      </c>
      <c r="N96" s="50">
        <v>0</v>
      </c>
      <c r="O96" s="15">
        <f t="shared" si="35"/>
        <v>14</v>
      </c>
      <c r="P96" s="15">
        <f t="shared" si="36"/>
        <v>24</v>
      </c>
      <c r="R96" s="8"/>
      <c r="T96"/>
    </row>
    <row r="97" spans="2:20" ht="23.1" customHeight="1" x14ac:dyDescent="0.25">
      <c r="B97" s="45" t="s">
        <v>137</v>
      </c>
      <c r="C97" s="50">
        <v>2</v>
      </c>
      <c r="D97" s="50">
        <v>0</v>
      </c>
      <c r="E97" s="50">
        <v>0</v>
      </c>
      <c r="F97" s="50">
        <v>0</v>
      </c>
      <c r="G97" s="50">
        <v>0</v>
      </c>
      <c r="H97" s="50">
        <v>0</v>
      </c>
      <c r="I97" s="50">
        <v>0</v>
      </c>
      <c r="J97" s="50">
        <v>0</v>
      </c>
      <c r="K97" s="50">
        <v>0</v>
      </c>
      <c r="L97" s="50">
        <v>0</v>
      </c>
      <c r="M97" s="50">
        <v>8</v>
      </c>
      <c r="N97" s="50">
        <v>0</v>
      </c>
      <c r="O97" s="15">
        <f t="shared" si="35"/>
        <v>2</v>
      </c>
      <c r="P97" s="15">
        <f t="shared" si="36"/>
        <v>10</v>
      </c>
      <c r="R97" s="8"/>
      <c r="T97"/>
    </row>
    <row r="98" spans="2:20" ht="23.1" customHeight="1" x14ac:dyDescent="0.25">
      <c r="B98" s="46" t="s">
        <v>138</v>
      </c>
      <c r="C98" s="50">
        <v>6</v>
      </c>
      <c r="D98" s="50">
        <v>1</v>
      </c>
      <c r="E98" s="50">
        <v>0</v>
      </c>
      <c r="F98" s="50">
        <v>3</v>
      </c>
      <c r="G98" s="50">
        <v>0</v>
      </c>
      <c r="H98" s="50">
        <v>6</v>
      </c>
      <c r="I98" s="50">
        <v>2</v>
      </c>
      <c r="J98" s="50">
        <v>1</v>
      </c>
      <c r="K98" s="50">
        <v>0</v>
      </c>
      <c r="L98" s="50">
        <v>0</v>
      </c>
      <c r="M98" s="50">
        <v>25</v>
      </c>
      <c r="N98" s="50">
        <v>0</v>
      </c>
      <c r="O98" s="15">
        <f t="shared" si="35"/>
        <v>19</v>
      </c>
      <c r="P98" s="15">
        <f t="shared" si="36"/>
        <v>44</v>
      </c>
      <c r="R98" s="8"/>
      <c r="T98"/>
    </row>
    <row r="99" spans="2:20" ht="23.1" customHeight="1" x14ac:dyDescent="0.25">
      <c r="B99" s="45" t="s">
        <v>139</v>
      </c>
      <c r="C99" s="50">
        <v>8</v>
      </c>
      <c r="D99" s="50">
        <v>1</v>
      </c>
      <c r="E99" s="50">
        <v>1</v>
      </c>
      <c r="F99" s="50">
        <v>5</v>
      </c>
      <c r="G99" s="50">
        <v>0</v>
      </c>
      <c r="H99" s="50">
        <v>2</v>
      </c>
      <c r="I99" s="50">
        <v>2</v>
      </c>
      <c r="J99" s="50">
        <v>1</v>
      </c>
      <c r="K99" s="50">
        <v>0</v>
      </c>
      <c r="L99" s="50">
        <v>0</v>
      </c>
      <c r="M99" s="50">
        <v>32</v>
      </c>
      <c r="N99" s="50">
        <v>0</v>
      </c>
      <c r="O99" s="15">
        <f t="shared" si="35"/>
        <v>20</v>
      </c>
      <c r="P99" s="15">
        <f t="shared" si="36"/>
        <v>52</v>
      </c>
      <c r="R99" s="8"/>
      <c r="T99"/>
    </row>
    <row r="100" spans="2:20" ht="23.1" customHeight="1" x14ac:dyDescent="0.25">
      <c r="B100" s="47" t="s">
        <v>140</v>
      </c>
      <c r="C100" s="50">
        <v>11</v>
      </c>
      <c r="D100" s="50">
        <v>2</v>
      </c>
      <c r="E100" s="50">
        <v>1</v>
      </c>
      <c r="F100" s="50">
        <v>7</v>
      </c>
      <c r="G100" s="50">
        <v>0</v>
      </c>
      <c r="H100" s="50">
        <v>0</v>
      </c>
      <c r="I100" s="50">
        <v>2</v>
      </c>
      <c r="J100" s="50">
        <v>2</v>
      </c>
      <c r="K100" s="50">
        <v>0</v>
      </c>
      <c r="L100" s="50">
        <v>0</v>
      </c>
      <c r="M100" s="50">
        <v>50</v>
      </c>
      <c r="N100" s="50">
        <v>0</v>
      </c>
      <c r="O100" s="15">
        <f t="shared" si="35"/>
        <v>25</v>
      </c>
      <c r="P100" s="15">
        <f t="shared" si="36"/>
        <v>75</v>
      </c>
      <c r="R100" s="8"/>
      <c r="T100"/>
    </row>
    <row r="101" spans="2:20" ht="23.1" customHeight="1" x14ac:dyDescent="0.25">
      <c r="B101" s="45" t="s">
        <v>141</v>
      </c>
      <c r="C101" s="50">
        <v>11</v>
      </c>
      <c r="D101" s="50">
        <v>3</v>
      </c>
      <c r="E101" s="50">
        <v>3</v>
      </c>
      <c r="F101" s="50">
        <v>13</v>
      </c>
      <c r="G101" s="50">
        <v>0</v>
      </c>
      <c r="H101" s="50">
        <v>1</v>
      </c>
      <c r="I101" s="50">
        <v>1</v>
      </c>
      <c r="J101" s="50">
        <v>0</v>
      </c>
      <c r="K101" s="50">
        <v>0</v>
      </c>
      <c r="L101" s="50">
        <v>1</v>
      </c>
      <c r="M101" s="50">
        <v>75</v>
      </c>
      <c r="N101" s="50">
        <v>0</v>
      </c>
      <c r="O101" s="15">
        <f t="shared" si="35"/>
        <v>33</v>
      </c>
      <c r="P101" s="15">
        <f t="shared" si="36"/>
        <v>108</v>
      </c>
      <c r="R101" s="8"/>
      <c r="T101"/>
    </row>
    <row r="102" spans="2:20" ht="23.1" customHeight="1" x14ac:dyDescent="0.25">
      <c r="B102" s="46" t="s">
        <v>142</v>
      </c>
      <c r="C102" s="50">
        <v>14</v>
      </c>
      <c r="D102" s="50">
        <v>1</v>
      </c>
      <c r="E102" s="50">
        <v>1</v>
      </c>
      <c r="F102" s="50">
        <v>7</v>
      </c>
      <c r="G102" s="50">
        <v>0</v>
      </c>
      <c r="H102" s="50">
        <v>0</v>
      </c>
      <c r="I102" s="50">
        <v>3</v>
      </c>
      <c r="J102" s="50">
        <v>1</v>
      </c>
      <c r="K102" s="50">
        <v>0</v>
      </c>
      <c r="L102" s="50">
        <v>0</v>
      </c>
      <c r="M102" s="50">
        <v>60</v>
      </c>
      <c r="N102" s="50">
        <v>0</v>
      </c>
      <c r="O102" s="15">
        <f t="shared" si="35"/>
        <v>27</v>
      </c>
      <c r="P102" s="15">
        <f t="shared" si="36"/>
        <v>87</v>
      </c>
      <c r="R102" s="8"/>
      <c r="T102"/>
    </row>
    <row r="103" spans="2:20" ht="23.1" customHeight="1" x14ac:dyDescent="0.25">
      <c r="B103" s="45" t="s">
        <v>143</v>
      </c>
      <c r="C103" s="50">
        <v>9</v>
      </c>
      <c r="D103" s="50">
        <v>0</v>
      </c>
      <c r="E103" s="50">
        <v>3</v>
      </c>
      <c r="F103" s="50">
        <v>23</v>
      </c>
      <c r="G103" s="50">
        <v>0</v>
      </c>
      <c r="H103" s="50">
        <v>0</v>
      </c>
      <c r="I103" s="50">
        <v>0</v>
      </c>
      <c r="J103" s="50">
        <v>1</v>
      </c>
      <c r="K103" s="50">
        <v>0</v>
      </c>
      <c r="L103" s="50">
        <v>1</v>
      </c>
      <c r="M103" s="50">
        <v>42</v>
      </c>
      <c r="N103" s="50">
        <v>0</v>
      </c>
      <c r="O103" s="15">
        <f t="shared" si="35"/>
        <v>37</v>
      </c>
      <c r="P103" s="15">
        <f t="shared" si="36"/>
        <v>79</v>
      </c>
      <c r="R103" s="8"/>
      <c r="T103"/>
    </row>
    <row r="104" spans="2:20" ht="23.1" customHeight="1" x14ac:dyDescent="0.25">
      <c r="B104" s="47" t="s">
        <v>144</v>
      </c>
      <c r="C104" s="50">
        <v>14</v>
      </c>
      <c r="D104" s="50">
        <v>4</v>
      </c>
      <c r="E104" s="50">
        <v>6</v>
      </c>
      <c r="F104" s="50">
        <v>35</v>
      </c>
      <c r="G104" s="50">
        <v>1</v>
      </c>
      <c r="H104" s="50">
        <v>0</v>
      </c>
      <c r="I104" s="50">
        <v>0</v>
      </c>
      <c r="J104" s="50">
        <v>1</v>
      </c>
      <c r="K104" s="50">
        <v>0</v>
      </c>
      <c r="L104" s="50">
        <v>0</v>
      </c>
      <c r="M104" s="50">
        <v>30</v>
      </c>
      <c r="N104" s="50">
        <v>0</v>
      </c>
      <c r="O104" s="15">
        <f t="shared" si="35"/>
        <v>61</v>
      </c>
      <c r="P104" s="15">
        <f t="shared" si="36"/>
        <v>91</v>
      </c>
      <c r="R104" s="8"/>
      <c r="T104"/>
    </row>
    <row r="105" spans="2:20" ht="23.1" customHeight="1" x14ac:dyDescent="0.25">
      <c r="B105" s="45" t="s">
        <v>145</v>
      </c>
      <c r="C105" s="50">
        <v>16</v>
      </c>
      <c r="D105" s="50">
        <v>4</v>
      </c>
      <c r="E105" s="50">
        <v>4</v>
      </c>
      <c r="F105" s="50">
        <v>34</v>
      </c>
      <c r="G105" s="50">
        <v>34</v>
      </c>
      <c r="H105" s="50">
        <v>0</v>
      </c>
      <c r="I105" s="50">
        <v>0</v>
      </c>
      <c r="J105" s="50">
        <v>1</v>
      </c>
      <c r="K105" s="50">
        <v>0</v>
      </c>
      <c r="L105" s="50">
        <v>0</v>
      </c>
      <c r="M105" s="50">
        <v>60</v>
      </c>
      <c r="N105" s="50">
        <v>0</v>
      </c>
      <c r="O105" s="15">
        <f t="shared" si="35"/>
        <v>93</v>
      </c>
      <c r="P105" s="15">
        <f t="shared" si="36"/>
        <v>153</v>
      </c>
      <c r="R105" s="8"/>
      <c r="T105"/>
    </row>
    <row r="106" spans="2:20" ht="23.1" customHeight="1" x14ac:dyDescent="0.25">
      <c r="B106" s="26" t="s">
        <v>18</v>
      </c>
      <c r="C106" s="16">
        <f>SUM(C10:C105)</f>
        <v>3974</v>
      </c>
      <c r="D106" s="16">
        <f t="shared" ref="D106:P106" si="37">SUM(D10:D105)</f>
        <v>1040</v>
      </c>
      <c r="E106" s="16">
        <f t="shared" si="37"/>
        <v>662</v>
      </c>
      <c r="F106" s="16">
        <f t="shared" si="37"/>
        <v>3189</v>
      </c>
      <c r="G106" s="16">
        <f t="shared" si="37"/>
        <v>189</v>
      </c>
      <c r="H106" s="16">
        <f t="shared" si="37"/>
        <v>97</v>
      </c>
      <c r="I106" s="16">
        <f t="shared" si="37"/>
        <v>302</v>
      </c>
      <c r="J106" s="16">
        <f t="shared" si="37"/>
        <v>154</v>
      </c>
      <c r="K106" s="16">
        <f t="shared" si="37"/>
        <v>50</v>
      </c>
      <c r="L106" s="16">
        <f t="shared" si="37"/>
        <v>37</v>
      </c>
      <c r="M106" s="16">
        <f t="shared" si="37"/>
        <v>10101</v>
      </c>
      <c r="N106" s="16">
        <f t="shared" si="37"/>
        <v>0</v>
      </c>
      <c r="O106" s="16">
        <f t="shared" si="37"/>
        <v>9527</v>
      </c>
      <c r="P106" s="16">
        <f t="shared" si="37"/>
        <v>19477</v>
      </c>
      <c r="R106" s="8"/>
      <c r="T106"/>
    </row>
    <row r="107" spans="2:20" ht="23.1" customHeight="1" x14ac:dyDescent="0.25">
      <c r="B107" s="26" t="s">
        <v>93</v>
      </c>
      <c r="C107" s="43">
        <f t="shared" ref="C107:N107" si="38">C106/$P$106</f>
        <v>0.20403552908558814</v>
      </c>
      <c r="D107" s="43">
        <f t="shared" si="38"/>
        <v>5.3396313600657185E-2</v>
      </c>
      <c r="E107" s="43">
        <f t="shared" si="38"/>
        <v>3.3988807311187558E-2</v>
      </c>
      <c r="F107" s="43">
        <f t="shared" si="38"/>
        <v>0.16373158083893824</v>
      </c>
      <c r="G107" s="43">
        <f t="shared" si="38"/>
        <v>9.7037531447348151E-3</v>
      </c>
      <c r="H107" s="43">
        <f t="shared" si="38"/>
        <v>4.9802330954459104E-3</v>
      </c>
      <c r="I107" s="43">
        <f t="shared" si="38"/>
        <v>1.5505467987883144E-2</v>
      </c>
      <c r="J107" s="43">
        <f t="shared" si="38"/>
        <v>7.906761821635775E-3</v>
      </c>
      <c r="K107" s="43">
        <f t="shared" si="38"/>
        <v>2.5671304615700568E-3</v>
      </c>
      <c r="L107" s="43">
        <f t="shared" si="38"/>
        <v>1.8996765415618421E-3</v>
      </c>
      <c r="M107" s="43">
        <f t="shared" si="38"/>
        <v>0.51861169584638289</v>
      </c>
      <c r="N107" s="43">
        <f t="shared" si="38"/>
        <v>0</v>
      </c>
      <c r="R107" s="8"/>
      <c r="T107"/>
    </row>
    <row r="108" spans="2:20" ht="23.1" customHeight="1" x14ac:dyDescent="0.25">
      <c r="B108" s="42" t="s">
        <v>94</v>
      </c>
      <c r="C108" s="44">
        <f>C106/$O$106</f>
        <v>0.41713026136244358</v>
      </c>
      <c r="D108" s="44">
        <f t="shared" ref="D108:N108" si="39">D106/$O$106</f>
        <v>0.10916343025086596</v>
      </c>
      <c r="E108" s="44">
        <f t="shared" si="39"/>
        <v>6.9486721948147367E-2</v>
      </c>
      <c r="F108" s="44">
        <f t="shared" si="39"/>
        <v>0.33473286449039574</v>
      </c>
      <c r="G108" s="44">
        <f t="shared" si="39"/>
        <v>1.9838354151359296E-2</v>
      </c>
      <c r="H108" s="44">
        <f t="shared" si="39"/>
        <v>1.0181589167628844E-2</v>
      </c>
      <c r="I108" s="44">
        <f t="shared" si="39"/>
        <v>3.1699380707462997E-2</v>
      </c>
      <c r="J108" s="44">
        <f t="shared" si="39"/>
        <v>1.6164584864070537E-2</v>
      </c>
      <c r="K108" s="44">
        <f t="shared" si="39"/>
        <v>5.2482418389839403E-3</v>
      </c>
      <c r="L108" s="44">
        <f t="shared" si="39"/>
        <v>3.883698960848116E-3</v>
      </c>
      <c r="M108" s="44"/>
      <c r="N108" s="44">
        <f t="shared" si="39"/>
        <v>0</v>
      </c>
      <c r="Q108" s="7"/>
      <c r="R108" s="8"/>
      <c r="T108"/>
    </row>
    <row r="109" spans="2:20" ht="23.1" customHeight="1" x14ac:dyDescent="0.25">
      <c r="B109" s="3"/>
      <c r="C109" s="18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Q109" s="7"/>
      <c r="R109" s="8"/>
      <c r="T109"/>
    </row>
    <row r="110" spans="2:20" ht="23.1" customHeight="1" x14ac:dyDescent="0.25">
      <c r="B110" s="3"/>
      <c r="C110" s="18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Q110" s="7"/>
      <c r="R110" s="8"/>
      <c r="T110"/>
    </row>
    <row r="111" spans="2:20" ht="23.1" customHeight="1" x14ac:dyDescent="0.25">
      <c r="B111" s="3"/>
      <c r="C111" s="18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Q111" s="7"/>
    </row>
    <row r="112" spans="2:20" ht="23.1" customHeight="1" x14ac:dyDescent="0.25">
      <c r="B112" s="3"/>
      <c r="C112" s="18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Q112" s="7"/>
    </row>
    <row r="113" spans="2:20" s="7" customFormat="1" ht="23.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/>
      <c r="P113"/>
      <c r="S113" s="8"/>
      <c r="T113" s="8"/>
    </row>
    <row r="114" spans="2:20" s="7" customFormat="1" ht="23.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/>
      <c r="P114"/>
      <c r="S114" s="8"/>
      <c r="T114" s="8"/>
    </row>
    <row r="115" spans="2:20" s="7" customFormat="1" ht="23.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/>
      <c r="P115"/>
      <c r="S115" s="8"/>
      <c r="T115" s="8"/>
    </row>
    <row r="116" spans="2:20" s="7" customFormat="1" ht="23.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/>
      <c r="P116"/>
      <c r="S116" s="8"/>
      <c r="T116" s="8"/>
    </row>
    <row r="117" spans="2:20" s="7" customFormat="1" ht="23.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/>
      <c r="P117"/>
      <c r="S117" s="8"/>
      <c r="T117" s="8"/>
    </row>
    <row r="118" spans="2:20" s="7" customFormat="1" ht="23.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/>
      <c r="P118"/>
      <c r="S118" s="8"/>
      <c r="T118" s="8"/>
    </row>
    <row r="119" spans="2:20" s="7" customFormat="1" ht="23.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/>
      <c r="P119"/>
      <c r="S119" s="8"/>
      <c r="T119" s="8"/>
    </row>
    <row r="120" spans="2:20" s="7" customFormat="1" ht="23.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/>
      <c r="P120"/>
      <c r="S120" s="8"/>
      <c r="T120" s="8"/>
    </row>
    <row r="121" spans="2:20" s="7" customFormat="1" ht="23.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/>
      <c r="P121"/>
      <c r="S121" s="8"/>
      <c r="T121" s="8"/>
    </row>
    <row r="122" spans="2:20" s="7" customFormat="1" ht="23.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/>
      <c r="P122"/>
      <c r="S122" s="8"/>
      <c r="T122" s="8"/>
    </row>
    <row r="123" spans="2:20" s="7" customFormat="1" ht="23.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/>
      <c r="P123"/>
      <c r="S123" s="8"/>
      <c r="T123" s="8"/>
    </row>
    <row r="124" spans="2:20" s="7" customFormat="1" ht="23.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/>
      <c r="P124"/>
      <c r="S124" s="8"/>
      <c r="T124" s="8"/>
    </row>
    <row r="125" spans="2:20" s="7" customFormat="1" ht="23.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/>
      <c r="P125"/>
      <c r="Q125"/>
      <c r="S125" s="8"/>
      <c r="T125" s="8"/>
    </row>
    <row r="126" spans="2:20" s="7" customFormat="1" ht="23.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/>
      <c r="P126"/>
      <c r="Q126"/>
      <c r="S126" s="8"/>
      <c r="T126" s="8"/>
    </row>
    <row r="127" spans="2:20" s="7" customFormat="1" ht="23.1" customHeight="1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/>
      <c r="P127"/>
      <c r="Q127"/>
      <c r="S127" s="8"/>
      <c r="T127" s="8"/>
    </row>
    <row r="128" spans="2:20" s="7" customFormat="1" ht="23.1" customHeight="1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/>
      <c r="P128"/>
      <c r="Q128"/>
      <c r="S128" s="8"/>
      <c r="T128" s="8"/>
    </row>
    <row r="129" spans="2:14" ht="23.1" customHeight="1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spans="2:14" ht="23.1" customHeight="1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2:14" ht="23.1" customHeight="1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2:14" ht="23.1" customHeight="1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2:14" ht="23.1" customHeight="1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2:14" ht="23.1" customHeight="1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2:14" ht="23.1" customHeight="1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2:14" ht="23.1" customHeight="1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2:14" ht="23.1" customHeight="1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2:14" ht="23.1" customHeight="1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2:14" ht="23.1" customHeight="1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2:14" ht="23.1" customHeight="1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2:14" ht="23.1" customHeight="1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2:14" ht="23.1" customHeight="1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2:14" ht="23.1" customHeight="1" x14ac:dyDescent="0.25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2:14" ht="23.1" customHeight="1" x14ac:dyDescent="0.25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2:14" ht="23.1" customHeight="1" x14ac:dyDescent="0.25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2:14" ht="23.1" customHeight="1" x14ac:dyDescent="0.25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2:14" ht="23.1" customHeight="1" x14ac:dyDescent="0.25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2:14" ht="23.1" customHeight="1" x14ac:dyDescent="0.25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2:14" ht="23.1" customHeight="1" x14ac:dyDescent="0.25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2:14" ht="23.1" customHeight="1" x14ac:dyDescent="0.25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2:14" ht="23.1" customHeight="1" x14ac:dyDescent="0.25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2:14" ht="23.1" customHeight="1" x14ac:dyDescent="0.25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2:14" ht="23.1" customHeight="1" x14ac:dyDescent="0.25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2:14" ht="23.1" customHeight="1" x14ac:dyDescent="0.25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2:14" ht="23.1" customHeight="1" x14ac:dyDescent="0.25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2:14" ht="23.1" customHeight="1" x14ac:dyDescent="0.25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2:14" ht="23.1" customHeight="1" x14ac:dyDescent="0.25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2:14" ht="23.1" customHeight="1" x14ac:dyDescent="0.25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2:14" ht="23.1" customHeight="1" x14ac:dyDescent="0.25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2:14" ht="23.1" customHeight="1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2:14" ht="23.1" customHeight="1" x14ac:dyDescent="0.2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2:14" ht="23.1" customHeight="1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2:14" ht="23.1" customHeight="1" x14ac:dyDescent="0.2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2:14" ht="23.1" customHeight="1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2:14" ht="23.1" customHeight="1" x14ac:dyDescent="0.2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2:14" ht="23.1" customHeight="1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2:14" ht="23.1" customHeight="1" x14ac:dyDescent="0.2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2:14" ht="23.1" customHeight="1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2:14" ht="23.1" customHeight="1" x14ac:dyDescent="0.2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2:14" ht="23.1" customHeight="1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2:14" ht="23.1" customHeight="1" x14ac:dyDescent="0.2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2:14" ht="23.1" customHeight="1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2:14" ht="23.1" customHeight="1" x14ac:dyDescent="0.2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2:14" ht="23.1" customHeight="1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 tint="-0.249977111117893"/>
  </sheetPr>
  <dimension ref="B1:AF174"/>
  <sheetViews>
    <sheetView view="pageBreakPreview" topLeftCell="A43" zoomScale="60" workbookViewId="0">
      <selection activeCell="M102" sqref="M102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710937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64" t="s">
        <v>23</v>
      </c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  <c r="S1" s="64"/>
      <c r="T1" s="64"/>
      <c r="U1" s="64"/>
      <c r="V1" s="64"/>
      <c r="W1" s="64"/>
      <c r="X1" s="64"/>
      <c r="Y1" s="64"/>
      <c r="Z1" s="64"/>
      <c r="AA1" s="64"/>
      <c r="AB1" s="64"/>
      <c r="AC1" s="64"/>
      <c r="AD1" s="64"/>
      <c r="AE1" s="64"/>
    </row>
    <row r="2" spans="2:32" ht="20.100000000000001" customHeight="1" x14ac:dyDescent="0.25">
      <c r="B2" s="65" t="s">
        <v>95</v>
      </c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  <c r="AA2" s="65"/>
      <c r="AB2" s="65"/>
      <c r="AC2" s="65"/>
      <c r="AD2" s="65"/>
      <c r="AE2" s="65"/>
    </row>
    <row r="3" spans="2:32" ht="20.100000000000001" customHeight="1" x14ac:dyDescent="0.25">
      <c r="B3" s="22" t="s">
        <v>96</v>
      </c>
      <c r="C3" s="71" t="str">
        <f>'22.07 Bwaise-Makerere'!C3:G3</f>
        <v>MCC - C1 - STN021- SIR APOLLO ROAD</v>
      </c>
      <c r="D3" s="71"/>
      <c r="E3" s="71"/>
      <c r="F3" s="71"/>
      <c r="G3" s="71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tr">
        <f>'27.07 Bwaise-Makerere-24h'!D5</f>
        <v>27.07.19</v>
      </c>
      <c r="E5" s="3"/>
      <c r="F5" s="41" t="s">
        <v>1</v>
      </c>
      <c r="G5" s="69" t="str">
        <f>'27.07 Bwaise-Makerere-24h'!G5:H5</f>
        <v>PREMIUM DESIGN LTD</v>
      </c>
      <c r="H5" s="70"/>
      <c r="I5" s="14"/>
      <c r="J5" s="2" t="s">
        <v>5</v>
      </c>
      <c r="K5" s="69" t="str">
        <f>'27.07 Bwaise-Makerere-24h'!K5:L5</f>
        <v>OKELLO PETER</v>
      </c>
      <c r="L5" s="70"/>
      <c r="M5" s="10"/>
      <c r="N5" s="10"/>
      <c r="O5" s="3"/>
      <c r="P5" s="3"/>
    </row>
    <row r="6" spans="2:32" ht="23.25" customHeight="1" x14ac:dyDescent="0.25">
      <c r="C6" s="2" t="s">
        <v>4</v>
      </c>
      <c r="D6" s="69" t="str">
        <f>'22.07 MAKERERE-BWAISE'!D6:E6</f>
        <v>MAKARERE</v>
      </c>
      <c r="E6" s="70"/>
      <c r="F6" s="2" t="s">
        <v>2</v>
      </c>
      <c r="G6" s="69" t="str">
        <f>'22.07 MAKERERE-BWAISE'!G6:H6</f>
        <v>BWAISE</v>
      </c>
      <c r="H6" s="70"/>
      <c r="J6" s="2" t="s">
        <v>21</v>
      </c>
      <c r="K6" s="69" t="str">
        <f>'27.07 Bwaise-Makerere-24h'!K6:L6</f>
        <v>SALIMAH</v>
      </c>
      <c r="L6" s="70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63" t="s">
        <v>88</v>
      </c>
      <c r="S8" s="63"/>
      <c r="T8" s="63"/>
      <c r="U8" s="63"/>
      <c r="V8" s="63"/>
      <c r="W8" s="63"/>
      <c r="X8" s="63"/>
      <c r="Y8" s="63"/>
      <c r="Z8" s="63"/>
      <c r="AA8" s="63"/>
      <c r="AB8" s="63"/>
      <c r="AC8" s="63"/>
      <c r="AD8" s="63"/>
      <c r="AE8" s="63"/>
      <c r="AF8" s="63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45" t="s">
        <v>37</v>
      </c>
      <c r="C10" s="50">
        <v>17</v>
      </c>
      <c r="D10" s="50">
        <v>7</v>
      </c>
      <c r="E10" s="50">
        <v>2</v>
      </c>
      <c r="F10" s="50">
        <v>44</v>
      </c>
      <c r="G10" s="50">
        <v>1</v>
      </c>
      <c r="H10" s="50">
        <v>0</v>
      </c>
      <c r="I10" s="50">
        <v>6</v>
      </c>
      <c r="J10" s="50">
        <v>3</v>
      </c>
      <c r="K10" s="50">
        <v>1</v>
      </c>
      <c r="L10" s="50">
        <v>1</v>
      </c>
      <c r="M10" s="50">
        <v>113</v>
      </c>
      <c r="N10" s="50">
        <v>0</v>
      </c>
      <c r="O10" s="15">
        <f t="shared" ref="O10:O73" si="0">SUM(C10:L10,N10)</f>
        <v>82</v>
      </c>
      <c r="P10" s="15">
        <f t="shared" ref="P10:P73" si="1">SUM(C10:N10)</f>
        <v>195</v>
      </c>
      <c r="R10" s="1" t="s">
        <v>6</v>
      </c>
      <c r="S10" s="17">
        <f t="shared" ref="S10:AF10" si="2">SUM(C10:C13)</f>
        <v>70</v>
      </c>
      <c r="T10" s="17">
        <f t="shared" si="2"/>
        <v>26</v>
      </c>
      <c r="U10" s="17">
        <f t="shared" si="2"/>
        <v>11</v>
      </c>
      <c r="V10" s="17">
        <f t="shared" si="2"/>
        <v>172</v>
      </c>
      <c r="W10" s="17">
        <f t="shared" si="2"/>
        <v>6</v>
      </c>
      <c r="X10" s="17">
        <f t="shared" si="2"/>
        <v>4</v>
      </c>
      <c r="Y10" s="17">
        <f t="shared" si="2"/>
        <v>10</v>
      </c>
      <c r="Z10" s="17">
        <f t="shared" si="2"/>
        <v>10</v>
      </c>
      <c r="AA10" s="17">
        <f t="shared" si="2"/>
        <v>8</v>
      </c>
      <c r="AB10" s="17">
        <f t="shared" si="2"/>
        <v>1</v>
      </c>
      <c r="AC10" s="17">
        <f t="shared" si="2"/>
        <v>516</v>
      </c>
      <c r="AD10" s="17">
        <f t="shared" si="2"/>
        <v>0</v>
      </c>
      <c r="AE10" s="31">
        <f t="shared" si="2"/>
        <v>318</v>
      </c>
      <c r="AF10" s="31">
        <f t="shared" si="2"/>
        <v>834</v>
      </c>
    </row>
    <row r="11" spans="2:32" s="6" customFormat="1" ht="23.1" customHeight="1" x14ac:dyDescent="0.25">
      <c r="B11" s="45" t="s">
        <v>38</v>
      </c>
      <c r="C11" s="50">
        <v>5</v>
      </c>
      <c r="D11" s="50">
        <v>3</v>
      </c>
      <c r="E11" s="50">
        <v>1</v>
      </c>
      <c r="F11" s="50">
        <v>32</v>
      </c>
      <c r="G11" s="50">
        <v>2</v>
      </c>
      <c r="H11" s="50">
        <v>4</v>
      </c>
      <c r="I11" s="50">
        <v>1</v>
      </c>
      <c r="J11" s="50">
        <v>0</v>
      </c>
      <c r="K11" s="50">
        <v>1</v>
      </c>
      <c r="L11" s="50">
        <v>0</v>
      </c>
      <c r="M11" s="50">
        <v>110</v>
      </c>
      <c r="N11" s="50">
        <v>0</v>
      </c>
      <c r="O11" s="15">
        <f t="shared" si="0"/>
        <v>49</v>
      </c>
      <c r="P11" s="15">
        <f t="shared" si="1"/>
        <v>159</v>
      </c>
      <c r="R11" s="1" t="s">
        <v>7</v>
      </c>
      <c r="S11" s="17">
        <f t="shared" ref="S11:AF11" si="3">SUM(C14:C17)</f>
        <v>77</v>
      </c>
      <c r="T11" s="17">
        <f t="shared" si="3"/>
        <v>235</v>
      </c>
      <c r="U11" s="17">
        <f t="shared" si="3"/>
        <v>14</v>
      </c>
      <c r="V11" s="17">
        <f t="shared" si="3"/>
        <v>205</v>
      </c>
      <c r="W11" s="17">
        <f t="shared" si="3"/>
        <v>7</v>
      </c>
      <c r="X11" s="17">
        <f t="shared" si="3"/>
        <v>4</v>
      </c>
      <c r="Y11" s="17">
        <f t="shared" si="3"/>
        <v>6</v>
      </c>
      <c r="Z11" s="17">
        <f t="shared" si="3"/>
        <v>3</v>
      </c>
      <c r="AA11" s="17">
        <f t="shared" si="3"/>
        <v>14</v>
      </c>
      <c r="AB11" s="17">
        <f t="shared" si="3"/>
        <v>2</v>
      </c>
      <c r="AC11" s="17">
        <f t="shared" si="3"/>
        <v>915</v>
      </c>
      <c r="AD11" s="17">
        <f t="shared" si="3"/>
        <v>0</v>
      </c>
      <c r="AE11" s="31">
        <f t="shared" si="3"/>
        <v>567</v>
      </c>
      <c r="AF11" s="31">
        <f t="shared" si="3"/>
        <v>1482</v>
      </c>
    </row>
    <row r="12" spans="2:32" ht="23.1" customHeight="1" x14ac:dyDescent="0.25">
      <c r="B12" s="45" t="s">
        <v>39</v>
      </c>
      <c r="C12" s="50">
        <v>25</v>
      </c>
      <c r="D12" s="50">
        <v>8</v>
      </c>
      <c r="E12" s="50">
        <v>3</v>
      </c>
      <c r="F12" s="50">
        <v>49</v>
      </c>
      <c r="G12" s="50">
        <v>2</v>
      </c>
      <c r="H12" s="50">
        <v>0</v>
      </c>
      <c r="I12" s="50">
        <v>2</v>
      </c>
      <c r="J12" s="50">
        <v>4</v>
      </c>
      <c r="K12" s="50">
        <v>4</v>
      </c>
      <c r="L12" s="50">
        <v>0</v>
      </c>
      <c r="M12" s="50">
        <v>115</v>
      </c>
      <c r="N12" s="50">
        <v>0</v>
      </c>
      <c r="O12" s="15">
        <f t="shared" si="0"/>
        <v>97</v>
      </c>
      <c r="P12" s="15">
        <f t="shared" si="1"/>
        <v>212</v>
      </c>
      <c r="R12" s="1" t="s">
        <v>8</v>
      </c>
      <c r="S12" s="17">
        <f t="shared" ref="S12:AF12" si="4">SUM(C18:C21)</f>
        <v>166</v>
      </c>
      <c r="T12" s="17">
        <f t="shared" si="4"/>
        <v>59</v>
      </c>
      <c r="U12" s="17">
        <f t="shared" si="4"/>
        <v>21</v>
      </c>
      <c r="V12" s="17">
        <f t="shared" si="4"/>
        <v>221</v>
      </c>
      <c r="W12" s="17">
        <f t="shared" si="4"/>
        <v>5</v>
      </c>
      <c r="X12" s="17">
        <f t="shared" si="4"/>
        <v>1</v>
      </c>
      <c r="Y12" s="17">
        <f t="shared" si="4"/>
        <v>14</v>
      </c>
      <c r="Z12" s="17">
        <f t="shared" si="4"/>
        <v>11</v>
      </c>
      <c r="AA12" s="17">
        <f t="shared" si="4"/>
        <v>6</v>
      </c>
      <c r="AB12" s="17">
        <f t="shared" si="4"/>
        <v>6</v>
      </c>
      <c r="AC12" s="17">
        <f t="shared" si="4"/>
        <v>650</v>
      </c>
      <c r="AD12" s="17">
        <f t="shared" si="4"/>
        <v>0</v>
      </c>
      <c r="AE12" s="31">
        <f t="shared" si="4"/>
        <v>510</v>
      </c>
      <c r="AF12" s="31">
        <f t="shared" si="4"/>
        <v>1160</v>
      </c>
    </row>
    <row r="13" spans="2:32" ht="23.1" customHeight="1" x14ac:dyDescent="0.25">
      <c r="B13" s="45" t="s">
        <v>40</v>
      </c>
      <c r="C13" s="50">
        <v>23</v>
      </c>
      <c r="D13" s="50">
        <v>8</v>
      </c>
      <c r="E13" s="50">
        <v>5</v>
      </c>
      <c r="F13" s="50">
        <v>47</v>
      </c>
      <c r="G13" s="50">
        <v>1</v>
      </c>
      <c r="H13" s="50">
        <v>0</v>
      </c>
      <c r="I13" s="50">
        <v>1</v>
      </c>
      <c r="J13" s="50">
        <v>3</v>
      </c>
      <c r="K13" s="50">
        <v>2</v>
      </c>
      <c r="L13" s="50">
        <v>0</v>
      </c>
      <c r="M13" s="50">
        <v>178</v>
      </c>
      <c r="N13" s="50">
        <v>0</v>
      </c>
      <c r="O13" s="15">
        <f t="shared" si="0"/>
        <v>90</v>
      </c>
      <c r="P13" s="15">
        <f t="shared" si="1"/>
        <v>268</v>
      </c>
      <c r="R13" s="1" t="s">
        <v>9</v>
      </c>
      <c r="S13" s="17">
        <f t="shared" ref="S13:AF13" si="5">SUM(C22:C25)</f>
        <v>198</v>
      </c>
      <c r="T13" s="17">
        <f t="shared" si="5"/>
        <v>61</v>
      </c>
      <c r="U13" s="17">
        <f t="shared" si="5"/>
        <v>14</v>
      </c>
      <c r="V13" s="17">
        <f t="shared" si="5"/>
        <v>192</v>
      </c>
      <c r="W13" s="17">
        <f t="shared" si="5"/>
        <v>3</v>
      </c>
      <c r="X13" s="17">
        <f t="shared" si="5"/>
        <v>3</v>
      </c>
      <c r="Y13" s="17">
        <f t="shared" si="5"/>
        <v>11</v>
      </c>
      <c r="Z13" s="17">
        <f t="shared" si="5"/>
        <v>18</v>
      </c>
      <c r="AA13" s="17">
        <f t="shared" si="5"/>
        <v>10</v>
      </c>
      <c r="AB13" s="17">
        <f t="shared" si="5"/>
        <v>5</v>
      </c>
      <c r="AC13" s="17">
        <f t="shared" si="5"/>
        <v>609</v>
      </c>
      <c r="AD13" s="17">
        <f t="shared" si="5"/>
        <v>0</v>
      </c>
      <c r="AE13" s="31">
        <f t="shared" si="5"/>
        <v>515</v>
      </c>
      <c r="AF13" s="31">
        <f t="shared" si="5"/>
        <v>1124</v>
      </c>
    </row>
    <row r="14" spans="2:32" ht="23.1" customHeight="1" x14ac:dyDescent="0.25">
      <c r="B14" s="45" t="s">
        <v>41</v>
      </c>
      <c r="C14" s="50">
        <v>23</v>
      </c>
      <c r="D14" s="50">
        <v>12</v>
      </c>
      <c r="E14" s="50">
        <v>1</v>
      </c>
      <c r="F14" s="50">
        <v>68</v>
      </c>
      <c r="G14" s="50">
        <v>2</v>
      </c>
      <c r="H14" s="50">
        <v>2</v>
      </c>
      <c r="I14" s="50">
        <v>1</v>
      </c>
      <c r="J14" s="50">
        <v>0</v>
      </c>
      <c r="K14" s="50">
        <v>6</v>
      </c>
      <c r="L14" s="50">
        <v>1</v>
      </c>
      <c r="M14" s="50">
        <v>235</v>
      </c>
      <c r="N14" s="50">
        <v>0</v>
      </c>
      <c r="O14" s="15">
        <f t="shared" si="0"/>
        <v>116</v>
      </c>
      <c r="P14" s="15">
        <f t="shared" si="1"/>
        <v>351</v>
      </c>
      <c r="R14" s="1" t="s">
        <v>10</v>
      </c>
      <c r="S14" s="17">
        <f t="shared" ref="S14:AF14" si="6">SUM(C26:C29)</f>
        <v>189</v>
      </c>
      <c r="T14" s="17">
        <f t="shared" si="6"/>
        <v>77</v>
      </c>
      <c r="U14" s="17">
        <f t="shared" si="6"/>
        <v>94</v>
      </c>
      <c r="V14" s="17">
        <f t="shared" si="6"/>
        <v>173</v>
      </c>
      <c r="W14" s="17">
        <f t="shared" si="6"/>
        <v>71</v>
      </c>
      <c r="X14" s="17">
        <f t="shared" si="6"/>
        <v>4</v>
      </c>
      <c r="Y14" s="17">
        <f t="shared" si="6"/>
        <v>12</v>
      </c>
      <c r="Z14" s="17">
        <f t="shared" si="6"/>
        <v>14</v>
      </c>
      <c r="AA14" s="17">
        <f t="shared" si="6"/>
        <v>10</v>
      </c>
      <c r="AB14" s="17">
        <f t="shared" si="6"/>
        <v>2</v>
      </c>
      <c r="AC14" s="17">
        <f t="shared" si="6"/>
        <v>593</v>
      </c>
      <c r="AD14" s="17">
        <f t="shared" si="6"/>
        <v>0</v>
      </c>
      <c r="AE14" s="31">
        <f t="shared" si="6"/>
        <v>646</v>
      </c>
      <c r="AF14" s="31">
        <f t="shared" si="6"/>
        <v>1239</v>
      </c>
    </row>
    <row r="15" spans="2:32" ht="23.1" customHeight="1" x14ac:dyDescent="0.25">
      <c r="B15" s="45" t="s">
        <v>42</v>
      </c>
      <c r="C15" s="50">
        <v>25</v>
      </c>
      <c r="D15" s="50">
        <v>7</v>
      </c>
      <c r="E15" s="50">
        <v>2</v>
      </c>
      <c r="F15" s="50">
        <v>47</v>
      </c>
      <c r="G15" s="50">
        <v>0</v>
      </c>
      <c r="H15" s="50">
        <v>0</v>
      </c>
      <c r="I15" s="50">
        <v>2</v>
      </c>
      <c r="J15" s="50">
        <v>1</v>
      </c>
      <c r="K15" s="50">
        <v>3</v>
      </c>
      <c r="L15" s="50">
        <v>0</v>
      </c>
      <c r="M15" s="50">
        <v>185</v>
      </c>
      <c r="N15" s="50">
        <v>0</v>
      </c>
      <c r="O15" s="15">
        <f t="shared" si="0"/>
        <v>87</v>
      </c>
      <c r="P15" s="15">
        <f t="shared" si="1"/>
        <v>272</v>
      </c>
      <c r="R15" s="1" t="s">
        <v>11</v>
      </c>
      <c r="S15" s="17">
        <f t="shared" ref="S15:AF15" si="7">SUM(C30:C33)</f>
        <v>231</v>
      </c>
      <c r="T15" s="17">
        <f t="shared" si="7"/>
        <v>107</v>
      </c>
      <c r="U15" s="17">
        <f t="shared" si="7"/>
        <v>29</v>
      </c>
      <c r="V15" s="17">
        <f t="shared" si="7"/>
        <v>213</v>
      </c>
      <c r="W15" s="17">
        <f t="shared" si="7"/>
        <v>2</v>
      </c>
      <c r="X15" s="17">
        <f t="shared" si="7"/>
        <v>3</v>
      </c>
      <c r="Y15" s="17">
        <f t="shared" si="7"/>
        <v>13</v>
      </c>
      <c r="Z15" s="17">
        <f t="shared" si="7"/>
        <v>19</v>
      </c>
      <c r="AA15" s="17">
        <f t="shared" si="7"/>
        <v>23</v>
      </c>
      <c r="AB15" s="17">
        <f t="shared" si="7"/>
        <v>0</v>
      </c>
      <c r="AC15" s="17">
        <f t="shared" si="7"/>
        <v>580</v>
      </c>
      <c r="AD15" s="17">
        <f t="shared" si="7"/>
        <v>0</v>
      </c>
      <c r="AE15" s="31">
        <f t="shared" si="7"/>
        <v>640</v>
      </c>
      <c r="AF15" s="31">
        <f t="shared" si="7"/>
        <v>1220</v>
      </c>
    </row>
    <row r="16" spans="2:32" ht="23.1" customHeight="1" x14ac:dyDescent="0.25">
      <c r="B16" s="45" t="s">
        <v>43</v>
      </c>
      <c r="C16" s="50">
        <v>28</v>
      </c>
      <c r="D16" s="50">
        <v>5</v>
      </c>
      <c r="E16" s="50">
        <v>3</v>
      </c>
      <c r="F16" s="50">
        <v>50</v>
      </c>
      <c r="G16" s="50">
        <v>1</v>
      </c>
      <c r="H16" s="50">
        <v>0</v>
      </c>
      <c r="I16" s="50">
        <v>3</v>
      </c>
      <c r="J16" s="50">
        <v>1</v>
      </c>
      <c r="K16" s="50">
        <v>1</v>
      </c>
      <c r="L16" s="50">
        <v>0</v>
      </c>
      <c r="M16" s="50">
        <v>235</v>
      </c>
      <c r="N16" s="50">
        <v>0</v>
      </c>
      <c r="O16" s="15">
        <f t="shared" si="0"/>
        <v>92</v>
      </c>
      <c r="P16" s="15">
        <f t="shared" si="1"/>
        <v>327</v>
      </c>
      <c r="R16" s="1" t="s">
        <v>12</v>
      </c>
      <c r="S16" s="17">
        <f t="shared" ref="S16:AF16" si="8">SUM(C34:C37)</f>
        <v>197</v>
      </c>
      <c r="T16" s="17">
        <f t="shared" si="8"/>
        <v>89</v>
      </c>
      <c r="U16" s="17">
        <f t="shared" si="8"/>
        <v>36</v>
      </c>
      <c r="V16" s="17">
        <f t="shared" si="8"/>
        <v>187</v>
      </c>
      <c r="W16" s="17">
        <f t="shared" si="8"/>
        <v>6</v>
      </c>
      <c r="X16" s="17">
        <f t="shared" si="8"/>
        <v>3</v>
      </c>
      <c r="Y16" s="17">
        <f t="shared" si="8"/>
        <v>19</v>
      </c>
      <c r="Z16" s="17">
        <f t="shared" si="8"/>
        <v>18</v>
      </c>
      <c r="AA16" s="17">
        <f t="shared" si="8"/>
        <v>8</v>
      </c>
      <c r="AB16" s="17">
        <f t="shared" si="8"/>
        <v>0</v>
      </c>
      <c r="AC16" s="17">
        <f t="shared" si="8"/>
        <v>592</v>
      </c>
      <c r="AD16" s="17">
        <f t="shared" si="8"/>
        <v>0</v>
      </c>
      <c r="AE16" s="31">
        <f t="shared" si="8"/>
        <v>563</v>
      </c>
      <c r="AF16" s="31">
        <f t="shared" si="8"/>
        <v>1155</v>
      </c>
    </row>
    <row r="17" spans="2:32" ht="23.1" customHeight="1" x14ac:dyDescent="0.25">
      <c r="B17" s="45" t="s">
        <v>44</v>
      </c>
      <c r="C17" s="50">
        <v>1</v>
      </c>
      <c r="D17" s="50">
        <v>211</v>
      </c>
      <c r="E17" s="50">
        <v>8</v>
      </c>
      <c r="F17" s="50">
        <v>40</v>
      </c>
      <c r="G17" s="50">
        <v>4</v>
      </c>
      <c r="H17" s="50">
        <v>2</v>
      </c>
      <c r="I17" s="50">
        <v>0</v>
      </c>
      <c r="J17" s="50">
        <v>1</v>
      </c>
      <c r="K17" s="50">
        <v>4</v>
      </c>
      <c r="L17" s="50">
        <v>1</v>
      </c>
      <c r="M17" s="50">
        <v>260</v>
      </c>
      <c r="N17" s="50">
        <v>0</v>
      </c>
      <c r="O17" s="15">
        <f t="shared" si="0"/>
        <v>272</v>
      </c>
      <c r="P17" s="15">
        <f t="shared" si="1"/>
        <v>532</v>
      </c>
      <c r="R17" s="1" t="s">
        <v>13</v>
      </c>
      <c r="S17" s="17">
        <f t="shared" ref="S17:AF17" si="9">SUM(C38:C41)</f>
        <v>221</v>
      </c>
      <c r="T17" s="17">
        <f t="shared" si="9"/>
        <v>67</v>
      </c>
      <c r="U17" s="17">
        <f t="shared" si="9"/>
        <v>19</v>
      </c>
      <c r="V17" s="17">
        <f t="shared" si="9"/>
        <v>223</v>
      </c>
      <c r="W17" s="17">
        <f t="shared" si="9"/>
        <v>3</v>
      </c>
      <c r="X17" s="17">
        <f t="shared" si="9"/>
        <v>6</v>
      </c>
      <c r="Y17" s="17">
        <f t="shared" si="9"/>
        <v>19</v>
      </c>
      <c r="Z17" s="17">
        <f t="shared" si="9"/>
        <v>10</v>
      </c>
      <c r="AA17" s="17">
        <f t="shared" si="9"/>
        <v>21</v>
      </c>
      <c r="AB17" s="17">
        <f t="shared" si="9"/>
        <v>2</v>
      </c>
      <c r="AC17" s="17">
        <f t="shared" si="9"/>
        <v>555</v>
      </c>
      <c r="AD17" s="17">
        <f t="shared" si="9"/>
        <v>0</v>
      </c>
      <c r="AE17" s="31">
        <f t="shared" si="9"/>
        <v>591</v>
      </c>
      <c r="AF17" s="31">
        <f t="shared" si="9"/>
        <v>1146</v>
      </c>
    </row>
    <row r="18" spans="2:32" ht="23.1" customHeight="1" x14ac:dyDescent="0.25">
      <c r="B18" s="45" t="s">
        <v>45</v>
      </c>
      <c r="C18" s="50">
        <v>53</v>
      </c>
      <c r="D18" s="50">
        <v>10</v>
      </c>
      <c r="E18" s="50">
        <v>6</v>
      </c>
      <c r="F18" s="50">
        <v>64</v>
      </c>
      <c r="G18" s="50">
        <v>1</v>
      </c>
      <c r="H18" s="50">
        <v>0</v>
      </c>
      <c r="I18" s="50">
        <v>2</v>
      </c>
      <c r="J18" s="50">
        <v>2</v>
      </c>
      <c r="K18" s="50">
        <v>2</v>
      </c>
      <c r="L18" s="50">
        <v>2</v>
      </c>
      <c r="M18" s="50">
        <v>195</v>
      </c>
      <c r="N18" s="50">
        <v>0</v>
      </c>
      <c r="O18" s="15">
        <f t="shared" si="0"/>
        <v>142</v>
      </c>
      <c r="P18" s="15">
        <f t="shared" si="1"/>
        <v>337</v>
      </c>
      <c r="R18" s="1" t="s">
        <v>14</v>
      </c>
      <c r="S18" s="17">
        <f t="shared" ref="S18:AF18" si="10">SUM(C42:C45)</f>
        <v>253</v>
      </c>
      <c r="T18" s="17">
        <f t="shared" si="10"/>
        <v>93</v>
      </c>
      <c r="U18" s="17">
        <f t="shared" si="10"/>
        <v>24</v>
      </c>
      <c r="V18" s="17">
        <f t="shared" si="10"/>
        <v>160</v>
      </c>
      <c r="W18" s="17">
        <f t="shared" si="10"/>
        <v>0</v>
      </c>
      <c r="X18" s="17">
        <f t="shared" si="10"/>
        <v>4</v>
      </c>
      <c r="Y18" s="17">
        <f t="shared" si="10"/>
        <v>10</v>
      </c>
      <c r="Z18" s="17">
        <f t="shared" si="10"/>
        <v>9</v>
      </c>
      <c r="AA18" s="17">
        <f t="shared" si="10"/>
        <v>6</v>
      </c>
      <c r="AB18" s="17">
        <f t="shared" si="10"/>
        <v>2</v>
      </c>
      <c r="AC18" s="17">
        <f t="shared" si="10"/>
        <v>575</v>
      </c>
      <c r="AD18" s="17">
        <f t="shared" si="10"/>
        <v>0</v>
      </c>
      <c r="AE18" s="31">
        <f t="shared" si="10"/>
        <v>561</v>
      </c>
      <c r="AF18" s="31">
        <f t="shared" si="10"/>
        <v>1136</v>
      </c>
    </row>
    <row r="19" spans="2:32" ht="23.1" customHeight="1" x14ac:dyDescent="0.25">
      <c r="B19" s="45" t="s">
        <v>46</v>
      </c>
      <c r="C19" s="50">
        <v>41</v>
      </c>
      <c r="D19" s="50">
        <v>11</v>
      </c>
      <c r="E19" s="50">
        <v>7</v>
      </c>
      <c r="F19" s="50">
        <v>53</v>
      </c>
      <c r="G19" s="50">
        <v>3</v>
      </c>
      <c r="H19" s="50">
        <v>0</v>
      </c>
      <c r="I19" s="50">
        <v>6</v>
      </c>
      <c r="J19" s="50">
        <v>2</v>
      </c>
      <c r="K19" s="50">
        <v>0</v>
      </c>
      <c r="L19" s="50">
        <v>0</v>
      </c>
      <c r="M19" s="50">
        <v>125</v>
      </c>
      <c r="N19" s="50">
        <v>0</v>
      </c>
      <c r="O19" s="15">
        <f t="shared" si="0"/>
        <v>123</v>
      </c>
      <c r="P19" s="15">
        <f t="shared" si="1"/>
        <v>248</v>
      </c>
      <c r="R19" s="1" t="s">
        <v>15</v>
      </c>
      <c r="S19" s="17">
        <f t="shared" ref="S19:AF19" si="11">SUM(C46:C49)</f>
        <v>269</v>
      </c>
      <c r="T19" s="17">
        <f t="shared" si="11"/>
        <v>65</v>
      </c>
      <c r="U19" s="17">
        <f t="shared" si="11"/>
        <v>18</v>
      </c>
      <c r="V19" s="17">
        <f t="shared" si="11"/>
        <v>223</v>
      </c>
      <c r="W19" s="17">
        <f t="shared" si="11"/>
        <v>4</v>
      </c>
      <c r="X19" s="17">
        <f t="shared" si="11"/>
        <v>5</v>
      </c>
      <c r="Y19" s="17">
        <f t="shared" si="11"/>
        <v>24</v>
      </c>
      <c r="Z19" s="17">
        <f t="shared" si="11"/>
        <v>12</v>
      </c>
      <c r="AA19" s="17">
        <f t="shared" si="11"/>
        <v>6</v>
      </c>
      <c r="AB19" s="17">
        <f t="shared" si="11"/>
        <v>1</v>
      </c>
      <c r="AC19" s="17">
        <f t="shared" si="11"/>
        <v>611</v>
      </c>
      <c r="AD19" s="17">
        <f t="shared" si="11"/>
        <v>0</v>
      </c>
      <c r="AE19" s="31">
        <f t="shared" si="11"/>
        <v>627</v>
      </c>
      <c r="AF19" s="31">
        <f t="shared" si="11"/>
        <v>1238</v>
      </c>
    </row>
    <row r="20" spans="2:32" ht="23.1" customHeight="1" x14ac:dyDescent="0.25">
      <c r="B20" s="45" t="s">
        <v>47</v>
      </c>
      <c r="C20" s="50">
        <v>34</v>
      </c>
      <c r="D20" s="50">
        <v>15</v>
      </c>
      <c r="E20" s="50">
        <v>7</v>
      </c>
      <c r="F20" s="50">
        <v>58</v>
      </c>
      <c r="G20" s="50">
        <v>0</v>
      </c>
      <c r="H20" s="50">
        <v>0</v>
      </c>
      <c r="I20" s="50">
        <v>3</v>
      </c>
      <c r="J20" s="50">
        <v>5</v>
      </c>
      <c r="K20" s="50">
        <v>1</v>
      </c>
      <c r="L20" s="50">
        <v>1</v>
      </c>
      <c r="M20" s="50">
        <v>190</v>
      </c>
      <c r="N20" s="50">
        <v>0</v>
      </c>
      <c r="O20" s="15">
        <f t="shared" si="0"/>
        <v>124</v>
      </c>
      <c r="P20" s="15">
        <f t="shared" si="1"/>
        <v>314</v>
      </c>
      <c r="R20" s="1" t="s">
        <v>16</v>
      </c>
      <c r="S20" s="17">
        <f t="shared" ref="S20:AF20" si="12">SUM(C50:C53)</f>
        <v>223</v>
      </c>
      <c r="T20" s="17">
        <f t="shared" si="12"/>
        <v>65</v>
      </c>
      <c r="U20" s="17">
        <f t="shared" si="12"/>
        <v>33</v>
      </c>
      <c r="V20" s="17">
        <f t="shared" si="12"/>
        <v>242</v>
      </c>
      <c r="W20" s="17">
        <f t="shared" si="12"/>
        <v>8</v>
      </c>
      <c r="X20" s="17">
        <f t="shared" si="12"/>
        <v>3</v>
      </c>
      <c r="Y20" s="17">
        <f t="shared" si="12"/>
        <v>18</v>
      </c>
      <c r="Z20" s="17">
        <f t="shared" si="12"/>
        <v>7</v>
      </c>
      <c r="AA20" s="17">
        <f t="shared" si="12"/>
        <v>12</v>
      </c>
      <c r="AB20" s="17">
        <f t="shared" si="12"/>
        <v>2</v>
      </c>
      <c r="AC20" s="17">
        <f t="shared" si="12"/>
        <v>630</v>
      </c>
      <c r="AD20" s="17">
        <f t="shared" si="12"/>
        <v>0</v>
      </c>
      <c r="AE20" s="31">
        <f t="shared" si="12"/>
        <v>613</v>
      </c>
      <c r="AF20" s="31">
        <f t="shared" si="12"/>
        <v>1243</v>
      </c>
    </row>
    <row r="21" spans="2:32" ht="23.1" customHeight="1" x14ac:dyDescent="0.25">
      <c r="B21" s="45" t="s">
        <v>48</v>
      </c>
      <c r="C21" s="50">
        <v>38</v>
      </c>
      <c r="D21" s="50">
        <v>23</v>
      </c>
      <c r="E21" s="50">
        <v>1</v>
      </c>
      <c r="F21" s="50">
        <v>46</v>
      </c>
      <c r="G21" s="50">
        <v>1</v>
      </c>
      <c r="H21" s="50">
        <v>1</v>
      </c>
      <c r="I21" s="50">
        <v>3</v>
      </c>
      <c r="J21" s="50">
        <v>2</v>
      </c>
      <c r="K21" s="50">
        <v>3</v>
      </c>
      <c r="L21" s="50">
        <v>3</v>
      </c>
      <c r="M21" s="50">
        <v>140</v>
      </c>
      <c r="N21" s="50">
        <v>0</v>
      </c>
      <c r="O21" s="15">
        <f t="shared" si="0"/>
        <v>121</v>
      </c>
      <c r="P21" s="15">
        <f t="shared" si="1"/>
        <v>261</v>
      </c>
      <c r="R21" s="36" t="s">
        <v>20</v>
      </c>
      <c r="S21" s="34">
        <f t="shared" ref="S21:AF21" si="13">SUM(C54:C57)</f>
        <v>254</v>
      </c>
      <c r="T21" s="17">
        <f t="shared" si="13"/>
        <v>104</v>
      </c>
      <c r="U21" s="17">
        <f t="shared" si="13"/>
        <v>20</v>
      </c>
      <c r="V21" s="17">
        <f t="shared" si="13"/>
        <v>272</v>
      </c>
      <c r="W21" s="17">
        <f t="shared" si="13"/>
        <v>2</v>
      </c>
      <c r="X21" s="17">
        <f t="shared" si="13"/>
        <v>3</v>
      </c>
      <c r="Y21" s="17">
        <f t="shared" si="13"/>
        <v>20</v>
      </c>
      <c r="Z21" s="17">
        <f t="shared" si="13"/>
        <v>9</v>
      </c>
      <c r="AA21" s="17">
        <f t="shared" si="13"/>
        <v>7</v>
      </c>
      <c r="AB21" s="17">
        <f t="shared" si="13"/>
        <v>0</v>
      </c>
      <c r="AC21" s="17">
        <f t="shared" si="13"/>
        <v>630</v>
      </c>
      <c r="AD21" s="17">
        <f t="shared" si="13"/>
        <v>0</v>
      </c>
      <c r="AE21" s="31">
        <f t="shared" si="13"/>
        <v>691</v>
      </c>
      <c r="AF21" s="31">
        <f t="shared" si="13"/>
        <v>1321</v>
      </c>
    </row>
    <row r="22" spans="2:32" ht="23.1" customHeight="1" x14ac:dyDescent="0.25">
      <c r="B22" s="45" t="s">
        <v>49</v>
      </c>
      <c r="C22" s="50">
        <v>38</v>
      </c>
      <c r="D22" s="50">
        <v>10</v>
      </c>
      <c r="E22" s="50">
        <v>5</v>
      </c>
      <c r="F22" s="50">
        <v>58</v>
      </c>
      <c r="G22" s="50">
        <v>1</v>
      </c>
      <c r="H22" s="50">
        <v>1</v>
      </c>
      <c r="I22" s="50">
        <v>3</v>
      </c>
      <c r="J22" s="50">
        <v>3</v>
      </c>
      <c r="K22" s="50">
        <v>3</v>
      </c>
      <c r="L22" s="50">
        <v>3</v>
      </c>
      <c r="M22" s="50">
        <v>193</v>
      </c>
      <c r="N22" s="50">
        <v>0</v>
      </c>
      <c r="O22" s="15">
        <f t="shared" si="0"/>
        <v>125</v>
      </c>
      <c r="P22" s="15">
        <f t="shared" si="1"/>
        <v>318</v>
      </c>
      <c r="R22" s="36" t="s">
        <v>146</v>
      </c>
      <c r="S22" s="34">
        <f>SUM(C58:C61)</f>
        <v>237</v>
      </c>
      <c r="T22" s="34">
        <f t="shared" ref="T22:AF22" si="14">SUM(D58:D61)</f>
        <v>27</v>
      </c>
      <c r="U22" s="34">
        <f t="shared" si="14"/>
        <v>60</v>
      </c>
      <c r="V22" s="34">
        <f t="shared" si="14"/>
        <v>142</v>
      </c>
      <c r="W22" s="34">
        <f t="shared" si="14"/>
        <v>1</v>
      </c>
      <c r="X22" s="34">
        <f t="shared" si="14"/>
        <v>7</v>
      </c>
      <c r="Y22" s="34">
        <f t="shared" si="14"/>
        <v>23</v>
      </c>
      <c r="Z22" s="34">
        <f t="shared" si="14"/>
        <v>5</v>
      </c>
      <c r="AA22" s="34">
        <f t="shared" si="14"/>
        <v>1</v>
      </c>
      <c r="AB22" s="34">
        <f t="shared" si="14"/>
        <v>2</v>
      </c>
      <c r="AC22" s="34">
        <f t="shared" si="14"/>
        <v>428</v>
      </c>
      <c r="AD22" s="34">
        <f t="shared" si="14"/>
        <v>0</v>
      </c>
      <c r="AE22" s="31">
        <f t="shared" si="14"/>
        <v>505</v>
      </c>
      <c r="AF22" s="31">
        <f t="shared" si="14"/>
        <v>933</v>
      </c>
    </row>
    <row r="23" spans="2:32" ht="23.1" customHeight="1" x14ac:dyDescent="0.25">
      <c r="B23" s="45" t="s">
        <v>50</v>
      </c>
      <c r="C23" s="50">
        <v>70</v>
      </c>
      <c r="D23" s="50">
        <v>22</v>
      </c>
      <c r="E23" s="50">
        <v>7</v>
      </c>
      <c r="F23" s="50">
        <v>43</v>
      </c>
      <c r="G23" s="50">
        <v>0</v>
      </c>
      <c r="H23" s="50">
        <v>2</v>
      </c>
      <c r="I23" s="50">
        <v>3</v>
      </c>
      <c r="J23" s="50">
        <v>6</v>
      </c>
      <c r="K23" s="50">
        <v>2</v>
      </c>
      <c r="L23" s="50">
        <v>1</v>
      </c>
      <c r="M23" s="50">
        <v>141</v>
      </c>
      <c r="N23" s="50">
        <v>0</v>
      </c>
      <c r="O23" s="15">
        <f t="shared" si="0"/>
        <v>156</v>
      </c>
      <c r="P23" s="15">
        <f t="shared" si="1"/>
        <v>297</v>
      </c>
      <c r="R23" s="36" t="s">
        <v>147</v>
      </c>
      <c r="S23" s="34">
        <f>SUM(C62:C65)</f>
        <v>223</v>
      </c>
      <c r="T23" s="34">
        <f t="shared" ref="T23:AF23" si="15">SUM(D62:D65)</f>
        <v>73</v>
      </c>
      <c r="U23" s="34">
        <f t="shared" si="15"/>
        <v>27</v>
      </c>
      <c r="V23" s="34">
        <f t="shared" si="15"/>
        <v>142</v>
      </c>
      <c r="W23" s="34">
        <f t="shared" si="15"/>
        <v>48</v>
      </c>
      <c r="X23" s="34">
        <f t="shared" si="15"/>
        <v>9</v>
      </c>
      <c r="Y23" s="34">
        <f t="shared" si="15"/>
        <v>14</v>
      </c>
      <c r="Z23" s="34">
        <f t="shared" si="15"/>
        <v>6</v>
      </c>
      <c r="AA23" s="34">
        <f t="shared" si="15"/>
        <v>0</v>
      </c>
      <c r="AB23" s="34">
        <f t="shared" si="15"/>
        <v>0</v>
      </c>
      <c r="AC23" s="34">
        <f t="shared" si="15"/>
        <v>451</v>
      </c>
      <c r="AD23" s="34">
        <f t="shared" si="15"/>
        <v>0</v>
      </c>
      <c r="AE23" s="31">
        <f t="shared" si="15"/>
        <v>542</v>
      </c>
      <c r="AF23" s="31">
        <f t="shared" si="15"/>
        <v>993</v>
      </c>
    </row>
    <row r="24" spans="2:32" ht="23.1" customHeight="1" x14ac:dyDescent="0.25">
      <c r="B24" s="45" t="s">
        <v>51</v>
      </c>
      <c r="C24" s="50">
        <v>56</v>
      </c>
      <c r="D24" s="50">
        <v>16</v>
      </c>
      <c r="E24" s="50">
        <v>1</v>
      </c>
      <c r="F24" s="50">
        <v>56</v>
      </c>
      <c r="G24" s="50">
        <v>0</v>
      </c>
      <c r="H24" s="50">
        <v>0</v>
      </c>
      <c r="I24" s="50">
        <v>3</v>
      </c>
      <c r="J24" s="50">
        <v>6</v>
      </c>
      <c r="K24" s="50">
        <v>2</v>
      </c>
      <c r="L24" s="50">
        <v>1</v>
      </c>
      <c r="M24" s="50">
        <v>175</v>
      </c>
      <c r="N24" s="50"/>
      <c r="O24" s="15">
        <f t="shared" si="0"/>
        <v>141</v>
      </c>
      <c r="P24" s="15">
        <f t="shared" si="1"/>
        <v>316</v>
      </c>
      <c r="R24" s="36" t="s">
        <v>148</v>
      </c>
      <c r="S24" s="34">
        <f>SUM(C66:C69)</f>
        <v>247</v>
      </c>
      <c r="T24" s="34">
        <f t="shared" ref="T24:AF24" si="16">SUM(D66:D69)</f>
        <v>28</v>
      </c>
      <c r="U24" s="34">
        <f t="shared" si="16"/>
        <v>8</v>
      </c>
      <c r="V24" s="34">
        <f t="shared" si="16"/>
        <v>117</v>
      </c>
      <c r="W24" s="34">
        <f t="shared" si="16"/>
        <v>5</v>
      </c>
      <c r="X24" s="34">
        <f t="shared" si="16"/>
        <v>3</v>
      </c>
      <c r="Y24" s="34">
        <f t="shared" si="16"/>
        <v>15</v>
      </c>
      <c r="Z24" s="34">
        <f t="shared" si="16"/>
        <v>6</v>
      </c>
      <c r="AA24" s="34">
        <f t="shared" si="16"/>
        <v>1</v>
      </c>
      <c r="AB24" s="34">
        <f t="shared" si="16"/>
        <v>0</v>
      </c>
      <c r="AC24" s="34">
        <f t="shared" si="16"/>
        <v>280</v>
      </c>
      <c r="AD24" s="34">
        <f t="shared" si="16"/>
        <v>0</v>
      </c>
      <c r="AE24" s="31">
        <f t="shared" si="16"/>
        <v>430</v>
      </c>
      <c r="AF24" s="31">
        <f t="shared" si="16"/>
        <v>710</v>
      </c>
    </row>
    <row r="25" spans="2:32" ht="23.1" customHeight="1" x14ac:dyDescent="0.25">
      <c r="B25" s="45" t="s">
        <v>52</v>
      </c>
      <c r="C25" s="50">
        <v>34</v>
      </c>
      <c r="D25" s="50">
        <v>13</v>
      </c>
      <c r="E25" s="50">
        <v>1</v>
      </c>
      <c r="F25" s="50">
        <v>35</v>
      </c>
      <c r="G25" s="50">
        <v>2</v>
      </c>
      <c r="H25" s="50">
        <v>0</v>
      </c>
      <c r="I25" s="50">
        <v>2</v>
      </c>
      <c r="J25" s="50">
        <v>3</v>
      </c>
      <c r="K25" s="50">
        <v>3</v>
      </c>
      <c r="L25" s="50">
        <v>0</v>
      </c>
      <c r="M25" s="50">
        <v>100</v>
      </c>
      <c r="N25" s="50">
        <v>0</v>
      </c>
      <c r="O25" s="15">
        <f t="shared" si="0"/>
        <v>93</v>
      </c>
      <c r="P25" s="15">
        <f t="shared" si="1"/>
        <v>193</v>
      </c>
      <c r="R25" s="36" t="s">
        <v>149</v>
      </c>
      <c r="S25" s="34">
        <f>SUM(C70:C73)</f>
        <v>166</v>
      </c>
      <c r="T25" s="34">
        <f t="shared" ref="T25:AF25" si="17">SUM(D70:D73)</f>
        <v>28</v>
      </c>
      <c r="U25" s="34">
        <f t="shared" si="17"/>
        <v>28</v>
      </c>
      <c r="V25" s="34">
        <f t="shared" si="17"/>
        <v>58</v>
      </c>
      <c r="W25" s="34">
        <f t="shared" si="17"/>
        <v>5</v>
      </c>
      <c r="X25" s="34">
        <f t="shared" si="17"/>
        <v>2</v>
      </c>
      <c r="Y25" s="34">
        <f t="shared" si="17"/>
        <v>6</v>
      </c>
      <c r="Z25" s="34">
        <f t="shared" si="17"/>
        <v>0</v>
      </c>
      <c r="AA25" s="34">
        <f t="shared" si="17"/>
        <v>1</v>
      </c>
      <c r="AB25" s="34">
        <f t="shared" si="17"/>
        <v>1</v>
      </c>
      <c r="AC25" s="34">
        <f t="shared" si="17"/>
        <v>251</v>
      </c>
      <c r="AD25" s="34">
        <f t="shared" si="17"/>
        <v>0</v>
      </c>
      <c r="AE25" s="31">
        <f t="shared" si="17"/>
        <v>295</v>
      </c>
      <c r="AF25" s="31">
        <f t="shared" si="17"/>
        <v>546</v>
      </c>
    </row>
    <row r="26" spans="2:32" ht="23.1" customHeight="1" x14ac:dyDescent="0.25">
      <c r="B26" s="45" t="s">
        <v>53</v>
      </c>
      <c r="C26" s="50">
        <v>37</v>
      </c>
      <c r="D26" s="50">
        <v>21</v>
      </c>
      <c r="E26" s="50">
        <v>65</v>
      </c>
      <c r="F26" s="50">
        <v>5</v>
      </c>
      <c r="G26" s="50">
        <v>71</v>
      </c>
      <c r="H26" s="50">
        <v>1</v>
      </c>
      <c r="I26" s="50">
        <v>0</v>
      </c>
      <c r="J26" s="50">
        <v>1</v>
      </c>
      <c r="K26" s="50">
        <v>3</v>
      </c>
      <c r="L26" s="50">
        <v>2</v>
      </c>
      <c r="M26" s="50">
        <v>155</v>
      </c>
      <c r="N26" s="50"/>
      <c r="O26" s="15">
        <f t="shared" si="0"/>
        <v>206</v>
      </c>
      <c r="P26" s="15">
        <f t="shared" si="1"/>
        <v>361</v>
      </c>
      <c r="R26" s="36" t="s">
        <v>150</v>
      </c>
      <c r="S26" s="34">
        <f>SUM(C74:C77)</f>
        <v>139</v>
      </c>
      <c r="T26" s="34">
        <f t="shared" ref="T26:AF26" si="18">SUM(D74:D77)</f>
        <v>13</v>
      </c>
      <c r="U26" s="34">
        <f t="shared" si="18"/>
        <v>7</v>
      </c>
      <c r="V26" s="34">
        <f t="shared" si="18"/>
        <v>45</v>
      </c>
      <c r="W26" s="34">
        <f t="shared" si="18"/>
        <v>2</v>
      </c>
      <c r="X26" s="34">
        <f t="shared" si="18"/>
        <v>5</v>
      </c>
      <c r="Y26" s="34">
        <f t="shared" si="18"/>
        <v>5</v>
      </c>
      <c r="Z26" s="34">
        <f t="shared" si="18"/>
        <v>0</v>
      </c>
      <c r="AA26" s="34">
        <f t="shared" si="18"/>
        <v>0</v>
      </c>
      <c r="AB26" s="34">
        <f t="shared" si="18"/>
        <v>0</v>
      </c>
      <c r="AC26" s="34">
        <f t="shared" si="18"/>
        <v>218</v>
      </c>
      <c r="AD26" s="34">
        <f t="shared" si="18"/>
        <v>0</v>
      </c>
      <c r="AE26" s="31">
        <f t="shared" si="18"/>
        <v>216</v>
      </c>
      <c r="AF26" s="31">
        <f t="shared" si="18"/>
        <v>434</v>
      </c>
    </row>
    <row r="27" spans="2:32" ht="23.1" customHeight="1" x14ac:dyDescent="0.25">
      <c r="B27" s="45" t="s">
        <v>54</v>
      </c>
      <c r="C27" s="50">
        <v>43</v>
      </c>
      <c r="D27" s="50">
        <v>22</v>
      </c>
      <c r="E27" s="50">
        <v>8</v>
      </c>
      <c r="F27" s="50">
        <v>44</v>
      </c>
      <c r="G27" s="50">
        <v>0</v>
      </c>
      <c r="H27" s="50">
        <v>1</v>
      </c>
      <c r="I27" s="50">
        <v>4</v>
      </c>
      <c r="J27" s="50">
        <v>4</v>
      </c>
      <c r="K27" s="50">
        <v>2</v>
      </c>
      <c r="L27" s="50">
        <v>0</v>
      </c>
      <c r="M27" s="50">
        <v>153</v>
      </c>
      <c r="N27" s="50">
        <v>0</v>
      </c>
      <c r="O27" s="15">
        <f t="shared" si="0"/>
        <v>128</v>
      </c>
      <c r="P27" s="15">
        <f t="shared" si="1"/>
        <v>281</v>
      </c>
      <c r="R27" s="36" t="s">
        <v>151</v>
      </c>
      <c r="S27" s="34">
        <f>SUM(C78:C81)</f>
        <v>75</v>
      </c>
      <c r="T27" s="34">
        <f t="shared" ref="T27:AF27" si="19">SUM(D78:D81)</f>
        <v>5</v>
      </c>
      <c r="U27" s="34">
        <f t="shared" si="19"/>
        <v>5</v>
      </c>
      <c r="V27" s="34">
        <f t="shared" si="19"/>
        <v>8</v>
      </c>
      <c r="W27" s="34">
        <f t="shared" si="19"/>
        <v>4</v>
      </c>
      <c r="X27" s="34">
        <f t="shared" si="19"/>
        <v>3</v>
      </c>
      <c r="Y27" s="34">
        <f t="shared" si="19"/>
        <v>3</v>
      </c>
      <c r="Z27" s="34">
        <f t="shared" si="19"/>
        <v>6</v>
      </c>
      <c r="AA27" s="34">
        <f t="shared" si="19"/>
        <v>0</v>
      </c>
      <c r="AB27" s="34">
        <f t="shared" si="19"/>
        <v>0</v>
      </c>
      <c r="AC27" s="34">
        <f t="shared" si="19"/>
        <v>106</v>
      </c>
      <c r="AD27" s="34">
        <f t="shared" si="19"/>
        <v>0</v>
      </c>
      <c r="AE27" s="31">
        <f t="shared" si="19"/>
        <v>109</v>
      </c>
      <c r="AF27" s="31">
        <f t="shared" si="19"/>
        <v>215</v>
      </c>
    </row>
    <row r="28" spans="2:32" ht="23.1" customHeight="1" x14ac:dyDescent="0.25">
      <c r="B28" s="45" t="s">
        <v>55</v>
      </c>
      <c r="C28" s="50">
        <v>73</v>
      </c>
      <c r="D28" s="50">
        <v>22</v>
      </c>
      <c r="E28" s="50">
        <v>17</v>
      </c>
      <c r="F28" s="50">
        <v>72</v>
      </c>
      <c r="G28" s="50">
        <v>0</v>
      </c>
      <c r="H28" s="50">
        <v>1</v>
      </c>
      <c r="I28" s="50">
        <v>3</v>
      </c>
      <c r="J28" s="50">
        <v>6</v>
      </c>
      <c r="K28" s="50">
        <v>2</v>
      </c>
      <c r="L28" s="50">
        <v>0</v>
      </c>
      <c r="M28" s="50">
        <v>170</v>
      </c>
      <c r="N28" s="50">
        <v>0</v>
      </c>
      <c r="O28" s="15">
        <f t="shared" si="0"/>
        <v>196</v>
      </c>
      <c r="P28" s="15">
        <f t="shared" si="1"/>
        <v>366</v>
      </c>
      <c r="R28" s="36" t="s">
        <v>152</v>
      </c>
      <c r="S28" s="34">
        <f>SUM(C82:C85)</f>
        <v>32</v>
      </c>
      <c r="T28" s="34">
        <f t="shared" ref="T28:AF28" si="20">SUM(D82:D85)</f>
        <v>2</v>
      </c>
      <c r="U28" s="34">
        <f t="shared" si="20"/>
        <v>1</v>
      </c>
      <c r="V28" s="34">
        <f t="shared" si="20"/>
        <v>3</v>
      </c>
      <c r="W28" s="34">
        <f t="shared" si="20"/>
        <v>1</v>
      </c>
      <c r="X28" s="34">
        <f t="shared" si="20"/>
        <v>3</v>
      </c>
      <c r="Y28" s="34">
        <f t="shared" si="20"/>
        <v>3</v>
      </c>
      <c r="Z28" s="34">
        <f t="shared" si="20"/>
        <v>3</v>
      </c>
      <c r="AA28" s="34">
        <f t="shared" si="20"/>
        <v>4</v>
      </c>
      <c r="AB28" s="34">
        <f t="shared" si="20"/>
        <v>0</v>
      </c>
      <c r="AC28" s="34">
        <f t="shared" si="20"/>
        <v>46</v>
      </c>
      <c r="AD28" s="34">
        <f t="shared" si="20"/>
        <v>0</v>
      </c>
      <c r="AE28" s="31">
        <f t="shared" si="20"/>
        <v>52</v>
      </c>
      <c r="AF28" s="31">
        <f t="shared" si="20"/>
        <v>98</v>
      </c>
    </row>
    <row r="29" spans="2:32" ht="23.1" customHeight="1" x14ac:dyDescent="0.25">
      <c r="B29" s="45" t="s">
        <v>56</v>
      </c>
      <c r="C29" s="50">
        <v>36</v>
      </c>
      <c r="D29" s="50">
        <v>12</v>
      </c>
      <c r="E29" s="50">
        <v>4</v>
      </c>
      <c r="F29" s="50">
        <v>52</v>
      </c>
      <c r="G29" s="50">
        <v>0</v>
      </c>
      <c r="H29" s="50">
        <v>1</v>
      </c>
      <c r="I29" s="50">
        <v>5</v>
      </c>
      <c r="J29" s="50">
        <v>3</v>
      </c>
      <c r="K29" s="50">
        <v>3</v>
      </c>
      <c r="L29" s="50">
        <v>0</v>
      </c>
      <c r="M29" s="50">
        <v>115</v>
      </c>
      <c r="N29" s="50">
        <v>0</v>
      </c>
      <c r="O29" s="15">
        <f t="shared" si="0"/>
        <v>116</v>
      </c>
      <c r="P29" s="15">
        <f t="shared" si="1"/>
        <v>231</v>
      </c>
      <c r="R29" s="36" t="s">
        <v>153</v>
      </c>
      <c r="S29" s="34">
        <f>SUM(C86:C89)</f>
        <v>30</v>
      </c>
      <c r="T29" s="34">
        <f t="shared" ref="T29:AF29" si="21">SUM(D86:D89)</f>
        <v>0</v>
      </c>
      <c r="U29" s="34">
        <f t="shared" si="21"/>
        <v>4</v>
      </c>
      <c r="V29" s="34">
        <f t="shared" si="21"/>
        <v>1</v>
      </c>
      <c r="W29" s="34">
        <f t="shared" si="21"/>
        <v>0</v>
      </c>
      <c r="X29" s="34">
        <f t="shared" si="21"/>
        <v>0</v>
      </c>
      <c r="Y29" s="34">
        <f t="shared" si="21"/>
        <v>1</v>
      </c>
      <c r="Z29" s="34">
        <f t="shared" si="21"/>
        <v>0</v>
      </c>
      <c r="AA29" s="34">
        <f t="shared" si="21"/>
        <v>1</v>
      </c>
      <c r="AB29" s="34">
        <f t="shared" si="21"/>
        <v>0</v>
      </c>
      <c r="AC29" s="34">
        <f t="shared" si="21"/>
        <v>39</v>
      </c>
      <c r="AD29" s="34">
        <f t="shared" si="21"/>
        <v>0</v>
      </c>
      <c r="AE29" s="31">
        <f t="shared" si="21"/>
        <v>37</v>
      </c>
      <c r="AF29" s="31">
        <f t="shared" si="21"/>
        <v>76</v>
      </c>
    </row>
    <row r="30" spans="2:32" ht="23.1" customHeight="1" x14ac:dyDescent="0.25">
      <c r="B30" s="45" t="s">
        <v>57</v>
      </c>
      <c r="C30" s="50">
        <v>77</v>
      </c>
      <c r="D30" s="50">
        <v>23</v>
      </c>
      <c r="E30" s="50">
        <v>8</v>
      </c>
      <c r="F30" s="50">
        <v>60</v>
      </c>
      <c r="G30" s="50">
        <v>1</v>
      </c>
      <c r="H30" s="50">
        <v>0</v>
      </c>
      <c r="I30" s="50">
        <v>0</v>
      </c>
      <c r="J30" s="50">
        <v>2</v>
      </c>
      <c r="K30" s="50">
        <v>1</v>
      </c>
      <c r="L30" s="50">
        <v>0</v>
      </c>
      <c r="M30" s="50">
        <v>175</v>
      </c>
      <c r="N30" s="50">
        <v>0</v>
      </c>
      <c r="O30" s="15">
        <f t="shared" si="0"/>
        <v>172</v>
      </c>
      <c r="P30" s="15">
        <f t="shared" si="1"/>
        <v>347</v>
      </c>
      <c r="R30" s="36" t="s">
        <v>154</v>
      </c>
      <c r="S30" s="34">
        <f>SUM(C90:C93)</f>
        <v>20</v>
      </c>
      <c r="T30" s="34">
        <f t="shared" ref="T30:AF30" si="22">SUM(D90:D93)</f>
        <v>2</v>
      </c>
      <c r="U30" s="34">
        <f t="shared" si="22"/>
        <v>0</v>
      </c>
      <c r="V30" s="34">
        <f t="shared" si="22"/>
        <v>2</v>
      </c>
      <c r="W30" s="34">
        <f t="shared" si="22"/>
        <v>0</v>
      </c>
      <c r="X30" s="34">
        <f t="shared" si="22"/>
        <v>0</v>
      </c>
      <c r="Y30" s="34">
        <f t="shared" si="22"/>
        <v>1</v>
      </c>
      <c r="Z30" s="34">
        <f t="shared" si="22"/>
        <v>0</v>
      </c>
      <c r="AA30" s="34">
        <f t="shared" si="22"/>
        <v>0</v>
      </c>
      <c r="AB30" s="34">
        <f t="shared" si="22"/>
        <v>0</v>
      </c>
      <c r="AC30" s="34">
        <f t="shared" si="22"/>
        <v>18</v>
      </c>
      <c r="AD30" s="34">
        <f t="shared" si="22"/>
        <v>0</v>
      </c>
      <c r="AE30" s="31">
        <f t="shared" si="22"/>
        <v>25</v>
      </c>
      <c r="AF30" s="31">
        <f t="shared" si="22"/>
        <v>43</v>
      </c>
    </row>
    <row r="31" spans="2:32" ht="23.1" customHeight="1" x14ac:dyDescent="0.25">
      <c r="B31" s="46" t="s">
        <v>58</v>
      </c>
      <c r="C31" s="50">
        <v>58</v>
      </c>
      <c r="D31" s="50">
        <v>32</v>
      </c>
      <c r="E31" s="50">
        <v>7</v>
      </c>
      <c r="F31" s="50">
        <v>47</v>
      </c>
      <c r="G31" s="50">
        <v>0</v>
      </c>
      <c r="H31" s="50">
        <v>2</v>
      </c>
      <c r="I31" s="50">
        <v>5</v>
      </c>
      <c r="J31" s="50">
        <v>6</v>
      </c>
      <c r="K31" s="50">
        <v>6</v>
      </c>
      <c r="L31" s="50">
        <v>0</v>
      </c>
      <c r="M31" s="50">
        <v>120</v>
      </c>
      <c r="N31" s="50">
        <v>0</v>
      </c>
      <c r="O31" s="15">
        <f t="shared" si="0"/>
        <v>163</v>
      </c>
      <c r="P31" s="15">
        <f t="shared" si="1"/>
        <v>283</v>
      </c>
      <c r="R31" s="36" t="s">
        <v>155</v>
      </c>
      <c r="S31" s="34">
        <f>SUM(C94:C97)</f>
        <v>21</v>
      </c>
      <c r="T31" s="34">
        <f t="shared" ref="T31:AF31" si="23">SUM(D94:D97)</f>
        <v>0</v>
      </c>
      <c r="U31" s="34">
        <f t="shared" si="23"/>
        <v>0</v>
      </c>
      <c r="V31" s="34">
        <f t="shared" si="23"/>
        <v>1</v>
      </c>
      <c r="W31" s="34">
        <f t="shared" si="23"/>
        <v>0</v>
      </c>
      <c r="X31" s="34">
        <f t="shared" si="23"/>
        <v>0</v>
      </c>
      <c r="Y31" s="34">
        <f t="shared" si="23"/>
        <v>0</v>
      </c>
      <c r="Z31" s="34">
        <f t="shared" si="23"/>
        <v>0</v>
      </c>
      <c r="AA31" s="34">
        <f t="shared" si="23"/>
        <v>0</v>
      </c>
      <c r="AB31" s="34">
        <f t="shared" si="23"/>
        <v>0</v>
      </c>
      <c r="AC31" s="34">
        <f t="shared" si="23"/>
        <v>38</v>
      </c>
      <c r="AD31" s="34">
        <f t="shared" si="23"/>
        <v>0</v>
      </c>
      <c r="AE31" s="31">
        <f t="shared" si="23"/>
        <v>22</v>
      </c>
      <c r="AF31" s="31">
        <f t="shared" si="23"/>
        <v>60</v>
      </c>
    </row>
    <row r="32" spans="2:32" ht="23.1" customHeight="1" x14ac:dyDescent="0.25">
      <c r="B32" s="46" t="s">
        <v>59</v>
      </c>
      <c r="C32" s="50">
        <v>55</v>
      </c>
      <c r="D32" s="50">
        <v>35</v>
      </c>
      <c r="E32" s="50">
        <v>6</v>
      </c>
      <c r="F32" s="50">
        <v>54</v>
      </c>
      <c r="G32" s="50">
        <v>0</v>
      </c>
      <c r="H32" s="50">
        <v>1</v>
      </c>
      <c r="I32" s="50">
        <v>2</v>
      </c>
      <c r="J32" s="50">
        <v>5</v>
      </c>
      <c r="K32" s="50">
        <v>2</v>
      </c>
      <c r="L32" s="50">
        <v>0</v>
      </c>
      <c r="M32" s="50">
        <v>125</v>
      </c>
      <c r="N32" s="50">
        <v>0</v>
      </c>
      <c r="O32" s="15">
        <f t="shared" si="0"/>
        <v>160</v>
      </c>
      <c r="P32" s="15">
        <f t="shared" si="1"/>
        <v>285</v>
      </c>
      <c r="R32" s="33" t="s">
        <v>156</v>
      </c>
      <c r="S32" s="34">
        <f>SUM(C98:C101)</f>
        <v>14</v>
      </c>
      <c r="T32" s="34">
        <f t="shared" ref="T32:AF32" si="24">SUM(D98:D101)</f>
        <v>6</v>
      </c>
      <c r="U32" s="34">
        <f t="shared" si="24"/>
        <v>4</v>
      </c>
      <c r="V32" s="34">
        <f t="shared" si="24"/>
        <v>13</v>
      </c>
      <c r="W32" s="34">
        <f t="shared" si="24"/>
        <v>0</v>
      </c>
      <c r="X32" s="34">
        <f t="shared" si="24"/>
        <v>2</v>
      </c>
      <c r="Y32" s="34">
        <f t="shared" si="24"/>
        <v>1</v>
      </c>
      <c r="Z32" s="34">
        <f t="shared" si="24"/>
        <v>1</v>
      </c>
      <c r="AA32" s="34">
        <f t="shared" si="24"/>
        <v>1</v>
      </c>
      <c r="AB32" s="34">
        <f t="shared" si="24"/>
        <v>0</v>
      </c>
      <c r="AC32" s="34">
        <f t="shared" si="24"/>
        <v>60</v>
      </c>
      <c r="AD32" s="34">
        <f t="shared" si="24"/>
        <v>0</v>
      </c>
      <c r="AE32" s="31">
        <f t="shared" si="24"/>
        <v>42</v>
      </c>
      <c r="AF32" s="31">
        <f t="shared" si="24"/>
        <v>102</v>
      </c>
    </row>
    <row r="33" spans="2:32" ht="23.1" customHeight="1" x14ac:dyDescent="0.25">
      <c r="B33" s="45" t="s">
        <v>60</v>
      </c>
      <c r="C33" s="50">
        <v>41</v>
      </c>
      <c r="D33" s="50">
        <v>17</v>
      </c>
      <c r="E33" s="50">
        <v>8</v>
      </c>
      <c r="F33" s="50">
        <v>52</v>
      </c>
      <c r="G33" s="50">
        <v>1</v>
      </c>
      <c r="H33" s="50">
        <v>0</v>
      </c>
      <c r="I33" s="50">
        <v>6</v>
      </c>
      <c r="J33" s="50">
        <v>6</v>
      </c>
      <c r="K33" s="50">
        <v>14</v>
      </c>
      <c r="L33" s="50">
        <v>0</v>
      </c>
      <c r="M33" s="50">
        <v>160</v>
      </c>
      <c r="N33" s="50">
        <v>0</v>
      </c>
      <c r="O33" s="15">
        <f t="shared" si="0"/>
        <v>145</v>
      </c>
      <c r="P33" s="15">
        <f t="shared" si="1"/>
        <v>305</v>
      </c>
      <c r="R33" s="33" t="s">
        <v>157</v>
      </c>
      <c r="S33" s="34">
        <f>SUM(C102:C105)</f>
        <v>43</v>
      </c>
      <c r="T33" s="34">
        <f t="shared" ref="T33:AF33" si="25">SUM(D102:D105)</f>
        <v>8</v>
      </c>
      <c r="U33" s="34">
        <f t="shared" si="25"/>
        <v>3</v>
      </c>
      <c r="V33" s="34">
        <f t="shared" si="25"/>
        <v>45</v>
      </c>
      <c r="W33" s="34">
        <f t="shared" si="25"/>
        <v>2</v>
      </c>
      <c r="X33" s="34">
        <f t="shared" si="25"/>
        <v>4</v>
      </c>
      <c r="Y33" s="34">
        <f t="shared" si="25"/>
        <v>10</v>
      </c>
      <c r="Z33" s="34">
        <f t="shared" si="25"/>
        <v>1</v>
      </c>
      <c r="AA33" s="34">
        <f t="shared" si="25"/>
        <v>3</v>
      </c>
      <c r="AB33" s="34">
        <f t="shared" si="25"/>
        <v>1</v>
      </c>
      <c r="AC33" s="34">
        <f t="shared" si="25"/>
        <v>165</v>
      </c>
      <c r="AD33" s="34">
        <f t="shared" si="25"/>
        <v>0</v>
      </c>
      <c r="AE33" s="31">
        <f t="shared" si="25"/>
        <v>120</v>
      </c>
      <c r="AF33" s="31">
        <f t="shared" si="25"/>
        <v>285</v>
      </c>
    </row>
    <row r="34" spans="2:32" ht="23.1" customHeight="1" x14ac:dyDescent="0.25">
      <c r="B34" s="46" t="s">
        <v>61</v>
      </c>
      <c r="C34" s="50">
        <v>46</v>
      </c>
      <c r="D34" s="50">
        <v>34</v>
      </c>
      <c r="E34" s="50">
        <v>4</v>
      </c>
      <c r="F34" s="50">
        <v>45</v>
      </c>
      <c r="G34" s="50">
        <v>4</v>
      </c>
      <c r="H34" s="50">
        <v>0</v>
      </c>
      <c r="I34" s="50">
        <v>7</v>
      </c>
      <c r="J34" s="50">
        <v>4</v>
      </c>
      <c r="K34" s="50">
        <v>6</v>
      </c>
      <c r="L34" s="50">
        <v>0</v>
      </c>
      <c r="M34" s="50">
        <v>126</v>
      </c>
      <c r="N34" s="50">
        <v>0</v>
      </c>
      <c r="O34" s="15">
        <f t="shared" si="0"/>
        <v>150</v>
      </c>
      <c r="P34" s="15">
        <f t="shared" si="1"/>
        <v>276</v>
      </c>
      <c r="R34" s="38" t="s">
        <v>90</v>
      </c>
      <c r="S34" s="39">
        <f t="shared" ref="S34:AF34" si="26">MAX(S10:S12)</f>
        <v>166</v>
      </c>
      <c r="T34" s="39">
        <f t="shared" si="26"/>
        <v>235</v>
      </c>
      <c r="U34" s="39">
        <f t="shared" si="26"/>
        <v>21</v>
      </c>
      <c r="V34" s="39">
        <f t="shared" si="26"/>
        <v>221</v>
      </c>
      <c r="W34" s="39">
        <f t="shared" si="26"/>
        <v>7</v>
      </c>
      <c r="X34" s="39">
        <f t="shared" si="26"/>
        <v>4</v>
      </c>
      <c r="Y34" s="39">
        <f t="shared" si="26"/>
        <v>14</v>
      </c>
      <c r="Z34" s="39">
        <f t="shared" si="26"/>
        <v>11</v>
      </c>
      <c r="AA34" s="39">
        <f t="shared" si="26"/>
        <v>14</v>
      </c>
      <c r="AB34" s="39">
        <f t="shared" si="26"/>
        <v>6</v>
      </c>
      <c r="AC34" s="39">
        <f t="shared" si="26"/>
        <v>915</v>
      </c>
      <c r="AD34" s="39">
        <f t="shared" si="26"/>
        <v>0</v>
      </c>
      <c r="AE34" s="40">
        <f t="shared" si="26"/>
        <v>567</v>
      </c>
      <c r="AF34" s="40">
        <f t="shared" si="26"/>
        <v>1482</v>
      </c>
    </row>
    <row r="35" spans="2:32" ht="23.1" customHeight="1" x14ac:dyDescent="0.25">
      <c r="B35" s="46" t="s">
        <v>62</v>
      </c>
      <c r="C35" s="50">
        <v>73</v>
      </c>
      <c r="D35" s="50">
        <v>12</v>
      </c>
      <c r="E35" s="50">
        <v>8</v>
      </c>
      <c r="F35" s="50">
        <v>48</v>
      </c>
      <c r="G35" s="50">
        <v>0</v>
      </c>
      <c r="H35" s="50">
        <v>1</v>
      </c>
      <c r="I35" s="50">
        <v>5</v>
      </c>
      <c r="J35" s="50">
        <v>4</v>
      </c>
      <c r="K35" s="50">
        <v>0</v>
      </c>
      <c r="L35" s="50">
        <v>0</v>
      </c>
      <c r="M35" s="50">
        <v>175</v>
      </c>
      <c r="N35" s="50">
        <v>0</v>
      </c>
      <c r="O35" s="15">
        <f t="shared" si="0"/>
        <v>151</v>
      </c>
      <c r="P35" s="15">
        <f t="shared" si="1"/>
        <v>326</v>
      </c>
      <c r="R35" s="38" t="s">
        <v>91</v>
      </c>
      <c r="S35" s="39">
        <f t="shared" ref="S35:AF35" si="27">MAX(S13:S18)</f>
        <v>253</v>
      </c>
      <c r="T35" s="39">
        <f t="shared" si="27"/>
        <v>107</v>
      </c>
      <c r="U35" s="39">
        <f t="shared" si="27"/>
        <v>94</v>
      </c>
      <c r="V35" s="39">
        <f t="shared" si="27"/>
        <v>223</v>
      </c>
      <c r="W35" s="39">
        <f t="shared" si="27"/>
        <v>71</v>
      </c>
      <c r="X35" s="39">
        <f t="shared" si="27"/>
        <v>6</v>
      </c>
      <c r="Y35" s="39">
        <f t="shared" si="27"/>
        <v>19</v>
      </c>
      <c r="Z35" s="39">
        <f t="shared" si="27"/>
        <v>19</v>
      </c>
      <c r="AA35" s="39">
        <f t="shared" si="27"/>
        <v>23</v>
      </c>
      <c r="AB35" s="39">
        <f t="shared" si="27"/>
        <v>5</v>
      </c>
      <c r="AC35" s="39">
        <f t="shared" si="27"/>
        <v>609</v>
      </c>
      <c r="AD35" s="39">
        <f t="shared" si="27"/>
        <v>0</v>
      </c>
      <c r="AE35" s="40">
        <f t="shared" si="27"/>
        <v>646</v>
      </c>
      <c r="AF35" s="40">
        <f t="shared" si="27"/>
        <v>1239</v>
      </c>
    </row>
    <row r="36" spans="2:32" ht="23.1" customHeight="1" x14ac:dyDescent="0.25">
      <c r="B36" s="46" t="s">
        <v>63</v>
      </c>
      <c r="C36" s="50">
        <v>52</v>
      </c>
      <c r="D36" s="50">
        <v>17</v>
      </c>
      <c r="E36" s="50">
        <v>12</v>
      </c>
      <c r="F36" s="50">
        <v>56</v>
      </c>
      <c r="G36" s="50">
        <v>2</v>
      </c>
      <c r="H36" s="50">
        <v>0</v>
      </c>
      <c r="I36" s="50">
        <v>4</v>
      </c>
      <c r="J36" s="50">
        <v>7</v>
      </c>
      <c r="K36" s="50">
        <v>2</v>
      </c>
      <c r="L36" s="50">
        <v>0</v>
      </c>
      <c r="M36" s="50">
        <v>165</v>
      </c>
      <c r="N36" s="50">
        <v>0</v>
      </c>
      <c r="O36" s="15">
        <f t="shared" si="0"/>
        <v>152</v>
      </c>
      <c r="P36" s="15">
        <f t="shared" si="1"/>
        <v>317</v>
      </c>
      <c r="R36" s="38" t="s">
        <v>92</v>
      </c>
      <c r="S36" s="39">
        <f t="shared" ref="S36:AF36" si="28">MAX(S19:S21)</f>
        <v>269</v>
      </c>
      <c r="T36" s="39">
        <f t="shared" si="28"/>
        <v>104</v>
      </c>
      <c r="U36" s="39">
        <f t="shared" si="28"/>
        <v>33</v>
      </c>
      <c r="V36" s="39">
        <f t="shared" si="28"/>
        <v>272</v>
      </c>
      <c r="W36" s="39">
        <f t="shared" si="28"/>
        <v>8</v>
      </c>
      <c r="X36" s="39">
        <f t="shared" si="28"/>
        <v>5</v>
      </c>
      <c r="Y36" s="39">
        <f t="shared" si="28"/>
        <v>24</v>
      </c>
      <c r="Z36" s="39">
        <f t="shared" si="28"/>
        <v>12</v>
      </c>
      <c r="AA36" s="39">
        <f t="shared" si="28"/>
        <v>12</v>
      </c>
      <c r="AB36" s="39">
        <f t="shared" si="28"/>
        <v>2</v>
      </c>
      <c r="AC36" s="39">
        <f t="shared" si="28"/>
        <v>630</v>
      </c>
      <c r="AD36" s="39">
        <f t="shared" si="28"/>
        <v>0</v>
      </c>
      <c r="AE36" s="40">
        <f t="shared" si="28"/>
        <v>691</v>
      </c>
      <c r="AF36" s="40">
        <f t="shared" si="28"/>
        <v>1321</v>
      </c>
    </row>
    <row r="37" spans="2:32" ht="23.1" customHeight="1" x14ac:dyDescent="0.25">
      <c r="B37" s="45" t="s">
        <v>64</v>
      </c>
      <c r="C37" s="50">
        <v>26</v>
      </c>
      <c r="D37" s="50">
        <v>26</v>
      </c>
      <c r="E37" s="50">
        <v>12</v>
      </c>
      <c r="F37" s="50">
        <v>38</v>
      </c>
      <c r="G37" s="50">
        <v>0</v>
      </c>
      <c r="H37" s="50">
        <v>2</v>
      </c>
      <c r="I37" s="50">
        <v>3</v>
      </c>
      <c r="J37" s="50">
        <v>3</v>
      </c>
      <c r="K37" s="50">
        <v>0</v>
      </c>
      <c r="L37" s="50">
        <v>0</v>
      </c>
      <c r="M37" s="50">
        <v>126</v>
      </c>
      <c r="N37" s="50">
        <v>0</v>
      </c>
      <c r="O37" s="15">
        <f t="shared" si="0"/>
        <v>110</v>
      </c>
      <c r="P37" s="15">
        <f t="shared" si="1"/>
        <v>236</v>
      </c>
      <c r="R37" s="37" t="s">
        <v>85</v>
      </c>
      <c r="S37" s="35">
        <f t="shared" ref="S37:AF37" si="29">SUM(S10:S12)</f>
        <v>313</v>
      </c>
      <c r="T37" s="16">
        <f t="shared" si="29"/>
        <v>320</v>
      </c>
      <c r="U37" s="16">
        <f t="shared" si="29"/>
        <v>46</v>
      </c>
      <c r="V37" s="16">
        <f t="shared" si="29"/>
        <v>598</v>
      </c>
      <c r="W37" s="16">
        <f t="shared" si="29"/>
        <v>18</v>
      </c>
      <c r="X37" s="16">
        <f t="shared" si="29"/>
        <v>9</v>
      </c>
      <c r="Y37" s="16">
        <f t="shared" si="29"/>
        <v>30</v>
      </c>
      <c r="Z37" s="16">
        <f t="shared" si="29"/>
        <v>24</v>
      </c>
      <c r="AA37" s="16">
        <f t="shared" si="29"/>
        <v>28</v>
      </c>
      <c r="AB37" s="16">
        <f t="shared" si="29"/>
        <v>9</v>
      </c>
      <c r="AC37" s="16">
        <f t="shared" si="29"/>
        <v>2081</v>
      </c>
      <c r="AD37" s="16">
        <f t="shared" si="29"/>
        <v>0</v>
      </c>
      <c r="AE37" s="32">
        <f t="shared" si="29"/>
        <v>1395</v>
      </c>
      <c r="AF37" s="32">
        <f t="shared" si="29"/>
        <v>3476</v>
      </c>
    </row>
    <row r="38" spans="2:32" ht="23.1" customHeight="1" x14ac:dyDescent="0.25">
      <c r="B38" s="46" t="s">
        <v>65</v>
      </c>
      <c r="C38" s="50">
        <v>70</v>
      </c>
      <c r="D38" s="50">
        <v>24</v>
      </c>
      <c r="E38" s="50">
        <v>5</v>
      </c>
      <c r="F38" s="50">
        <v>47</v>
      </c>
      <c r="G38" s="50">
        <v>1</v>
      </c>
      <c r="H38" s="50">
        <v>5</v>
      </c>
      <c r="I38" s="50">
        <v>8</v>
      </c>
      <c r="J38" s="50">
        <v>2</v>
      </c>
      <c r="K38" s="50">
        <v>8</v>
      </c>
      <c r="L38" s="50">
        <v>1</v>
      </c>
      <c r="M38" s="50">
        <v>120</v>
      </c>
      <c r="N38" s="50">
        <v>0</v>
      </c>
      <c r="O38" s="15">
        <f t="shared" si="0"/>
        <v>171</v>
      </c>
      <c r="P38" s="15">
        <f t="shared" si="1"/>
        <v>291</v>
      </c>
      <c r="R38" s="28" t="s">
        <v>86</v>
      </c>
      <c r="S38" s="16">
        <f t="shared" ref="S38:AF38" si="30">SUM(S13:S18)</f>
        <v>1289</v>
      </c>
      <c r="T38" s="16">
        <f t="shared" si="30"/>
        <v>494</v>
      </c>
      <c r="U38" s="16">
        <f t="shared" si="30"/>
        <v>216</v>
      </c>
      <c r="V38" s="16">
        <f t="shared" si="30"/>
        <v>1148</v>
      </c>
      <c r="W38" s="16">
        <f t="shared" si="30"/>
        <v>85</v>
      </c>
      <c r="X38" s="16">
        <f t="shared" si="30"/>
        <v>23</v>
      </c>
      <c r="Y38" s="16">
        <f t="shared" si="30"/>
        <v>84</v>
      </c>
      <c r="Z38" s="16">
        <f t="shared" si="30"/>
        <v>88</v>
      </c>
      <c r="AA38" s="16">
        <f t="shared" si="30"/>
        <v>78</v>
      </c>
      <c r="AB38" s="16">
        <f t="shared" si="30"/>
        <v>11</v>
      </c>
      <c r="AC38" s="16">
        <f t="shared" si="30"/>
        <v>3504</v>
      </c>
      <c r="AD38" s="16">
        <f t="shared" si="30"/>
        <v>0</v>
      </c>
      <c r="AE38" s="32">
        <f t="shared" si="30"/>
        <v>3516</v>
      </c>
      <c r="AF38" s="32">
        <f t="shared" si="30"/>
        <v>7020</v>
      </c>
    </row>
    <row r="39" spans="2:32" ht="23.1" customHeight="1" x14ac:dyDescent="0.25">
      <c r="B39" s="46" t="s">
        <v>66</v>
      </c>
      <c r="C39" s="50">
        <v>55</v>
      </c>
      <c r="D39" s="50">
        <v>3</v>
      </c>
      <c r="E39" s="50">
        <v>8</v>
      </c>
      <c r="F39" s="50">
        <v>68</v>
      </c>
      <c r="G39" s="50">
        <v>2</v>
      </c>
      <c r="H39" s="50">
        <v>1</v>
      </c>
      <c r="I39" s="50">
        <v>1</v>
      </c>
      <c r="J39" s="50">
        <v>1</v>
      </c>
      <c r="K39" s="50">
        <v>8</v>
      </c>
      <c r="L39" s="50">
        <v>1</v>
      </c>
      <c r="M39" s="50">
        <v>150</v>
      </c>
      <c r="N39" s="50">
        <v>0</v>
      </c>
      <c r="O39" s="15">
        <f t="shared" si="0"/>
        <v>148</v>
      </c>
      <c r="P39" s="15">
        <f t="shared" si="1"/>
        <v>298</v>
      </c>
      <c r="R39" s="29" t="s">
        <v>87</v>
      </c>
      <c r="S39" s="16">
        <f t="shared" ref="S39:AF39" si="31">SUM(S19:S21)</f>
        <v>746</v>
      </c>
      <c r="T39" s="16">
        <f t="shared" si="31"/>
        <v>234</v>
      </c>
      <c r="U39" s="16">
        <f t="shared" si="31"/>
        <v>71</v>
      </c>
      <c r="V39" s="16">
        <f t="shared" si="31"/>
        <v>737</v>
      </c>
      <c r="W39" s="16">
        <f t="shared" si="31"/>
        <v>14</v>
      </c>
      <c r="X39" s="16">
        <f t="shared" si="31"/>
        <v>11</v>
      </c>
      <c r="Y39" s="16">
        <f t="shared" si="31"/>
        <v>62</v>
      </c>
      <c r="Z39" s="16">
        <f t="shared" si="31"/>
        <v>28</v>
      </c>
      <c r="AA39" s="16">
        <f t="shared" si="31"/>
        <v>25</v>
      </c>
      <c r="AB39" s="16">
        <f t="shared" si="31"/>
        <v>3</v>
      </c>
      <c r="AC39" s="16">
        <f t="shared" si="31"/>
        <v>1871</v>
      </c>
      <c r="AD39" s="16">
        <f t="shared" si="31"/>
        <v>0</v>
      </c>
      <c r="AE39" s="32">
        <f t="shared" si="31"/>
        <v>1931</v>
      </c>
      <c r="AF39" s="32">
        <f t="shared" si="31"/>
        <v>3802</v>
      </c>
    </row>
    <row r="40" spans="2:32" ht="23.1" customHeight="1" x14ac:dyDescent="0.25">
      <c r="B40" s="46" t="s">
        <v>67</v>
      </c>
      <c r="C40" s="50">
        <v>63</v>
      </c>
      <c r="D40" s="50">
        <v>23</v>
      </c>
      <c r="E40" s="50">
        <v>3</v>
      </c>
      <c r="F40" s="50">
        <v>67</v>
      </c>
      <c r="G40" s="50">
        <v>0</v>
      </c>
      <c r="H40" s="50">
        <v>0</v>
      </c>
      <c r="I40" s="50">
        <v>3</v>
      </c>
      <c r="J40" s="50">
        <v>4</v>
      </c>
      <c r="K40" s="50">
        <v>4</v>
      </c>
      <c r="L40" s="50">
        <v>0</v>
      </c>
      <c r="M40" s="50">
        <v>165</v>
      </c>
      <c r="N40" s="50">
        <v>0</v>
      </c>
      <c r="O40" s="15">
        <f t="shared" si="0"/>
        <v>167</v>
      </c>
      <c r="P40" s="15">
        <f t="shared" si="1"/>
        <v>332</v>
      </c>
      <c r="R40" s="5" t="s">
        <v>17</v>
      </c>
      <c r="S40" s="16">
        <f t="shared" ref="S40:AF40" si="32">SUM(S10:S21)</f>
        <v>2348</v>
      </c>
      <c r="T40" s="16">
        <f t="shared" si="32"/>
        <v>1048</v>
      </c>
      <c r="U40" s="16">
        <f t="shared" si="32"/>
        <v>333</v>
      </c>
      <c r="V40" s="16">
        <f t="shared" si="32"/>
        <v>2483</v>
      </c>
      <c r="W40" s="16">
        <f t="shared" si="32"/>
        <v>117</v>
      </c>
      <c r="X40" s="16">
        <f t="shared" si="32"/>
        <v>43</v>
      </c>
      <c r="Y40" s="16">
        <f t="shared" si="32"/>
        <v>176</v>
      </c>
      <c r="Z40" s="16">
        <f t="shared" si="32"/>
        <v>140</v>
      </c>
      <c r="AA40" s="16">
        <f t="shared" si="32"/>
        <v>131</v>
      </c>
      <c r="AB40" s="16">
        <f t="shared" si="32"/>
        <v>23</v>
      </c>
      <c r="AC40" s="16">
        <f t="shared" si="32"/>
        <v>7456</v>
      </c>
      <c r="AD40" s="16">
        <f t="shared" si="32"/>
        <v>0</v>
      </c>
      <c r="AE40" s="32">
        <f t="shared" si="32"/>
        <v>6842</v>
      </c>
      <c r="AF40" s="32">
        <f t="shared" si="32"/>
        <v>14298</v>
      </c>
    </row>
    <row r="41" spans="2:32" ht="23.1" customHeight="1" x14ac:dyDescent="0.25">
      <c r="B41" s="45" t="s">
        <v>68</v>
      </c>
      <c r="C41" s="50">
        <v>33</v>
      </c>
      <c r="D41" s="50">
        <v>17</v>
      </c>
      <c r="E41" s="50">
        <v>3</v>
      </c>
      <c r="F41" s="50">
        <v>41</v>
      </c>
      <c r="G41" s="50">
        <v>0</v>
      </c>
      <c r="H41" s="50">
        <v>0</v>
      </c>
      <c r="I41" s="50">
        <v>7</v>
      </c>
      <c r="J41" s="50">
        <v>3</v>
      </c>
      <c r="K41" s="50">
        <v>1</v>
      </c>
      <c r="L41" s="50">
        <v>0</v>
      </c>
      <c r="M41" s="50">
        <v>120</v>
      </c>
      <c r="N41" s="50">
        <v>0</v>
      </c>
      <c r="O41" s="15">
        <f t="shared" si="0"/>
        <v>105</v>
      </c>
      <c r="P41" s="15">
        <f t="shared" si="1"/>
        <v>225</v>
      </c>
      <c r="R41" s="5" t="s">
        <v>159</v>
      </c>
      <c r="S41" s="16">
        <f>SUM(S10:S33)</f>
        <v>3595</v>
      </c>
      <c r="T41" s="16">
        <f t="shared" ref="T41:AF41" si="33">SUM(T10:T33)</f>
        <v>1240</v>
      </c>
      <c r="U41" s="16">
        <f t="shared" si="33"/>
        <v>480</v>
      </c>
      <c r="V41" s="16">
        <f t="shared" si="33"/>
        <v>3060</v>
      </c>
      <c r="W41" s="16">
        <f t="shared" si="33"/>
        <v>185</v>
      </c>
      <c r="X41" s="16">
        <f t="shared" si="33"/>
        <v>81</v>
      </c>
      <c r="Y41" s="16">
        <f t="shared" si="33"/>
        <v>258</v>
      </c>
      <c r="Z41" s="16">
        <f t="shared" si="33"/>
        <v>168</v>
      </c>
      <c r="AA41" s="16">
        <f t="shared" si="33"/>
        <v>143</v>
      </c>
      <c r="AB41" s="16">
        <f t="shared" si="33"/>
        <v>27</v>
      </c>
      <c r="AC41" s="16">
        <f t="shared" si="33"/>
        <v>9556</v>
      </c>
      <c r="AD41" s="16">
        <f t="shared" si="33"/>
        <v>0</v>
      </c>
      <c r="AE41" s="32">
        <f t="shared" si="33"/>
        <v>9237</v>
      </c>
      <c r="AF41" s="32">
        <f t="shared" si="33"/>
        <v>18793</v>
      </c>
    </row>
    <row r="42" spans="2:32" ht="23.1" customHeight="1" x14ac:dyDescent="0.25">
      <c r="B42" s="46" t="s">
        <v>69</v>
      </c>
      <c r="C42" s="50">
        <v>80</v>
      </c>
      <c r="D42" s="50">
        <v>33</v>
      </c>
      <c r="E42" s="50">
        <v>7</v>
      </c>
      <c r="F42" s="50">
        <v>64</v>
      </c>
      <c r="G42" s="50">
        <v>0</v>
      </c>
      <c r="H42" s="50">
        <v>1</v>
      </c>
      <c r="I42" s="50">
        <v>5</v>
      </c>
      <c r="J42" s="50">
        <v>4</v>
      </c>
      <c r="K42" s="50">
        <v>2</v>
      </c>
      <c r="L42" s="50">
        <v>1</v>
      </c>
      <c r="M42" s="50">
        <v>150</v>
      </c>
      <c r="N42" s="50">
        <v>0</v>
      </c>
      <c r="O42" s="15">
        <f t="shared" si="0"/>
        <v>197</v>
      </c>
      <c r="P42" s="15">
        <f t="shared" si="1"/>
        <v>347</v>
      </c>
      <c r="R42" s="5" t="s">
        <v>160</v>
      </c>
      <c r="S42" s="48">
        <f>S41/S40</f>
        <v>1.5310902896081773</v>
      </c>
      <c r="T42" s="48">
        <f t="shared" ref="T42:AF42" si="34">T41/T40</f>
        <v>1.1832061068702291</v>
      </c>
      <c r="U42" s="48">
        <f t="shared" si="34"/>
        <v>1.4414414414414414</v>
      </c>
      <c r="V42" s="48">
        <f t="shared" si="34"/>
        <v>1.2323801852597664</v>
      </c>
      <c r="W42" s="48">
        <f t="shared" si="34"/>
        <v>1.5811965811965811</v>
      </c>
      <c r="X42" s="48">
        <f t="shared" si="34"/>
        <v>1.8837209302325582</v>
      </c>
      <c r="Y42" s="48">
        <f t="shared" si="34"/>
        <v>1.4659090909090908</v>
      </c>
      <c r="Z42" s="48">
        <f t="shared" si="34"/>
        <v>1.2</v>
      </c>
      <c r="AA42" s="48">
        <f t="shared" si="34"/>
        <v>1.0916030534351144</v>
      </c>
      <c r="AB42" s="48">
        <f t="shared" si="34"/>
        <v>1.173913043478261</v>
      </c>
      <c r="AC42" s="48">
        <f t="shared" si="34"/>
        <v>1.2816523605150214</v>
      </c>
      <c r="AD42" s="48" t="e">
        <f t="shared" si="34"/>
        <v>#DIV/0!</v>
      </c>
      <c r="AE42" s="48">
        <f t="shared" si="34"/>
        <v>1.3500438468284128</v>
      </c>
      <c r="AF42" s="48">
        <f t="shared" si="34"/>
        <v>1.3143796335151769</v>
      </c>
    </row>
    <row r="43" spans="2:32" ht="23.1" customHeight="1" x14ac:dyDescent="0.25">
      <c r="B43" s="45" t="s">
        <v>70</v>
      </c>
      <c r="C43" s="50">
        <v>55</v>
      </c>
      <c r="D43" s="50">
        <v>23</v>
      </c>
      <c r="E43" s="50">
        <v>9</v>
      </c>
      <c r="F43" s="50">
        <v>52</v>
      </c>
      <c r="G43" s="50">
        <v>0</v>
      </c>
      <c r="H43" s="50">
        <v>1</v>
      </c>
      <c r="I43" s="50">
        <v>2</v>
      </c>
      <c r="J43" s="50">
        <v>1</v>
      </c>
      <c r="K43" s="50">
        <v>1</v>
      </c>
      <c r="L43" s="50">
        <v>0</v>
      </c>
      <c r="M43" s="50">
        <v>150</v>
      </c>
      <c r="N43" s="50">
        <v>0</v>
      </c>
      <c r="O43" s="15">
        <f t="shared" si="0"/>
        <v>144</v>
      </c>
      <c r="P43" s="15">
        <f t="shared" si="1"/>
        <v>294</v>
      </c>
    </row>
    <row r="44" spans="2:32" ht="23.1" customHeight="1" x14ac:dyDescent="0.25">
      <c r="B44" s="47" t="s">
        <v>71</v>
      </c>
      <c r="C44" s="50">
        <v>50</v>
      </c>
      <c r="D44" s="50">
        <v>22</v>
      </c>
      <c r="E44" s="50">
        <v>5</v>
      </c>
      <c r="F44" s="50">
        <v>38</v>
      </c>
      <c r="G44" s="50">
        <v>0</v>
      </c>
      <c r="H44" s="50">
        <v>2</v>
      </c>
      <c r="I44" s="50">
        <v>1</v>
      </c>
      <c r="J44" s="50">
        <v>1</v>
      </c>
      <c r="K44" s="50">
        <v>0</v>
      </c>
      <c r="L44" s="50">
        <v>0</v>
      </c>
      <c r="M44" s="50">
        <v>155</v>
      </c>
      <c r="N44" s="50">
        <v>0</v>
      </c>
      <c r="O44" s="15">
        <f t="shared" si="0"/>
        <v>119</v>
      </c>
      <c r="P44" s="15">
        <f t="shared" si="1"/>
        <v>274</v>
      </c>
    </row>
    <row r="45" spans="2:32" ht="23.1" customHeight="1" x14ac:dyDescent="0.25">
      <c r="B45" s="45" t="s">
        <v>72</v>
      </c>
      <c r="C45" s="50">
        <v>68</v>
      </c>
      <c r="D45" s="50">
        <v>15</v>
      </c>
      <c r="E45" s="50">
        <v>3</v>
      </c>
      <c r="F45" s="50">
        <v>6</v>
      </c>
      <c r="G45" s="50">
        <v>0</v>
      </c>
      <c r="H45" s="50">
        <v>0</v>
      </c>
      <c r="I45" s="50">
        <v>2</v>
      </c>
      <c r="J45" s="50">
        <v>3</v>
      </c>
      <c r="K45" s="50">
        <v>3</v>
      </c>
      <c r="L45" s="50">
        <v>1</v>
      </c>
      <c r="M45" s="50">
        <v>120</v>
      </c>
      <c r="N45" s="50">
        <v>0</v>
      </c>
      <c r="O45" s="15">
        <f t="shared" si="0"/>
        <v>101</v>
      </c>
      <c r="P45" s="15">
        <f t="shared" si="1"/>
        <v>221</v>
      </c>
    </row>
    <row r="46" spans="2:32" ht="23.1" customHeight="1" x14ac:dyDescent="0.25">
      <c r="B46" s="46" t="s">
        <v>73</v>
      </c>
      <c r="C46" s="50">
        <v>69</v>
      </c>
      <c r="D46" s="50">
        <v>14</v>
      </c>
      <c r="E46" s="50">
        <v>5</v>
      </c>
      <c r="F46" s="50">
        <v>52</v>
      </c>
      <c r="G46" s="50">
        <v>1</v>
      </c>
      <c r="H46" s="50">
        <v>0</v>
      </c>
      <c r="I46" s="50">
        <v>10</v>
      </c>
      <c r="J46" s="50">
        <v>2</v>
      </c>
      <c r="K46" s="50">
        <v>1</v>
      </c>
      <c r="L46" s="50">
        <v>0</v>
      </c>
      <c r="M46" s="50">
        <v>151</v>
      </c>
      <c r="N46" s="50">
        <v>0</v>
      </c>
      <c r="O46" s="15">
        <f t="shared" si="0"/>
        <v>154</v>
      </c>
      <c r="P46" s="15">
        <f t="shared" si="1"/>
        <v>305</v>
      </c>
      <c r="R46" s="8"/>
      <c r="T46"/>
    </row>
    <row r="47" spans="2:32" ht="23.1" customHeight="1" x14ac:dyDescent="0.25">
      <c r="B47" s="46" t="s">
        <v>74</v>
      </c>
      <c r="C47" s="50">
        <v>65</v>
      </c>
      <c r="D47" s="50">
        <v>23</v>
      </c>
      <c r="E47" s="50">
        <v>4</v>
      </c>
      <c r="F47" s="50">
        <v>56</v>
      </c>
      <c r="G47" s="50">
        <v>0</v>
      </c>
      <c r="H47" s="50">
        <v>2</v>
      </c>
      <c r="I47" s="50">
        <v>4</v>
      </c>
      <c r="J47" s="50">
        <v>4</v>
      </c>
      <c r="K47" s="50">
        <v>0</v>
      </c>
      <c r="L47" s="50">
        <v>1</v>
      </c>
      <c r="M47" s="50">
        <v>120</v>
      </c>
      <c r="N47" s="50">
        <v>0</v>
      </c>
      <c r="O47" s="15">
        <f t="shared" si="0"/>
        <v>159</v>
      </c>
      <c r="P47" s="15">
        <f t="shared" si="1"/>
        <v>279</v>
      </c>
      <c r="R47" s="8"/>
      <c r="T47"/>
    </row>
    <row r="48" spans="2:32" ht="23.1" customHeight="1" x14ac:dyDescent="0.25">
      <c r="B48" s="46" t="s">
        <v>75</v>
      </c>
      <c r="C48" s="50">
        <v>67</v>
      </c>
      <c r="D48" s="50">
        <v>5</v>
      </c>
      <c r="E48" s="50">
        <v>6</v>
      </c>
      <c r="F48" s="50">
        <v>55</v>
      </c>
      <c r="G48" s="50">
        <v>2</v>
      </c>
      <c r="H48" s="50">
        <v>0</v>
      </c>
      <c r="I48" s="50">
        <v>5</v>
      </c>
      <c r="J48" s="50">
        <v>4</v>
      </c>
      <c r="K48" s="50">
        <v>3</v>
      </c>
      <c r="L48" s="50">
        <v>0</v>
      </c>
      <c r="M48" s="50">
        <v>165</v>
      </c>
      <c r="N48" s="50">
        <v>0</v>
      </c>
      <c r="O48" s="15">
        <f t="shared" si="0"/>
        <v>147</v>
      </c>
      <c r="P48" s="15">
        <f t="shared" si="1"/>
        <v>312</v>
      </c>
      <c r="R48" s="8"/>
      <c r="T48"/>
    </row>
    <row r="49" spans="2:20" ht="23.1" customHeight="1" x14ac:dyDescent="0.25">
      <c r="B49" s="45" t="s">
        <v>76</v>
      </c>
      <c r="C49" s="50">
        <v>68</v>
      </c>
      <c r="D49" s="50">
        <v>23</v>
      </c>
      <c r="E49" s="50">
        <v>3</v>
      </c>
      <c r="F49" s="50">
        <v>60</v>
      </c>
      <c r="G49" s="50">
        <v>1</v>
      </c>
      <c r="H49" s="50">
        <v>3</v>
      </c>
      <c r="I49" s="50">
        <v>5</v>
      </c>
      <c r="J49" s="50">
        <v>2</v>
      </c>
      <c r="K49" s="50">
        <v>2</v>
      </c>
      <c r="L49" s="50">
        <v>0</v>
      </c>
      <c r="M49" s="50">
        <v>175</v>
      </c>
      <c r="N49" s="50">
        <v>0</v>
      </c>
      <c r="O49" s="15">
        <f t="shared" si="0"/>
        <v>167</v>
      </c>
      <c r="P49" s="15">
        <f t="shared" si="1"/>
        <v>342</v>
      </c>
      <c r="R49" s="8"/>
      <c r="T49"/>
    </row>
    <row r="50" spans="2:20" ht="23.1" customHeight="1" x14ac:dyDescent="0.25">
      <c r="B50" s="46" t="s">
        <v>77</v>
      </c>
      <c r="C50" s="50">
        <v>67</v>
      </c>
      <c r="D50" s="50">
        <v>17</v>
      </c>
      <c r="E50" s="50">
        <v>5</v>
      </c>
      <c r="F50" s="50">
        <v>57</v>
      </c>
      <c r="G50" s="50">
        <v>0</v>
      </c>
      <c r="H50" s="50">
        <v>1</v>
      </c>
      <c r="I50" s="50">
        <v>8</v>
      </c>
      <c r="J50" s="50">
        <v>3</v>
      </c>
      <c r="K50" s="50">
        <v>5</v>
      </c>
      <c r="L50" s="50">
        <v>0</v>
      </c>
      <c r="M50" s="50">
        <v>155</v>
      </c>
      <c r="N50" s="50">
        <v>0</v>
      </c>
      <c r="O50" s="15">
        <f t="shared" si="0"/>
        <v>163</v>
      </c>
      <c r="P50" s="15">
        <f t="shared" si="1"/>
        <v>318</v>
      </c>
      <c r="R50" s="8"/>
      <c r="T50"/>
    </row>
    <row r="51" spans="2:20" ht="23.1" customHeight="1" x14ac:dyDescent="0.25">
      <c r="B51" s="46" t="s">
        <v>78</v>
      </c>
      <c r="C51" s="50">
        <v>50</v>
      </c>
      <c r="D51" s="50">
        <v>12</v>
      </c>
      <c r="E51" s="50">
        <v>7</v>
      </c>
      <c r="F51" s="50">
        <v>67</v>
      </c>
      <c r="G51" s="50">
        <v>4</v>
      </c>
      <c r="H51" s="50">
        <v>0</v>
      </c>
      <c r="I51" s="50">
        <v>1</v>
      </c>
      <c r="J51" s="50">
        <v>2</v>
      </c>
      <c r="K51" s="50">
        <v>2</v>
      </c>
      <c r="L51" s="50">
        <v>0</v>
      </c>
      <c r="M51" s="50">
        <v>150</v>
      </c>
      <c r="N51" s="50">
        <v>0</v>
      </c>
      <c r="O51" s="15">
        <f t="shared" si="0"/>
        <v>145</v>
      </c>
      <c r="P51" s="15">
        <f t="shared" si="1"/>
        <v>295</v>
      </c>
      <c r="R51" s="8"/>
      <c r="T51"/>
    </row>
    <row r="52" spans="2:20" ht="23.1" customHeight="1" x14ac:dyDescent="0.25">
      <c r="B52" s="46" t="s">
        <v>79</v>
      </c>
      <c r="C52" s="50">
        <v>40</v>
      </c>
      <c r="D52" s="50">
        <v>25</v>
      </c>
      <c r="E52" s="50">
        <v>6</v>
      </c>
      <c r="F52" s="50">
        <v>53</v>
      </c>
      <c r="G52" s="50">
        <v>3</v>
      </c>
      <c r="H52" s="50">
        <v>0</v>
      </c>
      <c r="I52" s="50">
        <v>5</v>
      </c>
      <c r="J52" s="50">
        <v>1</v>
      </c>
      <c r="K52" s="50">
        <v>2</v>
      </c>
      <c r="L52" s="50">
        <v>2</v>
      </c>
      <c r="M52" s="50">
        <v>185</v>
      </c>
      <c r="N52" s="50">
        <v>0</v>
      </c>
      <c r="O52" s="15">
        <f t="shared" si="0"/>
        <v>137</v>
      </c>
      <c r="P52" s="15">
        <f t="shared" si="1"/>
        <v>322</v>
      </c>
      <c r="R52" s="8"/>
      <c r="T52"/>
    </row>
    <row r="53" spans="2:20" ht="23.1" customHeight="1" x14ac:dyDescent="0.25">
      <c r="B53" s="45" t="s">
        <v>80</v>
      </c>
      <c r="C53" s="50">
        <v>66</v>
      </c>
      <c r="D53" s="50">
        <v>11</v>
      </c>
      <c r="E53" s="50">
        <v>15</v>
      </c>
      <c r="F53" s="50">
        <v>65</v>
      </c>
      <c r="G53" s="50">
        <v>1</v>
      </c>
      <c r="H53" s="50">
        <v>2</v>
      </c>
      <c r="I53" s="50">
        <v>4</v>
      </c>
      <c r="J53" s="50">
        <v>1</v>
      </c>
      <c r="K53" s="50">
        <v>3</v>
      </c>
      <c r="L53" s="50">
        <v>0</v>
      </c>
      <c r="M53" s="50">
        <v>140</v>
      </c>
      <c r="N53" s="50">
        <v>0</v>
      </c>
      <c r="O53" s="15">
        <f t="shared" si="0"/>
        <v>168</v>
      </c>
      <c r="P53" s="15">
        <f t="shared" si="1"/>
        <v>308</v>
      </c>
      <c r="R53" s="8"/>
      <c r="T53"/>
    </row>
    <row r="54" spans="2:20" ht="23.1" customHeight="1" x14ac:dyDescent="0.25">
      <c r="B54" s="45" t="s">
        <v>81</v>
      </c>
      <c r="C54" s="50">
        <v>60</v>
      </c>
      <c r="D54" s="50">
        <v>30</v>
      </c>
      <c r="E54" s="50">
        <v>7</v>
      </c>
      <c r="F54" s="50">
        <v>60</v>
      </c>
      <c r="G54" s="50">
        <v>0</v>
      </c>
      <c r="H54" s="50">
        <v>1</v>
      </c>
      <c r="I54" s="50">
        <v>6</v>
      </c>
      <c r="J54" s="50">
        <v>2</v>
      </c>
      <c r="K54" s="50">
        <v>1</v>
      </c>
      <c r="L54" s="50">
        <v>0</v>
      </c>
      <c r="M54" s="50">
        <v>175</v>
      </c>
      <c r="N54" s="50">
        <v>0</v>
      </c>
      <c r="O54" s="15">
        <f t="shared" si="0"/>
        <v>167</v>
      </c>
      <c r="P54" s="15">
        <f t="shared" si="1"/>
        <v>342</v>
      </c>
      <c r="R54" s="8"/>
      <c r="T54"/>
    </row>
    <row r="55" spans="2:20" ht="23.1" customHeight="1" x14ac:dyDescent="0.25">
      <c r="B55" s="45" t="s">
        <v>82</v>
      </c>
      <c r="C55" s="50">
        <v>65</v>
      </c>
      <c r="D55" s="50">
        <v>31</v>
      </c>
      <c r="E55" s="50">
        <v>2</v>
      </c>
      <c r="F55" s="50">
        <v>66</v>
      </c>
      <c r="G55" s="50">
        <v>2</v>
      </c>
      <c r="H55" s="50">
        <v>2</v>
      </c>
      <c r="I55" s="50">
        <v>5</v>
      </c>
      <c r="J55" s="50">
        <v>1</v>
      </c>
      <c r="K55" s="50">
        <v>2</v>
      </c>
      <c r="L55" s="50">
        <v>0</v>
      </c>
      <c r="M55" s="50">
        <v>150</v>
      </c>
      <c r="N55" s="50">
        <v>0</v>
      </c>
      <c r="O55" s="15">
        <f t="shared" si="0"/>
        <v>176</v>
      </c>
      <c r="P55" s="15">
        <f t="shared" si="1"/>
        <v>326</v>
      </c>
      <c r="R55" s="8"/>
      <c r="T55"/>
    </row>
    <row r="56" spans="2:20" ht="23.1" customHeight="1" x14ac:dyDescent="0.25">
      <c r="B56" s="45" t="s">
        <v>83</v>
      </c>
      <c r="C56" s="50">
        <v>47</v>
      </c>
      <c r="D56" s="50">
        <v>28</v>
      </c>
      <c r="E56" s="50">
        <v>5</v>
      </c>
      <c r="F56" s="50">
        <v>71</v>
      </c>
      <c r="G56" s="50">
        <v>0</v>
      </c>
      <c r="H56" s="50">
        <v>0</v>
      </c>
      <c r="I56" s="50">
        <v>3</v>
      </c>
      <c r="J56" s="50">
        <v>3</v>
      </c>
      <c r="K56" s="50">
        <v>2</v>
      </c>
      <c r="L56" s="50">
        <v>0</v>
      </c>
      <c r="M56" s="50">
        <v>145</v>
      </c>
      <c r="N56" s="50">
        <v>0</v>
      </c>
      <c r="O56" s="15">
        <f t="shared" si="0"/>
        <v>159</v>
      </c>
      <c r="P56" s="15">
        <f t="shared" si="1"/>
        <v>304</v>
      </c>
      <c r="R56" s="8"/>
      <c r="T56"/>
    </row>
    <row r="57" spans="2:20" ht="23.1" customHeight="1" x14ac:dyDescent="0.25">
      <c r="B57" s="45" t="s">
        <v>84</v>
      </c>
      <c r="C57" s="50">
        <v>82</v>
      </c>
      <c r="D57" s="50">
        <v>15</v>
      </c>
      <c r="E57" s="50">
        <v>6</v>
      </c>
      <c r="F57" s="50">
        <v>75</v>
      </c>
      <c r="G57" s="50">
        <v>0</v>
      </c>
      <c r="H57" s="50">
        <v>0</v>
      </c>
      <c r="I57" s="50">
        <v>6</v>
      </c>
      <c r="J57" s="50">
        <v>3</v>
      </c>
      <c r="K57" s="50">
        <v>2</v>
      </c>
      <c r="L57" s="50">
        <v>0</v>
      </c>
      <c r="M57" s="50">
        <v>160</v>
      </c>
      <c r="N57" s="50">
        <v>0</v>
      </c>
      <c r="O57" s="15">
        <f t="shared" si="0"/>
        <v>189</v>
      </c>
      <c r="P57" s="15">
        <f t="shared" si="1"/>
        <v>349</v>
      </c>
      <c r="R57" s="8"/>
      <c r="T57"/>
    </row>
    <row r="58" spans="2:20" ht="23.1" customHeight="1" x14ac:dyDescent="0.25">
      <c r="B58" s="45" t="s">
        <v>99</v>
      </c>
      <c r="C58" s="50">
        <v>57</v>
      </c>
      <c r="D58" s="50">
        <v>6</v>
      </c>
      <c r="E58" s="50">
        <v>11</v>
      </c>
      <c r="F58" s="50">
        <v>45</v>
      </c>
      <c r="G58" s="50">
        <v>0</v>
      </c>
      <c r="H58" s="50">
        <v>0</v>
      </c>
      <c r="I58" s="50">
        <v>12</v>
      </c>
      <c r="J58" s="50">
        <v>3</v>
      </c>
      <c r="K58" s="50">
        <v>0</v>
      </c>
      <c r="L58" s="50">
        <v>1</v>
      </c>
      <c r="M58" s="50">
        <v>111</v>
      </c>
      <c r="N58" s="50">
        <v>0</v>
      </c>
      <c r="O58" s="15">
        <f t="shared" si="0"/>
        <v>135</v>
      </c>
      <c r="P58" s="15">
        <f t="shared" si="1"/>
        <v>246</v>
      </c>
      <c r="R58" s="8"/>
      <c r="T58"/>
    </row>
    <row r="59" spans="2:20" ht="23.1" customHeight="1" x14ac:dyDescent="0.25">
      <c r="B59" s="45" t="s">
        <v>100</v>
      </c>
      <c r="C59" s="50">
        <v>65</v>
      </c>
      <c r="D59" s="50">
        <v>13</v>
      </c>
      <c r="E59" s="50">
        <v>2</v>
      </c>
      <c r="F59" s="50">
        <v>45</v>
      </c>
      <c r="G59" s="50">
        <v>0</v>
      </c>
      <c r="H59" s="50">
        <v>1</v>
      </c>
      <c r="I59" s="50">
        <v>6</v>
      </c>
      <c r="J59" s="50">
        <v>1</v>
      </c>
      <c r="K59" s="50">
        <v>0</v>
      </c>
      <c r="L59" s="50">
        <v>0</v>
      </c>
      <c r="M59" s="50">
        <v>122</v>
      </c>
      <c r="N59" s="50">
        <v>0</v>
      </c>
      <c r="O59" s="15">
        <f t="shared" si="0"/>
        <v>133</v>
      </c>
      <c r="P59" s="15">
        <f t="shared" si="1"/>
        <v>255</v>
      </c>
      <c r="R59" s="8"/>
      <c r="T59"/>
    </row>
    <row r="60" spans="2:20" ht="23.1" customHeight="1" x14ac:dyDescent="0.25">
      <c r="B60" s="45" t="s">
        <v>101</v>
      </c>
      <c r="C60" s="50">
        <v>60</v>
      </c>
      <c r="D60" s="50">
        <v>2</v>
      </c>
      <c r="E60" s="50">
        <v>47</v>
      </c>
      <c r="F60" s="50">
        <v>2</v>
      </c>
      <c r="G60" s="50">
        <v>0</v>
      </c>
      <c r="H60" s="50">
        <v>3</v>
      </c>
      <c r="I60" s="50">
        <v>1</v>
      </c>
      <c r="J60" s="50">
        <v>0</v>
      </c>
      <c r="K60" s="50">
        <v>1</v>
      </c>
      <c r="L60" s="50">
        <v>0</v>
      </c>
      <c r="M60" s="50">
        <v>90</v>
      </c>
      <c r="N60" s="50">
        <v>0</v>
      </c>
      <c r="O60" s="15">
        <f t="shared" si="0"/>
        <v>116</v>
      </c>
      <c r="P60" s="15">
        <f t="shared" si="1"/>
        <v>206</v>
      </c>
      <c r="R60" s="8"/>
      <c r="T60"/>
    </row>
    <row r="61" spans="2:20" ht="23.1" customHeight="1" x14ac:dyDescent="0.25">
      <c r="B61" s="45" t="s">
        <v>102</v>
      </c>
      <c r="C61" s="50">
        <v>55</v>
      </c>
      <c r="D61" s="50">
        <v>6</v>
      </c>
      <c r="E61" s="50">
        <v>0</v>
      </c>
      <c r="F61" s="50">
        <v>50</v>
      </c>
      <c r="G61" s="50">
        <v>1</v>
      </c>
      <c r="H61" s="50">
        <v>3</v>
      </c>
      <c r="I61" s="50">
        <v>4</v>
      </c>
      <c r="J61" s="50">
        <v>1</v>
      </c>
      <c r="K61" s="50">
        <v>0</v>
      </c>
      <c r="L61" s="50">
        <v>1</v>
      </c>
      <c r="M61" s="50">
        <v>105</v>
      </c>
      <c r="N61" s="50">
        <v>0</v>
      </c>
      <c r="O61" s="15">
        <f t="shared" si="0"/>
        <v>121</v>
      </c>
      <c r="P61" s="15">
        <f t="shared" si="1"/>
        <v>226</v>
      </c>
      <c r="R61" s="8"/>
      <c r="T61"/>
    </row>
    <row r="62" spans="2:20" ht="23.1" customHeight="1" x14ac:dyDescent="0.25">
      <c r="B62" s="45" t="s">
        <v>107</v>
      </c>
      <c r="C62" s="50">
        <v>62</v>
      </c>
      <c r="D62" s="50">
        <v>2</v>
      </c>
      <c r="E62" s="50">
        <v>5</v>
      </c>
      <c r="F62" s="50">
        <v>47</v>
      </c>
      <c r="G62" s="50">
        <v>1</v>
      </c>
      <c r="H62" s="50">
        <v>2</v>
      </c>
      <c r="I62" s="50">
        <v>6</v>
      </c>
      <c r="J62" s="50">
        <v>0</v>
      </c>
      <c r="K62" s="50">
        <v>0</v>
      </c>
      <c r="L62" s="50">
        <v>0</v>
      </c>
      <c r="M62" s="50">
        <v>103</v>
      </c>
      <c r="N62" s="50">
        <v>0</v>
      </c>
      <c r="O62" s="15">
        <f t="shared" si="0"/>
        <v>125</v>
      </c>
      <c r="P62" s="15">
        <f t="shared" si="1"/>
        <v>228</v>
      </c>
      <c r="R62" s="8"/>
      <c r="T62"/>
    </row>
    <row r="63" spans="2:20" ht="23.1" customHeight="1" x14ac:dyDescent="0.25">
      <c r="B63" s="45" t="s">
        <v>108</v>
      </c>
      <c r="C63" s="50">
        <v>43</v>
      </c>
      <c r="D63" s="50">
        <v>11</v>
      </c>
      <c r="E63" s="50">
        <v>8</v>
      </c>
      <c r="F63" s="50">
        <v>45</v>
      </c>
      <c r="G63" s="50">
        <v>1</v>
      </c>
      <c r="H63" s="50">
        <v>3</v>
      </c>
      <c r="I63" s="50">
        <v>2</v>
      </c>
      <c r="J63" s="50">
        <v>0</v>
      </c>
      <c r="K63" s="50">
        <v>0</v>
      </c>
      <c r="L63" s="50">
        <v>0</v>
      </c>
      <c r="M63" s="50">
        <v>130</v>
      </c>
      <c r="N63" s="50">
        <v>0</v>
      </c>
      <c r="O63" s="15">
        <f t="shared" si="0"/>
        <v>113</v>
      </c>
      <c r="P63" s="15">
        <f t="shared" si="1"/>
        <v>243</v>
      </c>
      <c r="R63" s="8"/>
      <c r="T63"/>
    </row>
    <row r="64" spans="2:20" ht="23.1" customHeight="1" x14ac:dyDescent="0.25">
      <c r="B64" s="45" t="s">
        <v>109</v>
      </c>
      <c r="C64" s="50">
        <v>43</v>
      </c>
      <c r="D64" s="50">
        <v>55</v>
      </c>
      <c r="E64" s="50">
        <v>8</v>
      </c>
      <c r="F64" s="50">
        <v>1</v>
      </c>
      <c r="G64" s="50">
        <v>46</v>
      </c>
      <c r="H64" s="50">
        <v>2</v>
      </c>
      <c r="I64" s="50">
        <v>0</v>
      </c>
      <c r="J64" s="50">
        <v>4</v>
      </c>
      <c r="K64" s="50">
        <v>0</v>
      </c>
      <c r="L64" s="50">
        <v>0</v>
      </c>
      <c r="M64" s="50">
        <v>105</v>
      </c>
      <c r="N64" s="50">
        <v>0</v>
      </c>
      <c r="O64" s="15">
        <f t="shared" si="0"/>
        <v>159</v>
      </c>
      <c r="P64" s="15">
        <f t="shared" si="1"/>
        <v>264</v>
      </c>
      <c r="R64" s="8"/>
      <c r="T64"/>
    </row>
    <row r="65" spans="2:20" ht="23.1" customHeight="1" x14ac:dyDescent="0.25">
      <c r="B65" s="45" t="s">
        <v>158</v>
      </c>
      <c r="C65" s="50">
        <v>75</v>
      </c>
      <c r="D65" s="50">
        <v>5</v>
      </c>
      <c r="E65" s="50">
        <v>6</v>
      </c>
      <c r="F65" s="50">
        <v>49</v>
      </c>
      <c r="G65" s="50">
        <v>0</v>
      </c>
      <c r="H65" s="50">
        <v>2</v>
      </c>
      <c r="I65" s="50">
        <v>6</v>
      </c>
      <c r="J65" s="50">
        <v>2</v>
      </c>
      <c r="K65" s="50">
        <v>0</v>
      </c>
      <c r="L65" s="50">
        <v>0</v>
      </c>
      <c r="M65" s="50">
        <v>113</v>
      </c>
      <c r="N65" s="50">
        <v>0</v>
      </c>
      <c r="O65" s="15">
        <f t="shared" si="0"/>
        <v>145</v>
      </c>
      <c r="P65" s="15">
        <f t="shared" si="1"/>
        <v>258</v>
      </c>
      <c r="R65" s="8"/>
      <c r="T65"/>
    </row>
    <row r="66" spans="2:20" ht="23.1" customHeight="1" x14ac:dyDescent="0.25">
      <c r="B66" s="45" t="s">
        <v>103</v>
      </c>
      <c r="C66" s="50">
        <v>73</v>
      </c>
      <c r="D66" s="50">
        <v>7</v>
      </c>
      <c r="E66" s="50">
        <v>1</v>
      </c>
      <c r="F66" s="50">
        <v>35</v>
      </c>
      <c r="G66" s="50">
        <v>0</v>
      </c>
      <c r="H66" s="50">
        <v>0</v>
      </c>
      <c r="I66" s="50">
        <v>5</v>
      </c>
      <c r="J66" s="50">
        <v>2</v>
      </c>
      <c r="K66" s="50">
        <v>0</v>
      </c>
      <c r="L66" s="50">
        <v>0</v>
      </c>
      <c r="M66" s="50">
        <v>115</v>
      </c>
      <c r="N66" s="50">
        <v>0</v>
      </c>
      <c r="O66" s="15">
        <f t="shared" si="0"/>
        <v>123</v>
      </c>
      <c r="P66" s="15">
        <f t="shared" si="1"/>
        <v>238</v>
      </c>
      <c r="R66" s="8"/>
      <c r="T66"/>
    </row>
    <row r="67" spans="2:20" ht="23.1" customHeight="1" x14ac:dyDescent="0.25">
      <c r="B67" s="45" t="s">
        <v>104</v>
      </c>
      <c r="C67" s="50">
        <v>55</v>
      </c>
      <c r="D67" s="50">
        <v>4</v>
      </c>
      <c r="E67" s="50">
        <v>0</v>
      </c>
      <c r="F67" s="50">
        <v>25</v>
      </c>
      <c r="G67" s="50">
        <v>1</v>
      </c>
      <c r="H67" s="50">
        <v>1</v>
      </c>
      <c r="I67" s="50">
        <v>3</v>
      </c>
      <c r="J67" s="50">
        <v>2</v>
      </c>
      <c r="K67" s="50">
        <v>0</v>
      </c>
      <c r="L67" s="50">
        <v>0</v>
      </c>
      <c r="M67" s="50">
        <v>45</v>
      </c>
      <c r="N67" s="50">
        <v>0</v>
      </c>
      <c r="O67" s="15">
        <f t="shared" si="0"/>
        <v>91</v>
      </c>
      <c r="P67" s="15">
        <f t="shared" si="1"/>
        <v>136</v>
      </c>
      <c r="R67" s="8"/>
      <c r="T67"/>
    </row>
    <row r="68" spans="2:20" ht="23.1" customHeight="1" x14ac:dyDescent="0.25">
      <c r="B68" s="45" t="s">
        <v>105</v>
      </c>
      <c r="C68" s="50">
        <v>60</v>
      </c>
      <c r="D68" s="50">
        <v>13</v>
      </c>
      <c r="E68" s="50">
        <v>2</v>
      </c>
      <c r="F68" s="50">
        <v>22</v>
      </c>
      <c r="G68" s="50">
        <v>1</v>
      </c>
      <c r="H68" s="50">
        <v>1</v>
      </c>
      <c r="I68" s="50">
        <v>3</v>
      </c>
      <c r="J68" s="50">
        <v>1</v>
      </c>
      <c r="K68" s="50">
        <v>1</v>
      </c>
      <c r="L68" s="50">
        <v>0</v>
      </c>
      <c r="M68" s="50">
        <v>60</v>
      </c>
      <c r="N68" s="50">
        <v>0</v>
      </c>
      <c r="O68" s="15">
        <f t="shared" si="0"/>
        <v>104</v>
      </c>
      <c r="P68" s="15">
        <f t="shared" si="1"/>
        <v>164</v>
      </c>
      <c r="R68" s="8"/>
      <c r="T68"/>
    </row>
    <row r="69" spans="2:20" ht="23.1" customHeight="1" x14ac:dyDescent="0.25">
      <c r="B69" s="45" t="s">
        <v>106</v>
      </c>
      <c r="C69" s="50">
        <v>59</v>
      </c>
      <c r="D69" s="50">
        <v>4</v>
      </c>
      <c r="E69" s="50">
        <v>5</v>
      </c>
      <c r="F69" s="50">
        <v>35</v>
      </c>
      <c r="G69" s="50">
        <v>3</v>
      </c>
      <c r="H69" s="50">
        <v>1</v>
      </c>
      <c r="I69" s="50">
        <v>4</v>
      </c>
      <c r="J69" s="50">
        <v>1</v>
      </c>
      <c r="K69" s="50">
        <v>0</v>
      </c>
      <c r="L69" s="50">
        <v>0</v>
      </c>
      <c r="M69" s="50">
        <v>60</v>
      </c>
      <c r="N69" s="50">
        <v>0</v>
      </c>
      <c r="O69" s="15">
        <f t="shared" si="0"/>
        <v>112</v>
      </c>
      <c r="P69" s="15">
        <f t="shared" si="1"/>
        <v>172</v>
      </c>
      <c r="R69" s="8"/>
      <c r="T69"/>
    </row>
    <row r="70" spans="2:20" ht="23.1" customHeight="1" x14ac:dyDescent="0.25">
      <c r="B70" s="45" t="s">
        <v>110</v>
      </c>
      <c r="C70" s="50">
        <v>35</v>
      </c>
      <c r="D70" s="50">
        <v>3</v>
      </c>
      <c r="E70" s="50">
        <v>3</v>
      </c>
      <c r="F70" s="50">
        <v>25</v>
      </c>
      <c r="G70" s="50">
        <v>2</v>
      </c>
      <c r="H70" s="50">
        <v>1</v>
      </c>
      <c r="I70" s="50">
        <v>3</v>
      </c>
      <c r="J70" s="50">
        <v>0</v>
      </c>
      <c r="K70" s="50">
        <v>0</v>
      </c>
      <c r="L70" s="50">
        <v>0</v>
      </c>
      <c r="M70" s="50">
        <v>30</v>
      </c>
      <c r="N70" s="50">
        <v>0</v>
      </c>
      <c r="O70" s="15">
        <f t="shared" si="0"/>
        <v>72</v>
      </c>
      <c r="P70" s="15">
        <f t="shared" si="1"/>
        <v>102</v>
      </c>
      <c r="R70" s="8"/>
      <c r="T70"/>
    </row>
    <row r="71" spans="2:20" ht="23.1" customHeight="1" x14ac:dyDescent="0.25">
      <c r="B71" s="45" t="s">
        <v>111</v>
      </c>
      <c r="C71" s="50">
        <v>36</v>
      </c>
      <c r="D71" s="50">
        <v>4</v>
      </c>
      <c r="E71" s="50">
        <v>24</v>
      </c>
      <c r="F71" s="50">
        <v>1</v>
      </c>
      <c r="G71" s="50">
        <v>2</v>
      </c>
      <c r="H71" s="50">
        <v>1</v>
      </c>
      <c r="I71" s="50">
        <v>2</v>
      </c>
      <c r="J71" s="50">
        <v>0</v>
      </c>
      <c r="K71" s="50">
        <v>0</v>
      </c>
      <c r="L71" s="50">
        <v>0</v>
      </c>
      <c r="M71" s="50">
        <v>85</v>
      </c>
      <c r="N71" s="50">
        <v>0</v>
      </c>
      <c r="O71" s="15">
        <f t="shared" si="0"/>
        <v>70</v>
      </c>
      <c r="P71" s="15">
        <f t="shared" si="1"/>
        <v>155</v>
      </c>
      <c r="R71" s="8"/>
      <c r="T71"/>
    </row>
    <row r="72" spans="2:20" ht="23.1" customHeight="1" x14ac:dyDescent="0.25">
      <c r="B72" s="45" t="s">
        <v>112</v>
      </c>
      <c r="C72" s="50">
        <v>49</v>
      </c>
      <c r="D72" s="50">
        <v>10</v>
      </c>
      <c r="E72" s="50">
        <v>0</v>
      </c>
      <c r="F72" s="50">
        <v>17</v>
      </c>
      <c r="G72" s="50">
        <v>1</v>
      </c>
      <c r="H72" s="50">
        <v>0</v>
      </c>
      <c r="I72" s="50">
        <v>0</v>
      </c>
      <c r="J72" s="50">
        <v>0</v>
      </c>
      <c r="K72" s="50">
        <v>0</v>
      </c>
      <c r="L72" s="50">
        <v>0</v>
      </c>
      <c r="M72" s="50">
        <v>41</v>
      </c>
      <c r="N72" s="50">
        <v>0</v>
      </c>
      <c r="O72" s="15">
        <f t="shared" si="0"/>
        <v>77</v>
      </c>
      <c r="P72" s="15">
        <f t="shared" si="1"/>
        <v>118</v>
      </c>
      <c r="R72" s="8"/>
      <c r="T72"/>
    </row>
    <row r="73" spans="2:20" ht="23.1" customHeight="1" x14ac:dyDescent="0.25">
      <c r="B73" s="45" t="s">
        <v>113</v>
      </c>
      <c r="C73" s="50">
        <v>46</v>
      </c>
      <c r="D73" s="50">
        <v>11</v>
      </c>
      <c r="E73" s="50">
        <v>1</v>
      </c>
      <c r="F73" s="50">
        <v>15</v>
      </c>
      <c r="G73" s="50">
        <v>0</v>
      </c>
      <c r="H73" s="50">
        <v>0</v>
      </c>
      <c r="I73" s="50">
        <v>1</v>
      </c>
      <c r="J73" s="50">
        <v>0</v>
      </c>
      <c r="K73" s="50">
        <v>1</v>
      </c>
      <c r="L73" s="50">
        <v>1</v>
      </c>
      <c r="M73" s="50">
        <v>95</v>
      </c>
      <c r="N73" s="50">
        <v>0</v>
      </c>
      <c r="O73" s="15">
        <f t="shared" si="0"/>
        <v>76</v>
      </c>
      <c r="P73" s="15">
        <f t="shared" si="1"/>
        <v>171</v>
      </c>
      <c r="R73" s="8"/>
      <c r="T73"/>
    </row>
    <row r="74" spans="2:20" ht="23.1" customHeight="1" x14ac:dyDescent="0.25">
      <c r="B74" s="45" t="s">
        <v>114</v>
      </c>
      <c r="C74" s="50">
        <v>40</v>
      </c>
      <c r="D74" s="50">
        <v>1</v>
      </c>
      <c r="E74" s="50">
        <v>2</v>
      </c>
      <c r="F74" s="50">
        <v>14</v>
      </c>
      <c r="G74" s="50">
        <v>0</v>
      </c>
      <c r="H74" s="50">
        <v>1</v>
      </c>
      <c r="I74" s="50">
        <v>2</v>
      </c>
      <c r="J74" s="50">
        <v>0</v>
      </c>
      <c r="K74" s="50">
        <v>0</v>
      </c>
      <c r="L74" s="50">
        <v>0</v>
      </c>
      <c r="M74" s="50">
        <v>85</v>
      </c>
      <c r="N74" s="50">
        <v>0</v>
      </c>
      <c r="O74" s="15">
        <f t="shared" ref="O74:O105" si="35">SUM(C74:L74,N74)</f>
        <v>60</v>
      </c>
      <c r="P74" s="15">
        <f t="shared" ref="P74:P105" si="36">SUM(C74:N74)</f>
        <v>145</v>
      </c>
      <c r="R74" s="8"/>
      <c r="T74"/>
    </row>
    <row r="75" spans="2:20" ht="23.1" customHeight="1" x14ac:dyDescent="0.25">
      <c r="B75" s="45" t="s">
        <v>115</v>
      </c>
      <c r="C75" s="50">
        <v>22</v>
      </c>
      <c r="D75" s="50">
        <v>8</v>
      </c>
      <c r="E75" s="50">
        <v>2</v>
      </c>
      <c r="F75" s="50">
        <v>15</v>
      </c>
      <c r="G75" s="50">
        <v>1</v>
      </c>
      <c r="H75" s="50">
        <v>3</v>
      </c>
      <c r="I75" s="50">
        <v>1</v>
      </c>
      <c r="J75" s="50">
        <v>0</v>
      </c>
      <c r="K75" s="50">
        <v>0</v>
      </c>
      <c r="L75" s="50">
        <v>0</v>
      </c>
      <c r="M75" s="50">
        <v>45</v>
      </c>
      <c r="N75" s="50">
        <v>0</v>
      </c>
      <c r="O75" s="15">
        <f t="shared" si="35"/>
        <v>52</v>
      </c>
      <c r="P75" s="15">
        <f t="shared" si="36"/>
        <v>97</v>
      </c>
      <c r="R75" s="8"/>
      <c r="T75"/>
    </row>
    <row r="76" spans="2:20" ht="23.1" customHeight="1" x14ac:dyDescent="0.25">
      <c r="B76" s="45" t="s">
        <v>116</v>
      </c>
      <c r="C76" s="50">
        <v>43</v>
      </c>
      <c r="D76" s="50">
        <v>1</v>
      </c>
      <c r="E76" s="50">
        <v>2</v>
      </c>
      <c r="F76" s="50">
        <v>12</v>
      </c>
      <c r="G76" s="50">
        <v>1</v>
      </c>
      <c r="H76" s="50">
        <v>1</v>
      </c>
      <c r="I76" s="50">
        <v>1</v>
      </c>
      <c r="J76" s="50">
        <v>0</v>
      </c>
      <c r="K76" s="50">
        <v>0</v>
      </c>
      <c r="L76" s="50">
        <v>0</v>
      </c>
      <c r="M76" s="50">
        <v>53</v>
      </c>
      <c r="N76" s="50">
        <v>0</v>
      </c>
      <c r="O76" s="15">
        <f t="shared" si="35"/>
        <v>61</v>
      </c>
      <c r="P76" s="15">
        <f t="shared" si="36"/>
        <v>114</v>
      </c>
      <c r="R76" s="8"/>
      <c r="T76"/>
    </row>
    <row r="77" spans="2:20" ht="23.1" customHeight="1" x14ac:dyDescent="0.25">
      <c r="B77" s="45" t="s">
        <v>117</v>
      </c>
      <c r="C77" s="50">
        <v>34</v>
      </c>
      <c r="D77" s="50">
        <v>3</v>
      </c>
      <c r="E77" s="50">
        <v>1</v>
      </c>
      <c r="F77" s="50">
        <v>4</v>
      </c>
      <c r="G77" s="50">
        <v>0</v>
      </c>
      <c r="H77" s="50">
        <v>0</v>
      </c>
      <c r="I77" s="50">
        <v>1</v>
      </c>
      <c r="J77" s="50">
        <v>0</v>
      </c>
      <c r="K77" s="50">
        <v>0</v>
      </c>
      <c r="L77" s="50">
        <v>0</v>
      </c>
      <c r="M77" s="50">
        <v>35</v>
      </c>
      <c r="N77" s="50">
        <v>0</v>
      </c>
      <c r="O77" s="15">
        <f t="shared" si="35"/>
        <v>43</v>
      </c>
      <c r="P77" s="15">
        <f t="shared" si="36"/>
        <v>78</v>
      </c>
      <c r="R77" s="8"/>
      <c r="T77"/>
    </row>
    <row r="78" spans="2:20" ht="23.1" customHeight="1" x14ac:dyDescent="0.25">
      <c r="B78" s="46" t="s">
        <v>118</v>
      </c>
      <c r="C78" s="50">
        <v>27</v>
      </c>
      <c r="D78" s="50">
        <v>1</v>
      </c>
      <c r="E78" s="50">
        <v>1</v>
      </c>
      <c r="F78" s="50">
        <v>3</v>
      </c>
      <c r="G78" s="50">
        <v>0</v>
      </c>
      <c r="H78" s="50">
        <v>0</v>
      </c>
      <c r="I78" s="50">
        <v>0</v>
      </c>
      <c r="J78" s="50">
        <v>1</v>
      </c>
      <c r="K78" s="50">
        <v>0</v>
      </c>
      <c r="L78" s="50">
        <v>0</v>
      </c>
      <c r="M78" s="50">
        <v>24</v>
      </c>
      <c r="N78" s="50">
        <v>0</v>
      </c>
      <c r="O78" s="15">
        <f t="shared" si="35"/>
        <v>33</v>
      </c>
      <c r="P78" s="15">
        <f t="shared" si="36"/>
        <v>57</v>
      </c>
      <c r="R78" s="8"/>
      <c r="T78"/>
    </row>
    <row r="79" spans="2:20" ht="23.1" customHeight="1" x14ac:dyDescent="0.25">
      <c r="B79" s="45" t="s">
        <v>119</v>
      </c>
      <c r="C79" s="50">
        <v>13</v>
      </c>
      <c r="D79" s="50">
        <v>1</v>
      </c>
      <c r="E79" s="50">
        <v>0</v>
      </c>
      <c r="F79" s="50">
        <v>4</v>
      </c>
      <c r="G79" s="50">
        <v>0</v>
      </c>
      <c r="H79" s="50">
        <v>2</v>
      </c>
      <c r="I79" s="50">
        <v>2</v>
      </c>
      <c r="J79" s="50">
        <v>2</v>
      </c>
      <c r="K79" s="50">
        <v>0</v>
      </c>
      <c r="L79" s="50">
        <v>0</v>
      </c>
      <c r="M79" s="50">
        <v>29</v>
      </c>
      <c r="N79" s="50">
        <v>0</v>
      </c>
      <c r="O79" s="15">
        <f t="shared" si="35"/>
        <v>24</v>
      </c>
      <c r="P79" s="15">
        <f t="shared" si="36"/>
        <v>53</v>
      </c>
      <c r="R79" s="8"/>
      <c r="T79"/>
    </row>
    <row r="80" spans="2:20" ht="23.1" customHeight="1" x14ac:dyDescent="0.25">
      <c r="B80" s="47" t="s">
        <v>120</v>
      </c>
      <c r="C80" s="50">
        <v>15</v>
      </c>
      <c r="D80" s="50">
        <v>0</v>
      </c>
      <c r="E80" s="50">
        <v>2</v>
      </c>
      <c r="F80" s="50">
        <v>0</v>
      </c>
      <c r="G80" s="50">
        <v>3</v>
      </c>
      <c r="H80" s="50">
        <v>1</v>
      </c>
      <c r="I80" s="50">
        <v>1</v>
      </c>
      <c r="J80" s="50">
        <v>2</v>
      </c>
      <c r="K80" s="50">
        <v>0</v>
      </c>
      <c r="L80" s="50">
        <v>0</v>
      </c>
      <c r="M80" s="50">
        <v>36</v>
      </c>
      <c r="N80" s="50">
        <v>0</v>
      </c>
      <c r="O80" s="15">
        <f t="shared" si="35"/>
        <v>24</v>
      </c>
      <c r="P80" s="15">
        <f t="shared" si="36"/>
        <v>60</v>
      </c>
      <c r="R80" s="8"/>
      <c r="T80"/>
    </row>
    <row r="81" spans="2:20" ht="23.1" customHeight="1" x14ac:dyDescent="0.25">
      <c r="B81" s="45" t="s">
        <v>121</v>
      </c>
      <c r="C81" s="50">
        <v>20</v>
      </c>
      <c r="D81" s="50">
        <v>3</v>
      </c>
      <c r="E81" s="50">
        <v>2</v>
      </c>
      <c r="F81" s="50">
        <v>1</v>
      </c>
      <c r="G81" s="50">
        <v>1</v>
      </c>
      <c r="H81" s="50">
        <v>0</v>
      </c>
      <c r="I81" s="50">
        <v>0</v>
      </c>
      <c r="J81" s="50">
        <v>1</v>
      </c>
      <c r="K81" s="50">
        <v>0</v>
      </c>
      <c r="L81" s="50">
        <v>0</v>
      </c>
      <c r="M81" s="50">
        <v>17</v>
      </c>
      <c r="N81" s="50">
        <v>0</v>
      </c>
      <c r="O81" s="15">
        <f t="shared" si="35"/>
        <v>28</v>
      </c>
      <c r="P81" s="15">
        <f t="shared" si="36"/>
        <v>45</v>
      </c>
      <c r="R81" s="8"/>
      <c r="T81"/>
    </row>
    <row r="82" spans="2:20" ht="23.1" customHeight="1" x14ac:dyDescent="0.25">
      <c r="B82" s="46" t="s">
        <v>122</v>
      </c>
      <c r="C82" s="50">
        <v>11</v>
      </c>
      <c r="D82" s="50">
        <v>1</v>
      </c>
      <c r="E82" s="50">
        <v>0</v>
      </c>
      <c r="F82" s="50">
        <v>1</v>
      </c>
      <c r="G82" s="50">
        <v>0</v>
      </c>
      <c r="H82" s="50">
        <v>0</v>
      </c>
      <c r="I82" s="50">
        <v>2</v>
      </c>
      <c r="J82" s="50">
        <v>0</v>
      </c>
      <c r="K82" s="50">
        <v>3</v>
      </c>
      <c r="L82" s="50">
        <v>0</v>
      </c>
      <c r="M82" s="50">
        <v>14</v>
      </c>
      <c r="N82" s="50">
        <v>0</v>
      </c>
      <c r="O82" s="15">
        <f t="shared" si="35"/>
        <v>18</v>
      </c>
      <c r="P82" s="15">
        <f t="shared" si="36"/>
        <v>32</v>
      </c>
      <c r="R82" s="8"/>
      <c r="T82"/>
    </row>
    <row r="83" spans="2:20" ht="23.1" customHeight="1" x14ac:dyDescent="0.25">
      <c r="B83" s="45" t="s">
        <v>123</v>
      </c>
      <c r="C83" s="50">
        <v>11</v>
      </c>
      <c r="D83" s="50">
        <v>1</v>
      </c>
      <c r="E83" s="50">
        <v>1</v>
      </c>
      <c r="F83" s="50">
        <v>0</v>
      </c>
      <c r="G83" s="50">
        <v>1</v>
      </c>
      <c r="H83" s="50">
        <v>3</v>
      </c>
      <c r="I83" s="50">
        <v>0</v>
      </c>
      <c r="J83" s="50">
        <v>0</v>
      </c>
      <c r="K83" s="50">
        <v>0</v>
      </c>
      <c r="L83" s="50">
        <v>0</v>
      </c>
      <c r="M83" s="50">
        <v>15</v>
      </c>
      <c r="N83" s="50">
        <v>0</v>
      </c>
      <c r="O83" s="15">
        <f t="shared" si="35"/>
        <v>17</v>
      </c>
      <c r="P83" s="15">
        <f t="shared" si="36"/>
        <v>32</v>
      </c>
      <c r="R83" s="8"/>
      <c r="T83"/>
    </row>
    <row r="84" spans="2:20" ht="23.1" customHeight="1" x14ac:dyDescent="0.25">
      <c r="B84" s="47" t="s">
        <v>124</v>
      </c>
      <c r="C84" s="50">
        <v>3</v>
      </c>
      <c r="D84" s="50">
        <v>0</v>
      </c>
      <c r="E84" s="50">
        <v>0</v>
      </c>
      <c r="F84" s="50">
        <v>2</v>
      </c>
      <c r="G84" s="50">
        <v>0</v>
      </c>
      <c r="H84" s="50">
        <v>0</v>
      </c>
      <c r="I84" s="50">
        <v>1</v>
      </c>
      <c r="J84" s="50">
        <v>3</v>
      </c>
      <c r="K84" s="50">
        <v>0</v>
      </c>
      <c r="L84" s="50">
        <v>0</v>
      </c>
      <c r="M84" s="50">
        <v>8</v>
      </c>
      <c r="N84" s="50">
        <v>0</v>
      </c>
      <c r="O84" s="15">
        <f t="shared" si="35"/>
        <v>9</v>
      </c>
      <c r="P84" s="15">
        <f t="shared" si="36"/>
        <v>17</v>
      </c>
      <c r="R84" s="8"/>
      <c r="T84"/>
    </row>
    <row r="85" spans="2:20" ht="23.1" customHeight="1" x14ac:dyDescent="0.25">
      <c r="B85" s="45" t="s">
        <v>125</v>
      </c>
      <c r="C85" s="50">
        <v>7</v>
      </c>
      <c r="D85" s="50">
        <v>0</v>
      </c>
      <c r="E85" s="50">
        <v>0</v>
      </c>
      <c r="F85" s="50">
        <v>0</v>
      </c>
      <c r="G85" s="50">
        <v>0</v>
      </c>
      <c r="H85" s="50">
        <v>0</v>
      </c>
      <c r="I85" s="50">
        <v>0</v>
      </c>
      <c r="J85" s="50">
        <v>0</v>
      </c>
      <c r="K85" s="50">
        <v>1</v>
      </c>
      <c r="L85" s="50">
        <v>0</v>
      </c>
      <c r="M85" s="50">
        <v>9</v>
      </c>
      <c r="N85" s="50">
        <v>0</v>
      </c>
      <c r="O85" s="15">
        <f t="shared" si="35"/>
        <v>8</v>
      </c>
      <c r="P85" s="15">
        <f t="shared" si="36"/>
        <v>17</v>
      </c>
      <c r="R85" s="8"/>
      <c r="T85"/>
    </row>
    <row r="86" spans="2:20" ht="23.1" customHeight="1" x14ac:dyDescent="0.25">
      <c r="B86" s="46" t="s">
        <v>126</v>
      </c>
      <c r="C86" s="50">
        <v>14</v>
      </c>
      <c r="D86" s="50">
        <v>0</v>
      </c>
      <c r="E86" s="50">
        <v>0</v>
      </c>
      <c r="F86" s="50">
        <v>0</v>
      </c>
      <c r="G86" s="50">
        <v>0</v>
      </c>
      <c r="H86" s="50">
        <v>0</v>
      </c>
      <c r="I86" s="50">
        <v>0</v>
      </c>
      <c r="J86" s="50">
        <v>0</v>
      </c>
      <c r="K86" s="50">
        <v>0</v>
      </c>
      <c r="L86" s="50">
        <v>0</v>
      </c>
      <c r="M86" s="50">
        <v>16</v>
      </c>
      <c r="N86" s="50">
        <v>0</v>
      </c>
      <c r="O86" s="15">
        <f t="shared" si="35"/>
        <v>14</v>
      </c>
      <c r="P86" s="15">
        <f t="shared" si="36"/>
        <v>30</v>
      </c>
      <c r="R86" s="8"/>
      <c r="T86"/>
    </row>
    <row r="87" spans="2:20" ht="23.1" customHeight="1" x14ac:dyDescent="0.25">
      <c r="B87" s="45" t="s">
        <v>127</v>
      </c>
      <c r="C87" s="50">
        <v>4</v>
      </c>
      <c r="D87" s="50">
        <v>0</v>
      </c>
      <c r="E87" s="50">
        <v>4</v>
      </c>
      <c r="F87" s="50">
        <v>0</v>
      </c>
      <c r="G87" s="50">
        <v>0</v>
      </c>
      <c r="H87" s="50">
        <v>0</v>
      </c>
      <c r="I87" s="50">
        <v>1</v>
      </c>
      <c r="J87" s="50">
        <v>0</v>
      </c>
      <c r="K87" s="50">
        <v>0</v>
      </c>
      <c r="L87" s="50">
        <v>0</v>
      </c>
      <c r="M87" s="50">
        <v>7</v>
      </c>
      <c r="N87" s="50">
        <v>0</v>
      </c>
      <c r="O87" s="15">
        <f t="shared" si="35"/>
        <v>9</v>
      </c>
      <c r="P87" s="15">
        <f t="shared" si="36"/>
        <v>16</v>
      </c>
      <c r="R87" s="8"/>
      <c r="T87"/>
    </row>
    <row r="88" spans="2:20" ht="23.1" customHeight="1" x14ac:dyDescent="0.25">
      <c r="B88" s="47" t="s">
        <v>128</v>
      </c>
      <c r="C88" s="50">
        <v>9</v>
      </c>
      <c r="D88" s="50">
        <v>0</v>
      </c>
      <c r="E88" s="50">
        <v>0</v>
      </c>
      <c r="F88" s="50">
        <v>1</v>
      </c>
      <c r="G88" s="50">
        <v>0</v>
      </c>
      <c r="H88" s="50">
        <v>0</v>
      </c>
      <c r="I88" s="50">
        <v>0</v>
      </c>
      <c r="J88" s="50">
        <v>0</v>
      </c>
      <c r="K88" s="50">
        <v>1</v>
      </c>
      <c r="L88" s="50">
        <v>0</v>
      </c>
      <c r="M88" s="50">
        <v>11</v>
      </c>
      <c r="N88" s="50">
        <v>0</v>
      </c>
      <c r="O88" s="15">
        <f t="shared" si="35"/>
        <v>11</v>
      </c>
      <c r="P88" s="15">
        <f t="shared" si="36"/>
        <v>22</v>
      </c>
      <c r="R88" s="8"/>
      <c r="T88"/>
    </row>
    <row r="89" spans="2:20" ht="23.1" customHeight="1" x14ac:dyDescent="0.25">
      <c r="B89" s="45" t="s">
        <v>129</v>
      </c>
      <c r="C89" s="50">
        <v>3</v>
      </c>
      <c r="D89" s="50">
        <v>0</v>
      </c>
      <c r="E89" s="50">
        <v>0</v>
      </c>
      <c r="F89" s="50">
        <v>0</v>
      </c>
      <c r="G89" s="50">
        <v>0</v>
      </c>
      <c r="H89" s="50">
        <v>0</v>
      </c>
      <c r="I89" s="50">
        <v>0</v>
      </c>
      <c r="J89" s="50">
        <v>0</v>
      </c>
      <c r="K89" s="50">
        <v>0</v>
      </c>
      <c r="L89" s="50">
        <v>0</v>
      </c>
      <c r="M89" s="50">
        <v>5</v>
      </c>
      <c r="N89" s="50">
        <v>0</v>
      </c>
      <c r="O89" s="15">
        <f t="shared" si="35"/>
        <v>3</v>
      </c>
      <c r="P89" s="15">
        <f t="shared" si="36"/>
        <v>8</v>
      </c>
      <c r="R89" s="8"/>
      <c r="T89"/>
    </row>
    <row r="90" spans="2:20" ht="23.1" customHeight="1" x14ac:dyDescent="0.25">
      <c r="B90" s="46" t="s">
        <v>130</v>
      </c>
      <c r="C90" s="50">
        <v>9</v>
      </c>
      <c r="D90" s="50">
        <v>2</v>
      </c>
      <c r="E90" s="50">
        <v>0</v>
      </c>
      <c r="F90" s="50">
        <v>0</v>
      </c>
      <c r="G90" s="50">
        <v>0</v>
      </c>
      <c r="H90" s="50">
        <v>0</v>
      </c>
      <c r="I90" s="50">
        <v>0</v>
      </c>
      <c r="J90" s="50">
        <v>0</v>
      </c>
      <c r="K90" s="50">
        <v>0</v>
      </c>
      <c r="L90" s="50">
        <v>0</v>
      </c>
      <c r="M90" s="50">
        <v>3</v>
      </c>
      <c r="N90" s="50">
        <v>0</v>
      </c>
      <c r="O90" s="15">
        <f t="shared" si="35"/>
        <v>11</v>
      </c>
      <c r="P90" s="15">
        <f t="shared" si="36"/>
        <v>14</v>
      </c>
      <c r="R90" s="8"/>
      <c r="T90"/>
    </row>
    <row r="91" spans="2:20" ht="23.1" customHeight="1" x14ac:dyDescent="0.25">
      <c r="B91" s="45" t="s">
        <v>131</v>
      </c>
      <c r="C91" s="50">
        <v>2</v>
      </c>
      <c r="D91" s="50">
        <v>0</v>
      </c>
      <c r="E91" s="50">
        <v>0</v>
      </c>
      <c r="F91" s="50">
        <v>0</v>
      </c>
      <c r="G91" s="50">
        <v>0</v>
      </c>
      <c r="H91" s="50">
        <v>0</v>
      </c>
      <c r="I91" s="50">
        <v>0</v>
      </c>
      <c r="J91" s="50">
        <v>0</v>
      </c>
      <c r="K91" s="50">
        <v>0</v>
      </c>
      <c r="L91" s="50">
        <v>0</v>
      </c>
      <c r="M91" s="50">
        <v>1</v>
      </c>
      <c r="N91" s="50">
        <v>0</v>
      </c>
      <c r="O91" s="15">
        <f t="shared" si="35"/>
        <v>2</v>
      </c>
      <c r="P91" s="15">
        <f t="shared" si="36"/>
        <v>3</v>
      </c>
      <c r="R91" s="8"/>
      <c r="T91"/>
    </row>
    <row r="92" spans="2:20" ht="23.1" customHeight="1" x14ac:dyDescent="0.25">
      <c r="B92" s="47" t="s">
        <v>132</v>
      </c>
      <c r="C92" s="50">
        <v>4</v>
      </c>
      <c r="D92" s="50">
        <v>0</v>
      </c>
      <c r="E92" s="50">
        <v>0</v>
      </c>
      <c r="F92" s="50">
        <v>0</v>
      </c>
      <c r="G92" s="50">
        <v>0</v>
      </c>
      <c r="H92" s="50">
        <v>0</v>
      </c>
      <c r="I92" s="50">
        <v>0</v>
      </c>
      <c r="J92" s="50">
        <v>0</v>
      </c>
      <c r="K92" s="50">
        <v>0</v>
      </c>
      <c r="L92" s="50">
        <v>0</v>
      </c>
      <c r="M92" s="50">
        <v>2</v>
      </c>
      <c r="N92" s="50">
        <v>0</v>
      </c>
      <c r="O92" s="15">
        <f t="shared" si="35"/>
        <v>4</v>
      </c>
      <c r="P92" s="15">
        <f t="shared" si="36"/>
        <v>6</v>
      </c>
      <c r="R92" s="8"/>
      <c r="T92"/>
    </row>
    <row r="93" spans="2:20" ht="23.1" customHeight="1" x14ac:dyDescent="0.25">
      <c r="B93" s="45" t="s">
        <v>133</v>
      </c>
      <c r="C93" s="50">
        <v>5</v>
      </c>
      <c r="D93" s="50">
        <v>0</v>
      </c>
      <c r="E93" s="50">
        <v>0</v>
      </c>
      <c r="F93" s="50">
        <v>2</v>
      </c>
      <c r="G93" s="50">
        <v>0</v>
      </c>
      <c r="H93" s="50">
        <v>0</v>
      </c>
      <c r="I93" s="50">
        <v>1</v>
      </c>
      <c r="J93" s="50">
        <v>0</v>
      </c>
      <c r="K93" s="50">
        <v>0</v>
      </c>
      <c r="L93" s="50">
        <v>0</v>
      </c>
      <c r="M93" s="50">
        <v>12</v>
      </c>
      <c r="N93" s="50">
        <v>0</v>
      </c>
      <c r="O93" s="15">
        <f t="shared" si="35"/>
        <v>8</v>
      </c>
      <c r="P93" s="15">
        <f t="shared" si="36"/>
        <v>20</v>
      </c>
      <c r="R93" s="8"/>
      <c r="T93"/>
    </row>
    <row r="94" spans="2:20" ht="23.1" customHeight="1" x14ac:dyDescent="0.25">
      <c r="B94" s="46" t="s">
        <v>134</v>
      </c>
      <c r="C94" s="50">
        <v>8</v>
      </c>
      <c r="D94" s="50">
        <v>0</v>
      </c>
      <c r="E94" s="50">
        <v>0</v>
      </c>
      <c r="F94" s="50">
        <v>0</v>
      </c>
      <c r="G94" s="50">
        <v>0</v>
      </c>
      <c r="H94" s="50">
        <v>0</v>
      </c>
      <c r="I94" s="50">
        <v>0</v>
      </c>
      <c r="J94" s="50">
        <v>0</v>
      </c>
      <c r="K94" s="50">
        <v>0</v>
      </c>
      <c r="L94" s="50">
        <v>0</v>
      </c>
      <c r="M94" s="50">
        <v>7</v>
      </c>
      <c r="N94" s="50">
        <v>0</v>
      </c>
      <c r="O94" s="15">
        <f t="shared" si="35"/>
        <v>8</v>
      </c>
      <c r="P94" s="15">
        <f t="shared" si="36"/>
        <v>15</v>
      </c>
      <c r="R94" s="8"/>
      <c r="T94"/>
    </row>
    <row r="95" spans="2:20" ht="23.1" customHeight="1" x14ac:dyDescent="0.25">
      <c r="B95" s="45" t="s">
        <v>135</v>
      </c>
      <c r="C95" s="50">
        <v>5</v>
      </c>
      <c r="D95" s="50">
        <v>0</v>
      </c>
      <c r="E95" s="50">
        <v>0</v>
      </c>
      <c r="F95" s="50">
        <v>1</v>
      </c>
      <c r="G95" s="50">
        <v>0</v>
      </c>
      <c r="H95" s="50">
        <v>0</v>
      </c>
      <c r="I95" s="50">
        <v>0</v>
      </c>
      <c r="J95" s="50">
        <v>0</v>
      </c>
      <c r="K95" s="50">
        <v>0</v>
      </c>
      <c r="L95" s="50">
        <v>0</v>
      </c>
      <c r="M95" s="50">
        <v>8</v>
      </c>
      <c r="N95" s="50">
        <v>0</v>
      </c>
      <c r="O95" s="15">
        <f t="shared" si="35"/>
        <v>6</v>
      </c>
      <c r="P95" s="15">
        <f t="shared" si="36"/>
        <v>14</v>
      </c>
      <c r="R95" s="8"/>
      <c r="T95"/>
    </row>
    <row r="96" spans="2:20" ht="23.1" customHeight="1" x14ac:dyDescent="0.25">
      <c r="B96" s="47" t="s">
        <v>136</v>
      </c>
      <c r="C96" s="50">
        <v>7</v>
      </c>
      <c r="D96" s="50">
        <v>0</v>
      </c>
      <c r="E96" s="50">
        <v>0</v>
      </c>
      <c r="F96" s="50">
        <v>0</v>
      </c>
      <c r="G96" s="50">
        <v>0</v>
      </c>
      <c r="H96" s="50">
        <v>0</v>
      </c>
      <c r="I96" s="50">
        <v>0</v>
      </c>
      <c r="J96" s="50">
        <v>0</v>
      </c>
      <c r="K96" s="50">
        <v>0</v>
      </c>
      <c r="L96" s="50">
        <v>0</v>
      </c>
      <c r="M96" s="50">
        <v>15</v>
      </c>
      <c r="N96" s="50">
        <v>0</v>
      </c>
      <c r="O96" s="15">
        <f t="shared" si="35"/>
        <v>7</v>
      </c>
      <c r="P96" s="15">
        <f t="shared" si="36"/>
        <v>22</v>
      </c>
      <c r="R96" s="8"/>
      <c r="T96"/>
    </row>
    <row r="97" spans="2:20" ht="23.1" customHeight="1" x14ac:dyDescent="0.25">
      <c r="B97" s="45" t="s">
        <v>137</v>
      </c>
      <c r="C97" s="50">
        <v>1</v>
      </c>
      <c r="D97" s="50">
        <v>0</v>
      </c>
      <c r="E97" s="50">
        <v>0</v>
      </c>
      <c r="F97" s="50">
        <v>0</v>
      </c>
      <c r="G97" s="50">
        <v>0</v>
      </c>
      <c r="H97" s="50">
        <v>0</v>
      </c>
      <c r="I97" s="50">
        <v>0</v>
      </c>
      <c r="J97" s="50">
        <v>0</v>
      </c>
      <c r="K97" s="50">
        <v>0</v>
      </c>
      <c r="L97" s="50">
        <v>0</v>
      </c>
      <c r="M97" s="50">
        <v>8</v>
      </c>
      <c r="N97" s="50">
        <v>0</v>
      </c>
      <c r="O97" s="15">
        <f t="shared" si="35"/>
        <v>1</v>
      </c>
      <c r="P97" s="15">
        <f t="shared" si="36"/>
        <v>9</v>
      </c>
      <c r="R97" s="8"/>
      <c r="T97"/>
    </row>
    <row r="98" spans="2:20" ht="23.1" customHeight="1" x14ac:dyDescent="0.25">
      <c r="B98" s="46" t="s">
        <v>138</v>
      </c>
      <c r="C98" s="50">
        <v>4</v>
      </c>
      <c r="D98" s="50">
        <v>0</v>
      </c>
      <c r="E98" s="50">
        <v>2</v>
      </c>
      <c r="F98" s="50">
        <v>1</v>
      </c>
      <c r="G98" s="50">
        <v>0</v>
      </c>
      <c r="H98" s="50">
        <v>0</v>
      </c>
      <c r="I98" s="50">
        <v>0</v>
      </c>
      <c r="J98" s="50">
        <v>0</v>
      </c>
      <c r="K98" s="50">
        <v>0</v>
      </c>
      <c r="L98" s="50">
        <v>0</v>
      </c>
      <c r="M98" s="50">
        <v>14</v>
      </c>
      <c r="N98" s="50">
        <v>0</v>
      </c>
      <c r="O98" s="15">
        <f t="shared" si="35"/>
        <v>7</v>
      </c>
      <c r="P98" s="15">
        <f t="shared" si="36"/>
        <v>21</v>
      </c>
      <c r="R98" s="8"/>
      <c r="T98"/>
    </row>
    <row r="99" spans="2:20" ht="23.1" customHeight="1" x14ac:dyDescent="0.25">
      <c r="B99" s="45" t="s">
        <v>139</v>
      </c>
      <c r="C99" s="50">
        <v>3</v>
      </c>
      <c r="D99" s="50">
        <v>0</v>
      </c>
      <c r="E99" s="50">
        <v>0</v>
      </c>
      <c r="F99" s="50">
        <v>1</v>
      </c>
      <c r="G99" s="50">
        <v>0</v>
      </c>
      <c r="H99" s="50">
        <v>0</v>
      </c>
      <c r="I99" s="50">
        <v>0</v>
      </c>
      <c r="J99" s="50">
        <v>1</v>
      </c>
      <c r="K99" s="50">
        <v>1</v>
      </c>
      <c r="L99" s="50">
        <v>0</v>
      </c>
      <c r="M99" s="50">
        <v>9</v>
      </c>
      <c r="N99" s="50">
        <v>0</v>
      </c>
      <c r="O99" s="15">
        <f t="shared" si="35"/>
        <v>6</v>
      </c>
      <c r="P99" s="15">
        <f t="shared" si="36"/>
        <v>15</v>
      </c>
      <c r="R99" s="8"/>
      <c r="T99"/>
    </row>
    <row r="100" spans="2:20" ht="23.1" customHeight="1" x14ac:dyDescent="0.25">
      <c r="B100" s="47" t="s">
        <v>140</v>
      </c>
      <c r="C100" s="50">
        <v>2</v>
      </c>
      <c r="D100" s="50">
        <v>6</v>
      </c>
      <c r="E100" s="50">
        <v>1</v>
      </c>
      <c r="F100" s="50">
        <v>3</v>
      </c>
      <c r="G100" s="50">
        <v>0</v>
      </c>
      <c r="H100" s="50">
        <v>0</v>
      </c>
      <c r="I100" s="50">
        <v>1</v>
      </c>
      <c r="J100" s="50">
        <v>0</v>
      </c>
      <c r="K100" s="50">
        <v>0</v>
      </c>
      <c r="L100" s="50">
        <v>0</v>
      </c>
      <c r="M100" s="50">
        <v>15</v>
      </c>
      <c r="N100" s="50">
        <v>0</v>
      </c>
      <c r="O100" s="15">
        <f t="shared" si="35"/>
        <v>13</v>
      </c>
      <c r="P100" s="15">
        <f t="shared" si="36"/>
        <v>28</v>
      </c>
      <c r="R100" s="8"/>
      <c r="T100"/>
    </row>
    <row r="101" spans="2:20" ht="23.1" customHeight="1" x14ac:dyDescent="0.25">
      <c r="B101" s="45" t="s">
        <v>141</v>
      </c>
      <c r="C101" s="50">
        <v>5</v>
      </c>
      <c r="D101" s="50">
        <v>0</v>
      </c>
      <c r="E101" s="50">
        <v>1</v>
      </c>
      <c r="F101" s="50">
        <v>8</v>
      </c>
      <c r="G101" s="50">
        <v>0</v>
      </c>
      <c r="H101" s="50">
        <v>2</v>
      </c>
      <c r="I101" s="50">
        <v>0</v>
      </c>
      <c r="J101" s="50">
        <v>0</v>
      </c>
      <c r="K101" s="50">
        <v>0</v>
      </c>
      <c r="L101" s="50">
        <v>0</v>
      </c>
      <c r="M101" s="50">
        <v>22</v>
      </c>
      <c r="N101" s="50">
        <v>0</v>
      </c>
      <c r="O101" s="15">
        <f t="shared" si="35"/>
        <v>16</v>
      </c>
      <c r="P101" s="15">
        <f t="shared" si="36"/>
        <v>38</v>
      </c>
      <c r="R101" s="8"/>
      <c r="T101"/>
    </row>
    <row r="102" spans="2:20" ht="23.1" customHeight="1" x14ac:dyDescent="0.25">
      <c r="B102" s="46" t="s">
        <v>142</v>
      </c>
      <c r="C102" s="50">
        <v>11</v>
      </c>
      <c r="D102" s="50">
        <v>1</v>
      </c>
      <c r="E102" s="50">
        <v>1</v>
      </c>
      <c r="F102" s="50">
        <v>5</v>
      </c>
      <c r="G102" s="50">
        <v>0</v>
      </c>
      <c r="H102" s="50">
        <v>1</v>
      </c>
      <c r="I102" s="50">
        <v>4</v>
      </c>
      <c r="J102" s="50">
        <v>0</v>
      </c>
      <c r="K102" s="50">
        <v>0</v>
      </c>
      <c r="L102" s="50">
        <v>0</v>
      </c>
      <c r="M102" s="50">
        <v>33</v>
      </c>
      <c r="N102" s="50">
        <v>0</v>
      </c>
      <c r="O102" s="15">
        <f t="shared" si="35"/>
        <v>23</v>
      </c>
      <c r="P102" s="15">
        <f t="shared" si="36"/>
        <v>56</v>
      </c>
      <c r="R102" s="8"/>
      <c r="T102"/>
    </row>
    <row r="103" spans="2:20" ht="23.1" customHeight="1" x14ac:dyDescent="0.25">
      <c r="B103" s="45" t="s">
        <v>143</v>
      </c>
      <c r="C103" s="50">
        <v>6</v>
      </c>
      <c r="D103" s="50">
        <v>1</v>
      </c>
      <c r="E103" s="50">
        <v>1</v>
      </c>
      <c r="F103" s="50">
        <v>5</v>
      </c>
      <c r="G103" s="50">
        <v>0</v>
      </c>
      <c r="H103" s="50">
        <v>0</v>
      </c>
      <c r="I103" s="50">
        <v>1</v>
      </c>
      <c r="J103" s="50">
        <v>0</v>
      </c>
      <c r="K103" s="50">
        <v>1</v>
      </c>
      <c r="L103" s="50">
        <v>1</v>
      </c>
      <c r="M103" s="50">
        <v>43</v>
      </c>
      <c r="N103" s="50">
        <v>0</v>
      </c>
      <c r="O103" s="15">
        <f t="shared" si="35"/>
        <v>16</v>
      </c>
      <c r="P103" s="15">
        <f t="shared" si="36"/>
        <v>59</v>
      </c>
      <c r="R103" s="8"/>
      <c r="T103"/>
    </row>
    <row r="104" spans="2:20" ht="23.1" customHeight="1" x14ac:dyDescent="0.25">
      <c r="B104" s="47" t="s">
        <v>144</v>
      </c>
      <c r="C104" s="50">
        <v>8</v>
      </c>
      <c r="D104" s="50">
        <v>4</v>
      </c>
      <c r="E104" s="50">
        <v>0</v>
      </c>
      <c r="F104" s="50">
        <v>10</v>
      </c>
      <c r="G104" s="50">
        <v>2</v>
      </c>
      <c r="H104" s="50">
        <v>2</v>
      </c>
      <c r="I104" s="50">
        <v>1</v>
      </c>
      <c r="J104" s="50">
        <v>0</v>
      </c>
      <c r="K104" s="50">
        <v>2</v>
      </c>
      <c r="L104" s="50">
        <v>0</v>
      </c>
      <c r="M104" s="50">
        <v>48</v>
      </c>
      <c r="N104" s="50">
        <v>0</v>
      </c>
      <c r="O104" s="15">
        <f t="shared" si="35"/>
        <v>29</v>
      </c>
      <c r="P104" s="15">
        <f t="shared" si="36"/>
        <v>77</v>
      </c>
      <c r="R104" s="8"/>
      <c r="T104"/>
    </row>
    <row r="105" spans="2:20" ht="23.1" customHeight="1" x14ac:dyDescent="0.25">
      <c r="B105" s="45" t="s">
        <v>145</v>
      </c>
      <c r="C105" s="50">
        <v>18</v>
      </c>
      <c r="D105" s="50">
        <v>2</v>
      </c>
      <c r="E105" s="50">
        <v>1</v>
      </c>
      <c r="F105" s="50">
        <v>25</v>
      </c>
      <c r="G105" s="50">
        <v>0</v>
      </c>
      <c r="H105" s="50">
        <v>1</v>
      </c>
      <c r="I105" s="50">
        <v>4</v>
      </c>
      <c r="J105" s="50">
        <v>1</v>
      </c>
      <c r="K105" s="50">
        <v>0</v>
      </c>
      <c r="L105" s="50">
        <v>0</v>
      </c>
      <c r="M105" s="50">
        <v>41</v>
      </c>
      <c r="N105" s="50">
        <v>0</v>
      </c>
      <c r="O105" s="15">
        <f t="shared" si="35"/>
        <v>52</v>
      </c>
      <c r="P105" s="15">
        <f t="shared" si="36"/>
        <v>93</v>
      </c>
      <c r="R105" s="8"/>
      <c r="T105"/>
    </row>
    <row r="106" spans="2:20" ht="23.1" customHeight="1" x14ac:dyDescent="0.25">
      <c r="B106" s="26" t="s">
        <v>18</v>
      </c>
      <c r="C106" s="16">
        <f>SUM(C10:C105)</f>
        <v>3595</v>
      </c>
      <c r="D106" s="16">
        <f t="shared" ref="D106:P106" si="37">SUM(D10:D105)</f>
        <v>1240</v>
      </c>
      <c r="E106" s="16">
        <f t="shared" si="37"/>
        <v>480</v>
      </c>
      <c r="F106" s="16">
        <f t="shared" si="37"/>
        <v>3060</v>
      </c>
      <c r="G106" s="16">
        <f t="shared" si="37"/>
        <v>185</v>
      </c>
      <c r="H106" s="16">
        <f t="shared" si="37"/>
        <v>81</v>
      </c>
      <c r="I106" s="16">
        <f t="shared" si="37"/>
        <v>258</v>
      </c>
      <c r="J106" s="16">
        <f t="shared" si="37"/>
        <v>168</v>
      </c>
      <c r="K106" s="16">
        <f t="shared" si="37"/>
        <v>143</v>
      </c>
      <c r="L106" s="16">
        <f t="shared" si="37"/>
        <v>27</v>
      </c>
      <c r="M106" s="16">
        <f t="shared" si="37"/>
        <v>9556</v>
      </c>
      <c r="N106" s="16">
        <f t="shared" si="37"/>
        <v>0</v>
      </c>
      <c r="O106" s="16">
        <f t="shared" si="37"/>
        <v>9237</v>
      </c>
      <c r="P106" s="16">
        <f t="shared" si="37"/>
        <v>18793</v>
      </c>
      <c r="R106" s="8"/>
      <c r="T106"/>
    </row>
    <row r="107" spans="2:20" ht="23.1" customHeight="1" x14ac:dyDescent="0.25">
      <c r="B107" s="26" t="s">
        <v>93</v>
      </c>
      <c r="C107" s="43">
        <f t="shared" ref="C107:N107" si="38">C106/$P$106</f>
        <v>0.19129463097962007</v>
      </c>
      <c r="D107" s="43">
        <f t="shared" si="38"/>
        <v>6.5982014579896775E-2</v>
      </c>
      <c r="E107" s="43">
        <f t="shared" si="38"/>
        <v>2.5541424998669716E-2</v>
      </c>
      <c r="F107" s="43">
        <f t="shared" si="38"/>
        <v>0.16282658436651945</v>
      </c>
      <c r="G107" s="43">
        <f t="shared" si="38"/>
        <v>9.8440908849039537E-3</v>
      </c>
      <c r="H107" s="43">
        <f t="shared" si="38"/>
        <v>4.310115468525515E-3</v>
      </c>
      <c r="I107" s="43">
        <f t="shared" si="38"/>
        <v>1.3728515936784973E-2</v>
      </c>
      <c r="J107" s="43">
        <f t="shared" si="38"/>
        <v>8.9394987495344004E-3</v>
      </c>
      <c r="K107" s="43">
        <f t="shared" si="38"/>
        <v>7.6092161975203536E-3</v>
      </c>
      <c r="L107" s="43">
        <f t="shared" si="38"/>
        <v>1.4367051561751717E-3</v>
      </c>
      <c r="M107" s="43">
        <f t="shared" si="38"/>
        <v>0.50848720268184966</v>
      </c>
      <c r="N107" s="43">
        <f t="shared" si="38"/>
        <v>0</v>
      </c>
      <c r="R107" s="8"/>
      <c r="T107"/>
    </row>
    <row r="108" spans="2:20" ht="23.1" customHeight="1" x14ac:dyDescent="0.25">
      <c r="B108" s="42" t="s">
        <v>94</v>
      </c>
      <c r="C108" s="44">
        <f>C106/$O$106</f>
        <v>0.38919562628559057</v>
      </c>
      <c r="D108" s="44">
        <f t="shared" ref="D108:N108" si="39">D106/$O$106</f>
        <v>0.13424271949767241</v>
      </c>
      <c r="E108" s="44">
        <f t="shared" si="39"/>
        <v>5.1964923676518351E-2</v>
      </c>
      <c r="F108" s="44">
        <f t="shared" si="39"/>
        <v>0.33127638843780449</v>
      </c>
      <c r="G108" s="44">
        <f t="shared" si="39"/>
        <v>2.0028147666991448E-2</v>
      </c>
      <c r="H108" s="44">
        <f t="shared" si="39"/>
        <v>8.7690808704124715E-3</v>
      </c>
      <c r="I108" s="44">
        <f t="shared" si="39"/>
        <v>2.7931146476128613E-2</v>
      </c>
      <c r="J108" s="44">
        <f t="shared" si="39"/>
        <v>1.8187723286781421E-2</v>
      </c>
      <c r="K108" s="44">
        <f t="shared" si="39"/>
        <v>1.5481216845296093E-2</v>
      </c>
      <c r="L108" s="44">
        <f t="shared" si="39"/>
        <v>2.9230269568041572E-3</v>
      </c>
      <c r="M108" s="44"/>
      <c r="N108" s="44">
        <f t="shared" si="39"/>
        <v>0</v>
      </c>
      <c r="Q108" s="7"/>
      <c r="R108" s="8"/>
      <c r="T108"/>
    </row>
    <row r="109" spans="2:20" ht="23.1" customHeight="1" x14ac:dyDescent="0.25">
      <c r="B109" s="3"/>
      <c r="C109" s="18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Q109" s="7"/>
      <c r="R109" s="8"/>
      <c r="T109"/>
    </row>
    <row r="110" spans="2:20" ht="23.1" customHeight="1" x14ac:dyDescent="0.25">
      <c r="B110" s="3"/>
      <c r="C110" s="18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Q110" s="7"/>
      <c r="R110" s="8"/>
      <c r="T110"/>
    </row>
    <row r="111" spans="2:20" ht="23.1" customHeight="1" x14ac:dyDescent="0.25">
      <c r="B111" s="3"/>
      <c r="C111" s="18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Q111" s="7"/>
    </row>
    <row r="112" spans="2:20" ht="23.1" customHeight="1" x14ac:dyDescent="0.25">
      <c r="B112" s="3"/>
      <c r="C112" s="18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Q112" s="7"/>
    </row>
    <row r="113" spans="2:20" s="7" customFormat="1" ht="23.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/>
      <c r="P113"/>
      <c r="S113" s="8"/>
      <c r="T113" s="8"/>
    </row>
    <row r="114" spans="2:20" s="7" customFormat="1" ht="23.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/>
      <c r="P114"/>
      <c r="S114" s="8"/>
      <c r="T114" s="8"/>
    </row>
    <row r="115" spans="2:20" s="7" customFormat="1" ht="23.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/>
      <c r="P115"/>
      <c r="S115" s="8"/>
      <c r="T115" s="8"/>
    </row>
    <row r="116" spans="2:20" s="7" customFormat="1" ht="23.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/>
      <c r="P116"/>
      <c r="S116" s="8"/>
      <c r="T116" s="8"/>
    </row>
    <row r="117" spans="2:20" s="7" customFormat="1" ht="23.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/>
      <c r="P117"/>
      <c r="S117" s="8"/>
      <c r="T117" s="8"/>
    </row>
    <row r="118" spans="2:20" s="7" customFormat="1" ht="23.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/>
      <c r="P118"/>
      <c r="S118" s="8"/>
      <c r="T118" s="8"/>
    </row>
    <row r="119" spans="2:20" s="7" customFormat="1" ht="23.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/>
      <c r="P119"/>
      <c r="S119" s="8"/>
      <c r="T119" s="8"/>
    </row>
    <row r="120" spans="2:20" s="7" customFormat="1" ht="23.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/>
      <c r="P120"/>
      <c r="S120" s="8"/>
      <c r="T120" s="8"/>
    </row>
    <row r="121" spans="2:20" s="7" customFormat="1" ht="23.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/>
      <c r="P121"/>
      <c r="S121" s="8"/>
      <c r="T121" s="8"/>
    </row>
    <row r="122" spans="2:20" s="7" customFormat="1" ht="23.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/>
      <c r="P122"/>
      <c r="S122" s="8"/>
      <c r="T122" s="8"/>
    </row>
    <row r="123" spans="2:20" s="7" customFormat="1" ht="23.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/>
      <c r="P123"/>
      <c r="S123" s="8"/>
      <c r="T123" s="8"/>
    </row>
    <row r="124" spans="2:20" s="7" customFormat="1" ht="23.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/>
      <c r="P124"/>
      <c r="S124" s="8"/>
      <c r="T124" s="8"/>
    </row>
    <row r="125" spans="2:20" s="7" customFormat="1" ht="23.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/>
      <c r="P125"/>
      <c r="Q125"/>
      <c r="S125" s="8"/>
      <c r="T125" s="8"/>
    </row>
    <row r="126" spans="2:20" s="7" customFormat="1" ht="23.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/>
      <c r="P126"/>
      <c r="Q126"/>
      <c r="S126" s="8"/>
      <c r="T126" s="8"/>
    </row>
    <row r="127" spans="2:20" s="7" customFormat="1" ht="23.1" customHeight="1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/>
      <c r="P127"/>
      <c r="Q127"/>
      <c r="S127" s="8"/>
      <c r="T127" s="8"/>
    </row>
    <row r="128" spans="2:20" s="7" customFormat="1" ht="23.1" customHeight="1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/>
      <c r="P128"/>
      <c r="Q128"/>
      <c r="S128" s="8"/>
      <c r="T128" s="8"/>
    </row>
    <row r="129" spans="2:14" ht="23.1" customHeight="1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spans="2:14" ht="23.1" customHeight="1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2:14" ht="23.1" customHeight="1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2:14" ht="23.1" customHeight="1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2:14" ht="23.1" customHeight="1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2:14" ht="23.1" customHeight="1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2:14" ht="23.1" customHeight="1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2:14" ht="23.1" customHeight="1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2:14" ht="23.1" customHeight="1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2:14" ht="23.1" customHeight="1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2:14" ht="23.1" customHeight="1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2:14" ht="23.1" customHeight="1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2:14" ht="23.1" customHeight="1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2:14" ht="23.1" customHeight="1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2:14" ht="23.1" customHeight="1" x14ac:dyDescent="0.25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2:14" ht="23.1" customHeight="1" x14ac:dyDescent="0.25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2:14" ht="23.1" customHeight="1" x14ac:dyDescent="0.25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2:14" ht="23.1" customHeight="1" x14ac:dyDescent="0.25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2:14" ht="23.1" customHeight="1" x14ac:dyDescent="0.25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2:14" ht="23.1" customHeight="1" x14ac:dyDescent="0.25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2:14" ht="23.1" customHeight="1" x14ac:dyDescent="0.25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2:14" ht="23.1" customHeight="1" x14ac:dyDescent="0.25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2:14" ht="23.1" customHeight="1" x14ac:dyDescent="0.25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2:14" ht="23.1" customHeight="1" x14ac:dyDescent="0.25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2:14" ht="23.1" customHeight="1" x14ac:dyDescent="0.25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2:14" ht="23.1" customHeight="1" x14ac:dyDescent="0.25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2:14" ht="23.1" customHeight="1" x14ac:dyDescent="0.25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2:14" ht="23.1" customHeight="1" x14ac:dyDescent="0.25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2:14" ht="23.1" customHeight="1" x14ac:dyDescent="0.25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2:14" ht="23.1" customHeight="1" x14ac:dyDescent="0.25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2:14" ht="23.1" customHeight="1" x14ac:dyDescent="0.25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2:14" ht="23.1" customHeight="1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2:14" ht="23.1" customHeight="1" x14ac:dyDescent="0.2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2:14" ht="23.1" customHeight="1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2:14" ht="23.1" customHeight="1" x14ac:dyDescent="0.2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2:14" ht="23.1" customHeight="1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2:14" ht="23.1" customHeight="1" x14ac:dyDescent="0.2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2:14" ht="23.1" customHeight="1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2:14" ht="23.1" customHeight="1" x14ac:dyDescent="0.2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2:14" ht="23.1" customHeight="1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2:14" ht="23.1" customHeight="1" x14ac:dyDescent="0.2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2:14" ht="23.1" customHeight="1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2:14" ht="23.1" customHeight="1" x14ac:dyDescent="0.2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2:14" ht="23.1" customHeight="1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2:14" ht="23.1" customHeight="1" x14ac:dyDescent="0.2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2:14" ht="23.1" customHeight="1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F126"/>
  <sheetViews>
    <sheetView view="pageBreakPreview" topLeftCell="A28" zoomScale="60" workbookViewId="0">
      <selection activeCell="M57" sqref="M57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64" t="s">
        <v>23</v>
      </c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  <c r="S1" s="64"/>
      <c r="T1" s="64"/>
      <c r="U1" s="64"/>
      <c r="V1" s="64"/>
      <c r="W1" s="64"/>
      <c r="X1" s="64"/>
      <c r="Y1" s="64"/>
      <c r="Z1" s="64"/>
      <c r="AA1" s="64"/>
      <c r="AB1" s="64"/>
      <c r="AC1" s="64"/>
      <c r="AD1" s="64"/>
      <c r="AE1" s="64"/>
    </row>
    <row r="2" spans="2:32" ht="20.100000000000001" customHeight="1" x14ac:dyDescent="0.25">
      <c r="B2" s="65" t="s">
        <v>95</v>
      </c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  <c r="AA2" s="65"/>
      <c r="AB2" s="65"/>
      <c r="AC2" s="65"/>
      <c r="AD2" s="65"/>
      <c r="AE2" s="65"/>
    </row>
    <row r="3" spans="2:32" ht="20.100000000000001" customHeight="1" x14ac:dyDescent="0.25">
      <c r="B3" s="22" t="s">
        <v>96</v>
      </c>
      <c r="C3" s="71" t="str">
        <f>'22.07 Bwaise-Makerere'!C3:G3</f>
        <v>MCC - C1 - STN021- SIR APOLLO ROAD</v>
      </c>
      <c r="D3" s="71"/>
      <c r="E3" s="71"/>
      <c r="F3" s="71"/>
      <c r="G3" s="71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">
        <v>167</v>
      </c>
      <c r="E5" s="3"/>
      <c r="F5" s="41" t="s">
        <v>1</v>
      </c>
      <c r="G5" s="69" t="str">
        <f>'27.07 Makerere-Bwaise-24h'!G5:H5</f>
        <v>PREMIUM DESIGN LTD</v>
      </c>
      <c r="H5" s="70"/>
      <c r="I5" s="14"/>
      <c r="J5" s="2" t="s">
        <v>5</v>
      </c>
      <c r="K5" s="69" t="str">
        <f>'27.07 Makerere-Bwaise-24h'!K5:L5</f>
        <v>OKELLO PETER</v>
      </c>
      <c r="L5" s="70"/>
      <c r="M5" s="10"/>
      <c r="N5" s="10"/>
      <c r="O5" s="3"/>
      <c r="P5" s="3"/>
    </row>
    <row r="6" spans="2:32" ht="23.25" customHeight="1" x14ac:dyDescent="0.25">
      <c r="C6" s="2" t="s">
        <v>4</v>
      </c>
      <c r="D6" s="69" t="str">
        <f>'22.07 Bwaise-Makerere'!D6:E6</f>
        <v>Bwaise</v>
      </c>
      <c r="E6" s="70"/>
      <c r="F6" s="2" t="s">
        <v>2</v>
      </c>
      <c r="G6" s="69" t="str">
        <f>'22.07 Bwaise-Makerere'!G6:H6</f>
        <v>Makerere</v>
      </c>
      <c r="H6" s="70"/>
      <c r="J6" s="2" t="s">
        <v>21</v>
      </c>
      <c r="K6" s="69" t="str">
        <f>'27.07 Makerere-Bwaise-24h'!K6:L6</f>
        <v>SALIMAH</v>
      </c>
      <c r="L6" s="70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63" t="s">
        <v>88</v>
      </c>
      <c r="S8" s="63"/>
      <c r="T8" s="63"/>
      <c r="U8" s="63"/>
      <c r="V8" s="63"/>
      <c r="W8" s="63"/>
      <c r="X8" s="63"/>
      <c r="Y8" s="63"/>
      <c r="Z8" s="63"/>
      <c r="AA8" s="63"/>
      <c r="AB8" s="63"/>
      <c r="AC8" s="63"/>
      <c r="AD8" s="63"/>
      <c r="AE8" s="63"/>
      <c r="AF8" s="63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30</v>
      </c>
      <c r="D10" s="50">
        <v>5</v>
      </c>
      <c r="E10" s="50">
        <v>3</v>
      </c>
      <c r="F10" s="50">
        <v>23</v>
      </c>
      <c r="G10" s="50">
        <v>0</v>
      </c>
      <c r="H10" s="50">
        <v>0</v>
      </c>
      <c r="I10" s="50">
        <v>0</v>
      </c>
      <c r="J10" s="50">
        <v>1</v>
      </c>
      <c r="K10" s="50">
        <v>0</v>
      </c>
      <c r="L10" s="50">
        <v>0</v>
      </c>
      <c r="M10" s="50">
        <v>50</v>
      </c>
      <c r="N10" s="50">
        <v>0</v>
      </c>
      <c r="O10" s="15">
        <f t="shared" ref="O10:O57" si="0">SUM(C10:L10,N10)</f>
        <v>62</v>
      </c>
      <c r="P10" s="15">
        <f t="shared" ref="P10:P57" si="1">SUM(C10:N10)</f>
        <v>112</v>
      </c>
      <c r="R10" s="1" t="s">
        <v>6</v>
      </c>
      <c r="S10" s="17">
        <f t="shared" ref="S10:AF10" si="2">SUM(C10:C13)</f>
        <v>107</v>
      </c>
      <c r="T10" s="17">
        <f t="shared" si="2"/>
        <v>70</v>
      </c>
      <c r="U10" s="17">
        <f t="shared" si="2"/>
        <v>11</v>
      </c>
      <c r="V10" s="17">
        <f t="shared" si="2"/>
        <v>160</v>
      </c>
      <c r="W10" s="17">
        <f t="shared" si="2"/>
        <v>3</v>
      </c>
      <c r="X10" s="17">
        <f t="shared" si="2"/>
        <v>0</v>
      </c>
      <c r="Y10" s="17">
        <f t="shared" si="2"/>
        <v>2</v>
      </c>
      <c r="Z10" s="17">
        <f t="shared" si="2"/>
        <v>9</v>
      </c>
      <c r="AA10" s="17">
        <f t="shared" si="2"/>
        <v>1</v>
      </c>
      <c r="AB10" s="17">
        <f t="shared" si="2"/>
        <v>0</v>
      </c>
      <c r="AC10" s="17">
        <f t="shared" si="2"/>
        <v>253</v>
      </c>
      <c r="AD10" s="17">
        <f t="shared" si="2"/>
        <v>0</v>
      </c>
      <c r="AE10" s="31">
        <f t="shared" si="2"/>
        <v>363</v>
      </c>
      <c r="AF10" s="31">
        <f t="shared" si="2"/>
        <v>616</v>
      </c>
    </row>
    <row r="11" spans="2:32" s="6" customFormat="1" ht="23.1" customHeight="1" x14ac:dyDescent="0.25">
      <c r="B11" s="23" t="s">
        <v>38</v>
      </c>
      <c r="C11" s="50">
        <v>25</v>
      </c>
      <c r="D11" s="50">
        <v>7</v>
      </c>
      <c r="E11" s="50">
        <v>3</v>
      </c>
      <c r="F11" s="50">
        <v>60</v>
      </c>
      <c r="G11" s="50">
        <v>2</v>
      </c>
      <c r="H11" s="50">
        <v>0</v>
      </c>
      <c r="I11" s="50">
        <v>0</v>
      </c>
      <c r="J11" s="50">
        <v>3</v>
      </c>
      <c r="K11" s="50">
        <v>1</v>
      </c>
      <c r="L11" s="50">
        <v>0</v>
      </c>
      <c r="M11" s="50">
        <v>75</v>
      </c>
      <c r="N11" s="50">
        <v>0</v>
      </c>
      <c r="O11" s="15">
        <f t="shared" si="0"/>
        <v>101</v>
      </c>
      <c r="P11" s="15">
        <f t="shared" si="1"/>
        <v>176</v>
      </c>
      <c r="R11" s="1" t="s">
        <v>7</v>
      </c>
      <c r="S11" s="17">
        <f t="shared" ref="S11:AF11" si="3">SUM(C14:C17)</f>
        <v>159</v>
      </c>
      <c r="T11" s="17">
        <f t="shared" si="3"/>
        <v>41</v>
      </c>
      <c r="U11" s="17">
        <f t="shared" si="3"/>
        <v>31</v>
      </c>
      <c r="V11" s="17">
        <f t="shared" si="3"/>
        <v>182</v>
      </c>
      <c r="W11" s="17">
        <f t="shared" si="3"/>
        <v>1</v>
      </c>
      <c r="X11" s="17">
        <f t="shared" si="3"/>
        <v>1</v>
      </c>
      <c r="Y11" s="17">
        <f t="shared" si="3"/>
        <v>11</v>
      </c>
      <c r="Z11" s="17">
        <f t="shared" si="3"/>
        <v>5</v>
      </c>
      <c r="AA11" s="17">
        <f t="shared" si="3"/>
        <v>3</v>
      </c>
      <c r="AB11" s="17">
        <f t="shared" si="3"/>
        <v>3</v>
      </c>
      <c r="AC11" s="17">
        <f t="shared" si="3"/>
        <v>443</v>
      </c>
      <c r="AD11" s="17">
        <f t="shared" si="3"/>
        <v>0</v>
      </c>
      <c r="AE11" s="31">
        <f t="shared" si="3"/>
        <v>437</v>
      </c>
      <c r="AF11" s="31">
        <f t="shared" si="3"/>
        <v>880</v>
      </c>
    </row>
    <row r="12" spans="2:32" ht="23.1" customHeight="1" x14ac:dyDescent="0.25">
      <c r="B12" s="23" t="s">
        <v>39</v>
      </c>
      <c r="C12" s="50">
        <v>32</v>
      </c>
      <c r="D12" s="50">
        <v>7</v>
      </c>
      <c r="E12" s="50">
        <v>4</v>
      </c>
      <c r="F12" s="50">
        <v>32</v>
      </c>
      <c r="G12" s="50">
        <v>1</v>
      </c>
      <c r="H12" s="50">
        <v>0</v>
      </c>
      <c r="I12" s="50">
        <v>2</v>
      </c>
      <c r="J12" s="50">
        <v>5</v>
      </c>
      <c r="K12" s="50">
        <v>0</v>
      </c>
      <c r="L12" s="50">
        <v>0</v>
      </c>
      <c r="M12" s="50">
        <v>78</v>
      </c>
      <c r="N12" s="50">
        <v>0</v>
      </c>
      <c r="O12" s="15">
        <f t="shared" si="0"/>
        <v>83</v>
      </c>
      <c r="P12" s="15">
        <f t="shared" si="1"/>
        <v>161</v>
      </c>
      <c r="R12" s="1" t="s">
        <v>8</v>
      </c>
      <c r="S12" s="17">
        <f t="shared" ref="S12:AF12" si="4">SUM(C18:C21)</f>
        <v>221</v>
      </c>
      <c r="T12" s="17">
        <f t="shared" si="4"/>
        <v>82</v>
      </c>
      <c r="U12" s="17">
        <f t="shared" si="4"/>
        <v>18</v>
      </c>
      <c r="V12" s="17">
        <f t="shared" si="4"/>
        <v>179</v>
      </c>
      <c r="W12" s="17">
        <f t="shared" si="4"/>
        <v>1</v>
      </c>
      <c r="X12" s="17">
        <f t="shared" si="4"/>
        <v>0</v>
      </c>
      <c r="Y12" s="17">
        <f t="shared" si="4"/>
        <v>14</v>
      </c>
      <c r="Z12" s="17">
        <f t="shared" si="4"/>
        <v>3</v>
      </c>
      <c r="AA12" s="17">
        <f t="shared" si="4"/>
        <v>2</v>
      </c>
      <c r="AB12" s="17">
        <f t="shared" si="4"/>
        <v>2</v>
      </c>
      <c r="AC12" s="17">
        <f t="shared" si="4"/>
        <v>435</v>
      </c>
      <c r="AD12" s="17">
        <f t="shared" si="4"/>
        <v>0</v>
      </c>
      <c r="AE12" s="31">
        <f t="shared" si="4"/>
        <v>522</v>
      </c>
      <c r="AF12" s="31">
        <f t="shared" si="4"/>
        <v>957</v>
      </c>
    </row>
    <row r="13" spans="2:32" ht="23.1" customHeight="1" x14ac:dyDescent="0.25">
      <c r="B13" s="23" t="s">
        <v>40</v>
      </c>
      <c r="C13" s="50">
        <v>20</v>
      </c>
      <c r="D13" s="50">
        <v>51</v>
      </c>
      <c r="E13" s="50">
        <v>1</v>
      </c>
      <c r="F13" s="50">
        <v>45</v>
      </c>
      <c r="G13" s="50">
        <v>0</v>
      </c>
      <c r="H13" s="50">
        <v>0</v>
      </c>
      <c r="I13" s="50">
        <v>0</v>
      </c>
      <c r="J13" s="50">
        <v>0</v>
      </c>
      <c r="K13" s="50">
        <v>0</v>
      </c>
      <c r="L13" s="50">
        <v>0</v>
      </c>
      <c r="M13" s="50">
        <v>50</v>
      </c>
      <c r="N13" s="50">
        <v>0</v>
      </c>
      <c r="O13" s="15">
        <f t="shared" si="0"/>
        <v>117</v>
      </c>
      <c r="P13" s="15">
        <f t="shared" si="1"/>
        <v>167</v>
      </c>
      <c r="R13" s="1" t="s">
        <v>9</v>
      </c>
      <c r="S13" s="17">
        <f t="shared" ref="S13:AF13" si="5">SUM(C22:C25)</f>
        <v>230</v>
      </c>
      <c r="T13" s="17">
        <f t="shared" si="5"/>
        <v>92</v>
      </c>
      <c r="U13" s="17">
        <f t="shared" si="5"/>
        <v>111</v>
      </c>
      <c r="V13" s="17">
        <f t="shared" si="5"/>
        <v>130</v>
      </c>
      <c r="W13" s="17">
        <f t="shared" si="5"/>
        <v>1</v>
      </c>
      <c r="X13" s="17">
        <f t="shared" si="5"/>
        <v>1</v>
      </c>
      <c r="Y13" s="17">
        <f t="shared" si="5"/>
        <v>11</v>
      </c>
      <c r="Z13" s="17">
        <f t="shared" si="5"/>
        <v>3</v>
      </c>
      <c r="AA13" s="17">
        <f t="shared" si="5"/>
        <v>1</v>
      </c>
      <c r="AB13" s="17">
        <f t="shared" si="5"/>
        <v>2</v>
      </c>
      <c r="AC13" s="17">
        <f t="shared" si="5"/>
        <v>530</v>
      </c>
      <c r="AD13" s="17">
        <f t="shared" si="5"/>
        <v>0</v>
      </c>
      <c r="AE13" s="31">
        <f t="shared" si="5"/>
        <v>582</v>
      </c>
      <c r="AF13" s="31">
        <f t="shared" si="5"/>
        <v>1112</v>
      </c>
    </row>
    <row r="14" spans="2:32" ht="23.1" customHeight="1" x14ac:dyDescent="0.25">
      <c r="B14" s="23" t="s">
        <v>41</v>
      </c>
      <c r="C14" s="50">
        <v>38</v>
      </c>
      <c r="D14" s="50">
        <v>11</v>
      </c>
      <c r="E14" s="50">
        <v>5</v>
      </c>
      <c r="F14" s="50">
        <v>45</v>
      </c>
      <c r="G14" s="50">
        <v>1</v>
      </c>
      <c r="H14" s="50">
        <v>0</v>
      </c>
      <c r="I14" s="50">
        <v>7</v>
      </c>
      <c r="J14" s="50">
        <v>0</v>
      </c>
      <c r="K14" s="50">
        <v>0</v>
      </c>
      <c r="L14" s="50">
        <v>0</v>
      </c>
      <c r="M14" s="50">
        <v>75</v>
      </c>
      <c r="N14" s="50">
        <v>0</v>
      </c>
      <c r="O14" s="15">
        <f t="shared" si="0"/>
        <v>107</v>
      </c>
      <c r="P14" s="15">
        <f t="shared" si="1"/>
        <v>182</v>
      </c>
      <c r="R14" s="1" t="s">
        <v>10</v>
      </c>
      <c r="S14" s="17">
        <f t="shared" ref="S14:AF14" si="6">SUM(C26:C29)</f>
        <v>239</v>
      </c>
      <c r="T14" s="17">
        <f t="shared" si="6"/>
        <v>80</v>
      </c>
      <c r="U14" s="17">
        <f t="shared" si="6"/>
        <v>96</v>
      </c>
      <c r="V14" s="17">
        <f t="shared" si="6"/>
        <v>167</v>
      </c>
      <c r="W14" s="17">
        <f t="shared" si="6"/>
        <v>3</v>
      </c>
      <c r="X14" s="17">
        <f t="shared" si="6"/>
        <v>4</v>
      </c>
      <c r="Y14" s="17">
        <f t="shared" si="6"/>
        <v>13</v>
      </c>
      <c r="Z14" s="17">
        <f t="shared" si="6"/>
        <v>7</v>
      </c>
      <c r="AA14" s="17">
        <f t="shared" si="6"/>
        <v>1</v>
      </c>
      <c r="AB14" s="17">
        <f t="shared" si="6"/>
        <v>3</v>
      </c>
      <c r="AC14" s="17">
        <f t="shared" si="6"/>
        <v>446</v>
      </c>
      <c r="AD14" s="17">
        <f t="shared" si="6"/>
        <v>0</v>
      </c>
      <c r="AE14" s="31">
        <f t="shared" si="6"/>
        <v>613</v>
      </c>
      <c r="AF14" s="31">
        <f t="shared" si="6"/>
        <v>1059</v>
      </c>
    </row>
    <row r="15" spans="2:32" ht="23.1" customHeight="1" x14ac:dyDescent="0.25">
      <c r="B15" s="23" t="s">
        <v>42</v>
      </c>
      <c r="C15" s="50">
        <v>30</v>
      </c>
      <c r="D15" s="50">
        <v>8</v>
      </c>
      <c r="E15" s="50">
        <v>7</v>
      </c>
      <c r="F15" s="50">
        <v>46</v>
      </c>
      <c r="G15" s="50">
        <v>0</v>
      </c>
      <c r="H15" s="50">
        <v>0</v>
      </c>
      <c r="I15" s="50">
        <v>0</v>
      </c>
      <c r="J15" s="50">
        <v>1</v>
      </c>
      <c r="K15" s="50">
        <v>3</v>
      </c>
      <c r="L15" s="50">
        <v>2</v>
      </c>
      <c r="M15" s="50">
        <v>125</v>
      </c>
      <c r="N15" s="50">
        <v>0</v>
      </c>
      <c r="O15" s="15">
        <f t="shared" si="0"/>
        <v>97</v>
      </c>
      <c r="P15" s="15">
        <f t="shared" si="1"/>
        <v>222</v>
      </c>
      <c r="R15" s="1" t="s">
        <v>11</v>
      </c>
      <c r="S15" s="17">
        <f t="shared" ref="S15:AF15" si="7">SUM(C30:C33)</f>
        <v>228</v>
      </c>
      <c r="T15" s="17">
        <f t="shared" si="7"/>
        <v>67</v>
      </c>
      <c r="U15" s="17">
        <f t="shared" si="7"/>
        <v>27</v>
      </c>
      <c r="V15" s="17">
        <f t="shared" si="7"/>
        <v>148</v>
      </c>
      <c r="W15" s="17">
        <f t="shared" si="7"/>
        <v>1</v>
      </c>
      <c r="X15" s="17">
        <f t="shared" si="7"/>
        <v>3</v>
      </c>
      <c r="Y15" s="17">
        <f t="shared" si="7"/>
        <v>8</v>
      </c>
      <c r="Z15" s="17">
        <f t="shared" si="7"/>
        <v>8</v>
      </c>
      <c r="AA15" s="17">
        <f t="shared" si="7"/>
        <v>1</v>
      </c>
      <c r="AB15" s="17">
        <f t="shared" si="7"/>
        <v>0</v>
      </c>
      <c r="AC15" s="17">
        <f t="shared" si="7"/>
        <v>458</v>
      </c>
      <c r="AD15" s="17">
        <f t="shared" si="7"/>
        <v>0</v>
      </c>
      <c r="AE15" s="31">
        <f t="shared" si="7"/>
        <v>491</v>
      </c>
      <c r="AF15" s="31">
        <f t="shared" si="7"/>
        <v>949</v>
      </c>
    </row>
    <row r="16" spans="2:32" ht="23.1" customHeight="1" x14ac:dyDescent="0.25">
      <c r="B16" s="23" t="s">
        <v>43</v>
      </c>
      <c r="C16" s="50">
        <v>67</v>
      </c>
      <c r="D16" s="50">
        <v>11</v>
      </c>
      <c r="E16" s="50">
        <v>8</v>
      </c>
      <c r="F16" s="50">
        <v>68</v>
      </c>
      <c r="G16" s="50">
        <v>0</v>
      </c>
      <c r="H16" s="50">
        <v>0</v>
      </c>
      <c r="I16" s="50">
        <v>2</v>
      </c>
      <c r="J16" s="50">
        <v>2</v>
      </c>
      <c r="K16" s="50">
        <v>0</v>
      </c>
      <c r="L16" s="50">
        <v>1</v>
      </c>
      <c r="M16" s="50">
        <v>128</v>
      </c>
      <c r="N16" s="50">
        <v>0</v>
      </c>
      <c r="O16" s="15">
        <f t="shared" si="0"/>
        <v>159</v>
      </c>
      <c r="P16" s="15">
        <f t="shared" si="1"/>
        <v>287</v>
      </c>
      <c r="R16" s="1" t="s">
        <v>12</v>
      </c>
      <c r="S16" s="17">
        <f t="shared" ref="S16:AF16" si="8">SUM(C34:C37)</f>
        <v>160</v>
      </c>
      <c r="T16" s="17">
        <f t="shared" si="8"/>
        <v>46</v>
      </c>
      <c r="U16" s="17">
        <f t="shared" si="8"/>
        <v>19</v>
      </c>
      <c r="V16" s="17">
        <f t="shared" si="8"/>
        <v>126</v>
      </c>
      <c r="W16" s="17">
        <f t="shared" si="8"/>
        <v>0</v>
      </c>
      <c r="X16" s="17">
        <f t="shared" si="8"/>
        <v>5</v>
      </c>
      <c r="Y16" s="17">
        <f t="shared" si="8"/>
        <v>9</v>
      </c>
      <c r="Z16" s="17">
        <f t="shared" si="8"/>
        <v>5</v>
      </c>
      <c r="AA16" s="17">
        <f t="shared" si="8"/>
        <v>1</v>
      </c>
      <c r="AB16" s="17">
        <f t="shared" si="8"/>
        <v>1</v>
      </c>
      <c r="AC16" s="17">
        <f t="shared" si="8"/>
        <v>220</v>
      </c>
      <c r="AD16" s="17">
        <f t="shared" si="8"/>
        <v>0</v>
      </c>
      <c r="AE16" s="31">
        <f t="shared" si="8"/>
        <v>372</v>
      </c>
      <c r="AF16" s="31">
        <f t="shared" si="8"/>
        <v>592</v>
      </c>
    </row>
    <row r="17" spans="2:32" ht="23.1" customHeight="1" x14ac:dyDescent="0.25">
      <c r="B17" s="23" t="s">
        <v>44</v>
      </c>
      <c r="C17" s="50">
        <v>24</v>
      </c>
      <c r="D17" s="50">
        <v>11</v>
      </c>
      <c r="E17" s="50">
        <v>11</v>
      </c>
      <c r="F17" s="50">
        <v>23</v>
      </c>
      <c r="G17" s="50">
        <v>0</v>
      </c>
      <c r="H17" s="50">
        <v>1</v>
      </c>
      <c r="I17" s="50">
        <v>2</v>
      </c>
      <c r="J17" s="50">
        <v>2</v>
      </c>
      <c r="K17" s="50">
        <v>0</v>
      </c>
      <c r="L17" s="50">
        <v>0</v>
      </c>
      <c r="M17" s="50">
        <v>115</v>
      </c>
      <c r="N17" s="50">
        <v>0</v>
      </c>
      <c r="O17" s="15">
        <f t="shared" si="0"/>
        <v>74</v>
      </c>
      <c r="P17" s="15">
        <f t="shared" si="1"/>
        <v>189</v>
      </c>
      <c r="R17" s="1" t="s">
        <v>13</v>
      </c>
      <c r="S17" s="17">
        <f t="shared" ref="S17:AF17" si="9">SUM(C38:C41)</f>
        <v>220</v>
      </c>
      <c r="T17" s="17">
        <f t="shared" si="9"/>
        <v>62</v>
      </c>
      <c r="U17" s="17">
        <f t="shared" si="9"/>
        <v>27</v>
      </c>
      <c r="V17" s="17">
        <f t="shared" si="9"/>
        <v>135</v>
      </c>
      <c r="W17" s="17">
        <f t="shared" si="9"/>
        <v>3</v>
      </c>
      <c r="X17" s="17">
        <f t="shared" si="9"/>
        <v>5</v>
      </c>
      <c r="Y17" s="17">
        <f t="shared" si="9"/>
        <v>11</v>
      </c>
      <c r="Z17" s="17">
        <f t="shared" si="9"/>
        <v>4</v>
      </c>
      <c r="AA17" s="17">
        <f t="shared" si="9"/>
        <v>0</v>
      </c>
      <c r="AB17" s="17">
        <f t="shared" si="9"/>
        <v>1</v>
      </c>
      <c r="AC17" s="17">
        <f t="shared" si="9"/>
        <v>331</v>
      </c>
      <c r="AD17" s="17">
        <f t="shared" si="9"/>
        <v>0</v>
      </c>
      <c r="AE17" s="31">
        <f t="shared" si="9"/>
        <v>468</v>
      </c>
      <c r="AF17" s="31">
        <f t="shared" si="9"/>
        <v>799</v>
      </c>
    </row>
    <row r="18" spans="2:32" ht="23.1" customHeight="1" x14ac:dyDescent="0.25">
      <c r="B18" s="23" t="s">
        <v>45</v>
      </c>
      <c r="C18" s="50">
        <v>70</v>
      </c>
      <c r="D18" s="50">
        <v>23</v>
      </c>
      <c r="E18" s="50">
        <v>6</v>
      </c>
      <c r="F18" s="50">
        <v>30</v>
      </c>
      <c r="G18" s="50">
        <v>0</v>
      </c>
      <c r="H18" s="50">
        <v>0</v>
      </c>
      <c r="I18" s="50">
        <v>6</v>
      </c>
      <c r="J18" s="50">
        <v>0</v>
      </c>
      <c r="K18" s="50">
        <v>1</v>
      </c>
      <c r="L18" s="50">
        <v>0</v>
      </c>
      <c r="M18" s="50">
        <v>160</v>
      </c>
      <c r="N18" s="50">
        <v>0</v>
      </c>
      <c r="O18" s="15">
        <f t="shared" si="0"/>
        <v>136</v>
      </c>
      <c r="P18" s="15">
        <f t="shared" si="1"/>
        <v>296</v>
      </c>
      <c r="R18" s="1" t="s">
        <v>14</v>
      </c>
      <c r="S18" s="17">
        <f t="shared" ref="S18:AF18" si="10">SUM(C42:C45)</f>
        <v>242</v>
      </c>
      <c r="T18" s="17">
        <f t="shared" si="10"/>
        <v>74</v>
      </c>
      <c r="U18" s="17">
        <f t="shared" si="10"/>
        <v>20</v>
      </c>
      <c r="V18" s="17">
        <f t="shared" si="10"/>
        <v>169</v>
      </c>
      <c r="W18" s="17">
        <f t="shared" si="10"/>
        <v>3</v>
      </c>
      <c r="X18" s="17">
        <f t="shared" si="10"/>
        <v>4</v>
      </c>
      <c r="Y18" s="17">
        <f t="shared" si="10"/>
        <v>16</v>
      </c>
      <c r="Z18" s="17">
        <f t="shared" si="10"/>
        <v>0</v>
      </c>
      <c r="AA18" s="17">
        <f t="shared" si="10"/>
        <v>0</v>
      </c>
      <c r="AB18" s="17">
        <f t="shared" si="10"/>
        <v>0</v>
      </c>
      <c r="AC18" s="17">
        <f t="shared" si="10"/>
        <v>357</v>
      </c>
      <c r="AD18" s="17">
        <f t="shared" si="10"/>
        <v>0</v>
      </c>
      <c r="AE18" s="31">
        <f t="shared" si="10"/>
        <v>528</v>
      </c>
      <c r="AF18" s="31">
        <f t="shared" si="10"/>
        <v>885</v>
      </c>
    </row>
    <row r="19" spans="2:32" ht="23.1" customHeight="1" x14ac:dyDescent="0.25">
      <c r="B19" s="23" t="s">
        <v>46</v>
      </c>
      <c r="C19" s="50">
        <v>54</v>
      </c>
      <c r="D19" s="50">
        <v>27</v>
      </c>
      <c r="E19" s="50">
        <v>6</v>
      </c>
      <c r="F19" s="50">
        <v>54</v>
      </c>
      <c r="G19" s="50">
        <v>0</v>
      </c>
      <c r="H19" s="50">
        <v>0</v>
      </c>
      <c r="I19" s="50">
        <v>2</v>
      </c>
      <c r="J19" s="50">
        <v>1</v>
      </c>
      <c r="K19" s="50">
        <v>1</v>
      </c>
      <c r="L19" s="50">
        <v>1</v>
      </c>
      <c r="M19" s="50">
        <v>105</v>
      </c>
      <c r="N19" s="50">
        <v>0</v>
      </c>
      <c r="O19" s="15">
        <f t="shared" si="0"/>
        <v>146</v>
      </c>
      <c r="P19" s="15">
        <f t="shared" si="1"/>
        <v>251</v>
      </c>
      <c r="R19" s="1" t="s">
        <v>15</v>
      </c>
      <c r="S19" s="17">
        <f t="shared" ref="S19:AF19" si="11">SUM(C46:C49)</f>
        <v>247</v>
      </c>
      <c r="T19" s="17">
        <f t="shared" si="11"/>
        <v>59</v>
      </c>
      <c r="U19" s="17">
        <f t="shared" si="11"/>
        <v>75</v>
      </c>
      <c r="V19" s="17">
        <f t="shared" si="11"/>
        <v>91</v>
      </c>
      <c r="W19" s="17">
        <f t="shared" si="11"/>
        <v>1</v>
      </c>
      <c r="X19" s="17">
        <f t="shared" si="11"/>
        <v>2</v>
      </c>
      <c r="Y19" s="17">
        <f t="shared" si="11"/>
        <v>8</v>
      </c>
      <c r="Z19" s="17">
        <f t="shared" si="11"/>
        <v>4</v>
      </c>
      <c r="AA19" s="17">
        <f t="shared" si="11"/>
        <v>1</v>
      </c>
      <c r="AB19" s="17">
        <f t="shared" si="11"/>
        <v>3</v>
      </c>
      <c r="AC19" s="17">
        <f t="shared" si="11"/>
        <v>379</v>
      </c>
      <c r="AD19" s="17">
        <f t="shared" si="11"/>
        <v>0</v>
      </c>
      <c r="AE19" s="31">
        <f t="shared" si="11"/>
        <v>491</v>
      </c>
      <c r="AF19" s="31">
        <f t="shared" si="11"/>
        <v>870</v>
      </c>
    </row>
    <row r="20" spans="2:32" ht="23.1" customHeight="1" x14ac:dyDescent="0.25">
      <c r="B20" s="23" t="s">
        <v>47</v>
      </c>
      <c r="C20" s="50">
        <v>55</v>
      </c>
      <c r="D20" s="50">
        <v>14</v>
      </c>
      <c r="E20" s="50">
        <v>4</v>
      </c>
      <c r="F20" s="50">
        <v>61</v>
      </c>
      <c r="G20" s="50">
        <v>1</v>
      </c>
      <c r="H20" s="50">
        <v>0</v>
      </c>
      <c r="I20" s="50">
        <v>4</v>
      </c>
      <c r="J20" s="50">
        <v>0</v>
      </c>
      <c r="K20" s="50">
        <v>0</v>
      </c>
      <c r="L20" s="50">
        <v>0</v>
      </c>
      <c r="M20" s="50">
        <v>95</v>
      </c>
      <c r="N20" s="50">
        <v>0</v>
      </c>
      <c r="O20" s="15">
        <f t="shared" si="0"/>
        <v>139</v>
      </c>
      <c r="P20" s="15">
        <f t="shared" si="1"/>
        <v>234</v>
      </c>
      <c r="R20" s="1" t="s">
        <v>16</v>
      </c>
      <c r="S20" s="17">
        <f t="shared" ref="S20:AF20" si="12">SUM(C50:C53)</f>
        <v>244</v>
      </c>
      <c r="T20" s="17">
        <f t="shared" si="12"/>
        <v>76</v>
      </c>
      <c r="U20" s="17">
        <f t="shared" si="12"/>
        <v>37</v>
      </c>
      <c r="V20" s="17">
        <f t="shared" si="12"/>
        <v>158</v>
      </c>
      <c r="W20" s="17">
        <f t="shared" si="12"/>
        <v>7</v>
      </c>
      <c r="X20" s="17">
        <f t="shared" si="12"/>
        <v>4</v>
      </c>
      <c r="Y20" s="17">
        <f t="shared" si="12"/>
        <v>15</v>
      </c>
      <c r="Z20" s="17">
        <f t="shared" si="12"/>
        <v>3</v>
      </c>
      <c r="AA20" s="17">
        <f t="shared" si="12"/>
        <v>3</v>
      </c>
      <c r="AB20" s="17">
        <f t="shared" si="12"/>
        <v>4</v>
      </c>
      <c r="AC20" s="17">
        <f t="shared" si="12"/>
        <v>270</v>
      </c>
      <c r="AD20" s="17">
        <f t="shared" si="12"/>
        <v>0</v>
      </c>
      <c r="AE20" s="31">
        <f t="shared" si="12"/>
        <v>551</v>
      </c>
      <c r="AF20" s="31">
        <f t="shared" si="12"/>
        <v>821</v>
      </c>
    </row>
    <row r="21" spans="2:32" ht="23.1" customHeight="1" x14ac:dyDescent="0.25">
      <c r="B21" s="23" t="s">
        <v>48</v>
      </c>
      <c r="C21" s="50">
        <v>42</v>
      </c>
      <c r="D21" s="50">
        <v>18</v>
      </c>
      <c r="E21" s="50">
        <v>2</v>
      </c>
      <c r="F21" s="50">
        <v>34</v>
      </c>
      <c r="G21" s="50">
        <v>0</v>
      </c>
      <c r="H21" s="50">
        <v>0</v>
      </c>
      <c r="I21" s="50">
        <v>2</v>
      </c>
      <c r="J21" s="50">
        <v>2</v>
      </c>
      <c r="K21" s="50">
        <v>0</v>
      </c>
      <c r="L21" s="50">
        <v>1</v>
      </c>
      <c r="M21" s="50">
        <v>75</v>
      </c>
      <c r="N21" s="50">
        <v>0</v>
      </c>
      <c r="O21" s="15">
        <f t="shared" si="0"/>
        <v>101</v>
      </c>
      <c r="P21" s="15">
        <f t="shared" si="1"/>
        <v>176</v>
      </c>
      <c r="R21" s="36" t="s">
        <v>20</v>
      </c>
      <c r="S21" s="34">
        <f t="shared" ref="S21:AF21" si="13">SUM(C54:C57)</f>
        <v>188</v>
      </c>
      <c r="T21" s="17">
        <f t="shared" si="13"/>
        <v>70</v>
      </c>
      <c r="U21" s="17">
        <f t="shared" si="13"/>
        <v>15</v>
      </c>
      <c r="V21" s="17">
        <f t="shared" si="13"/>
        <v>101</v>
      </c>
      <c r="W21" s="17">
        <f t="shared" si="13"/>
        <v>5</v>
      </c>
      <c r="X21" s="17">
        <f t="shared" si="13"/>
        <v>2</v>
      </c>
      <c r="Y21" s="17">
        <f t="shared" si="13"/>
        <v>8</v>
      </c>
      <c r="Z21" s="17">
        <f t="shared" si="13"/>
        <v>3</v>
      </c>
      <c r="AA21" s="17">
        <f t="shared" si="13"/>
        <v>2</v>
      </c>
      <c r="AB21" s="17">
        <f t="shared" si="13"/>
        <v>0</v>
      </c>
      <c r="AC21" s="17">
        <f t="shared" si="13"/>
        <v>353</v>
      </c>
      <c r="AD21" s="17">
        <f t="shared" si="13"/>
        <v>0</v>
      </c>
      <c r="AE21" s="31">
        <f t="shared" si="13"/>
        <v>394</v>
      </c>
      <c r="AF21" s="31">
        <f t="shared" si="13"/>
        <v>747</v>
      </c>
    </row>
    <row r="22" spans="2:32" ht="23.1" customHeight="1" x14ac:dyDescent="0.25">
      <c r="B22" s="23" t="s">
        <v>49</v>
      </c>
      <c r="C22" s="50">
        <v>70</v>
      </c>
      <c r="D22" s="50">
        <v>27</v>
      </c>
      <c r="E22" s="50">
        <v>10</v>
      </c>
      <c r="F22" s="50">
        <v>36</v>
      </c>
      <c r="G22" s="50">
        <v>0</v>
      </c>
      <c r="H22" s="50">
        <v>0</v>
      </c>
      <c r="I22" s="50">
        <v>3</v>
      </c>
      <c r="J22" s="50">
        <v>2</v>
      </c>
      <c r="K22" s="50">
        <v>0</v>
      </c>
      <c r="L22" s="50">
        <v>1</v>
      </c>
      <c r="M22" s="50">
        <v>125</v>
      </c>
      <c r="N22" s="50">
        <v>0</v>
      </c>
      <c r="O22" s="15">
        <f t="shared" si="0"/>
        <v>149</v>
      </c>
      <c r="P22" s="15">
        <f t="shared" si="1"/>
        <v>274</v>
      </c>
      <c r="R22" s="38" t="s">
        <v>90</v>
      </c>
      <c r="S22" s="39">
        <f>MAX(S10:S12)</f>
        <v>221</v>
      </c>
      <c r="T22" s="39">
        <f t="shared" ref="T22:AF22" si="14">MAX(T10:T12)</f>
        <v>82</v>
      </c>
      <c r="U22" s="39">
        <f t="shared" si="14"/>
        <v>31</v>
      </c>
      <c r="V22" s="39">
        <f t="shared" si="14"/>
        <v>182</v>
      </c>
      <c r="W22" s="39">
        <f t="shared" si="14"/>
        <v>3</v>
      </c>
      <c r="X22" s="39">
        <f t="shared" si="14"/>
        <v>1</v>
      </c>
      <c r="Y22" s="39">
        <f t="shared" si="14"/>
        <v>14</v>
      </c>
      <c r="Z22" s="39">
        <f t="shared" si="14"/>
        <v>9</v>
      </c>
      <c r="AA22" s="39">
        <f t="shared" si="14"/>
        <v>3</v>
      </c>
      <c r="AB22" s="39">
        <f t="shared" si="14"/>
        <v>3</v>
      </c>
      <c r="AC22" s="39">
        <f t="shared" si="14"/>
        <v>443</v>
      </c>
      <c r="AD22" s="39">
        <f t="shared" si="14"/>
        <v>0</v>
      </c>
      <c r="AE22" s="40">
        <f t="shared" si="14"/>
        <v>522</v>
      </c>
      <c r="AF22" s="40">
        <f t="shared" si="14"/>
        <v>957</v>
      </c>
    </row>
    <row r="23" spans="2:32" ht="23.1" customHeight="1" x14ac:dyDescent="0.25">
      <c r="B23" s="23" t="s">
        <v>50</v>
      </c>
      <c r="C23" s="50">
        <v>41</v>
      </c>
      <c r="D23" s="50">
        <v>20</v>
      </c>
      <c r="E23" s="50">
        <v>6</v>
      </c>
      <c r="F23" s="50">
        <v>20</v>
      </c>
      <c r="G23" s="50">
        <v>0</v>
      </c>
      <c r="H23" s="50">
        <v>0</v>
      </c>
      <c r="I23" s="50">
        <v>0</v>
      </c>
      <c r="J23" s="50">
        <v>0</v>
      </c>
      <c r="K23" s="50">
        <v>0</v>
      </c>
      <c r="L23" s="50">
        <v>0</v>
      </c>
      <c r="M23" s="50">
        <v>108</v>
      </c>
      <c r="N23" s="50">
        <v>0</v>
      </c>
      <c r="O23" s="15">
        <f t="shared" si="0"/>
        <v>87</v>
      </c>
      <c r="P23" s="15">
        <f t="shared" si="1"/>
        <v>195</v>
      </c>
      <c r="R23" s="38" t="s">
        <v>91</v>
      </c>
      <c r="S23" s="39">
        <f>MAX(S13:S18)</f>
        <v>242</v>
      </c>
      <c r="T23" s="39">
        <f t="shared" ref="T23:AF23" si="15">MAX(T13:T18)</f>
        <v>92</v>
      </c>
      <c r="U23" s="39">
        <f t="shared" si="15"/>
        <v>111</v>
      </c>
      <c r="V23" s="39">
        <f t="shared" si="15"/>
        <v>169</v>
      </c>
      <c r="W23" s="39">
        <f t="shared" si="15"/>
        <v>3</v>
      </c>
      <c r="X23" s="39">
        <f t="shared" si="15"/>
        <v>5</v>
      </c>
      <c r="Y23" s="39">
        <f t="shared" si="15"/>
        <v>16</v>
      </c>
      <c r="Z23" s="39">
        <f t="shared" si="15"/>
        <v>8</v>
      </c>
      <c r="AA23" s="39">
        <f t="shared" si="15"/>
        <v>1</v>
      </c>
      <c r="AB23" s="39">
        <f t="shared" si="15"/>
        <v>3</v>
      </c>
      <c r="AC23" s="39">
        <f t="shared" si="15"/>
        <v>530</v>
      </c>
      <c r="AD23" s="39">
        <f t="shared" si="15"/>
        <v>0</v>
      </c>
      <c r="AE23" s="40">
        <f t="shared" si="15"/>
        <v>613</v>
      </c>
      <c r="AF23" s="40">
        <f t="shared" si="15"/>
        <v>1112</v>
      </c>
    </row>
    <row r="24" spans="2:32" ht="23.1" customHeight="1" x14ac:dyDescent="0.25">
      <c r="B24" s="23" t="s">
        <v>51</v>
      </c>
      <c r="C24" s="50">
        <v>78</v>
      </c>
      <c r="D24" s="50">
        <v>25</v>
      </c>
      <c r="E24" s="50">
        <v>90</v>
      </c>
      <c r="F24" s="50">
        <v>49</v>
      </c>
      <c r="G24" s="50">
        <v>1</v>
      </c>
      <c r="H24" s="50">
        <v>1</v>
      </c>
      <c r="I24" s="50">
        <v>4</v>
      </c>
      <c r="J24" s="50">
        <v>0</v>
      </c>
      <c r="K24" s="50">
        <v>1</v>
      </c>
      <c r="L24" s="50">
        <v>0</v>
      </c>
      <c r="M24" s="50">
        <v>162</v>
      </c>
      <c r="N24" s="50">
        <v>0</v>
      </c>
      <c r="O24" s="15">
        <f t="shared" si="0"/>
        <v>249</v>
      </c>
      <c r="P24" s="15">
        <f t="shared" si="1"/>
        <v>411</v>
      </c>
      <c r="R24" s="38" t="s">
        <v>92</v>
      </c>
      <c r="S24" s="39">
        <f>MAX(S19:S21)</f>
        <v>247</v>
      </c>
      <c r="T24" s="39">
        <f t="shared" ref="T24:AF24" si="16">MAX(T19:T21)</f>
        <v>76</v>
      </c>
      <c r="U24" s="39">
        <f t="shared" si="16"/>
        <v>75</v>
      </c>
      <c r="V24" s="39">
        <f t="shared" si="16"/>
        <v>158</v>
      </c>
      <c r="W24" s="39">
        <f t="shared" si="16"/>
        <v>7</v>
      </c>
      <c r="X24" s="39">
        <f t="shared" si="16"/>
        <v>4</v>
      </c>
      <c r="Y24" s="39">
        <f t="shared" si="16"/>
        <v>15</v>
      </c>
      <c r="Z24" s="39">
        <f t="shared" si="16"/>
        <v>4</v>
      </c>
      <c r="AA24" s="39">
        <f t="shared" si="16"/>
        <v>3</v>
      </c>
      <c r="AB24" s="39">
        <f t="shared" si="16"/>
        <v>4</v>
      </c>
      <c r="AC24" s="39">
        <f t="shared" si="16"/>
        <v>379</v>
      </c>
      <c r="AD24" s="39">
        <f t="shared" si="16"/>
        <v>0</v>
      </c>
      <c r="AE24" s="40">
        <f t="shared" si="16"/>
        <v>551</v>
      </c>
      <c r="AF24" s="40">
        <f t="shared" si="16"/>
        <v>870</v>
      </c>
    </row>
    <row r="25" spans="2:32" ht="23.1" customHeight="1" x14ac:dyDescent="0.25">
      <c r="B25" s="23" t="s">
        <v>52</v>
      </c>
      <c r="C25" s="50">
        <v>41</v>
      </c>
      <c r="D25" s="50">
        <v>20</v>
      </c>
      <c r="E25" s="50">
        <v>5</v>
      </c>
      <c r="F25" s="50">
        <v>25</v>
      </c>
      <c r="G25" s="50">
        <v>0</v>
      </c>
      <c r="H25" s="50">
        <v>0</v>
      </c>
      <c r="I25" s="50">
        <v>4</v>
      </c>
      <c r="J25" s="50">
        <v>1</v>
      </c>
      <c r="K25" s="50">
        <v>0</v>
      </c>
      <c r="L25" s="50">
        <v>1</v>
      </c>
      <c r="M25" s="50">
        <v>135</v>
      </c>
      <c r="N25" s="50">
        <v>0</v>
      </c>
      <c r="O25" s="15">
        <f t="shared" si="0"/>
        <v>97</v>
      </c>
      <c r="P25" s="15">
        <f t="shared" si="1"/>
        <v>232</v>
      </c>
      <c r="R25" s="37" t="s">
        <v>85</v>
      </c>
      <c r="S25" s="35">
        <f t="shared" ref="S25:AF25" si="17">SUM(S10:S12)</f>
        <v>487</v>
      </c>
      <c r="T25" s="16">
        <f t="shared" si="17"/>
        <v>193</v>
      </c>
      <c r="U25" s="16">
        <f t="shared" si="17"/>
        <v>60</v>
      </c>
      <c r="V25" s="16">
        <f t="shared" si="17"/>
        <v>521</v>
      </c>
      <c r="W25" s="16">
        <f t="shared" si="17"/>
        <v>5</v>
      </c>
      <c r="X25" s="16">
        <f t="shared" si="17"/>
        <v>1</v>
      </c>
      <c r="Y25" s="16">
        <f t="shared" si="17"/>
        <v>27</v>
      </c>
      <c r="Z25" s="16">
        <f t="shared" si="17"/>
        <v>17</v>
      </c>
      <c r="AA25" s="16">
        <f t="shared" si="17"/>
        <v>6</v>
      </c>
      <c r="AB25" s="16">
        <f t="shared" si="17"/>
        <v>5</v>
      </c>
      <c r="AC25" s="16">
        <f t="shared" si="17"/>
        <v>1131</v>
      </c>
      <c r="AD25" s="16">
        <f t="shared" si="17"/>
        <v>0</v>
      </c>
      <c r="AE25" s="32">
        <f t="shared" si="17"/>
        <v>1322</v>
      </c>
      <c r="AF25" s="32">
        <f t="shared" si="17"/>
        <v>2453</v>
      </c>
    </row>
    <row r="26" spans="2:32" ht="23.1" customHeight="1" x14ac:dyDescent="0.25">
      <c r="B26" s="23" t="s">
        <v>53</v>
      </c>
      <c r="C26" s="50">
        <v>62</v>
      </c>
      <c r="D26" s="50">
        <v>18</v>
      </c>
      <c r="E26" s="50">
        <v>6</v>
      </c>
      <c r="F26" s="50">
        <v>46</v>
      </c>
      <c r="G26" s="50">
        <v>2</v>
      </c>
      <c r="H26" s="50">
        <v>0</v>
      </c>
      <c r="I26" s="50">
        <v>5</v>
      </c>
      <c r="J26" s="50">
        <v>1</v>
      </c>
      <c r="K26" s="50">
        <v>0</v>
      </c>
      <c r="L26" s="50">
        <v>0</v>
      </c>
      <c r="M26" s="50">
        <v>130</v>
      </c>
      <c r="N26" s="50">
        <v>0</v>
      </c>
      <c r="O26" s="15">
        <f t="shared" si="0"/>
        <v>140</v>
      </c>
      <c r="P26" s="15">
        <f t="shared" si="1"/>
        <v>270</v>
      </c>
      <c r="R26" s="28" t="s">
        <v>86</v>
      </c>
      <c r="S26" s="16">
        <f t="shared" ref="S26:AF26" si="18">SUM(S13:S18)</f>
        <v>1319</v>
      </c>
      <c r="T26" s="16">
        <f t="shared" si="18"/>
        <v>421</v>
      </c>
      <c r="U26" s="16">
        <f t="shared" si="18"/>
        <v>300</v>
      </c>
      <c r="V26" s="16">
        <f t="shared" si="18"/>
        <v>875</v>
      </c>
      <c r="W26" s="16">
        <f t="shared" si="18"/>
        <v>11</v>
      </c>
      <c r="X26" s="16">
        <f t="shared" si="18"/>
        <v>22</v>
      </c>
      <c r="Y26" s="16">
        <f t="shared" si="18"/>
        <v>68</v>
      </c>
      <c r="Z26" s="16">
        <f t="shared" si="18"/>
        <v>27</v>
      </c>
      <c r="AA26" s="16">
        <f t="shared" si="18"/>
        <v>4</v>
      </c>
      <c r="AB26" s="16">
        <f t="shared" si="18"/>
        <v>7</v>
      </c>
      <c r="AC26" s="16">
        <f t="shared" si="18"/>
        <v>2342</v>
      </c>
      <c r="AD26" s="16">
        <f t="shared" si="18"/>
        <v>0</v>
      </c>
      <c r="AE26" s="32">
        <f t="shared" si="18"/>
        <v>3054</v>
      </c>
      <c r="AF26" s="32">
        <f t="shared" si="18"/>
        <v>5396</v>
      </c>
    </row>
    <row r="27" spans="2:32" ht="23.1" customHeight="1" x14ac:dyDescent="0.25">
      <c r="B27" s="23" t="s">
        <v>54</v>
      </c>
      <c r="C27" s="50">
        <v>65</v>
      </c>
      <c r="D27" s="50">
        <v>24</v>
      </c>
      <c r="E27" s="50">
        <v>7</v>
      </c>
      <c r="F27" s="50">
        <v>45</v>
      </c>
      <c r="G27" s="50">
        <v>1</v>
      </c>
      <c r="H27" s="50">
        <v>1</v>
      </c>
      <c r="I27" s="50">
        <v>5</v>
      </c>
      <c r="J27" s="50">
        <v>0</v>
      </c>
      <c r="K27" s="50">
        <v>0</v>
      </c>
      <c r="L27" s="50">
        <v>0</v>
      </c>
      <c r="M27" s="50">
        <v>105</v>
      </c>
      <c r="N27" s="50">
        <v>0</v>
      </c>
      <c r="O27" s="15">
        <f t="shared" si="0"/>
        <v>148</v>
      </c>
      <c r="P27" s="15">
        <f t="shared" si="1"/>
        <v>253</v>
      </c>
      <c r="R27" s="29" t="s">
        <v>87</v>
      </c>
      <c r="S27" s="16">
        <f t="shared" ref="S27:AF27" si="19">SUM(S19:S21)</f>
        <v>679</v>
      </c>
      <c r="T27" s="16">
        <f t="shared" si="19"/>
        <v>205</v>
      </c>
      <c r="U27" s="16">
        <f t="shared" si="19"/>
        <v>127</v>
      </c>
      <c r="V27" s="16">
        <f t="shared" si="19"/>
        <v>350</v>
      </c>
      <c r="W27" s="16">
        <f t="shared" si="19"/>
        <v>13</v>
      </c>
      <c r="X27" s="16">
        <f t="shared" si="19"/>
        <v>8</v>
      </c>
      <c r="Y27" s="16">
        <f t="shared" si="19"/>
        <v>31</v>
      </c>
      <c r="Z27" s="16">
        <f t="shared" si="19"/>
        <v>10</v>
      </c>
      <c r="AA27" s="16">
        <f t="shared" si="19"/>
        <v>6</v>
      </c>
      <c r="AB27" s="16">
        <f t="shared" si="19"/>
        <v>7</v>
      </c>
      <c r="AC27" s="16">
        <f t="shared" si="19"/>
        <v>1002</v>
      </c>
      <c r="AD27" s="16">
        <f t="shared" si="19"/>
        <v>0</v>
      </c>
      <c r="AE27" s="32">
        <f t="shared" si="19"/>
        <v>1436</v>
      </c>
      <c r="AF27" s="32">
        <f t="shared" si="19"/>
        <v>2438</v>
      </c>
    </row>
    <row r="28" spans="2:32" ht="23.1" customHeight="1" x14ac:dyDescent="0.25">
      <c r="B28" s="23" t="s">
        <v>55</v>
      </c>
      <c r="C28" s="50">
        <v>62</v>
      </c>
      <c r="D28" s="50">
        <v>27</v>
      </c>
      <c r="E28" s="50">
        <v>12</v>
      </c>
      <c r="F28" s="50">
        <v>46</v>
      </c>
      <c r="G28" s="50">
        <v>0</v>
      </c>
      <c r="H28" s="50">
        <v>0</v>
      </c>
      <c r="I28" s="50">
        <v>3</v>
      </c>
      <c r="J28" s="50">
        <v>4</v>
      </c>
      <c r="K28" s="50">
        <v>0</v>
      </c>
      <c r="L28" s="50">
        <v>2</v>
      </c>
      <c r="M28" s="50">
        <v>126</v>
      </c>
      <c r="N28" s="50">
        <v>0</v>
      </c>
      <c r="O28" s="15">
        <f t="shared" si="0"/>
        <v>156</v>
      </c>
      <c r="P28" s="15">
        <f t="shared" si="1"/>
        <v>282</v>
      </c>
      <c r="R28" s="5" t="s">
        <v>17</v>
      </c>
      <c r="S28" s="16">
        <f t="shared" ref="S28:AF28" si="20">SUM(S10:S21)</f>
        <v>2485</v>
      </c>
      <c r="T28" s="16">
        <f t="shared" si="20"/>
        <v>819</v>
      </c>
      <c r="U28" s="16">
        <f t="shared" si="20"/>
        <v>487</v>
      </c>
      <c r="V28" s="16">
        <f t="shared" si="20"/>
        <v>1746</v>
      </c>
      <c r="W28" s="16">
        <f t="shared" si="20"/>
        <v>29</v>
      </c>
      <c r="X28" s="16">
        <f t="shared" si="20"/>
        <v>31</v>
      </c>
      <c r="Y28" s="16">
        <f t="shared" si="20"/>
        <v>126</v>
      </c>
      <c r="Z28" s="16">
        <f t="shared" si="20"/>
        <v>54</v>
      </c>
      <c r="AA28" s="16">
        <f t="shared" si="20"/>
        <v>16</v>
      </c>
      <c r="AB28" s="16">
        <f t="shared" si="20"/>
        <v>19</v>
      </c>
      <c r="AC28" s="16">
        <f t="shared" si="20"/>
        <v>4475</v>
      </c>
      <c r="AD28" s="16">
        <f t="shared" si="20"/>
        <v>0</v>
      </c>
      <c r="AE28" s="32">
        <f t="shared" si="20"/>
        <v>5812</v>
      </c>
      <c r="AF28" s="32">
        <f t="shared" si="20"/>
        <v>10287</v>
      </c>
    </row>
    <row r="29" spans="2:32" ht="23.1" customHeight="1" x14ac:dyDescent="0.25">
      <c r="B29" s="23" t="s">
        <v>56</v>
      </c>
      <c r="C29" s="50">
        <v>50</v>
      </c>
      <c r="D29" s="50">
        <v>11</v>
      </c>
      <c r="E29" s="50">
        <v>71</v>
      </c>
      <c r="F29" s="50">
        <v>30</v>
      </c>
      <c r="G29" s="50">
        <v>0</v>
      </c>
      <c r="H29" s="50">
        <v>3</v>
      </c>
      <c r="I29" s="50">
        <v>0</v>
      </c>
      <c r="J29" s="50">
        <v>2</v>
      </c>
      <c r="K29" s="50">
        <v>1</v>
      </c>
      <c r="L29" s="50">
        <v>1</v>
      </c>
      <c r="M29" s="50">
        <v>85</v>
      </c>
      <c r="N29" s="50">
        <v>0</v>
      </c>
      <c r="O29" s="15">
        <f t="shared" si="0"/>
        <v>169</v>
      </c>
      <c r="P29" s="15">
        <f t="shared" si="1"/>
        <v>254</v>
      </c>
      <c r="R29"/>
      <c r="S29" s="20"/>
      <c r="T29" s="19"/>
    </row>
    <row r="30" spans="2:32" ht="23.1" customHeight="1" x14ac:dyDescent="0.25">
      <c r="B30" s="23" t="s">
        <v>57</v>
      </c>
      <c r="C30" s="50">
        <v>73</v>
      </c>
      <c r="D30" s="50">
        <v>19</v>
      </c>
      <c r="E30" s="50">
        <v>5</v>
      </c>
      <c r="F30" s="50">
        <v>50</v>
      </c>
      <c r="G30" s="50">
        <v>0</v>
      </c>
      <c r="H30" s="50">
        <v>1</v>
      </c>
      <c r="I30" s="50">
        <v>2</v>
      </c>
      <c r="J30" s="50">
        <v>3</v>
      </c>
      <c r="K30" s="50">
        <v>0</v>
      </c>
      <c r="L30" s="50">
        <v>0</v>
      </c>
      <c r="M30" s="50">
        <v>142</v>
      </c>
      <c r="N30" s="50">
        <v>0</v>
      </c>
      <c r="O30" s="15">
        <f t="shared" si="0"/>
        <v>153</v>
      </c>
      <c r="P30" s="15">
        <f t="shared" si="1"/>
        <v>295</v>
      </c>
    </row>
    <row r="31" spans="2:32" ht="23.1" customHeight="1" x14ac:dyDescent="0.25">
      <c r="B31" s="24" t="s">
        <v>58</v>
      </c>
      <c r="C31" s="50">
        <v>57</v>
      </c>
      <c r="D31" s="50">
        <v>25</v>
      </c>
      <c r="E31" s="50">
        <v>7</v>
      </c>
      <c r="F31" s="50">
        <v>45</v>
      </c>
      <c r="G31" s="50">
        <v>1</v>
      </c>
      <c r="H31" s="50">
        <v>1</v>
      </c>
      <c r="I31" s="50">
        <v>2</v>
      </c>
      <c r="J31" s="50">
        <v>2</v>
      </c>
      <c r="K31" s="50">
        <v>1</v>
      </c>
      <c r="L31" s="50">
        <v>0</v>
      </c>
      <c r="M31" s="50">
        <v>125</v>
      </c>
      <c r="N31" s="50">
        <v>0</v>
      </c>
      <c r="O31" s="15">
        <f t="shared" si="0"/>
        <v>141</v>
      </c>
      <c r="P31" s="15">
        <f t="shared" si="1"/>
        <v>266</v>
      </c>
    </row>
    <row r="32" spans="2:32" ht="23.1" customHeight="1" x14ac:dyDescent="0.25">
      <c r="B32" s="24" t="s">
        <v>59</v>
      </c>
      <c r="C32" s="50">
        <v>41</v>
      </c>
      <c r="D32" s="50">
        <v>7</v>
      </c>
      <c r="E32" s="50">
        <v>7</v>
      </c>
      <c r="F32" s="50">
        <v>24</v>
      </c>
      <c r="G32" s="50">
        <v>0</v>
      </c>
      <c r="H32" s="50">
        <v>1</v>
      </c>
      <c r="I32" s="50">
        <v>1</v>
      </c>
      <c r="J32" s="50">
        <v>2</v>
      </c>
      <c r="K32" s="50">
        <v>0</v>
      </c>
      <c r="L32" s="50">
        <v>0</v>
      </c>
      <c r="M32" s="50">
        <v>80</v>
      </c>
      <c r="N32" s="50">
        <v>0</v>
      </c>
      <c r="O32" s="15">
        <f t="shared" si="0"/>
        <v>83</v>
      </c>
      <c r="P32" s="15">
        <f t="shared" si="1"/>
        <v>163</v>
      </c>
    </row>
    <row r="33" spans="2:20" ht="23.1" customHeight="1" x14ac:dyDescent="0.25">
      <c r="B33" s="23" t="s">
        <v>60</v>
      </c>
      <c r="C33" s="50">
        <v>57</v>
      </c>
      <c r="D33" s="50">
        <v>16</v>
      </c>
      <c r="E33" s="50">
        <v>8</v>
      </c>
      <c r="F33" s="50">
        <v>29</v>
      </c>
      <c r="G33" s="50">
        <v>0</v>
      </c>
      <c r="H33" s="50">
        <v>0</v>
      </c>
      <c r="I33" s="50">
        <v>3</v>
      </c>
      <c r="J33" s="50">
        <v>1</v>
      </c>
      <c r="K33" s="50">
        <v>0</v>
      </c>
      <c r="L33" s="50">
        <v>0</v>
      </c>
      <c r="M33" s="50">
        <v>111</v>
      </c>
      <c r="N33" s="50">
        <v>0</v>
      </c>
      <c r="O33" s="15">
        <f t="shared" si="0"/>
        <v>114</v>
      </c>
      <c r="P33" s="15">
        <f t="shared" si="1"/>
        <v>225</v>
      </c>
    </row>
    <row r="34" spans="2:20" ht="23.1" customHeight="1" x14ac:dyDescent="0.25">
      <c r="B34" s="24" t="s">
        <v>61</v>
      </c>
      <c r="C34" s="50">
        <v>45</v>
      </c>
      <c r="D34" s="50">
        <v>18</v>
      </c>
      <c r="E34" s="50">
        <v>8</v>
      </c>
      <c r="F34" s="50">
        <v>35</v>
      </c>
      <c r="G34" s="50">
        <v>0</v>
      </c>
      <c r="H34" s="50">
        <v>0</v>
      </c>
      <c r="I34" s="50">
        <v>1</v>
      </c>
      <c r="J34" s="50">
        <v>1</v>
      </c>
      <c r="K34" s="50">
        <v>1</v>
      </c>
      <c r="L34" s="50">
        <v>1</v>
      </c>
      <c r="M34" s="50">
        <v>75</v>
      </c>
      <c r="N34" s="50">
        <v>0</v>
      </c>
      <c r="O34" s="15">
        <f t="shared" si="0"/>
        <v>110</v>
      </c>
      <c r="P34" s="15">
        <f t="shared" si="1"/>
        <v>185</v>
      </c>
    </row>
    <row r="35" spans="2:20" ht="23.1" customHeight="1" x14ac:dyDescent="0.25">
      <c r="B35" s="24" t="s">
        <v>62</v>
      </c>
      <c r="C35" s="50">
        <v>15</v>
      </c>
      <c r="D35" s="50">
        <v>2</v>
      </c>
      <c r="E35" s="50">
        <v>4</v>
      </c>
      <c r="F35" s="50">
        <v>18</v>
      </c>
      <c r="G35" s="50">
        <v>0</v>
      </c>
      <c r="H35" s="50">
        <v>1</v>
      </c>
      <c r="I35" s="50">
        <v>2</v>
      </c>
      <c r="J35" s="50">
        <v>2</v>
      </c>
      <c r="K35" s="50">
        <v>0</v>
      </c>
      <c r="L35" s="50">
        <v>0</v>
      </c>
      <c r="M35" s="50">
        <v>70</v>
      </c>
      <c r="N35" s="50">
        <v>0</v>
      </c>
      <c r="O35" s="15">
        <f t="shared" si="0"/>
        <v>44</v>
      </c>
      <c r="P35" s="15">
        <f t="shared" si="1"/>
        <v>114</v>
      </c>
    </row>
    <row r="36" spans="2:20" ht="23.1" customHeight="1" x14ac:dyDescent="0.25">
      <c r="B36" s="24" t="s">
        <v>63</v>
      </c>
      <c r="C36" s="50">
        <v>35</v>
      </c>
      <c r="D36" s="50">
        <v>13</v>
      </c>
      <c r="E36" s="50">
        <v>4</v>
      </c>
      <c r="F36" s="50">
        <v>25</v>
      </c>
      <c r="G36" s="50">
        <v>0</v>
      </c>
      <c r="H36" s="50">
        <v>1</v>
      </c>
      <c r="I36" s="50">
        <v>3</v>
      </c>
      <c r="J36" s="50">
        <v>2</v>
      </c>
      <c r="K36" s="50">
        <v>0</v>
      </c>
      <c r="L36" s="50">
        <v>0</v>
      </c>
      <c r="M36" s="50">
        <v>50</v>
      </c>
      <c r="N36" s="50">
        <v>0</v>
      </c>
      <c r="O36" s="15">
        <f t="shared" si="0"/>
        <v>83</v>
      </c>
      <c r="P36" s="15">
        <f t="shared" si="1"/>
        <v>133</v>
      </c>
    </row>
    <row r="37" spans="2:20" ht="23.1" customHeight="1" x14ac:dyDescent="0.25">
      <c r="B37" s="23" t="s">
        <v>64</v>
      </c>
      <c r="C37" s="50">
        <v>65</v>
      </c>
      <c r="D37" s="50">
        <v>13</v>
      </c>
      <c r="E37" s="50">
        <v>3</v>
      </c>
      <c r="F37" s="50">
        <v>48</v>
      </c>
      <c r="G37" s="50">
        <v>0</v>
      </c>
      <c r="H37" s="50">
        <v>3</v>
      </c>
      <c r="I37" s="50">
        <v>3</v>
      </c>
      <c r="J37" s="50">
        <v>0</v>
      </c>
      <c r="K37" s="50">
        <v>0</v>
      </c>
      <c r="L37" s="50">
        <v>0</v>
      </c>
      <c r="M37" s="50">
        <v>25</v>
      </c>
      <c r="N37" s="50">
        <v>0</v>
      </c>
      <c r="O37" s="15">
        <f t="shared" si="0"/>
        <v>135</v>
      </c>
      <c r="P37" s="15">
        <f t="shared" si="1"/>
        <v>160</v>
      </c>
    </row>
    <row r="38" spans="2:20" ht="23.1" customHeight="1" x14ac:dyDescent="0.25">
      <c r="B38" s="24" t="s">
        <v>65</v>
      </c>
      <c r="C38" s="50">
        <v>45</v>
      </c>
      <c r="D38" s="50">
        <v>10</v>
      </c>
      <c r="E38" s="50">
        <v>5</v>
      </c>
      <c r="F38" s="50">
        <v>30</v>
      </c>
      <c r="G38" s="50">
        <v>0</v>
      </c>
      <c r="H38" s="50">
        <v>2</v>
      </c>
      <c r="I38" s="50">
        <v>4</v>
      </c>
      <c r="J38" s="50">
        <v>0</v>
      </c>
      <c r="K38" s="50">
        <v>0</v>
      </c>
      <c r="L38" s="50">
        <v>0</v>
      </c>
      <c r="M38" s="50">
        <v>79</v>
      </c>
      <c r="N38" s="50">
        <v>0</v>
      </c>
      <c r="O38" s="15">
        <f t="shared" si="0"/>
        <v>96</v>
      </c>
      <c r="P38" s="15">
        <f t="shared" si="1"/>
        <v>175</v>
      </c>
    </row>
    <row r="39" spans="2:20" ht="23.1" customHeight="1" x14ac:dyDescent="0.25">
      <c r="B39" s="24" t="s">
        <v>66</v>
      </c>
      <c r="C39" s="50">
        <v>62</v>
      </c>
      <c r="D39" s="50">
        <v>23</v>
      </c>
      <c r="E39" s="50">
        <v>5</v>
      </c>
      <c r="F39" s="50">
        <v>37</v>
      </c>
      <c r="G39" s="50">
        <v>3</v>
      </c>
      <c r="H39" s="50">
        <v>1</v>
      </c>
      <c r="I39" s="50">
        <v>2</v>
      </c>
      <c r="J39" s="50">
        <v>1</v>
      </c>
      <c r="K39" s="50">
        <v>0</v>
      </c>
      <c r="L39" s="50">
        <v>0</v>
      </c>
      <c r="M39" s="50">
        <v>50</v>
      </c>
      <c r="N39" s="50">
        <v>0</v>
      </c>
      <c r="O39" s="15">
        <f t="shared" si="0"/>
        <v>134</v>
      </c>
      <c r="P39" s="15">
        <f t="shared" si="1"/>
        <v>184</v>
      </c>
    </row>
    <row r="40" spans="2:20" ht="23.1" customHeight="1" x14ac:dyDescent="0.25">
      <c r="B40" s="24" t="s">
        <v>67</v>
      </c>
      <c r="C40" s="50">
        <v>73</v>
      </c>
      <c r="D40" s="50">
        <v>19</v>
      </c>
      <c r="E40" s="50">
        <v>12</v>
      </c>
      <c r="F40" s="50">
        <v>38</v>
      </c>
      <c r="G40" s="50">
        <v>0</v>
      </c>
      <c r="H40" s="50">
        <v>0</v>
      </c>
      <c r="I40" s="50">
        <v>2</v>
      </c>
      <c r="J40" s="50">
        <v>1</v>
      </c>
      <c r="K40" s="50">
        <v>0</v>
      </c>
      <c r="L40" s="50">
        <v>1</v>
      </c>
      <c r="M40" s="50">
        <v>121</v>
      </c>
      <c r="N40" s="50">
        <v>0</v>
      </c>
      <c r="O40" s="15">
        <f t="shared" si="0"/>
        <v>146</v>
      </c>
      <c r="P40" s="15">
        <f t="shared" si="1"/>
        <v>267</v>
      </c>
    </row>
    <row r="41" spans="2:20" ht="23.1" customHeight="1" x14ac:dyDescent="0.25">
      <c r="B41" s="23" t="s">
        <v>68</v>
      </c>
      <c r="C41" s="50">
        <v>40</v>
      </c>
      <c r="D41" s="50">
        <v>10</v>
      </c>
      <c r="E41" s="50">
        <v>5</v>
      </c>
      <c r="F41" s="50">
        <v>30</v>
      </c>
      <c r="G41" s="50">
        <v>0</v>
      </c>
      <c r="H41" s="50">
        <v>2</v>
      </c>
      <c r="I41" s="50">
        <v>3</v>
      </c>
      <c r="J41" s="50">
        <v>2</v>
      </c>
      <c r="K41" s="50">
        <v>0</v>
      </c>
      <c r="L41" s="50">
        <v>0</v>
      </c>
      <c r="M41" s="50">
        <v>81</v>
      </c>
      <c r="N41" s="50">
        <v>0</v>
      </c>
      <c r="O41" s="15">
        <f t="shared" si="0"/>
        <v>92</v>
      </c>
      <c r="P41" s="15">
        <f t="shared" si="1"/>
        <v>173</v>
      </c>
    </row>
    <row r="42" spans="2:20" ht="23.1" customHeight="1" x14ac:dyDescent="0.25">
      <c r="B42" s="24" t="s">
        <v>69</v>
      </c>
      <c r="C42" s="50">
        <v>61</v>
      </c>
      <c r="D42" s="50">
        <v>23</v>
      </c>
      <c r="E42" s="50">
        <v>8</v>
      </c>
      <c r="F42" s="50">
        <v>52</v>
      </c>
      <c r="G42" s="50">
        <v>1</v>
      </c>
      <c r="H42" s="50">
        <v>2</v>
      </c>
      <c r="I42" s="50">
        <v>2</v>
      </c>
      <c r="J42" s="50">
        <v>0</v>
      </c>
      <c r="K42" s="50">
        <v>0</v>
      </c>
      <c r="L42" s="50">
        <v>0</v>
      </c>
      <c r="M42" s="50">
        <v>75</v>
      </c>
      <c r="N42" s="50">
        <v>0</v>
      </c>
      <c r="O42" s="15">
        <f t="shared" si="0"/>
        <v>149</v>
      </c>
      <c r="P42" s="15">
        <f t="shared" si="1"/>
        <v>224</v>
      </c>
    </row>
    <row r="43" spans="2:20" ht="23.1" customHeight="1" x14ac:dyDescent="0.25">
      <c r="B43" s="23" t="s">
        <v>70</v>
      </c>
      <c r="C43" s="50">
        <v>60</v>
      </c>
      <c r="D43" s="50">
        <v>26</v>
      </c>
      <c r="E43" s="50">
        <v>4</v>
      </c>
      <c r="F43" s="50">
        <v>42</v>
      </c>
      <c r="G43" s="50">
        <v>0</v>
      </c>
      <c r="H43" s="50">
        <v>2</v>
      </c>
      <c r="I43" s="50">
        <v>7</v>
      </c>
      <c r="J43" s="50">
        <v>0</v>
      </c>
      <c r="K43" s="50">
        <v>0</v>
      </c>
      <c r="L43" s="50">
        <v>0</v>
      </c>
      <c r="M43" s="50">
        <v>70</v>
      </c>
      <c r="N43" s="50">
        <v>0</v>
      </c>
      <c r="O43" s="15">
        <f t="shared" si="0"/>
        <v>141</v>
      </c>
      <c r="P43" s="15">
        <f t="shared" si="1"/>
        <v>211</v>
      </c>
    </row>
    <row r="44" spans="2:20" ht="23.1" customHeight="1" x14ac:dyDescent="0.25">
      <c r="B44" s="25" t="s">
        <v>71</v>
      </c>
      <c r="C44" s="50">
        <v>50</v>
      </c>
      <c r="D44" s="50">
        <v>8</v>
      </c>
      <c r="E44" s="50">
        <v>2</v>
      </c>
      <c r="F44" s="50">
        <v>17</v>
      </c>
      <c r="G44" s="50">
        <v>0</v>
      </c>
      <c r="H44" s="50">
        <v>0</v>
      </c>
      <c r="I44" s="50">
        <v>1</v>
      </c>
      <c r="J44" s="50">
        <v>0</v>
      </c>
      <c r="K44" s="50">
        <v>0</v>
      </c>
      <c r="L44" s="50">
        <v>0</v>
      </c>
      <c r="M44" s="50">
        <v>110</v>
      </c>
      <c r="N44" s="50">
        <v>0</v>
      </c>
      <c r="O44" s="15">
        <f t="shared" si="0"/>
        <v>78</v>
      </c>
      <c r="P44" s="15">
        <f t="shared" si="1"/>
        <v>188</v>
      </c>
    </row>
    <row r="45" spans="2:20" ht="23.1" customHeight="1" x14ac:dyDescent="0.25">
      <c r="B45" s="23" t="s">
        <v>72</v>
      </c>
      <c r="C45" s="50">
        <v>71</v>
      </c>
      <c r="D45" s="50">
        <v>17</v>
      </c>
      <c r="E45" s="50">
        <v>6</v>
      </c>
      <c r="F45" s="50">
        <v>58</v>
      </c>
      <c r="G45" s="50">
        <v>2</v>
      </c>
      <c r="H45" s="50">
        <v>0</v>
      </c>
      <c r="I45" s="50">
        <v>6</v>
      </c>
      <c r="J45" s="50">
        <v>0</v>
      </c>
      <c r="K45" s="50">
        <v>0</v>
      </c>
      <c r="L45" s="50">
        <v>0</v>
      </c>
      <c r="M45" s="50">
        <v>102</v>
      </c>
      <c r="N45" s="50">
        <v>0</v>
      </c>
      <c r="O45" s="15">
        <f t="shared" si="0"/>
        <v>160</v>
      </c>
      <c r="P45" s="15">
        <f t="shared" si="1"/>
        <v>262</v>
      </c>
    </row>
    <row r="46" spans="2:20" ht="23.1" customHeight="1" x14ac:dyDescent="0.25">
      <c r="B46" s="24" t="s">
        <v>73</v>
      </c>
      <c r="C46" s="50">
        <v>75</v>
      </c>
      <c r="D46" s="50">
        <v>15</v>
      </c>
      <c r="E46" s="50">
        <v>58</v>
      </c>
      <c r="F46" s="50">
        <v>0</v>
      </c>
      <c r="G46" s="50">
        <v>1</v>
      </c>
      <c r="H46" s="50">
        <v>1</v>
      </c>
      <c r="I46" s="50">
        <v>2</v>
      </c>
      <c r="J46" s="50">
        <v>0</v>
      </c>
      <c r="K46" s="50">
        <v>0</v>
      </c>
      <c r="L46" s="50">
        <v>0</v>
      </c>
      <c r="M46" s="50">
        <v>75</v>
      </c>
      <c r="N46" s="50">
        <v>0</v>
      </c>
      <c r="O46" s="15">
        <f t="shared" si="0"/>
        <v>152</v>
      </c>
      <c r="P46" s="15">
        <f t="shared" si="1"/>
        <v>227</v>
      </c>
      <c r="R46" s="8"/>
      <c r="T46"/>
    </row>
    <row r="47" spans="2:20" ht="23.1" customHeight="1" x14ac:dyDescent="0.25">
      <c r="B47" s="24" t="s">
        <v>74</v>
      </c>
      <c r="C47" s="50">
        <v>70</v>
      </c>
      <c r="D47" s="50">
        <v>9</v>
      </c>
      <c r="E47" s="50">
        <v>5</v>
      </c>
      <c r="F47" s="50">
        <v>27</v>
      </c>
      <c r="G47" s="50">
        <v>0</v>
      </c>
      <c r="H47" s="50">
        <v>0</v>
      </c>
      <c r="I47" s="50">
        <v>3</v>
      </c>
      <c r="J47" s="50">
        <v>1</v>
      </c>
      <c r="K47" s="50">
        <v>1</v>
      </c>
      <c r="L47" s="50">
        <v>2</v>
      </c>
      <c r="M47" s="50">
        <v>70</v>
      </c>
      <c r="N47" s="50">
        <v>0</v>
      </c>
      <c r="O47" s="15">
        <f t="shared" si="0"/>
        <v>118</v>
      </c>
      <c r="P47" s="15">
        <f t="shared" si="1"/>
        <v>188</v>
      </c>
      <c r="R47" s="8"/>
      <c r="T47"/>
    </row>
    <row r="48" spans="2:20" ht="23.1" customHeight="1" x14ac:dyDescent="0.25">
      <c r="B48" s="24" t="s">
        <v>75</v>
      </c>
      <c r="C48" s="50">
        <v>55</v>
      </c>
      <c r="D48" s="50">
        <v>14</v>
      </c>
      <c r="E48" s="50">
        <v>2</v>
      </c>
      <c r="F48" s="50">
        <v>30</v>
      </c>
      <c r="G48" s="50">
        <v>0</v>
      </c>
      <c r="H48" s="50">
        <v>0</v>
      </c>
      <c r="I48" s="50">
        <v>1</v>
      </c>
      <c r="J48" s="50">
        <v>1</v>
      </c>
      <c r="K48" s="50">
        <v>0</v>
      </c>
      <c r="L48" s="50">
        <v>0</v>
      </c>
      <c r="M48" s="50">
        <v>109</v>
      </c>
      <c r="N48" s="50">
        <v>0</v>
      </c>
      <c r="O48" s="15">
        <f t="shared" si="0"/>
        <v>103</v>
      </c>
      <c r="P48" s="15">
        <f t="shared" si="1"/>
        <v>212</v>
      </c>
      <c r="R48" s="8"/>
      <c r="T48"/>
    </row>
    <row r="49" spans="2:20" ht="23.1" customHeight="1" x14ac:dyDescent="0.25">
      <c r="B49" s="23" t="s">
        <v>76</v>
      </c>
      <c r="C49" s="50">
        <v>47</v>
      </c>
      <c r="D49" s="50">
        <v>21</v>
      </c>
      <c r="E49" s="50">
        <v>10</v>
      </c>
      <c r="F49" s="50">
        <v>34</v>
      </c>
      <c r="G49" s="50">
        <v>0</v>
      </c>
      <c r="H49" s="50">
        <v>1</v>
      </c>
      <c r="I49" s="50">
        <v>2</v>
      </c>
      <c r="J49" s="50">
        <v>2</v>
      </c>
      <c r="K49" s="50">
        <v>0</v>
      </c>
      <c r="L49" s="50">
        <v>1</v>
      </c>
      <c r="M49" s="50">
        <v>125</v>
      </c>
      <c r="N49" s="50">
        <v>0</v>
      </c>
      <c r="O49" s="15">
        <f t="shared" si="0"/>
        <v>118</v>
      </c>
      <c r="P49" s="15">
        <f t="shared" si="1"/>
        <v>243</v>
      </c>
      <c r="R49" s="8"/>
      <c r="T49"/>
    </row>
    <row r="50" spans="2:20" ht="23.1" customHeight="1" x14ac:dyDescent="0.25">
      <c r="B50" s="24" t="s">
        <v>77</v>
      </c>
      <c r="C50" s="50">
        <v>80</v>
      </c>
      <c r="D50" s="50">
        <v>31</v>
      </c>
      <c r="E50" s="50">
        <v>14</v>
      </c>
      <c r="F50" s="50">
        <v>51</v>
      </c>
      <c r="G50" s="50">
        <v>2</v>
      </c>
      <c r="H50" s="50">
        <v>2</v>
      </c>
      <c r="I50" s="50">
        <v>9</v>
      </c>
      <c r="J50" s="50">
        <v>2</v>
      </c>
      <c r="K50" s="50">
        <v>0</v>
      </c>
      <c r="L50" s="50">
        <v>1</v>
      </c>
      <c r="M50" s="50">
        <v>77</v>
      </c>
      <c r="N50" s="50">
        <v>0</v>
      </c>
      <c r="O50" s="15">
        <f t="shared" si="0"/>
        <v>192</v>
      </c>
      <c r="P50" s="15">
        <f t="shared" si="1"/>
        <v>269</v>
      </c>
      <c r="R50" s="8"/>
      <c r="T50"/>
    </row>
    <row r="51" spans="2:20" ht="23.1" customHeight="1" x14ac:dyDescent="0.25">
      <c r="B51" s="24" t="s">
        <v>78</v>
      </c>
      <c r="C51" s="50">
        <v>66</v>
      </c>
      <c r="D51" s="50">
        <v>16</v>
      </c>
      <c r="E51" s="50">
        <v>9</v>
      </c>
      <c r="F51" s="50">
        <v>34</v>
      </c>
      <c r="G51" s="50">
        <v>3</v>
      </c>
      <c r="H51" s="50">
        <v>1</v>
      </c>
      <c r="I51" s="50">
        <v>2</v>
      </c>
      <c r="J51" s="50">
        <v>1</v>
      </c>
      <c r="K51" s="50">
        <v>2</v>
      </c>
      <c r="L51" s="50">
        <v>0</v>
      </c>
      <c r="M51" s="50">
        <v>70</v>
      </c>
      <c r="N51" s="50">
        <v>0</v>
      </c>
      <c r="O51" s="15">
        <f t="shared" si="0"/>
        <v>134</v>
      </c>
      <c r="P51" s="15">
        <f t="shared" si="1"/>
        <v>204</v>
      </c>
      <c r="R51" s="8"/>
      <c r="T51"/>
    </row>
    <row r="52" spans="2:20" ht="23.1" customHeight="1" x14ac:dyDescent="0.25">
      <c r="B52" s="24" t="s">
        <v>79</v>
      </c>
      <c r="C52" s="50">
        <v>75</v>
      </c>
      <c r="D52" s="50">
        <v>19</v>
      </c>
      <c r="E52" s="50">
        <v>8</v>
      </c>
      <c r="F52" s="50">
        <v>47</v>
      </c>
      <c r="G52" s="50">
        <v>1</v>
      </c>
      <c r="H52" s="50">
        <v>1</v>
      </c>
      <c r="I52" s="50">
        <v>1</v>
      </c>
      <c r="J52" s="50">
        <v>0</v>
      </c>
      <c r="K52" s="50">
        <v>0</v>
      </c>
      <c r="L52" s="50">
        <v>2</v>
      </c>
      <c r="M52" s="50">
        <v>65</v>
      </c>
      <c r="N52" s="50">
        <v>0</v>
      </c>
      <c r="O52" s="15">
        <f t="shared" si="0"/>
        <v>154</v>
      </c>
      <c r="P52" s="15">
        <f t="shared" si="1"/>
        <v>219</v>
      </c>
      <c r="R52" s="8"/>
      <c r="T52"/>
    </row>
    <row r="53" spans="2:20" ht="23.1" customHeight="1" x14ac:dyDescent="0.25">
      <c r="B53" s="23" t="s">
        <v>80</v>
      </c>
      <c r="C53" s="50">
        <v>23</v>
      </c>
      <c r="D53" s="50">
        <v>10</v>
      </c>
      <c r="E53" s="50">
        <v>6</v>
      </c>
      <c r="F53" s="50">
        <v>26</v>
      </c>
      <c r="G53" s="50">
        <v>1</v>
      </c>
      <c r="H53" s="50">
        <v>0</v>
      </c>
      <c r="I53" s="50">
        <v>3</v>
      </c>
      <c r="J53" s="50">
        <v>0</v>
      </c>
      <c r="K53" s="50">
        <v>1</v>
      </c>
      <c r="L53" s="50">
        <v>1</v>
      </c>
      <c r="M53" s="50">
        <v>58</v>
      </c>
      <c r="N53" s="50">
        <v>0</v>
      </c>
      <c r="O53" s="15">
        <f t="shared" si="0"/>
        <v>71</v>
      </c>
      <c r="P53" s="15">
        <f t="shared" si="1"/>
        <v>129</v>
      </c>
      <c r="R53" s="8"/>
      <c r="T53"/>
    </row>
    <row r="54" spans="2:20" ht="23.1" customHeight="1" x14ac:dyDescent="0.25">
      <c r="B54" s="23" t="s">
        <v>81</v>
      </c>
      <c r="C54" s="50">
        <v>48</v>
      </c>
      <c r="D54" s="50">
        <v>25</v>
      </c>
      <c r="E54" s="50">
        <v>7</v>
      </c>
      <c r="F54" s="50">
        <v>28</v>
      </c>
      <c r="G54" s="50">
        <v>1</v>
      </c>
      <c r="H54" s="50">
        <v>0</v>
      </c>
      <c r="I54" s="50">
        <v>4</v>
      </c>
      <c r="J54" s="50">
        <v>0</v>
      </c>
      <c r="K54" s="50"/>
      <c r="L54" s="50">
        <v>0</v>
      </c>
      <c r="M54" s="50">
        <v>88</v>
      </c>
      <c r="N54" s="50">
        <v>0</v>
      </c>
      <c r="O54" s="15">
        <f t="shared" si="0"/>
        <v>113</v>
      </c>
      <c r="P54" s="15">
        <f t="shared" si="1"/>
        <v>201</v>
      </c>
      <c r="R54" s="8"/>
      <c r="T54"/>
    </row>
    <row r="55" spans="2:20" ht="23.1" customHeight="1" x14ac:dyDescent="0.25">
      <c r="B55" s="23" t="s">
        <v>82</v>
      </c>
      <c r="C55" s="50">
        <v>47</v>
      </c>
      <c r="D55" s="50">
        <v>28</v>
      </c>
      <c r="E55" s="50">
        <v>6</v>
      </c>
      <c r="F55" s="50">
        <v>34</v>
      </c>
      <c r="G55" s="50">
        <v>1</v>
      </c>
      <c r="H55" s="50">
        <v>1</v>
      </c>
      <c r="I55" s="50">
        <v>2</v>
      </c>
      <c r="J55" s="50">
        <v>3</v>
      </c>
      <c r="K55" s="50">
        <v>1</v>
      </c>
      <c r="L55" s="50">
        <v>0</v>
      </c>
      <c r="M55" s="50">
        <v>105</v>
      </c>
      <c r="N55" s="50">
        <v>0</v>
      </c>
      <c r="O55" s="15">
        <f t="shared" si="0"/>
        <v>123</v>
      </c>
      <c r="P55" s="15">
        <f t="shared" si="1"/>
        <v>228</v>
      </c>
      <c r="R55" s="8"/>
      <c r="T55"/>
    </row>
    <row r="56" spans="2:20" ht="23.1" customHeight="1" x14ac:dyDescent="0.25">
      <c r="B56" s="23" t="s">
        <v>83</v>
      </c>
      <c r="C56" s="50">
        <v>60</v>
      </c>
      <c r="D56" s="50">
        <v>15</v>
      </c>
      <c r="E56" s="50">
        <v>2</v>
      </c>
      <c r="F56" s="50">
        <v>37</v>
      </c>
      <c r="G56" s="50">
        <v>2</v>
      </c>
      <c r="H56" s="50">
        <v>1</v>
      </c>
      <c r="I56" s="50">
        <v>2</v>
      </c>
      <c r="J56" s="50">
        <v>0</v>
      </c>
      <c r="K56" s="50">
        <v>1</v>
      </c>
      <c r="L56" s="50">
        <v>0</v>
      </c>
      <c r="M56" s="50">
        <v>60</v>
      </c>
      <c r="N56" s="50">
        <v>0</v>
      </c>
      <c r="O56" s="15">
        <f t="shared" si="0"/>
        <v>120</v>
      </c>
      <c r="P56" s="15">
        <f t="shared" si="1"/>
        <v>180</v>
      </c>
      <c r="R56" s="8"/>
      <c r="T56"/>
    </row>
    <row r="57" spans="2:20" ht="23.1" customHeight="1" x14ac:dyDescent="0.25">
      <c r="B57" s="23" t="s">
        <v>84</v>
      </c>
      <c r="C57" s="50">
        <v>33</v>
      </c>
      <c r="D57" s="50">
        <v>2</v>
      </c>
      <c r="E57" s="50">
        <v>0</v>
      </c>
      <c r="F57" s="50">
        <v>2</v>
      </c>
      <c r="G57" s="50">
        <v>1</v>
      </c>
      <c r="H57" s="50">
        <v>0</v>
      </c>
      <c r="I57" s="50">
        <v>0</v>
      </c>
      <c r="J57" s="50">
        <v>0</v>
      </c>
      <c r="K57" s="50">
        <v>0</v>
      </c>
      <c r="L57" s="50">
        <v>0</v>
      </c>
      <c r="M57" s="50">
        <v>100</v>
      </c>
      <c r="N57" s="50">
        <v>0</v>
      </c>
      <c r="O57" s="15">
        <f t="shared" si="0"/>
        <v>38</v>
      </c>
      <c r="P57" s="15">
        <f t="shared" si="1"/>
        <v>138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2485</v>
      </c>
      <c r="D58" s="16">
        <f t="shared" si="21"/>
        <v>819</v>
      </c>
      <c r="E58" s="16">
        <f t="shared" si="21"/>
        <v>487</v>
      </c>
      <c r="F58" s="16">
        <f t="shared" si="21"/>
        <v>1746</v>
      </c>
      <c r="G58" s="16">
        <f t="shared" si="21"/>
        <v>29</v>
      </c>
      <c r="H58" s="16">
        <f t="shared" si="21"/>
        <v>31</v>
      </c>
      <c r="I58" s="16">
        <f t="shared" si="21"/>
        <v>126</v>
      </c>
      <c r="J58" s="16">
        <f t="shared" si="21"/>
        <v>54</v>
      </c>
      <c r="K58" s="16">
        <f t="shared" si="21"/>
        <v>16</v>
      </c>
      <c r="L58" s="16">
        <f t="shared" si="21"/>
        <v>19</v>
      </c>
      <c r="M58" s="16">
        <f t="shared" si="21"/>
        <v>4475</v>
      </c>
      <c r="N58" s="16">
        <f t="shared" si="21"/>
        <v>0</v>
      </c>
      <c r="O58" s="16">
        <f t="shared" si="21"/>
        <v>5812</v>
      </c>
      <c r="P58" s="16">
        <f t="shared" si="21"/>
        <v>10287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0.24156702634392924</v>
      </c>
      <c r="D59" s="43">
        <f t="shared" si="22"/>
        <v>7.9615048118985121E-2</v>
      </c>
      <c r="E59" s="43">
        <f t="shared" si="22"/>
        <v>4.7341304559152329E-2</v>
      </c>
      <c r="F59" s="43">
        <f t="shared" si="22"/>
        <v>0.16972878390201224</v>
      </c>
      <c r="G59" s="43">
        <f t="shared" si="22"/>
        <v>2.8190920579372024E-3</v>
      </c>
      <c r="H59" s="43">
        <f t="shared" si="22"/>
        <v>3.0135121998639061E-3</v>
      </c>
      <c r="I59" s="43">
        <f t="shared" si="22"/>
        <v>1.2248468941382326E-2</v>
      </c>
      <c r="J59" s="43">
        <f t="shared" si="22"/>
        <v>5.2493438320209973E-3</v>
      </c>
      <c r="K59" s="43">
        <f t="shared" si="22"/>
        <v>1.5553611354136288E-3</v>
      </c>
      <c r="L59" s="43">
        <f t="shared" si="22"/>
        <v>1.8469913483036842E-3</v>
      </c>
      <c r="M59" s="43">
        <f t="shared" si="22"/>
        <v>0.43501506756099934</v>
      </c>
      <c r="N59" s="43">
        <f t="shared" si="22"/>
        <v>0</v>
      </c>
      <c r="R59" s="8"/>
      <c r="T59"/>
    </row>
    <row r="60" spans="2:20" ht="23.1" customHeight="1" x14ac:dyDescent="0.25">
      <c r="B60" s="42" t="s">
        <v>94</v>
      </c>
      <c r="C60" s="44">
        <f>C58/$O$58</f>
        <v>0.42756366139022711</v>
      </c>
      <c r="D60" s="44">
        <f t="shared" ref="D60:N60" si="23">D58/$O$58</f>
        <v>0.14091534755677909</v>
      </c>
      <c r="E60" s="44">
        <f t="shared" si="23"/>
        <v>8.3792154163799037E-2</v>
      </c>
      <c r="F60" s="44">
        <f t="shared" si="23"/>
        <v>0.30041293874741914</v>
      </c>
      <c r="G60" s="44">
        <f t="shared" si="23"/>
        <v>4.9896765313145221E-3</v>
      </c>
      <c r="H60" s="44">
        <f t="shared" si="23"/>
        <v>5.3337921541637993E-3</v>
      </c>
      <c r="I60" s="44">
        <f t="shared" si="23"/>
        <v>2.1679284239504472E-2</v>
      </c>
      <c r="J60" s="44">
        <f t="shared" si="23"/>
        <v>9.2911218169304879E-3</v>
      </c>
      <c r="K60" s="44">
        <f t="shared" si="23"/>
        <v>2.7529249827942187E-3</v>
      </c>
      <c r="L60" s="44">
        <f t="shared" si="23"/>
        <v>3.269098417068135E-3</v>
      </c>
      <c r="M60" s="44"/>
      <c r="N60" s="44">
        <f t="shared" si="23"/>
        <v>0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F126"/>
  <sheetViews>
    <sheetView view="pageBreakPreview" topLeftCell="A31" zoomScale="60" workbookViewId="0">
      <selection activeCell="M57" sqref="M57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64" t="s">
        <v>23</v>
      </c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  <c r="S1" s="64"/>
      <c r="T1" s="64"/>
      <c r="U1" s="64"/>
      <c r="V1" s="64"/>
      <c r="W1" s="64"/>
      <c r="X1" s="64"/>
      <c r="Y1" s="64"/>
      <c r="Z1" s="64"/>
      <c r="AA1" s="64"/>
      <c r="AB1" s="64"/>
      <c r="AC1" s="64"/>
      <c r="AD1" s="64"/>
      <c r="AE1" s="64"/>
    </row>
    <row r="2" spans="2:32" ht="20.100000000000001" customHeight="1" x14ac:dyDescent="0.25">
      <c r="B2" s="65" t="s">
        <v>95</v>
      </c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  <c r="AA2" s="65"/>
      <c r="AB2" s="65"/>
      <c r="AC2" s="65"/>
      <c r="AD2" s="65"/>
      <c r="AE2" s="65"/>
    </row>
    <row r="3" spans="2:32" ht="20.100000000000001" customHeight="1" x14ac:dyDescent="0.25">
      <c r="B3" s="22" t="s">
        <v>96</v>
      </c>
      <c r="C3" s="71" t="str">
        <f>'22.07 MAKERERE-BWAISE'!C3:G3</f>
        <v>MCC - C1 - STN021- SIR APOLLO ROAD</v>
      </c>
      <c r="D3" s="71"/>
      <c r="E3" s="71"/>
      <c r="F3" s="71"/>
      <c r="G3" s="71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tr">
        <f>'28.07 Bwaise-Makerere'!D5</f>
        <v>28.07.19</v>
      </c>
      <c r="E5" s="3"/>
      <c r="F5" s="41" t="s">
        <v>1</v>
      </c>
      <c r="G5" s="69" t="str">
        <f>'28.07 Bwaise-Makerere'!G5:H5</f>
        <v>PREMIUM DESIGN LTD</v>
      </c>
      <c r="H5" s="70"/>
      <c r="I5" s="14"/>
      <c r="J5" s="2" t="s">
        <v>5</v>
      </c>
      <c r="K5" s="69" t="str">
        <f>'28.07 Bwaise-Makerere'!K5:L5</f>
        <v>OKELLO PETER</v>
      </c>
      <c r="L5" s="70"/>
      <c r="M5" s="10"/>
      <c r="N5" s="10"/>
      <c r="O5" s="3"/>
      <c r="P5" s="3"/>
    </row>
    <row r="6" spans="2:32" ht="23.25" customHeight="1" x14ac:dyDescent="0.25">
      <c r="C6" s="2" t="s">
        <v>4</v>
      </c>
      <c r="D6" s="69" t="str">
        <f>'22.07 MAKERERE-BWAISE'!D6:E6</f>
        <v>MAKARERE</v>
      </c>
      <c r="E6" s="70"/>
      <c r="F6" s="2" t="s">
        <v>2</v>
      </c>
      <c r="G6" s="69" t="str">
        <f>'22.07 MAKERERE-BWAISE'!G6:H6</f>
        <v>BWAISE</v>
      </c>
      <c r="H6" s="70"/>
      <c r="J6" s="2" t="s">
        <v>21</v>
      </c>
      <c r="K6" s="69" t="str">
        <f>'28.07 Bwaise-Makerere'!K6:L6</f>
        <v>SALIMAH</v>
      </c>
      <c r="L6" s="70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63" t="s">
        <v>88</v>
      </c>
      <c r="S8" s="63"/>
      <c r="T8" s="63"/>
      <c r="U8" s="63"/>
      <c r="V8" s="63"/>
      <c r="W8" s="63"/>
      <c r="X8" s="63"/>
      <c r="Y8" s="63"/>
      <c r="Z8" s="63"/>
      <c r="AA8" s="63"/>
      <c r="AB8" s="63"/>
      <c r="AC8" s="63"/>
      <c r="AD8" s="63"/>
      <c r="AE8" s="63"/>
      <c r="AF8" s="63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30</v>
      </c>
      <c r="D10" s="50">
        <v>6</v>
      </c>
      <c r="E10" s="50">
        <v>5</v>
      </c>
      <c r="F10" s="50">
        <v>35</v>
      </c>
      <c r="G10" s="50">
        <v>2</v>
      </c>
      <c r="H10" s="50">
        <v>1</v>
      </c>
      <c r="I10" s="50">
        <v>2</v>
      </c>
      <c r="J10" s="50">
        <v>2</v>
      </c>
      <c r="K10" s="50">
        <v>1</v>
      </c>
      <c r="L10" s="50">
        <v>1</v>
      </c>
      <c r="M10" s="50">
        <v>70</v>
      </c>
      <c r="N10" s="50">
        <v>0</v>
      </c>
      <c r="O10" s="15">
        <f t="shared" ref="O10:O57" si="0">SUM(C10:L10,N10)</f>
        <v>85</v>
      </c>
      <c r="P10" s="15">
        <f t="shared" ref="P10:P57" si="1">SUM(C10:N10)</f>
        <v>155</v>
      </c>
      <c r="R10" s="1" t="s">
        <v>6</v>
      </c>
      <c r="S10" s="17">
        <f t="shared" ref="S10:AF10" si="2">SUM(C10:C13)</f>
        <v>85</v>
      </c>
      <c r="T10" s="17">
        <f t="shared" si="2"/>
        <v>27</v>
      </c>
      <c r="U10" s="17">
        <f t="shared" si="2"/>
        <v>10</v>
      </c>
      <c r="V10" s="17">
        <f t="shared" si="2"/>
        <v>114</v>
      </c>
      <c r="W10" s="17">
        <f t="shared" si="2"/>
        <v>9</v>
      </c>
      <c r="X10" s="17">
        <f t="shared" si="2"/>
        <v>3</v>
      </c>
      <c r="Y10" s="17">
        <f t="shared" si="2"/>
        <v>7</v>
      </c>
      <c r="Z10" s="17">
        <f t="shared" si="2"/>
        <v>5</v>
      </c>
      <c r="AA10" s="17">
        <f t="shared" si="2"/>
        <v>4</v>
      </c>
      <c r="AB10" s="17">
        <f t="shared" si="2"/>
        <v>2</v>
      </c>
      <c r="AC10" s="17">
        <f t="shared" si="2"/>
        <v>330</v>
      </c>
      <c r="AD10" s="17">
        <f t="shared" si="2"/>
        <v>0</v>
      </c>
      <c r="AE10" s="31">
        <f t="shared" si="2"/>
        <v>266</v>
      </c>
      <c r="AF10" s="31">
        <f t="shared" si="2"/>
        <v>596</v>
      </c>
    </row>
    <row r="11" spans="2:32" s="6" customFormat="1" ht="23.1" customHeight="1" x14ac:dyDescent="0.25">
      <c r="B11" s="23" t="s">
        <v>38</v>
      </c>
      <c r="C11" s="50">
        <v>14</v>
      </c>
      <c r="D11" s="50">
        <v>6</v>
      </c>
      <c r="E11" s="50">
        <v>1</v>
      </c>
      <c r="F11" s="50">
        <v>25</v>
      </c>
      <c r="G11" s="50">
        <v>3</v>
      </c>
      <c r="H11" s="50">
        <v>1</v>
      </c>
      <c r="I11" s="50">
        <v>2</v>
      </c>
      <c r="J11" s="50">
        <v>2</v>
      </c>
      <c r="K11" s="50">
        <v>1</v>
      </c>
      <c r="L11" s="50">
        <v>1</v>
      </c>
      <c r="M11" s="50">
        <v>75</v>
      </c>
      <c r="N11" s="50">
        <v>0</v>
      </c>
      <c r="O11" s="15">
        <f t="shared" si="0"/>
        <v>56</v>
      </c>
      <c r="P11" s="15">
        <f t="shared" si="1"/>
        <v>131</v>
      </c>
      <c r="R11" s="1" t="s">
        <v>7</v>
      </c>
      <c r="S11" s="17">
        <f t="shared" ref="S11:AF11" si="3">SUM(C14:C17)</f>
        <v>80</v>
      </c>
      <c r="T11" s="17">
        <f t="shared" si="3"/>
        <v>35</v>
      </c>
      <c r="U11" s="17">
        <f t="shared" si="3"/>
        <v>11</v>
      </c>
      <c r="V11" s="17">
        <f t="shared" si="3"/>
        <v>122</v>
      </c>
      <c r="W11" s="17">
        <f t="shared" si="3"/>
        <v>2</v>
      </c>
      <c r="X11" s="17">
        <f t="shared" si="3"/>
        <v>4</v>
      </c>
      <c r="Y11" s="17">
        <f t="shared" si="3"/>
        <v>9</v>
      </c>
      <c r="Z11" s="17">
        <f t="shared" si="3"/>
        <v>7</v>
      </c>
      <c r="AA11" s="17">
        <f t="shared" si="3"/>
        <v>0</v>
      </c>
      <c r="AB11" s="17">
        <f t="shared" si="3"/>
        <v>0</v>
      </c>
      <c r="AC11" s="17">
        <f t="shared" si="3"/>
        <v>467</v>
      </c>
      <c r="AD11" s="17">
        <f t="shared" si="3"/>
        <v>0</v>
      </c>
      <c r="AE11" s="31">
        <f t="shared" si="3"/>
        <v>270</v>
      </c>
      <c r="AF11" s="31">
        <f t="shared" si="3"/>
        <v>737</v>
      </c>
    </row>
    <row r="12" spans="2:32" ht="23.1" customHeight="1" x14ac:dyDescent="0.25">
      <c r="B12" s="23" t="s">
        <v>39</v>
      </c>
      <c r="C12" s="50">
        <v>22</v>
      </c>
      <c r="D12" s="50">
        <v>6</v>
      </c>
      <c r="E12" s="50">
        <v>1</v>
      </c>
      <c r="F12" s="50">
        <v>28</v>
      </c>
      <c r="G12" s="50">
        <v>3</v>
      </c>
      <c r="H12" s="50">
        <v>1</v>
      </c>
      <c r="I12" s="50">
        <v>1</v>
      </c>
      <c r="J12" s="50">
        <v>1</v>
      </c>
      <c r="K12" s="50">
        <v>2</v>
      </c>
      <c r="L12" s="50">
        <v>0</v>
      </c>
      <c r="M12" s="50">
        <v>79</v>
      </c>
      <c r="N12" s="50">
        <v>0</v>
      </c>
      <c r="O12" s="15">
        <f t="shared" si="0"/>
        <v>65</v>
      </c>
      <c r="P12" s="15">
        <f t="shared" si="1"/>
        <v>144</v>
      </c>
      <c r="R12" s="1" t="s">
        <v>8</v>
      </c>
      <c r="S12" s="17">
        <f t="shared" ref="S12:AF12" si="4">SUM(C18:C21)</f>
        <v>123</v>
      </c>
      <c r="T12" s="17">
        <f t="shared" si="4"/>
        <v>31</v>
      </c>
      <c r="U12" s="17">
        <f t="shared" si="4"/>
        <v>17</v>
      </c>
      <c r="V12" s="17">
        <f t="shared" si="4"/>
        <v>150</v>
      </c>
      <c r="W12" s="17">
        <f t="shared" si="4"/>
        <v>3</v>
      </c>
      <c r="X12" s="17">
        <f t="shared" si="4"/>
        <v>2</v>
      </c>
      <c r="Y12" s="17">
        <f t="shared" si="4"/>
        <v>5</v>
      </c>
      <c r="Z12" s="17">
        <f t="shared" si="4"/>
        <v>9</v>
      </c>
      <c r="AA12" s="17">
        <f t="shared" si="4"/>
        <v>2</v>
      </c>
      <c r="AB12" s="17">
        <f t="shared" si="4"/>
        <v>3</v>
      </c>
      <c r="AC12" s="17">
        <f t="shared" si="4"/>
        <v>539</v>
      </c>
      <c r="AD12" s="17">
        <f t="shared" si="4"/>
        <v>0</v>
      </c>
      <c r="AE12" s="31">
        <f t="shared" si="4"/>
        <v>345</v>
      </c>
      <c r="AF12" s="31">
        <f t="shared" si="4"/>
        <v>884</v>
      </c>
    </row>
    <row r="13" spans="2:32" ht="23.1" customHeight="1" x14ac:dyDescent="0.25">
      <c r="B13" s="23" t="s">
        <v>40</v>
      </c>
      <c r="C13" s="50">
        <v>19</v>
      </c>
      <c r="D13" s="50">
        <v>9</v>
      </c>
      <c r="E13" s="50">
        <v>3</v>
      </c>
      <c r="F13" s="50">
        <v>26</v>
      </c>
      <c r="G13" s="50">
        <v>1</v>
      </c>
      <c r="H13" s="50">
        <v>0</v>
      </c>
      <c r="I13" s="50">
        <v>2</v>
      </c>
      <c r="J13" s="50">
        <v>0</v>
      </c>
      <c r="K13" s="50">
        <v>0</v>
      </c>
      <c r="L13" s="50">
        <v>0</v>
      </c>
      <c r="M13" s="50">
        <v>106</v>
      </c>
      <c r="N13" s="50">
        <v>0</v>
      </c>
      <c r="O13" s="15">
        <f t="shared" si="0"/>
        <v>60</v>
      </c>
      <c r="P13" s="15">
        <f t="shared" si="1"/>
        <v>166</v>
      </c>
      <c r="R13" s="1" t="s">
        <v>9</v>
      </c>
      <c r="S13" s="17">
        <f t="shared" ref="S13:AF13" si="5">SUM(C22:C25)</f>
        <v>128</v>
      </c>
      <c r="T13" s="17">
        <f t="shared" si="5"/>
        <v>64</v>
      </c>
      <c r="U13" s="17">
        <f t="shared" si="5"/>
        <v>26</v>
      </c>
      <c r="V13" s="17">
        <f t="shared" si="5"/>
        <v>148</v>
      </c>
      <c r="W13" s="17">
        <f t="shared" si="5"/>
        <v>0</v>
      </c>
      <c r="X13" s="17">
        <f t="shared" si="5"/>
        <v>1</v>
      </c>
      <c r="Y13" s="17">
        <f t="shared" si="5"/>
        <v>10</v>
      </c>
      <c r="Z13" s="17">
        <f t="shared" si="5"/>
        <v>5</v>
      </c>
      <c r="AA13" s="17">
        <f t="shared" si="5"/>
        <v>1</v>
      </c>
      <c r="AB13" s="17">
        <f t="shared" si="5"/>
        <v>2</v>
      </c>
      <c r="AC13" s="17">
        <f t="shared" si="5"/>
        <v>579</v>
      </c>
      <c r="AD13" s="17">
        <f t="shared" si="5"/>
        <v>0</v>
      </c>
      <c r="AE13" s="31">
        <f t="shared" si="5"/>
        <v>385</v>
      </c>
      <c r="AF13" s="31">
        <f t="shared" si="5"/>
        <v>964</v>
      </c>
    </row>
    <row r="14" spans="2:32" ht="23.1" customHeight="1" x14ac:dyDescent="0.25">
      <c r="B14" s="23" t="s">
        <v>41</v>
      </c>
      <c r="C14" s="50">
        <v>14</v>
      </c>
      <c r="D14" s="50">
        <v>14</v>
      </c>
      <c r="E14" s="50">
        <v>4</v>
      </c>
      <c r="F14" s="50">
        <v>32</v>
      </c>
      <c r="G14" s="50">
        <v>1</v>
      </c>
      <c r="H14" s="50">
        <v>2</v>
      </c>
      <c r="I14" s="50">
        <v>1</v>
      </c>
      <c r="J14" s="50">
        <v>1</v>
      </c>
      <c r="K14" s="50">
        <v>0</v>
      </c>
      <c r="L14" s="50">
        <v>0</v>
      </c>
      <c r="M14" s="50">
        <v>125</v>
      </c>
      <c r="N14" s="50">
        <v>0</v>
      </c>
      <c r="O14" s="15">
        <f t="shared" si="0"/>
        <v>69</v>
      </c>
      <c r="P14" s="15">
        <f t="shared" si="1"/>
        <v>194</v>
      </c>
      <c r="R14" s="1" t="s">
        <v>10</v>
      </c>
      <c r="S14" s="17">
        <f t="shared" ref="S14:AF14" si="6">SUM(C26:C29)</f>
        <v>194</v>
      </c>
      <c r="T14" s="17">
        <f t="shared" si="6"/>
        <v>46</v>
      </c>
      <c r="U14" s="17">
        <f t="shared" si="6"/>
        <v>34</v>
      </c>
      <c r="V14" s="17">
        <f t="shared" si="6"/>
        <v>145</v>
      </c>
      <c r="W14" s="17">
        <f t="shared" si="6"/>
        <v>3</v>
      </c>
      <c r="X14" s="17">
        <f t="shared" si="6"/>
        <v>3</v>
      </c>
      <c r="Y14" s="17">
        <f t="shared" si="6"/>
        <v>14</v>
      </c>
      <c r="Z14" s="17">
        <f t="shared" si="6"/>
        <v>10</v>
      </c>
      <c r="AA14" s="17">
        <f t="shared" si="6"/>
        <v>0</v>
      </c>
      <c r="AB14" s="17">
        <f t="shared" si="6"/>
        <v>1</v>
      </c>
      <c r="AC14" s="17">
        <f t="shared" si="6"/>
        <v>505</v>
      </c>
      <c r="AD14" s="17">
        <f t="shared" si="6"/>
        <v>0</v>
      </c>
      <c r="AE14" s="31">
        <f t="shared" si="6"/>
        <v>450</v>
      </c>
      <c r="AF14" s="31">
        <f t="shared" si="6"/>
        <v>955</v>
      </c>
    </row>
    <row r="15" spans="2:32" ht="23.1" customHeight="1" x14ac:dyDescent="0.25">
      <c r="B15" s="23" t="s">
        <v>42</v>
      </c>
      <c r="C15" s="50">
        <v>20</v>
      </c>
      <c r="D15" s="50">
        <v>3</v>
      </c>
      <c r="E15" s="50">
        <v>4</v>
      </c>
      <c r="F15" s="50">
        <v>26</v>
      </c>
      <c r="G15" s="50">
        <v>0</v>
      </c>
      <c r="H15" s="50">
        <v>0</v>
      </c>
      <c r="I15" s="50">
        <v>2</v>
      </c>
      <c r="J15" s="50">
        <v>1</v>
      </c>
      <c r="K15" s="50">
        <v>0</v>
      </c>
      <c r="L15" s="50">
        <v>0</v>
      </c>
      <c r="M15" s="50">
        <v>113</v>
      </c>
      <c r="N15" s="50">
        <v>0</v>
      </c>
      <c r="O15" s="15">
        <f t="shared" si="0"/>
        <v>56</v>
      </c>
      <c r="P15" s="15">
        <f t="shared" si="1"/>
        <v>169</v>
      </c>
      <c r="R15" s="1" t="s">
        <v>11</v>
      </c>
      <c r="S15" s="17">
        <f t="shared" ref="S15:AF15" si="7">SUM(C30:C33)</f>
        <v>203</v>
      </c>
      <c r="T15" s="17">
        <f t="shared" si="7"/>
        <v>68</v>
      </c>
      <c r="U15" s="17">
        <f t="shared" si="7"/>
        <v>26</v>
      </c>
      <c r="V15" s="17">
        <f t="shared" si="7"/>
        <v>184</v>
      </c>
      <c r="W15" s="17">
        <f t="shared" si="7"/>
        <v>1</v>
      </c>
      <c r="X15" s="17">
        <f t="shared" si="7"/>
        <v>3</v>
      </c>
      <c r="Y15" s="17">
        <f t="shared" si="7"/>
        <v>17</v>
      </c>
      <c r="Z15" s="17">
        <f t="shared" si="7"/>
        <v>12</v>
      </c>
      <c r="AA15" s="17">
        <f t="shared" si="7"/>
        <v>1</v>
      </c>
      <c r="AB15" s="17">
        <f t="shared" si="7"/>
        <v>2</v>
      </c>
      <c r="AC15" s="17">
        <f t="shared" si="7"/>
        <v>550</v>
      </c>
      <c r="AD15" s="17">
        <f t="shared" si="7"/>
        <v>0</v>
      </c>
      <c r="AE15" s="31">
        <f t="shared" si="7"/>
        <v>517</v>
      </c>
      <c r="AF15" s="31">
        <f t="shared" si="7"/>
        <v>1067</v>
      </c>
    </row>
    <row r="16" spans="2:32" ht="23.1" customHeight="1" x14ac:dyDescent="0.25">
      <c r="B16" s="23" t="s">
        <v>43</v>
      </c>
      <c r="C16" s="50">
        <v>17</v>
      </c>
      <c r="D16" s="50">
        <v>10</v>
      </c>
      <c r="E16" s="50">
        <v>2</v>
      </c>
      <c r="F16" s="50">
        <v>34</v>
      </c>
      <c r="G16" s="50">
        <v>1</v>
      </c>
      <c r="H16" s="50">
        <v>0</v>
      </c>
      <c r="I16" s="50">
        <v>2</v>
      </c>
      <c r="J16" s="50">
        <v>4</v>
      </c>
      <c r="K16" s="50">
        <v>0</v>
      </c>
      <c r="L16" s="50">
        <v>0</v>
      </c>
      <c r="M16" s="50">
        <v>119</v>
      </c>
      <c r="N16" s="50">
        <v>0</v>
      </c>
      <c r="O16" s="15">
        <f t="shared" si="0"/>
        <v>70</v>
      </c>
      <c r="P16" s="15">
        <f t="shared" si="1"/>
        <v>189</v>
      </c>
      <c r="R16" s="1" t="s">
        <v>12</v>
      </c>
      <c r="S16" s="17">
        <f t="shared" ref="S16:AF16" si="8">SUM(C34:C37)</f>
        <v>182</v>
      </c>
      <c r="T16" s="17">
        <f t="shared" si="8"/>
        <v>71</v>
      </c>
      <c r="U16" s="17">
        <f t="shared" si="8"/>
        <v>79</v>
      </c>
      <c r="V16" s="17">
        <f t="shared" si="8"/>
        <v>140</v>
      </c>
      <c r="W16" s="17">
        <f t="shared" si="8"/>
        <v>3</v>
      </c>
      <c r="X16" s="17">
        <f t="shared" si="8"/>
        <v>2</v>
      </c>
      <c r="Y16" s="17">
        <f t="shared" si="8"/>
        <v>6</v>
      </c>
      <c r="Z16" s="17">
        <f t="shared" si="8"/>
        <v>5</v>
      </c>
      <c r="AA16" s="17">
        <f t="shared" si="8"/>
        <v>4</v>
      </c>
      <c r="AB16" s="17">
        <f t="shared" si="8"/>
        <v>1</v>
      </c>
      <c r="AC16" s="17">
        <f t="shared" si="8"/>
        <v>400</v>
      </c>
      <c r="AD16" s="17">
        <f t="shared" si="8"/>
        <v>0</v>
      </c>
      <c r="AE16" s="31">
        <f t="shared" si="8"/>
        <v>493</v>
      </c>
      <c r="AF16" s="31">
        <f t="shared" si="8"/>
        <v>893</v>
      </c>
    </row>
    <row r="17" spans="2:32" ht="23.1" customHeight="1" x14ac:dyDescent="0.25">
      <c r="B17" s="23" t="s">
        <v>44</v>
      </c>
      <c r="C17" s="50">
        <v>29</v>
      </c>
      <c r="D17" s="50">
        <v>8</v>
      </c>
      <c r="E17" s="50">
        <v>1</v>
      </c>
      <c r="F17" s="50">
        <v>30</v>
      </c>
      <c r="G17" s="50">
        <v>0</v>
      </c>
      <c r="H17" s="50">
        <v>2</v>
      </c>
      <c r="I17" s="50">
        <v>4</v>
      </c>
      <c r="J17" s="50">
        <v>1</v>
      </c>
      <c r="K17" s="50">
        <v>0</v>
      </c>
      <c r="L17" s="50">
        <v>0</v>
      </c>
      <c r="M17" s="50">
        <v>110</v>
      </c>
      <c r="N17" s="50">
        <v>0</v>
      </c>
      <c r="O17" s="15">
        <f t="shared" si="0"/>
        <v>75</v>
      </c>
      <c r="P17" s="15">
        <f t="shared" si="1"/>
        <v>185</v>
      </c>
      <c r="R17" s="1" t="s">
        <v>13</v>
      </c>
      <c r="S17" s="17">
        <f t="shared" ref="S17:AF17" si="9">SUM(C38:C41)</f>
        <v>205</v>
      </c>
      <c r="T17" s="17">
        <f t="shared" si="9"/>
        <v>88</v>
      </c>
      <c r="U17" s="17">
        <f t="shared" si="9"/>
        <v>22</v>
      </c>
      <c r="V17" s="17">
        <f t="shared" si="9"/>
        <v>187</v>
      </c>
      <c r="W17" s="17">
        <f t="shared" si="9"/>
        <v>47</v>
      </c>
      <c r="X17" s="17">
        <f t="shared" si="9"/>
        <v>6</v>
      </c>
      <c r="Y17" s="17">
        <f t="shared" si="9"/>
        <v>8</v>
      </c>
      <c r="Z17" s="17">
        <f t="shared" si="9"/>
        <v>7</v>
      </c>
      <c r="AA17" s="17">
        <f t="shared" si="9"/>
        <v>4</v>
      </c>
      <c r="AB17" s="17">
        <f t="shared" si="9"/>
        <v>4</v>
      </c>
      <c r="AC17" s="17">
        <f t="shared" si="9"/>
        <v>450</v>
      </c>
      <c r="AD17" s="17">
        <f t="shared" si="9"/>
        <v>0</v>
      </c>
      <c r="AE17" s="31">
        <f t="shared" si="9"/>
        <v>578</v>
      </c>
      <c r="AF17" s="31">
        <f t="shared" si="9"/>
        <v>1028</v>
      </c>
    </row>
    <row r="18" spans="2:32" ht="23.1" customHeight="1" x14ac:dyDescent="0.25">
      <c r="B18" s="23" t="s">
        <v>45</v>
      </c>
      <c r="C18" s="50">
        <v>42</v>
      </c>
      <c r="D18" s="50">
        <v>5</v>
      </c>
      <c r="E18" s="50">
        <v>4</v>
      </c>
      <c r="F18" s="50">
        <v>37</v>
      </c>
      <c r="G18" s="50">
        <v>2</v>
      </c>
      <c r="H18" s="50">
        <v>1</v>
      </c>
      <c r="I18" s="50">
        <v>3</v>
      </c>
      <c r="J18" s="50">
        <v>2</v>
      </c>
      <c r="K18" s="50">
        <v>0</v>
      </c>
      <c r="L18" s="50">
        <v>3</v>
      </c>
      <c r="M18" s="50">
        <v>146</v>
      </c>
      <c r="N18" s="50">
        <v>0</v>
      </c>
      <c r="O18" s="15">
        <f t="shared" si="0"/>
        <v>99</v>
      </c>
      <c r="P18" s="15">
        <f t="shared" si="1"/>
        <v>245</v>
      </c>
      <c r="R18" s="1" t="s">
        <v>14</v>
      </c>
      <c r="S18" s="17">
        <f t="shared" ref="S18:AF18" si="10">SUM(C42:C45)</f>
        <v>207</v>
      </c>
      <c r="T18" s="17">
        <f t="shared" si="10"/>
        <v>56</v>
      </c>
      <c r="U18" s="17">
        <f t="shared" si="10"/>
        <v>28</v>
      </c>
      <c r="V18" s="17">
        <f t="shared" si="10"/>
        <v>135</v>
      </c>
      <c r="W18" s="17">
        <f t="shared" si="10"/>
        <v>0</v>
      </c>
      <c r="X18" s="17">
        <f t="shared" si="10"/>
        <v>1</v>
      </c>
      <c r="Y18" s="17">
        <f t="shared" si="10"/>
        <v>8</v>
      </c>
      <c r="Z18" s="17">
        <f t="shared" si="10"/>
        <v>11</v>
      </c>
      <c r="AA18" s="17">
        <f t="shared" si="10"/>
        <v>0</v>
      </c>
      <c r="AB18" s="17">
        <f t="shared" si="10"/>
        <v>2</v>
      </c>
      <c r="AC18" s="17">
        <f t="shared" si="10"/>
        <v>330</v>
      </c>
      <c r="AD18" s="17">
        <f t="shared" si="10"/>
        <v>0</v>
      </c>
      <c r="AE18" s="31">
        <f t="shared" si="10"/>
        <v>448</v>
      </c>
      <c r="AF18" s="31">
        <f t="shared" si="10"/>
        <v>778</v>
      </c>
    </row>
    <row r="19" spans="2:32" ht="23.1" customHeight="1" x14ac:dyDescent="0.25">
      <c r="B19" s="23" t="s">
        <v>46</v>
      </c>
      <c r="C19" s="50">
        <v>22</v>
      </c>
      <c r="D19" s="50">
        <v>8</v>
      </c>
      <c r="E19" s="50">
        <v>2</v>
      </c>
      <c r="F19" s="50">
        <v>27</v>
      </c>
      <c r="G19" s="50">
        <v>0</v>
      </c>
      <c r="H19" s="50">
        <v>1</v>
      </c>
      <c r="I19" s="50">
        <v>0</v>
      </c>
      <c r="J19" s="50">
        <v>2</v>
      </c>
      <c r="K19" s="50">
        <v>0</v>
      </c>
      <c r="L19" s="50">
        <v>0</v>
      </c>
      <c r="M19" s="50">
        <v>130</v>
      </c>
      <c r="N19" s="50">
        <v>0</v>
      </c>
      <c r="O19" s="15">
        <f t="shared" si="0"/>
        <v>62</v>
      </c>
      <c r="P19" s="15">
        <f t="shared" si="1"/>
        <v>192</v>
      </c>
      <c r="R19" s="1" t="s">
        <v>15</v>
      </c>
      <c r="S19" s="17">
        <f t="shared" ref="S19:AF19" si="11">SUM(C46:C49)</f>
        <v>169</v>
      </c>
      <c r="T19" s="17">
        <f t="shared" si="11"/>
        <v>54</v>
      </c>
      <c r="U19" s="17">
        <f t="shared" si="11"/>
        <v>25</v>
      </c>
      <c r="V19" s="17">
        <f t="shared" si="11"/>
        <v>181</v>
      </c>
      <c r="W19" s="17">
        <f t="shared" si="11"/>
        <v>0</v>
      </c>
      <c r="X19" s="17">
        <f t="shared" si="11"/>
        <v>3</v>
      </c>
      <c r="Y19" s="17">
        <f t="shared" si="11"/>
        <v>11</v>
      </c>
      <c r="Z19" s="17">
        <f t="shared" si="11"/>
        <v>9</v>
      </c>
      <c r="AA19" s="17">
        <f t="shared" si="11"/>
        <v>1</v>
      </c>
      <c r="AB19" s="17">
        <f t="shared" si="11"/>
        <v>1</v>
      </c>
      <c r="AC19" s="17">
        <f t="shared" si="11"/>
        <v>366</v>
      </c>
      <c r="AD19" s="17">
        <f t="shared" si="11"/>
        <v>0</v>
      </c>
      <c r="AE19" s="31">
        <f t="shared" si="11"/>
        <v>454</v>
      </c>
      <c r="AF19" s="31">
        <f t="shared" si="11"/>
        <v>820</v>
      </c>
    </row>
    <row r="20" spans="2:32" ht="23.1" customHeight="1" x14ac:dyDescent="0.25">
      <c r="B20" s="23" t="s">
        <v>47</v>
      </c>
      <c r="C20" s="50">
        <v>30</v>
      </c>
      <c r="D20" s="50">
        <v>10</v>
      </c>
      <c r="E20" s="50">
        <v>6</v>
      </c>
      <c r="F20" s="50">
        <v>42</v>
      </c>
      <c r="G20" s="50">
        <v>0</v>
      </c>
      <c r="H20" s="50">
        <v>0</v>
      </c>
      <c r="I20" s="50">
        <v>0</v>
      </c>
      <c r="J20" s="50">
        <v>2</v>
      </c>
      <c r="K20" s="50">
        <v>2</v>
      </c>
      <c r="L20" s="50">
        <v>0</v>
      </c>
      <c r="M20" s="50">
        <v>142</v>
      </c>
      <c r="N20" s="50">
        <v>0</v>
      </c>
      <c r="O20" s="15">
        <f t="shared" si="0"/>
        <v>92</v>
      </c>
      <c r="P20" s="15">
        <f t="shared" si="1"/>
        <v>234</v>
      </c>
      <c r="R20" s="1" t="s">
        <v>16</v>
      </c>
      <c r="S20" s="17">
        <f t="shared" ref="S20:AF20" si="12">SUM(C50:C53)</f>
        <v>157</v>
      </c>
      <c r="T20" s="17">
        <f t="shared" si="12"/>
        <v>56</v>
      </c>
      <c r="U20" s="17">
        <f t="shared" si="12"/>
        <v>26</v>
      </c>
      <c r="V20" s="17">
        <f t="shared" si="12"/>
        <v>165</v>
      </c>
      <c r="W20" s="17">
        <f t="shared" si="12"/>
        <v>0</v>
      </c>
      <c r="X20" s="17">
        <f t="shared" si="12"/>
        <v>1</v>
      </c>
      <c r="Y20" s="17">
        <f t="shared" si="12"/>
        <v>10</v>
      </c>
      <c r="Z20" s="17">
        <f t="shared" si="12"/>
        <v>7</v>
      </c>
      <c r="AA20" s="17">
        <f t="shared" si="12"/>
        <v>0</v>
      </c>
      <c r="AB20" s="17">
        <f t="shared" si="12"/>
        <v>0</v>
      </c>
      <c r="AC20" s="17">
        <f t="shared" si="12"/>
        <v>342</v>
      </c>
      <c r="AD20" s="17">
        <f t="shared" si="12"/>
        <v>0</v>
      </c>
      <c r="AE20" s="31">
        <f t="shared" si="12"/>
        <v>422</v>
      </c>
      <c r="AF20" s="31">
        <f t="shared" si="12"/>
        <v>764</v>
      </c>
    </row>
    <row r="21" spans="2:32" ht="23.1" customHeight="1" x14ac:dyDescent="0.25">
      <c r="B21" s="23" t="s">
        <v>48</v>
      </c>
      <c r="C21" s="50">
        <v>29</v>
      </c>
      <c r="D21" s="50">
        <v>8</v>
      </c>
      <c r="E21" s="50">
        <v>5</v>
      </c>
      <c r="F21" s="50">
        <v>44</v>
      </c>
      <c r="G21" s="50">
        <v>1</v>
      </c>
      <c r="H21" s="50">
        <v>0</v>
      </c>
      <c r="I21" s="50">
        <v>2</v>
      </c>
      <c r="J21" s="50">
        <v>3</v>
      </c>
      <c r="K21" s="50">
        <v>0</v>
      </c>
      <c r="L21" s="50">
        <v>0</v>
      </c>
      <c r="M21" s="50">
        <v>121</v>
      </c>
      <c r="N21" s="50">
        <v>0</v>
      </c>
      <c r="O21" s="15">
        <f t="shared" si="0"/>
        <v>92</v>
      </c>
      <c r="P21" s="15">
        <f t="shared" si="1"/>
        <v>213</v>
      </c>
      <c r="R21" s="36" t="s">
        <v>20</v>
      </c>
      <c r="S21" s="34">
        <f t="shared" ref="S21:AF21" si="13">SUM(C54:C57)</f>
        <v>165</v>
      </c>
      <c r="T21" s="17">
        <f t="shared" si="13"/>
        <v>46</v>
      </c>
      <c r="U21" s="17">
        <f t="shared" si="13"/>
        <v>17</v>
      </c>
      <c r="V21" s="17">
        <f t="shared" si="13"/>
        <v>142</v>
      </c>
      <c r="W21" s="17">
        <f t="shared" si="13"/>
        <v>3</v>
      </c>
      <c r="X21" s="17">
        <f t="shared" si="13"/>
        <v>2</v>
      </c>
      <c r="Y21" s="17">
        <f t="shared" si="13"/>
        <v>10</v>
      </c>
      <c r="Z21" s="17">
        <f t="shared" si="13"/>
        <v>4</v>
      </c>
      <c r="AA21" s="17">
        <f t="shared" si="13"/>
        <v>0</v>
      </c>
      <c r="AB21" s="17">
        <f t="shared" si="13"/>
        <v>1</v>
      </c>
      <c r="AC21" s="17">
        <f t="shared" si="13"/>
        <v>462</v>
      </c>
      <c r="AD21" s="17">
        <f t="shared" si="13"/>
        <v>0</v>
      </c>
      <c r="AE21" s="31">
        <f t="shared" si="13"/>
        <v>390</v>
      </c>
      <c r="AF21" s="31">
        <f t="shared" si="13"/>
        <v>852</v>
      </c>
    </row>
    <row r="22" spans="2:32" ht="23.1" customHeight="1" x14ac:dyDescent="0.25">
      <c r="B22" s="23" t="s">
        <v>49</v>
      </c>
      <c r="C22" s="50">
        <v>27</v>
      </c>
      <c r="D22" s="50">
        <v>12</v>
      </c>
      <c r="E22" s="50">
        <v>8</v>
      </c>
      <c r="F22" s="50">
        <v>31</v>
      </c>
      <c r="G22" s="50">
        <v>0</v>
      </c>
      <c r="H22" s="50">
        <v>0</v>
      </c>
      <c r="I22" s="50">
        <v>3</v>
      </c>
      <c r="J22" s="50">
        <v>2</v>
      </c>
      <c r="K22" s="50">
        <v>1</v>
      </c>
      <c r="L22" s="50">
        <v>1</v>
      </c>
      <c r="M22" s="50">
        <v>175</v>
      </c>
      <c r="N22" s="50">
        <v>0</v>
      </c>
      <c r="O22" s="15">
        <f t="shared" si="0"/>
        <v>85</v>
      </c>
      <c r="P22" s="15">
        <f t="shared" si="1"/>
        <v>260</v>
      </c>
      <c r="R22" s="38" t="s">
        <v>90</v>
      </c>
      <c r="S22" s="39">
        <f>MAX(S10:S12)</f>
        <v>123</v>
      </c>
      <c r="T22" s="39">
        <f t="shared" ref="T22:AF22" si="14">MAX(T10:T12)</f>
        <v>35</v>
      </c>
      <c r="U22" s="39">
        <f t="shared" si="14"/>
        <v>17</v>
      </c>
      <c r="V22" s="39">
        <f t="shared" si="14"/>
        <v>150</v>
      </c>
      <c r="W22" s="39">
        <f t="shared" si="14"/>
        <v>9</v>
      </c>
      <c r="X22" s="39">
        <f t="shared" si="14"/>
        <v>4</v>
      </c>
      <c r="Y22" s="39">
        <f t="shared" si="14"/>
        <v>9</v>
      </c>
      <c r="Z22" s="39">
        <f t="shared" si="14"/>
        <v>9</v>
      </c>
      <c r="AA22" s="39">
        <f t="shared" si="14"/>
        <v>4</v>
      </c>
      <c r="AB22" s="39">
        <f t="shared" si="14"/>
        <v>3</v>
      </c>
      <c r="AC22" s="39">
        <f t="shared" si="14"/>
        <v>539</v>
      </c>
      <c r="AD22" s="39">
        <f t="shared" si="14"/>
        <v>0</v>
      </c>
      <c r="AE22" s="40">
        <f t="shared" si="14"/>
        <v>345</v>
      </c>
      <c r="AF22" s="40">
        <f t="shared" si="14"/>
        <v>884</v>
      </c>
    </row>
    <row r="23" spans="2:32" ht="23.1" customHeight="1" x14ac:dyDescent="0.25">
      <c r="B23" s="23" t="s">
        <v>50</v>
      </c>
      <c r="C23" s="50">
        <v>41</v>
      </c>
      <c r="D23" s="50">
        <v>20</v>
      </c>
      <c r="E23" s="50">
        <v>12</v>
      </c>
      <c r="F23" s="50">
        <v>52</v>
      </c>
      <c r="G23" s="50">
        <v>0</v>
      </c>
      <c r="H23" s="50">
        <v>0</v>
      </c>
      <c r="I23" s="50">
        <v>2</v>
      </c>
      <c r="J23" s="50">
        <v>1</v>
      </c>
      <c r="K23" s="50">
        <v>0</v>
      </c>
      <c r="L23" s="50">
        <v>1</v>
      </c>
      <c r="M23" s="50">
        <v>148</v>
      </c>
      <c r="N23" s="50">
        <v>0</v>
      </c>
      <c r="O23" s="15">
        <f t="shared" si="0"/>
        <v>129</v>
      </c>
      <c r="P23" s="15">
        <f t="shared" si="1"/>
        <v>277</v>
      </c>
      <c r="R23" s="38" t="s">
        <v>91</v>
      </c>
      <c r="S23" s="39">
        <f>MAX(S13:S18)</f>
        <v>207</v>
      </c>
      <c r="T23" s="39">
        <f t="shared" ref="T23:AF23" si="15">MAX(T13:T18)</f>
        <v>88</v>
      </c>
      <c r="U23" s="39">
        <f t="shared" si="15"/>
        <v>79</v>
      </c>
      <c r="V23" s="39">
        <f t="shared" si="15"/>
        <v>187</v>
      </c>
      <c r="W23" s="39">
        <f t="shared" si="15"/>
        <v>47</v>
      </c>
      <c r="X23" s="39">
        <f t="shared" si="15"/>
        <v>6</v>
      </c>
      <c r="Y23" s="39">
        <f t="shared" si="15"/>
        <v>17</v>
      </c>
      <c r="Z23" s="39">
        <f t="shared" si="15"/>
        <v>12</v>
      </c>
      <c r="AA23" s="39">
        <f t="shared" si="15"/>
        <v>4</v>
      </c>
      <c r="AB23" s="39">
        <f t="shared" si="15"/>
        <v>4</v>
      </c>
      <c r="AC23" s="39">
        <f t="shared" si="15"/>
        <v>579</v>
      </c>
      <c r="AD23" s="39">
        <f t="shared" si="15"/>
        <v>0</v>
      </c>
      <c r="AE23" s="40">
        <f t="shared" si="15"/>
        <v>578</v>
      </c>
      <c r="AF23" s="40">
        <f t="shared" si="15"/>
        <v>1067</v>
      </c>
    </row>
    <row r="24" spans="2:32" ht="23.1" customHeight="1" x14ac:dyDescent="0.25">
      <c r="B24" s="23" t="s">
        <v>51</v>
      </c>
      <c r="C24" s="50">
        <v>23</v>
      </c>
      <c r="D24" s="50">
        <v>17</v>
      </c>
      <c r="E24" s="50">
        <v>4</v>
      </c>
      <c r="F24" s="50">
        <v>33</v>
      </c>
      <c r="G24" s="50">
        <v>0</v>
      </c>
      <c r="H24" s="50">
        <v>1</v>
      </c>
      <c r="I24" s="50">
        <v>2</v>
      </c>
      <c r="J24" s="50">
        <v>1</v>
      </c>
      <c r="K24" s="50">
        <v>0</v>
      </c>
      <c r="L24" s="50">
        <v>0</v>
      </c>
      <c r="M24" s="50">
        <v>146</v>
      </c>
      <c r="N24" s="50">
        <v>0</v>
      </c>
      <c r="O24" s="15">
        <f t="shared" si="0"/>
        <v>81</v>
      </c>
      <c r="P24" s="15">
        <f t="shared" si="1"/>
        <v>227</v>
      </c>
      <c r="R24" s="38" t="s">
        <v>92</v>
      </c>
      <c r="S24" s="39">
        <f>MAX(S19:S21)</f>
        <v>169</v>
      </c>
      <c r="T24" s="39">
        <f t="shared" ref="T24:AF24" si="16">MAX(T19:T21)</f>
        <v>56</v>
      </c>
      <c r="U24" s="39">
        <f t="shared" si="16"/>
        <v>26</v>
      </c>
      <c r="V24" s="39">
        <f t="shared" si="16"/>
        <v>181</v>
      </c>
      <c r="W24" s="39">
        <f t="shared" si="16"/>
        <v>3</v>
      </c>
      <c r="X24" s="39">
        <f t="shared" si="16"/>
        <v>3</v>
      </c>
      <c r="Y24" s="39">
        <f t="shared" si="16"/>
        <v>11</v>
      </c>
      <c r="Z24" s="39">
        <f t="shared" si="16"/>
        <v>9</v>
      </c>
      <c r="AA24" s="39">
        <f t="shared" si="16"/>
        <v>1</v>
      </c>
      <c r="AB24" s="39">
        <f t="shared" si="16"/>
        <v>1</v>
      </c>
      <c r="AC24" s="39">
        <f t="shared" si="16"/>
        <v>462</v>
      </c>
      <c r="AD24" s="39">
        <f t="shared" si="16"/>
        <v>0</v>
      </c>
      <c r="AE24" s="40">
        <f t="shared" si="16"/>
        <v>454</v>
      </c>
      <c r="AF24" s="40">
        <f t="shared" si="16"/>
        <v>852</v>
      </c>
    </row>
    <row r="25" spans="2:32" ht="23.1" customHeight="1" x14ac:dyDescent="0.25">
      <c r="B25" s="23" t="s">
        <v>52</v>
      </c>
      <c r="C25" s="50">
        <v>37</v>
      </c>
      <c r="D25" s="50">
        <v>15</v>
      </c>
      <c r="E25" s="50">
        <v>2</v>
      </c>
      <c r="F25" s="50">
        <v>32</v>
      </c>
      <c r="G25" s="50">
        <v>0</v>
      </c>
      <c r="H25" s="50">
        <v>0</v>
      </c>
      <c r="I25" s="50">
        <v>3</v>
      </c>
      <c r="J25" s="50">
        <v>1</v>
      </c>
      <c r="K25" s="50">
        <v>0</v>
      </c>
      <c r="L25" s="50">
        <v>0</v>
      </c>
      <c r="M25" s="50">
        <v>110</v>
      </c>
      <c r="N25" s="50">
        <v>0</v>
      </c>
      <c r="O25" s="15">
        <f t="shared" si="0"/>
        <v>90</v>
      </c>
      <c r="P25" s="15">
        <f t="shared" si="1"/>
        <v>200</v>
      </c>
      <c r="R25" s="37" t="s">
        <v>85</v>
      </c>
      <c r="S25" s="35">
        <f t="shared" ref="S25:AF25" si="17">SUM(S10:S12)</f>
        <v>288</v>
      </c>
      <c r="T25" s="16">
        <f t="shared" si="17"/>
        <v>93</v>
      </c>
      <c r="U25" s="16">
        <f t="shared" si="17"/>
        <v>38</v>
      </c>
      <c r="V25" s="16">
        <f t="shared" si="17"/>
        <v>386</v>
      </c>
      <c r="W25" s="16">
        <f t="shared" si="17"/>
        <v>14</v>
      </c>
      <c r="X25" s="16">
        <f t="shared" si="17"/>
        <v>9</v>
      </c>
      <c r="Y25" s="16">
        <f t="shared" si="17"/>
        <v>21</v>
      </c>
      <c r="Z25" s="16">
        <f t="shared" si="17"/>
        <v>21</v>
      </c>
      <c r="AA25" s="16">
        <f t="shared" si="17"/>
        <v>6</v>
      </c>
      <c r="AB25" s="16">
        <f t="shared" si="17"/>
        <v>5</v>
      </c>
      <c r="AC25" s="16">
        <f t="shared" si="17"/>
        <v>1336</v>
      </c>
      <c r="AD25" s="16">
        <f t="shared" si="17"/>
        <v>0</v>
      </c>
      <c r="AE25" s="32">
        <f t="shared" si="17"/>
        <v>881</v>
      </c>
      <c r="AF25" s="32">
        <f t="shared" si="17"/>
        <v>2217</v>
      </c>
    </row>
    <row r="26" spans="2:32" ht="23.1" customHeight="1" x14ac:dyDescent="0.25">
      <c r="B26" s="23" t="s">
        <v>53</v>
      </c>
      <c r="C26" s="50">
        <v>38</v>
      </c>
      <c r="D26" s="50">
        <v>10</v>
      </c>
      <c r="E26" s="50">
        <v>7</v>
      </c>
      <c r="F26" s="50">
        <v>50</v>
      </c>
      <c r="G26" s="50">
        <v>0</v>
      </c>
      <c r="H26" s="50">
        <v>0</v>
      </c>
      <c r="I26" s="50">
        <v>7</v>
      </c>
      <c r="J26" s="50">
        <v>4</v>
      </c>
      <c r="K26" s="50">
        <v>0</v>
      </c>
      <c r="L26" s="50">
        <v>1</v>
      </c>
      <c r="M26" s="50">
        <v>130</v>
      </c>
      <c r="N26" s="50">
        <v>0</v>
      </c>
      <c r="O26" s="15">
        <f t="shared" si="0"/>
        <v>117</v>
      </c>
      <c r="P26" s="15">
        <f t="shared" si="1"/>
        <v>247</v>
      </c>
      <c r="R26" s="28" t="s">
        <v>86</v>
      </c>
      <c r="S26" s="16">
        <f t="shared" ref="S26:AF26" si="18">SUM(S13:S18)</f>
        <v>1119</v>
      </c>
      <c r="T26" s="16">
        <f t="shared" si="18"/>
        <v>393</v>
      </c>
      <c r="U26" s="16">
        <f t="shared" si="18"/>
        <v>215</v>
      </c>
      <c r="V26" s="16">
        <f t="shared" si="18"/>
        <v>939</v>
      </c>
      <c r="W26" s="16">
        <f t="shared" si="18"/>
        <v>54</v>
      </c>
      <c r="X26" s="16">
        <f t="shared" si="18"/>
        <v>16</v>
      </c>
      <c r="Y26" s="16">
        <f t="shared" si="18"/>
        <v>63</v>
      </c>
      <c r="Z26" s="16">
        <f t="shared" si="18"/>
        <v>50</v>
      </c>
      <c r="AA26" s="16">
        <f t="shared" si="18"/>
        <v>10</v>
      </c>
      <c r="AB26" s="16">
        <f t="shared" si="18"/>
        <v>12</v>
      </c>
      <c r="AC26" s="16">
        <f t="shared" si="18"/>
        <v>2814</v>
      </c>
      <c r="AD26" s="16">
        <f t="shared" si="18"/>
        <v>0</v>
      </c>
      <c r="AE26" s="32">
        <f t="shared" si="18"/>
        <v>2871</v>
      </c>
      <c r="AF26" s="32">
        <f t="shared" si="18"/>
        <v>5685</v>
      </c>
    </row>
    <row r="27" spans="2:32" ht="23.1" customHeight="1" x14ac:dyDescent="0.25">
      <c r="B27" s="23" t="s">
        <v>54</v>
      </c>
      <c r="C27" s="50">
        <v>46</v>
      </c>
      <c r="D27" s="50">
        <v>13</v>
      </c>
      <c r="E27" s="50">
        <v>8</v>
      </c>
      <c r="F27" s="50">
        <v>20</v>
      </c>
      <c r="G27" s="50">
        <v>1</v>
      </c>
      <c r="H27" s="50">
        <v>0</v>
      </c>
      <c r="I27" s="50">
        <v>3</v>
      </c>
      <c r="J27" s="50">
        <v>1</v>
      </c>
      <c r="K27" s="50">
        <v>0</v>
      </c>
      <c r="L27" s="50">
        <v>0</v>
      </c>
      <c r="M27" s="50">
        <v>165</v>
      </c>
      <c r="N27" s="50">
        <v>0</v>
      </c>
      <c r="O27" s="15">
        <f t="shared" si="0"/>
        <v>92</v>
      </c>
      <c r="P27" s="15">
        <f t="shared" si="1"/>
        <v>257</v>
      </c>
      <c r="R27" s="29" t="s">
        <v>87</v>
      </c>
      <c r="S27" s="16">
        <f t="shared" ref="S27:AF27" si="19">SUM(S19:S21)</f>
        <v>491</v>
      </c>
      <c r="T27" s="16">
        <f t="shared" si="19"/>
        <v>156</v>
      </c>
      <c r="U27" s="16">
        <f t="shared" si="19"/>
        <v>68</v>
      </c>
      <c r="V27" s="16">
        <f t="shared" si="19"/>
        <v>488</v>
      </c>
      <c r="W27" s="16">
        <f t="shared" si="19"/>
        <v>3</v>
      </c>
      <c r="X27" s="16">
        <f t="shared" si="19"/>
        <v>6</v>
      </c>
      <c r="Y27" s="16">
        <f t="shared" si="19"/>
        <v>31</v>
      </c>
      <c r="Z27" s="16">
        <f t="shared" si="19"/>
        <v>20</v>
      </c>
      <c r="AA27" s="16">
        <f t="shared" si="19"/>
        <v>1</v>
      </c>
      <c r="AB27" s="16">
        <f t="shared" si="19"/>
        <v>2</v>
      </c>
      <c r="AC27" s="16">
        <f t="shared" si="19"/>
        <v>1170</v>
      </c>
      <c r="AD27" s="16">
        <f t="shared" si="19"/>
        <v>0</v>
      </c>
      <c r="AE27" s="32">
        <f t="shared" si="19"/>
        <v>1266</v>
      </c>
      <c r="AF27" s="32">
        <f t="shared" si="19"/>
        <v>2436</v>
      </c>
    </row>
    <row r="28" spans="2:32" ht="23.1" customHeight="1" x14ac:dyDescent="0.25">
      <c r="B28" s="23" t="s">
        <v>55</v>
      </c>
      <c r="C28" s="50">
        <v>43</v>
      </c>
      <c r="D28" s="50">
        <v>11</v>
      </c>
      <c r="E28" s="50">
        <v>9</v>
      </c>
      <c r="F28" s="50">
        <v>35</v>
      </c>
      <c r="G28" s="50">
        <v>1</v>
      </c>
      <c r="H28" s="50">
        <v>2</v>
      </c>
      <c r="I28" s="50">
        <v>1</v>
      </c>
      <c r="J28" s="50">
        <v>0</v>
      </c>
      <c r="K28" s="50">
        <v>0</v>
      </c>
      <c r="L28" s="50">
        <v>0</v>
      </c>
      <c r="M28" s="50">
        <v>105</v>
      </c>
      <c r="N28" s="50">
        <v>0</v>
      </c>
      <c r="O28" s="15">
        <f t="shared" si="0"/>
        <v>102</v>
      </c>
      <c r="P28" s="15">
        <f t="shared" si="1"/>
        <v>207</v>
      </c>
      <c r="R28" s="5" t="s">
        <v>17</v>
      </c>
      <c r="S28" s="16">
        <f t="shared" ref="S28:AF28" si="20">SUM(S10:S21)</f>
        <v>1898</v>
      </c>
      <c r="T28" s="16">
        <f t="shared" si="20"/>
        <v>642</v>
      </c>
      <c r="U28" s="16">
        <f t="shared" si="20"/>
        <v>321</v>
      </c>
      <c r="V28" s="16">
        <f t="shared" si="20"/>
        <v>1813</v>
      </c>
      <c r="W28" s="16">
        <f t="shared" si="20"/>
        <v>71</v>
      </c>
      <c r="X28" s="16">
        <f t="shared" si="20"/>
        <v>31</v>
      </c>
      <c r="Y28" s="16">
        <f t="shared" si="20"/>
        <v>115</v>
      </c>
      <c r="Z28" s="16">
        <f t="shared" si="20"/>
        <v>91</v>
      </c>
      <c r="AA28" s="16">
        <f t="shared" si="20"/>
        <v>17</v>
      </c>
      <c r="AB28" s="16">
        <f t="shared" si="20"/>
        <v>19</v>
      </c>
      <c r="AC28" s="16">
        <f t="shared" si="20"/>
        <v>5320</v>
      </c>
      <c r="AD28" s="16">
        <f t="shared" si="20"/>
        <v>0</v>
      </c>
      <c r="AE28" s="32">
        <f t="shared" si="20"/>
        <v>5018</v>
      </c>
      <c r="AF28" s="32">
        <f t="shared" si="20"/>
        <v>10338</v>
      </c>
    </row>
    <row r="29" spans="2:32" ht="23.1" customHeight="1" x14ac:dyDescent="0.25">
      <c r="B29" s="23" t="s">
        <v>56</v>
      </c>
      <c r="C29" s="50">
        <v>67</v>
      </c>
      <c r="D29" s="50">
        <v>12</v>
      </c>
      <c r="E29" s="50">
        <v>10</v>
      </c>
      <c r="F29" s="50">
        <v>40</v>
      </c>
      <c r="G29" s="50">
        <v>1</v>
      </c>
      <c r="H29" s="50">
        <v>1</v>
      </c>
      <c r="I29" s="50">
        <v>3</v>
      </c>
      <c r="J29" s="50">
        <v>5</v>
      </c>
      <c r="K29" s="50">
        <v>0</v>
      </c>
      <c r="L29" s="50">
        <v>0</v>
      </c>
      <c r="M29" s="50">
        <v>105</v>
      </c>
      <c r="N29" s="50">
        <v>0</v>
      </c>
      <c r="O29" s="15">
        <f t="shared" si="0"/>
        <v>139</v>
      </c>
      <c r="P29" s="15">
        <f t="shared" si="1"/>
        <v>244</v>
      </c>
      <c r="R29"/>
      <c r="S29" s="20"/>
      <c r="T29" s="19"/>
    </row>
    <row r="30" spans="2:32" ht="23.1" customHeight="1" x14ac:dyDescent="0.25">
      <c r="B30" s="23" t="s">
        <v>57</v>
      </c>
      <c r="C30" s="50">
        <v>36</v>
      </c>
      <c r="D30" s="50">
        <v>12</v>
      </c>
      <c r="E30" s="50">
        <v>6</v>
      </c>
      <c r="F30" s="50">
        <v>45</v>
      </c>
      <c r="G30" s="50">
        <v>0</v>
      </c>
      <c r="H30" s="50">
        <v>2</v>
      </c>
      <c r="I30" s="50">
        <v>6</v>
      </c>
      <c r="J30" s="50">
        <v>4</v>
      </c>
      <c r="K30" s="50">
        <v>0</v>
      </c>
      <c r="L30" s="50">
        <v>1</v>
      </c>
      <c r="M30" s="50">
        <v>155</v>
      </c>
      <c r="N30" s="50">
        <v>0</v>
      </c>
      <c r="O30" s="15">
        <f t="shared" si="0"/>
        <v>112</v>
      </c>
      <c r="P30" s="15">
        <f t="shared" si="1"/>
        <v>267</v>
      </c>
    </row>
    <row r="31" spans="2:32" ht="23.1" customHeight="1" x14ac:dyDescent="0.25">
      <c r="B31" s="24" t="s">
        <v>58</v>
      </c>
      <c r="C31" s="50">
        <v>42</v>
      </c>
      <c r="D31" s="50">
        <v>16</v>
      </c>
      <c r="E31" s="50">
        <v>6</v>
      </c>
      <c r="F31" s="50">
        <v>60</v>
      </c>
      <c r="G31" s="50">
        <v>0</v>
      </c>
      <c r="H31" s="50">
        <v>1</v>
      </c>
      <c r="I31" s="50">
        <v>5</v>
      </c>
      <c r="J31" s="50">
        <v>2</v>
      </c>
      <c r="K31" s="50">
        <v>0</v>
      </c>
      <c r="L31" s="50">
        <v>0</v>
      </c>
      <c r="M31" s="50">
        <v>175</v>
      </c>
      <c r="N31" s="50">
        <v>0</v>
      </c>
      <c r="O31" s="15">
        <f t="shared" si="0"/>
        <v>132</v>
      </c>
      <c r="P31" s="15">
        <f t="shared" si="1"/>
        <v>307</v>
      </c>
    </row>
    <row r="32" spans="2:32" ht="23.1" customHeight="1" x14ac:dyDescent="0.25">
      <c r="B32" s="24" t="s">
        <v>59</v>
      </c>
      <c r="C32" s="50">
        <v>52</v>
      </c>
      <c r="D32" s="50">
        <v>17</v>
      </c>
      <c r="E32" s="50">
        <v>6</v>
      </c>
      <c r="F32" s="50">
        <v>33</v>
      </c>
      <c r="G32" s="50">
        <v>0</v>
      </c>
      <c r="H32" s="50">
        <v>0</v>
      </c>
      <c r="I32" s="50">
        <v>3</v>
      </c>
      <c r="J32" s="50">
        <v>0</v>
      </c>
      <c r="K32" s="50">
        <v>1</v>
      </c>
      <c r="L32" s="50">
        <v>1</v>
      </c>
      <c r="M32" s="50">
        <v>115</v>
      </c>
      <c r="N32" s="50">
        <v>0</v>
      </c>
      <c r="O32" s="15">
        <f t="shared" si="0"/>
        <v>113</v>
      </c>
      <c r="P32" s="15">
        <f t="shared" si="1"/>
        <v>228</v>
      </c>
    </row>
    <row r="33" spans="2:20" ht="23.1" customHeight="1" x14ac:dyDescent="0.25">
      <c r="B33" s="23" t="s">
        <v>60</v>
      </c>
      <c r="C33" s="50">
        <v>73</v>
      </c>
      <c r="D33" s="50">
        <v>23</v>
      </c>
      <c r="E33" s="50">
        <v>8</v>
      </c>
      <c r="F33" s="50">
        <v>46</v>
      </c>
      <c r="G33" s="50">
        <v>1</v>
      </c>
      <c r="H33" s="50">
        <v>0</v>
      </c>
      <c r="I33" s="50">
        <v>3</v>
      </c>
      <c r="J33" s="50">
        <v>6</v>
      </c>
      <c r="K33" s="50">
        <v>0</v>
      </c>
      <c r="L33" s="50">
        <v>0</v>
      </c>
      <c r="M33" s="50">
        <v>105</v>
      </c>
      <c r="N33" s="50">
        <v>0</v>
      </c>
      <c r="O33" s="15">
        <f t="shared" si="0"/>
        <v>160</v>
      </c>
      <c r="P33" s="15">
        <f t="shared" si="1"/>
        <v>265</v>
      </c>
    </row>
    <row r="34" spans="2:20" ht="23.1" customHeight="1" x14ac:dyDescent="0.25">
      <c r="B34" s="24" t="s">
        <v>61</v>
      </c>
      <c r="C34" s="50">
        <v>36</v>
      </c>
      <c r="D34" s="50">
        <v>11</v>
      </c>
      <c r="E34" s="50">
        <v>2</v>
      </c>
      <c r="F34" s="50">
        <v>28</v>
      </c>
      <c r="G34" s="50">
        <v>0</v>
      </c>
      <c r="H34" s="50">
        <v>0</v>
      </c>
      <c r="I34" s="50">
        <v>0</v>
      </c>
      <c r="J34" s="50">
        <v>2</v>
      </c>
      <c r="K34" s="50">
        <v>1</v>
      </c>
      <c r="L34" s="50">
        <v>0</v>
      </c>
      <c r="M34" s="50">
        <v>105</v>
      </c>
      <c r="N34" s="50">
        <v>0</v>
      </c>
      <c r="O34" s="15">
        <f t="shared" si="0"/>
        <v>80</v>
      </c>
      <c r="P34" s="15">
        <f t="shared" si="1"/>
        <v>185</v>
      </c>
    </row>
    <row r="35" spans="2:20" ht="23.1" customHeight="1" x14ac:dyDescent="0.25">
      <c r="B35" s="24" t="s">
        <v>62</v>
      </c>
      <c r="C35" s="50">
        <v>47</v>
      </c>
      <c r="D35" s="50">
        <v>21</v>
      </c>
      <c r="E35" s="50">
        <v>64</v>
      </c>
      <c r="F35" s="50">
        <v>32</v>
      </c>
      <c r="G35" s="50">
        <v>0</v>
      </c>
      <c r="H35" s="50">
        <v>0</v>
      </c>
      <c r="I35" s="50">
        <v>2</v>
      </c>
      <c r="J35" s="50">
        <v>1</v>
      </c>
      <c r="K35" s="50">
        <v>0</v>
      </c>
      <c r="L35" s="50">
        <v>0</v>
      </c>
      <c r="M35" s="50">
        <v>115</v>
      </c>
      <c r="N35" s="50">
        <v>0</v>
      </c>
      <c r="O35" s="15">
        <f t="shared" si="0"/>
        <v>167</v>
      </c>
      <c r="P35" s="15">
        <f t="shared" si="1"/>
        <v>282</v>
      </c>
    </row>
    <row r="36" spans="2:20" ht="23.1" customHeight="1" x14ac:dyDescent="0.25">
      <c r="B36" s="24" t="s">
        <v>63</v>
      </c>
      <c r="C36" s="50">
        <v>52</v>
      </c>
      <c r="D36" s="50">
        <v>18</v>
      </c>
      <c r="E36" s="50">
        <v>9</v>
      </c>
      <c r="F36" s="50">
        <v>45</v>
      </c>
      <c r="G36" s="50">
        <v>2</v>
      </c>
      <c r="H36" s="50">
        <v>2</v>
      </c>
      <c r="I36" s="50">
        <v>1</v>
      </c>
      <c r="J36" s="50">
        <v>2</v>
      </c>
      <c r="K36" s="50">
        <v>2</v>
      </c>
      <c r="L36" s="50">
        <v>0</v>
      </c>
      <c r="M36" s="50">
        <v>60</v>
      </c>
      <c r="N36" s="50">
        <v>0</v>
      </c>
      <c r="O36" s="15">
        <f t="shared" si="0"/>
        <v>133</v>
      </c>
      <c r="P36" s="15">
        <f t="shared" si="1"/>
        <v>193</v>
      </c>
    </row>
    <row r="37" spans="2:20" ht="23.1" customHeight="1" x14ac:dyDescent="0.25">
      <c r="B37" s="23" t="s">
        <v>64</v>
      </c>
      <c r="C37" s="50">
        <v>47</v>
      </c>
      <c r="D37" s="50">
        <v>21</v>
      </c>
      <c r="E37" s="50">
        <v>4</v>
      </c>
      <c r="F37" s="50">
        <v>35</v>
      </c>
      <c r="G37" s="50">
        <v>1</v>
      </c>
      <c r="H37" s="50">
        <v>0</v>
      </c>
      <c r="I37" s="50">
        <v>3</v>
      </c>
      <c r="J37" s="50">
        <v>0</v>
      </c>
      <c r="K37" s="50">
        <v>1</v>
      </c>
      <c r="L37" s="50">
        <v>1</v>
      </c>
      <c r="M37" s="50">
        <v>120</v>
      </c>
      <c r="N37" s="50">
        <v>0</v>
      </c>
      <c r="O37" s="15">
        <f t="shared" si="0"/>
        <v>113</v>
      </c>
      <c r="P37" s="15">
        <f t="shared" si="1"/>
        <v>233</v>
      </c>
    </row>
    <row r="38" spans="2:20" ht="23.1" customHeight="1" x14ac:dyDescent="0.25">
      <c r="B38" s="24" t="s">
        <v>65</v>
      </c>
      <c r="C38" s="50">
        <v>40</v>
      </c>
      <c r="D38" s="50">
        <v>25</v>
      </c>
      <c r="E38" s="50">
        <v>4</v>
      </c>
      <c r="F38" s="50">
        <v>66</v>
      </c>
      <c r="G38" s="50">
        <v>1</v>
      </c>
      <c r="H38" s="50">
        <v>3</v>
      </c>
      <c r="I38" s="50">
        <v>4</v>
      </c>
      <c r="J38" s="50">
        <v>2</v>
      </c>
      <c r="K38" s="50">
        <v>0</v>
      </c>
      <c r="L38" s="50">
        <v>0</v>
      </c>
      <c r="M38" s="50">
        <v>130</v>
      </c>
      <c r="N38" s="50">
        <v>0</v>
      </c>
      <c r="O38" s="15">
        <f t="shared" si="0"/>
        <v>145</v>
      </c>
      <c r="P38" s="15">
        <f t="shared" si="1"/>
        <v>275</v>
      </c>
    </row>
    <row r="39" spans="2:20" ht="23.1" customHeight="1" x14ac:dyDescent="0.25">
      <c r="B39" s="24" t="s">
        <v>66</v>
      </c>
      <c r="C39" s="50">
        <v>72</v>
      </c>
      <c r="D39" s="50">
        <v>19</v>
      </c>
      <c r="E39" s="50">
        <v>3</v>
      </c>
      <c r="F39" s="50">
        <v>46</v>
      </c>
      <c r="G39" s="50">
        <v>46</v>
      </c>
      <c r="H39" s="50">
        <v>0</v>
      </c>
      <c r="I39" s="50">
        <v>0</v>
      </c>
      <c r="J39" s="50">
        <v>3</v>
      </c>
      <c r="K39" s="50">
        <v>3</v>
      </c>
      <c r="L39" s="50">
        <v>0</v>
      </c>
      <c r="M39" s="50">
        <v>100</v>
      </c>
      <c r="N39" s="50">
        <v>0</v>
      </c>
      <c r="O39" s="15">
        <f t="shared" si="0"/>
        <v>192</v>
      </c>
      <c r="P39" s="15">
        <f t="shared" si="1"/>
        <v>292</v>
      </c>
    </row>
    <row r="40" spans="2:20" ht="23.1" customHeight="1" x14ac:dyDescent="0.25">
      <c r="B40" s="24" t="s">
        <v>67</v>
      </c>
      <c r="C40" s="50">
        <v>53</v>
      </c>
      <c r="D40" s="50">
        <v>31</v>
      </c>
      <c r="E40" s="50">
        <v>11</v>
      </c>
      <c r="F40" s="50">
        <v>40</v>
      </c>
      <c r="G40" s="50">
        <v>0</v>
      </c>
      <c r="H40" s="50">
        <v>1</v>
      </c>
      <c r="I40" s="50">
        <v>2</v>
      </c>
      <c r="J40" s="50">
        <v>1</v>
      </c>
      <c r="K40" s="50">
        <v>1</v>
      </c>
      <c r="L40" s="50">
        <v>4</v>
      </c>
      <c r="M40" s="50">
        <v>115</v>
      </c>
      <c r="N40" s="50">
        <v>0</v>
      </c>
      <c r="O40" s="15">
        <f t="shared" si="0"/>
        <v>144</v>
      </c>
      <c r="P40" s="15">
        <f t="shared" si="1"/>
        <v>259</v>
      </c>
    </row>
    <row r="41" spans="2:20" ht="23.1" customHeight="1" x14ac:dyDescent="0.25">
      <c r="B41" s="23" t="s">
        <v>68</v>
      </c>
      <c r="C41" s="50">
        <v>40</v>
      </c>
      <c r="D41" s="50">
        <v>13</v>
      </c>
      <c r="E41" s="50">
        <v>4</v>
      </c>
      <c r="F41" s="50">
        <v>35</v>
      </c>
      <c r="G41" s="50">
        <v>0</v>
      </c>
      <c r="H41" s="50">
        <v>2</v>
      </c>
      <c r="I41" s="50">
        <v>2</v>
      </c>
      <c r="J41" s="50">
        <v>1</v>
      </c>
      <c r="K41" s="50">
        <v>0</v>
      </c>
      <c r="L41" s="50">
        <v>0</v>
      </c>
      <c r="M41" s="50">
        <v>105</v>
      </c>
      <c r="N41" s="50">
        <v>0</v>
      </c>
      <c r="O41" s="15">
        <f t="shared" si="0"/>
        <v>97</v>
      </c>
      <c r="P41" s="15">
        <f t="shared" si="1"/>
        <v>202</v>
      </c>
    </row>
    <row r="42" spans="2:20" ht="23.1" customHeight="1" x14ac:dyDescent="0.25">
      <c r="B42" s="24" t="s">
        <v>69</v>
      </c>
      <c r="C42" s="50">
        <v>27</v>
      </c>
      <c r="D42" s="50">
        <v>21</v>
      </c>
      <c r="E42" s="50">
        <v>6</v>
      </c>
      <c r="F42" s="50">
        <v>44</v>
      </c>
      <c r="G42" s="50">
        <v>0</v>
      </c>
      <c r="H42" s="50">
        <v>0</v>
      </c>
      <c r="I42" s="50">
        <v>1</v>
      </c>
      <c r="J42" s="50">
        <v>1</v>
      </c>
      <c r="K42" s="50">
        <v>0</v>
      </c>
      <c r="L42" s="50">
        <v>0</v>
      </c>
      <c r="M42" s="50">
        <v>120</v>
      </c>
      <c r="N42" s="50">
        <v>0</v>
      </c>
      <c r="O42" s="15">
        <f t="shared" si="0"/>
        <v>100</v>
      </c>
      <c r="P42" s="15">
        <f t="shared" si="1"/>
        <v>220</v>
      </c>
    </row>
    <row r="43" spans="2:20" ht="23.1" customHeight="1" x14ac:dyDescent="0.25">
      <c r="B43" s="23" t="s">
        <v>70</v>
      </c>
      <c r="C43" s="50">
        <v>54</v>
      </c>
      <c r="D43" s="50">
        <v>15</v>
      </c>
      <c r="E43" s="50">
        <v>7</v>
      </c>
      <c r="F43" s="50">
        <v>50</v>
      </c>
      <c r="G43" s="50">
        <v>0</v>
      </c>
      <c r="H43" s="50">
        <v>0</v>
      </c>
      <c r="I43" s="50">
        <v>5</v>
      </c>
      <c r="J43" s="50">
        <v>7</v>
      </c>
      <c r="K43" s="50">
        <v>0</v>
      </c>
      <c r="L43" s="50">
        <v>1</v>
      </c>
      <c r="M43" s="50">
        <v>95</v>
      </c>
      <c r="N43" s="50">
        <v>0</v>
      </c>
      <c r="O43" s="15">
        <f t="shared" si="0"/>
        <v>139</v>
      </c>
      <c r="P43" s="15">
        <f t="shared" si="1"/>
        <v>234</v>
      </c>
    </row>
    <row r="44" spans="2:20" ht="23.1" customHeight="1" x14ac:dyDescent="0.25">
      <c r="B44" s="25" t="s">
        <v>71</v>
      </c>
      <c r="C44" s="50">
        <v>41</v>
      </c>
      <c r="D44" s="50">
        <v>8</v>
      </c>
      <c r="E44" s="50">
        <v>8</v>
      </c>
      <c r="F44" s="50">
        <v>36</v>
      </c>
      <c r="G44" s="50">
        <v>0</v>
      </c>
      <c r="H44" s="50">
        <v>1</v>
      </c>
      <c r="I44" s="50">
        <v>1</v>
      </c>
      <c r="J44" s="50">
        <v>0</v>
      </c>
      <c r="K44" s="50">
        <v>0</v>
      </c>
      <c r="L44" s="50">
        <v>1</v>
      </c>
      <c r="M44" s="50">
        <v>45</v>
      </c>
      <c r="N44" s="50">
        <v>0</v>
      </c>
      <c r="O44" s="15">
        <f t="shared" si="0"/>
        <v>96</v>
      </c>
      <c r="P44" s="15">
        <f t="shared" si="1"/>
        <v>141</v>
      </c>
    </row>
    <row r="45" spans="2:20" ht="23.1" customHeight="1" x14ac:dyDescent="0.25">
      <c r="B45" s="23" t="s">
        <v>72</v>
      </c>
      <c r="C45" s="50">
        <v>85</v>
      </c>
      <c r="D45" s="50">
        <v>12</v>
      </c>
      <c r="E45" s="50">
        <v>7</v>
      </c>
      <c r="F45" s="50">
        <v>5</v>
      </c>
      <c r="G45" s="50">
        <v>0</v>
      </c>
      <c r="H45" s="50">
        <v>0</v>
      </c>
      <c r="I45" s="50">
        <v>1</v>
      </c>
      <c r="J45" s="50">
        <v>3</v>
      </c>
      <c r="K45" s="50">
        <v>0</v>
      </c>
      <c r="L45" s="50">
        <v>0</v>
      </c>
      <c r="M45" s="50">
        <v>70</v>
      </c>
      <c r="N45" s="50">
        <v>0</v>
      </c>
      <c r="O45" s="15">
        <f t="shared" si="0"/>
        <v>113</v>
      </c>
      <c r="P45" s="15">
        <f t="shared" si="1"/>
        <v>183</v>
      </c>
    </row>
    <row r="46" spans="2:20" ht="23.1" customHeight="1" x14ac:dyDescent="0.25">
      <c r="B46" s="24" t="s">
        <v>73</v>
      </c>
      <c r="C46" s="50">
        <v>25</v>
      </c>
      <c r="D46" s="50">
        <v>8</v>
      </c>
      <c r="E46" s="50">
        <v>6</v>
      </c>
      <c r="F46" s="50">
        <v>56</v>
      </c>
      <c r="G46" s="50">
        <v>0</v>
      </c>
      <c r="H46" s="50">
        <v>1</v>
      </c>
      <c r="I46" s="50">
        <v>2</v>
      </c>
      <c r="J46" s="50">
        <v>1</v>
      </c>
      <c r="K46" s="50">
        <v>0</v>
      </c>
      <c r="L46" s="50">
        <v>0</v>
      </c>
      <c r="M46" s="50">
        <v>105</v>
      </c>
      <c r="N46" s="50">
        <v>0</v>
      </c>
      <c r="O46" s="15">
        <f t="shared" si="0"/>
        <v>99</v>
      </c>
      <c r="P46" s="15">
        <f t="shared" si="1"/>
        <v>204</v>
      </c>
      <c r="R46" s="8"/>
      <c r="T46"/>
    </row>
    <row r="47" spans="2:20" ht="23.1" customHeight="1" x14ac:dyDescent="0.25">
      <c r="B47" s="24" t="s">
        <v>74</v>
      </c>
      <c r="C47" s="50">
        <v>32</v>
      </c>
      <c r="D47" s="50">
        <v>15</v>
      </c>
      <c r="E47" s="50">
        <v>5</v>
      </c>
      <c r="F47" s="50">
        <v>44</v>
      </c>
      <c r="G47" s="50">
        <v>0</v>
      </c>
      <c r="H47" s="50">
        <v>1</v>
      </c>
      <c r="I47" s="50">
        <v>4</v>
      </c>
      <c r="J47" s="50">
        <v>3</v>
      </c>
      <c r="K47" s="50">
        <v>1</v>
      </c>
      <c r="L47" s="50">
        <v>1</v>
      </c>
      <c r="M47" s="50">
        <v>81</v>
      </c>
      <c r="N47" s="50">
        <v>0</v>
      </c>
      <c r="O47" s="15">
        <f t="shared" si="0"/>
        <v>106</v>
      </c>
      <c r="P47" s="15">
        <f t="shared" si="1"/>
        <v>187</v>
      </c>
      <c r="R47" s="8"/>
      <c r="T47"/>
    </row>
    <row r="48" spans="2:20" ht="23.1" customHeight="1" x14ac:dyDescent="0.25">
      <c r="B48" s="24" t="s">
        <v>75</v>
      </c>
      <c r="C48" s="50">
        <v>56</v>
      </c>
      <c r="D48" s="50">
        <v>13</v>
      </c>
      <c r="E48" s="50">
        <v>8</v>
      </c>
      <c r="F48" s="50">
        <v>50</v>
      </c>
      <c r="G48" s="50">
        <v>0</v>
      </c>
      <c r="H48" s="50">
        <v>0</v>
      </c>
      <c r="I48" s="50">
        <v>2</v>
      </c>
      <c r="J48" s="50">
        <v>3</v>
      </c>
      <c r="K48" s="50">
        <v>0</v>
      </c>
      <c r="L48" s="50">
        <v>0</v>
      </c>
      <c r="M48" s="50">
        <v>100</v>
      </c>
      <c r="N48" s="50">
        <v>0</v>
      </c>
      <c r="O48" s="15">
        <f t="shared" si="0"/>
        <v>132</v>
      </c>
      <c r="P48" s="15">
        <f t="shared" si="1"/>
        <v>232</v>
      </c>
      <c r="R48" s="8"/>
      <c r="T48"/>
    </row>
    <row r="49" spans="2:20" ht="23.1" customHeight="1" x14ac:dyDescent="0.25">
      <c r="B49" s="23" t="s">
        <v>76</v>
      </c>
      <c r="C49" s="50">
        <v>56</v>
      </c>
      <c r="D49" s="50">
        <v>18</v>
      </c>
      <c r="E49" s="50">
        <v>6</v>
      </c>
      <c r="F49" s="50">
        <v>31</v>
      </c>
      <c r="G49" s="50">
        <v>0</v>
      </c>
      <c r="H49" s="50">
        <v>1</v>
      </c>
      <c r="I49" s="50">
        <v>3</v>
      </c>
      <c r="J49" s="50">
        <v>2</v>
      </c>
      <c r="K49" s="50">
        <v>0</v>
      </c>
      <c r="L49" s="50">
        <v>0</v>
      </c>
      <c r="M49" s="50">
        <v>80</v>
      </c>
      <c r="N49" s="50">
        <v>0</v>
      </c>
      <c r="O49" s="15">
        <f t="shared" si="0"/>
        <v>117</v>
      </c>
      <c r="P49" s="15">
        <f t="shared" si="1"/>
        <v>197</v>
      </c>
      <c r="R49" s="8"/>
      <c r="T49"/>
    </row>
    <row r="50" spans="2:20" ht="23.1" customHeight="1" x14ac:dyDescent="0.25">
      <c r="B50" s="24" t="s">
        <v>77</v>
      </c>
      <c r="C50" s="50">
        <v>38</v>
      </c>
      <c r="D50" s="50">
        <v>14</v>
      </c>
      <c r="E50" s="50">
        <v>10</v>
      </c>
      <c r="F50" s="50">
        <v>37</v>
      </c>
      <c r="G50" s="50">
        <v>0</v>
      </c>
      <c r="H50" s="50">
        <v>0</v>
      </c>
      <c r="I50" s="50">
        <v>4</v>
      </c>
      <c r="J50" s="50">
        <v>2</v>
      </c>
      <c r="K50" s="50">
        <v>0</v>
      </c>
      <c r="L50" s="50">
        <v>0</v>
      </c>
      <c r="M50" s="50">
        <v>100</v>
      </c>
      <c r="N50" s="50">
        <v>0</v>
      </c>
      <c r="O50" s="15">
        <f t="shared" si="0"/>
        <v>105</v>
      </c>
      <c r="P50" s="15">
        <f t="shared" si="1"/>
        <v>205</v>
      </c>
      <c r="R50" s="8"/>
      <c r="T50"/>
    </row>
    <row r="51" spans="2:20" ht="23.1" customHeight="1" x14ac:dyDescent="0.25">
      <c r="B51" s="24" t="s">
        <v>78</v>
      </c>
      <c r="C51" s="50">
        <v>38</v>
      </c>
      <c r="D51" s="50">
        <v>7</v>
      </c>
      <c r="E51" s="50">
        <v>8</v>
      </c>
      <c r="F51" s="50">
        <v>40</v>
      </c>
      <c r="G51" s="50">
        <v>0</v>
      </c>
      <c r="H51" s="50">
        <v>0</v>
      </c>
      <c r="I51" s="50">
        <v>3</v>
      </c>
      <c r="J51" s="50">
        <v>2</v>
      </c>
      <c r="K51" s="50">
        <v>0</v>
      </c>
      <c r="L51" s="50">
        <v>0</v>
      </c>
      <c r="M51" s="50">
        <v>84</v>
      </c>
      <c r="N51" s="50">
        <v>0</v>
      </c>
      <c r="O51" s="15">
        <f t="shared" si="0"/>
        <v>98</v>
      </c>
      <c r="P51" s="15">
        <f t="shared" si="1"/>
        <v>182</v>
      </c>
      <c r="R51" s="8"/>
      <c r="T51"/>
    </row>
    <row r="52" spans="2:20" ht="23.1" customHeight="1" x14ac:dyDescent="0.25">
      <c r="B52" s="24" t="s">
        <v>79</v>
      </c>
      <c r="C52" s="50">
        <v>47</v>
      </c>
      <c r="D52" s="50">
        <v>25</v>
      </c>
      <c r="E52" s="50">
        <v>3</v>
      </c>
      <c r="F52" s="50">
        <v>37</v>
      </c>
      <c r="G52" s="50">
        <v>0</v>
      </c>
      <c r="H52" s="50">
        <v>1</v>
      </c>
      <c r="I52" s="50">
        <v>3</v>
      </c>
      <c r="J52" s="50">
        <v>2</v>
      </c>
      <c r="K52" s="50">
        <v>0</v>
      </c>
      <c r="L52" s="50">
        <v>0</v>
      </c>
      <c r="M52" s="50">
        <v>85</v>
      </c>
      <c r="N52" s="50">
        <v>0</v>
      </c>
      <c r="O52" s="15">
        <f t="shared" si="0"/>
        <v>118</v>
      </c>
      <c r="P52" s="15">
        <f t="shared" si="1"/>
        <v>203</v>
      </c>
      <c r="R52" s="8"/>
      <c r="T52"/>
    </row>
    <row r="53" spans="2:20" ht="23.1" customHeight="1" x14ac:dyDescent="0.25">
      <c r="B53" s="23" t="s">
        <v>80</v>
      </c>
      <c r="C53" s="50">
        <v>34</v>
      </c>
      <c r="D53" s="50">
        <v>10</v>
      </c>
      <c r="E53" s="50">
        <v>5</v>
      </c>
      <c r="F53" s="50">
        <v>51</v>
      </c>
      <c r="G53" s="50">
        <v>0</v>
      </c>
      <c r="H53" s="50">
        <v>0</v>
      </c>
      <c r="I53" s="50">
        <v>0</v>
      </c>
      <c r="J53" s="50">
        <v>1</v>
      </c>
      <c r="K53" s="50">
        <v>0</v>
      </c>
      <c r="L53" s="50">
        <v>0</v>
      </c>
      <c r="M53" s="50">
        <v>73</v>
      </c>
      <c r="N53" s="50">
        <v>0</v>
      </c>
      <c r="O53" s="15">
        <f t="shared" si="0"/>
        <v>101</v>
      </c>
      <c r="P53" s="15">
        <f t="shared" si="1"/>
        <v>174</v>
      </c>
      <c r="R53" s="8"/>
      <c r="T53"/>
    </row>
    <row r="54" spans="2:20" ht="23.1" customHeight="1" x14ac:dyDescent="0.25">
      <c r="B54" s="23" t="s">
        <v>81</v>
      </c>
      <c r="C54" s="50">
        <v>43</v>
      </c>
      <c r="D54" s="50">
        <v>15</v>
      </c>
      <c r="E54" s="50">
        <v>4</v>
      </c>
      <c r="F54" s="50">
        <v>52</v>
      </c>
      <c r="G54" s="50">
        <v>1</v>
      </c>
      <c r="H54" s="50">
        <v>0</v>
      </c>
      <c r="I54" s="50">
        <v>3</v>
      </c>
      <c r="J54" s="50">
        <v>1</v>
      </c>
      <c r="K54" s="50">
        <v>0</v>
      </c>
      <c r="L54" s="50">
        <v>0</v>
      </c>
      <c r="M54" s="50">
        <v>120</v>
      </c>
      <c r="N54" s="50">
        <v>0</v>
      </c>
      <c r="O54" s="15">
        <f t="shared" si="0"/>
        <v>119</v>
      </c>
      <c r="P54" s="15">
        <f t="shared" si="1"/>
        <v>239</v>
      </c>
      <c r="R54" s="8"/>
      <c r="T54"/>
    </row>
    <row r="55" spans="2:20" ht="23.1" customHeight="1" x14ac:dyDescent="0.25">
      <c r="B55" s="23" t="s">
        <v>82</v>
      </c>
      <c r="C55" s="50">
        <v>55</v>
      </c>
      <c r="D55" s="50">
        <v>8</v>
      </c>
      <c r="E55" s="50">
        <v>4</v>
      </c>
      <c r="F55" s="50">
        <v>33</v>
      </c>
      <c r="G55" s="50">
        <v>0</v>
      </c>
      <c r="H55" s="50">
        <v>0</v>
      </c>
      <c r="I55" s="50">
        <v>3</v>
      </c>
      <c r="J55" s="50">
        <v>1</v>
      </c>
      <c r="K55" s="50">
        <v>0</v>
      </c>
      <c r="L55" s="50">
        <v>0</v>
      </c>
      <c r="M55" s="50">
        <v>145</v>
      </c>
      <c r="N55" s="50">
        <v>0</v>
      </c>
      <c r="O55" s="15">
        <f t="shared" si="0"/>
        <v>104</v>
      </c>
      <c r="P55" s="15">
        <f t="shared" si="1"/>
        <v>249</v>
      </c>
      <c r="R55" s="8"/>
      <c r="T55"/>
    </row>
    <row r="56" spans="2:20" ht="23.1" customHeight="1" x14ac:dyDescent="0.25">
      <c r="B56" s="23" t="s">
        <v>83</v>
      </c>
      <c r="C56" s="50">
        <v>45</v>
      </c>
      <c r="D56" s="50">
        <v>11</v>
      </c>
      <c r="E56" s="50">
        <v>3</v>
      </c>
      <c r="F56" s="50">
        <v>37</v>
      </c>
      <c r="G56" s="50">
        <v>1</v>
      </c>
      <c r="H56" s="50">
        <v>1</v>
      </c>
      <c r="I56" s="50">
        <v>3</v>
      </c>
      <c r="J56" s="50">
        <v>1</v>
      </c>
      <c r="K56" s="50">
        <v>0</v>
      </c>
      <c r="L56" s="50">
        <v>1</v>
      </c>
      <c r="M56" s="50">
        <v>125</v>
      </c>
      <c r="N56" s="50">
        <v>0</v>
      </c>
      <c r="O56" s="15">
        <f t="shared" si="0"/>
        <v>103</v>
      </c>
      <c r="P56" s="15">
        <f t="shared" si="1"/>
        <v>228</v>
      </c>
      <c r="R56" s="8"/>
      <c r="T56"/>
    </row>
    <row r="57" spans="2:20" ht="23.1" customHeight="1" x14ac:dyDescent="0.25">
      <c r="B57" s="23" t="s">
        <v>84</v>
      </c>
      <c r="C57" s="50">
        <v>22</v>
      </c>
      <c r="D57" s="50">
        <v>12</v>
      </c>
      <c r="E57" s="50">
        <v>6</v>
      </c>
      <c r="F57" s="50">
        <v>20</v>
      </c>
      <c r="G57" s="50">
        <v>1</v>
      </c>
      <c r="H57" s="50">
        <v>1</v>
      </c>
      <c r="I57" s="50">
        <v>1</v>
      </c>
      <c r="J57" s="50">
        <v>1</v>
      </c>
      <c r="K57" s="50">
        <v>0</v>
      </c>
      <c r="L57" s="50">
        <v>0</v>
      </c>
      <c r="M57" s="50">
        <v>72</v>
      </c>
      <c r="N57" s="50">
        <v>0</v>
      </c>
      <c r="O57" s="15">
        <f t="shared" si="0"/>
        <v>64</v>
      </c>
      <c r="P57" s="15">
        <f t="shared" si="1"/>
        <v>136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1898</v>
      </c>
      <c r="D58" s="16">
        <f t="shared" si="21"/>
        <v>642</v>
      </c>
      <c r="E58" s="16">
        <f t="shared" si="21"/>
        <v>321</v>
      </c>
      <c r="F58" s="16">
        <f t="shared" si="21"/>
        <v>1813</v>
      </c>
      <c r="G58" s="16">
        <f t="shared" si="21"/>
        <v>71</v>
      </c>
      <c r="H58" s="16">
        <f t="shared" si="21"/>
        <v>31</v>
      </c>
      <c r="I58" s="16">
        <f t="shared" si="21"/>
        <v>115</v>
      </c>
      <c r="J58" s="16">
        <f t="shared" si="21"/>
        <v>91</v>
      </c>
      <c r="K58" s="16">
        <f t="shared" si="21"/>
        <v>17</v>
      </c>
      <c r="L58" s="16">
        <f t="shared" si="21"/>
        <v>19</v>
      </c>
      <c r="M58" s="16">
        <f t="shared" si="21"/>
        <v>5320</v>
      </c>
      <c r="N58" s="16">
        <f t="shared" si="21"/>
        <v>0</v>
      </c>
      <c r="O58" s="16">
        <f t="shared" si="21"/>
        <v>5018</v>
      </c>
      <c r="P58" s="16">
        <f t="shared" si="21"/>
        <v>10338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0.18359450570710001</v>
      </c>
      <c r="D59" s="43">
        <f t="shared" si="22"/>
        <v>6.2100986651189787E-2</v>
      </c>
      <c r="E59" s="43">
        <f t="shared" si="22"/>
        <v>3.1050493325594893E-2</v>
      </c>
      <c r="F59" s="43">
        <f t="shared" si="22"/>
        <v>0.17537241245888954</v>
      </c>
      <c r="G59" s="43">
        <f t="shared" si="22"/>
        <v>6.8678661249758173E-3</v>
      </c>
      <c r="H59" s="43">
        <f t="shared" si="22"/>
        <v>2.9986457728767655E-3</v>
      </c>
      <c r="I59" s="43">
        <f t="shared" si="22"/>
        <v>1.1124008512284775E-2</v>
      </c>
      <c r="J59" s="43">
        <f t="shared" si="22"/>
        <v>8.8024763010253436E-3</v>
      </c>
      <c r="K59" s="43">
        <f t="shared" si="22"/>
        <v>1.6444186496420972E-3</v>
      </c>
      <c r="L59" s="43">
        <f t="shared" si="22"/>
        <v>1.8378796672470497E-3</v>
      </c>
      <c r="M59" s="43">
        <f t="shared" si="22"/>
        <v>0.51460630682917397</v>
      </c>
      <c r="N59" s="43">
        <f t="shared" si="22"/>
        <v>0</v>
      </c>
      <c r="R59" s="8"/>
      <c r="T59"/>
    </row>
    <row r="60" spans="2:20" ht="23.1" customHeight="1" x14ac:dyDescent="0.25">
      <c r="B60" s="42" t="s">
        <v>94</v>
      </c>
      <c r="C60" s="44">
        <f>C58/$O$58</f>
        <v>0.37823834196891193</v>
      </c>
      <c r="D60" s="44">
        <f t="shared" ref="D60:N60" si="23">D58/$O$58</f>
        <v>0.12793941809485851</v>
      </c>
      <c r="E60" s="44">
        <f t="shared" si="23"/>
        <v>6.3969709047429255E-2</v>
      </c>
      <c r="F60" s="44">
        <f t="shared" si="23"/>
        <v>0.36129932243921881</v>
      </c>
      <c r="G60" s="44">
        <f t="shared" si="23"/>
        <v>1.4149063371861299E-2</v>
      </c>
      <c r="H60" s="44">
        <f t="shared" si="23"/>
        <v>6.1777600637704265E-3</v>
      </c>
      <c r="I60" s="44">
        <f t="shared" si="23"/>
        <v>2.2917497010761258E-2</v>
      </c>
      <c r="J60" s="44">
        <f t="shared" si="23"/>
        <v>1.8134715025906734E-2</v>
      </c>
      <c r="K60" s="44">
        <f t="shared" si="23"/>
        <v>3.387803905938621E-3</v>
      </c>
      <c r="L60" s="44">
        <f t="shared" si="23"/>
        <v>3.7863690713431648E-3</v>
      </c>
      <c r="M60" s="44"/>
      <c r="N60" s="44">
        <f t="shared" si="23"/>
        <v>0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6:L6"/>
    <mergeCell ref="K5:L5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</sheetPr>
  <dimension ref="B1:AF174"/>
  <sheetViews>
    <sheetView view="pageBreakPreview" topLeftCell="G55" zoomScale="60" workbookViewId="0">
      <selection activeCell="AE53" sqref="AE53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64" t="s">
        <v>23</v>
      </c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  <c r="S1" s="64"/>
      <c r="T1" s="64"/>
      <c r="U1" s="64"/>
      <c r="V1" s="64"/>
      <c r="W1" s="64"/>
      <c r="X1" s="64"/>
      <c r="Y1" s="64"/>
      <c r="Z1" s="64"/>
      <c r="AA1" s="64"/>
      <c r="AB1" s="64"/>
      <c r="AC1" s="64"/>
      <c r="AD1" s="64"/>
      <c r="AE1" s="64"/>
    </row>
    <row r="2" spans="2:32" ht="20.100000000000001" customHeight="1" x14ac:dyDescent="0.25">
      <c r="B2" s="65" t="s">
        <v>95</v>
      </c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  <c r="AA2" s="65"/>
      <c r="AB2" s="65"/>
      <c r="AC2" s="65"/>
      <c r="AD2" s="65"/>
      <c r="AE2" s="65"/>
    </row>
    <row r="3" spans="2:32" ht="20.100000000000001" customHeight="1" x14ac:dyDescent="0.25">
      <c r="B3" s="22" t="s">
        <v>96</v>
      </c>
      <c r="C3" s="71" t="str">
        <f>'28.07 Makerere-Bwaise'!C3:G3</f>
        <v>MCC - C1 - STN021- SIR APOLLO ROAD</v>
      </c>
      <c r="D3" s="71"/>
      <c r="E3" s="71"/>
      <c r="F3" s="71"/>
      <c r="G3" s="71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72" t="s">
        <v>168</v>
      </c>
      <c r="E5" s="73"/>
      <c r="F5" s="41" t="s">
        <v>1</v>
      </c>
      <c r="G5" s="69" t="str">
        <f>'28.07 Bwaise-Makerere'!G5:H5</f>
        <v>PREMIUM DESIGN LTD</v>
      </c>
      <c r="H5" s="70"/>
      <c r="I5" s="14"/>
      <c r="J5" s="2" t="s">
        <v>5</v>
      </c>
      <c r="K5" s="69" t="str">
        <f>'28.07 Bwaise-Makerere'!K5:L5</f>
        <v>OKELLO PETER</v>
      </c>
      <c r="L5" s="70"/>
      <c r="M5" s="10"/>
      <c r="N5" s="10"/>
      <c r="O5" s="3"/>
      <c r="P5" s="3"/>
    </row>
    <row r="6" spans="2:32" ht="23.25" customHeight="1" x14ac:dyDescent="0.25">
      <c r="C6" s="2" t="s">
        <v>4</v>
      </c>
      <c r="D6" s="69" t="str">
        <f>'28.07 Bwaise-Makerere'!D6:E6</f>
        <v>Bwaise</v>
      </c>
      <c r="E6" s="70"/>
      <c r="F6" s="2" t="s">
        <v>2</v>
      </c>
      <c r="G6" s="69" t="str">
        <f>'28.07 Bwaise-Makerere'!G6:H6</f>
        <v>Makerere</v>
      </c>
      <c r="H6" s="70"/>
      <c r="J6" s="2" t="s">
        <v>21</v>
      </c>
      <c r="K6" s="69" t="str">
        <f>'28.07 Bwaise-Makerere'!K6:L6</f>
        <v>SALIMAH</v>
      </c>
      <c r="L6" s="70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63" t="s">
        <v>88</v>
      </c>
      <c r="S8" s="63"/>
      <c r="T8" s="63"/>
      <c r="U8" s="63"/>
      <c r="V8" s="63"/>
      <c r="W8" s="63"/>
      <c r="X8" s="63"/>
      <c r="Y8" s="63"/>
      <c r="Z8" s="63"/>
      <c r="AA8" s="63"/>
      <c r="AB8" s="63"/>
      <c r="AC8" s="63"/>
      <c r="AD8" s="63"/>
      <c r="AE8" s="63"/>
      <c r="AF8" s="63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49">
        <f>AVERAGE('22.07 Bwaise-Makerere'!C10,'23.07 BWAISE-MAKERERE'!C10,'24.07 Bwaise-Makerere'!C10,'25.07Bwaise-Makerere'!C10,'26.07 Bwaise-Makerere-24h'!C10,'27.07 Bwaise-Makerere-24h'!C10,'28.07 Bwaise-Makerere'!C10)</f>
        <v>73.428571428571431</v>
      </c>
      <c r="D10" s="49">
        <f>AVERAGE('22.07 Bwaise-Makerere'!D10,'23.07 BWAISE-MAKERERE'!D10,'24.07 Bwaise-Makerere'!D10,'25.07Bwaise-Makerere'!D10,'26.07 Bwaise-Makerere-24h'!D10,'27.07 Bwaise-Makerere-24h'!D10,'28.07 Bwaise-Makerere'!D10)</f>
        <v>19.285714285714285</v>
      </c>
      <c r="E10" s="49">
        <f>AVERAGE('22.07 Bwaise-Makerere'!E10,'23.07 BWAISE-MAKERERE'!E10,'24.07 Bwaise-Makerere'!E10,'25.07Bwaise-Makerere'!E10,'26.07 Bwaise-Makerere-24h'!E10,'27.07 Bwaise-Makerere-24h'!E10,'28.07 Bwaise-Makerere'!E10)</f>
        <v>6.2857142857142856</v>
      </c>
      <c r="F10" s="49">
        <f>AVERAGE('22.07 Bwaise-Makerere'!F10,'23.07 BWAISE-MAKERERE'!F10,'24.07 Bwaise-Makerere'!F10,'25.07Bwaise-Makerere'!F10,'26.07 Bwaise-Makerere-24h'!F10,'27.07 Bwaise-Makerere-24h'!F10,'28.07 Bwaise-Makerere'!F10)</f>
        <v>61.142857142857146</v>
      </c>
      <c r="G10" s="49">
        <f>AVERAGE('22.07 Bwaise-Makerere'!G10,'23.07 BWAISE-MAKERERE'!G10,'24.07 Bwaise-Makerere'!G10,'25.07Bwaise-Makerere'!G10,'26.07 Bwaise-Makerere-24h'!G10,'27.07 Bwaise-Makerere-24h'!G10,'28.07 Bwaise-Makerere'!G10)</f>
        <v>1.4285714285714286</v>
      </c>
      <c r="H10" s="49">
        <f>AVERAGE('22.07 Bwaise-Makerere'!H10,'23.07 BWAISE-MAKERERE'!H10,'24.07 Bwaise-Makerere'!H10,'25.07Bwaise-Makerere'!H10,'26.07 Bwaise-Makerere-24h'!H10,'27.07 Bwaise-Makerere-24h'!H10,'28.07 Bwaise-Makerere'!H10)</f>
        <v>0.2857142857142857</v>
      </c>
      <c r="I10" s="49">
        <f>AVERAGE('22.07 Bwaise-Makerere'!I10,'23.07 BWAISE-MAKERERE'!I10,'24.07 Bwaise-Makerere'!I10,'25.07Bwaise-Makerere'!I10,'26.07 Bwaise-Makerere-24h'!I10,'27.07 Bwaise-Makerere-24h'!I10,'28.07 Bwaise-Makerere'!I10)</f>
        <v>2.1428571428571428</v>
      </c>
      <c r="J10" s="49">
        <f>AVERAGE('22.07 Bwaise-Makerere'!J10,'23.07 BWAISE-MAKERERE'!J10,'24.07 Bwaise-Makerere'!J10,'25.07Bwaise-Makerere'!J10,'26.07 Bwaise-Makerere-24h'!J10,'27.07 Bwaise-Makerere-24h'!J10,'28.07 Bwaise-Makerere'!J10)</f>
        <v>0.7142857142857143</v>
      </c>
      <c r="K10" s="49">
        <f>AVERAGE('22.07 Bwaise-Makerere'!K10,'23.07 BWAISE-MAKERERE'!K10,'24.07 Bwaise-Makerere'!K10,'25.07Bwaise-Makerere'!K10,'26.07 Bwaise-Makerere-24h'!K10,'27.07 Bwaise-Makerere-24h'!K10,'28.07 Bwaise-Makerere'!K10)</f>
        <v>0.5714285714285714</v>
      </c>
      <c r="L10" s="49">
        <f>AVERAGE('22.07 Bwaise-Makerere'!L10,'23.07 BWAISE-MAKERERE'!L10,'24.07 Bwaise-Makerere'!L10,'25.07Bwaise-Makerere'!L10,'26.07 Bwaise-Makerere-24h'!L10,'27.07 Bwaise-Makerere-24h'!L10,'28.07 Bwaise-Makerere'!L10)</f>
        <v>0</v>
      </c>
      <c r="M10" s="49">
        <f>AVERAGE('22.07 Bwaise-Makerere'!M10,'23.07 BWAISE-MAKERERE'!M10,'24.07 Bwaise-Makerere'!M10,'25.07Bwaise-Makerere'!M10,'26.07 Bwaise-Makerere-24h'!M10,'27.07 Bwaise-Makerere-24h'!M10,'28.07 Bwaise-Makerere'!M10)</f>
        <v>138.57142857142858</v>
      </c>
      <c r="N10" s="49">
        <f>AVERAGE('22.07 Bwaise-Makerere'!N10,'23.07 BWAISE-MAKERERE'!N10,'24.07 Bwaise-Makerere'!N10,'25.07Bwaise-Makerere'!N10,'26.07 Bwaise-Makerere-24h'!N10,'27.07 Bwaise-Makerere-24h'!N10,'28.07 Bwaise-Makerere'!N10)</f>
        <v>0</v>
      </c>
      <c r="O10" s="15">
        <f t="shared" ref="O10:O73" si="0">SUM(C10:L10,N10)</f>
        <v>165.28571428571431</v>
      </c>
      <c r="P10" s="15">
        <f t="shared" ref="P10:P73" si="1">SUM(C10:N10)</f>
        <v>303.85714285714289</v>
      </c>
      <c r="R10" s="1" t="s">
        <v>6</v>
      </c>
      <c r="S10" s="17">
        <f t="shared" ref="S10:AF10" si="2">SUM(C10:C13)</f>
        <v>251.14285714285717</v>
      </c>
      <c r="T10" s="17">
        <f t="shared" si="2"/>
        <v>64</v>
      </c>
      <c r="U10" s="17">
        <f t="shared" si="2"/>
        <v>22.714285714285715</v>
      </c>
      <c r="V10" s="17">
        <f t="shared" si="2"/>
        <v>242.71428571428572</v>
      </c>
      <c r="W10" s="17">
        <f t="shared" si="2"/>
        <v>6.7142857142857135</v>
      </c>
      <c r="X10" s="17">
        <f t="shared" si="2"/>
        <v>1.5714285714285714</v>
      </c>
      <c r="Y10" s="17">
        <f t="shared" si="2"/>
        <v>10.428571428571429</v>
      </c>
      <c r="Z10" s="17">
        <f t="shared" si="2"/>
        <v>5.1428571428571432</v>
      </c>
      <c r="AA10" s="17">
        <f t="shared" si="2"/>
        <v>2</v>
      </c>
      <c r="AB10" s="17">
        <f t="shared" si="2"/>
        <v>1.1190476190476191</v>
      </c>
      <c r="AC10" s="17">
        <f t="shared" si="2"/>
        <v>642.28571428571422</v>
      </c>
      <c r="AD10" s="17">
        <f t="shared" si="2"/>
        <v>0</v>
      </c>
      <c r="AE10" s="31">
        <f t="shared" si="2"/>
        <v>607.54761904761904</v>
      </c>
      <c r="AF10" s="31">
        <f t="shared" si="2"/>
        <v>1249.8333333333333</v>
      </c>
    </row>
    <row r="11" spans="2:32" s="6" customFormat="1" ht="23.1" customHeight="1" x14ac:dyDescent="0.25">
      <c r="B11" s="23" t="s">
        <v>38</v>
      </c>
      <c r="C11" s="49">
        <f>AVERAGE('22.07 Bwaise-Makerere'!C11,'23.07 BWAISE-MAKERERE'!C11,'24.07 Bwaise-Makerere'!C11,'25.07Bwaise-Makerere'!C11,'26.07 Bwaise-Makerere-24h'!C11,'27.07 Bwaise-Makerere-24h'!C11,'28.07 Bwaise-Makerere'!C11)</f>
        <v>59</v>
      </c>
      <c r="D11" s="49">
        <f>AVERAGE('22.07 Bwaise-Makerere'!D11,'23.07 BWAISE-MAKERERE'!D11,'24.07 Bwaise-Makerere'!D11,'25.07Bwaise-Makerere'!D11,'26.07 Bwaise-Makerere-24h'!D11,'27.07 Bwaise-Makerere-24h'!D11,'28.07 Bwaise-Makerere'!D11)</f>
        <v>13.571428571428571</v>
      </c>
      <c r="E11" s="49">
        <f>AVERAGE('22.07 Bwaise-Makerere'!E11,'23.07 BWAISE-MAKERERE'!E11,'24.07 Bwaise-Makerere'!E11,'25.07Bwaise-Makerere'!E11,'26.07 Bwaise-Makerere-24h'!E11,'27.07 Bwaise-Makerere-24h'!E11,'28.07 Bwaise-Makerere'!E11)</f>
        <v>5.4285714285714288</v>
      </c>
      <c r="F11" s="49">
        <f>AVERAGE('22.07 Bwaise-Makerere'!F11,'23.07 BWAISE-MAKERERE'!F11,'24.07 Bwaise-Makerere'!F11,'25.07Bwaise-Makerere'!F11,'26.07 Bwaise-Makerere-24h'!F11,'27.07 Bwaise-Makerere-24h'!F11,'28.07 Bwaise-Makerere'!F11)</f>
        <v>68.428571428571431</v>
      </c>
      <c r="G11" s="49">
        <f>AVERAGE('22.07 Bwaise-Makerere'!G11,'23.07 BWAISE-MAKERERE'!G11,'24.07 Bwaise-Makerere'!G11,'25.07Bwaise-Makerere'!G11,'26.07 Bwaise-Makerere-24h'!G11,'27.07 Bwaise-Makerere-24h'!G11,'28.07 Bwaise-Makerere'!G11)</f>
        <v>2</v>
      </c>
      <c r="H11" s="49">
        <f>AVERAGE('22.07 Bwaise-Makerere'!H11,'23.07 BWAISE-MAKERERE'!H11,'24.07 Bwaise-Makerere'!H11,'25.07Bwaise-Makerere'!H11,'26.07 Bwaise-Makerere-24h'!H11,'27.07 Bwaise-Makerere-24h'!H11,'28.07 Bwaise-Makerere'!H11)</f>
        <v>0</v>
      </c>
      <c r="I11" s="49">
        <f>AVERAGE('22.07 Bwaise-Makerere'!I11,'23.07 BWAISE-MAKERERE'!I11,'24.07 Bwaise-Makerere'!I11,'25.07Bwaise-Makerere'!I11,'26.07 Bwaise-Makerere-24h'!I11,'27.07 Bwaise-Makerere-24h'!I11,'28.07 Bwaise-Makerere'!I11)</f>
        <v>2.5714285714285716</v>
      </c>
      <c r="J11" s="49">
        <f>AVERAGE('22.07 Bwaise-Makerere'!J11,'23.07 BWAISE-MAKERERE'!J11,'24.07 Bwaise-Makerere'!J11,'25.07Bwaise-Makerere'!J11,'26.07 Bwaise-Makerere-24h'!J11,'27.07 Bwaise-Makerere-24h'!J11,'28.07 Bwaise-Makerere'!J11)</f>
        <v>2.2857142857142856</v>
      </c>
      <c r="K11" s="49">
        <f>AVERAGE('22.07 Bwaise-Makerere'!K11,'23.07 BWAISE-MAKERERE'!K11,'24.07 Bwaise-Makerere'!K11,'25.07Bwaise-Makerere'!K11,'26.07 Bwaise-Makerere-24h'!K11,'27.07 Bwaise-Makerere-24h'!K11,'28.07 Bwaise-Makerere'!K11)</f>
        <v>0.5714285714285714</v>
      </c>
      <c r="L11" s="49">
        <f>AVERAGE('22.07 Bwaise-Makerere'!L11,'23.07 BWAISE-MAKERERE'!L11,'24.07 Bwaise-Makerere'!L11,'25.07Bwaise-Makerere'!L11,'26.07 Bwaise-Makerere-24h'!L11,'27.07 Bwaise-Makerere-24h'!L11,'28.07 Bwaise-Makerere'!L11)</f>
        <v>0.83333333333333337</v>
      </c>
      <c r="M11" s="49">
        <f>AVERAGE('22.07 Bwaise-Makerere'!M11,'23.07 BWAISE-MAKERERE'!M11,'24.07 Bwaise-Makerere'!M11,'25.07Bwaise-Makerere'!M11,'26.07 Bwaise-Makerere-24h'!M11,'27.07 Bwaise-Makerere-24h'!M11,'28.07 Bwaise-Makerere'!M11)</f>
        <v>150</v>
      </c>
      <c r="N11" s="49">
        <f>AVERAGE('22.07 Bwaise-Makerere'!N11,'23.07 BWAISE-MAKERERE'!N11,'24.07 Bwaise-Makerere'!N11,'25.07Bwaise-Makerere'!N11,'26.07 Bwaise-Makerere-24h'!N11,'27.07 Bwaise-Makerere-24h'!N11,'28.07 Bwaise-Makerere'!N11)</f>
        <v>0</v>
      </c>
      <c r="O11" s="15">
        <f t="shared" si="0"/>
        <v>154.69047619047623</v>
      </c>
      <c r="P11" s="15">
        <f t="shared" si="1"/>
        <v>304.69047619047626</v>
      </c>
      <c r="R11" s="1" t="s">
        <v>7</v>
      </c>
      <c r="S11" s="17">
        <f t="shared" ref="S11:AF11" si="3">SUM(C14:C17)</f>
        <v>233.14285714285714</v>
      </c>
      <c r="T11" s="17">
        <f t="shared" si="3"/>
        <v>52.285714285714285</v>
      </c>
      <c r="U11" s="17">
        <f t="shared" si="3"/>
        <v>26.285714285714285</v>
      </c>
      <c r="V11" s="17">
        <f t="shared" si="3"/>
        <v>231.28571428571431</v>
      </c>
      <c r="W11" s="17">
        <f t="shared" si="3"/>
        <v>4.5714285714285712</v>
      </c>
      <c r="X11" s="17">
        <f t="shared" si="3"/>
        <v>4.2857142857142847</v>
      </c>
      <c r="Y11" s="17">
        <f t="shared" si="3"/>
        <v>21.357142857142858</v>
      </c>
      <c r="Z11" s="17">
        <f t="shared" si="3"/>
        <v>3.5714285714285716</v>
      </c>
      <c r="AA11" s="17">
        <f t="shared" si="3"/>
        <v>5.7142857142857135</v>
      </c>
      <c r="AB11" s="17">
        <f t="shared" si="3"/>
        <v>3.1428571428571432</v>
      </c>
      <c r="AC11" s="17">
        <f t="shared" si="3"/>
        <v>724.14285714285722</v>
      </c>
      <c r="AD11" s="17">
        <f t="shared" si="3"/>
        <v>0</v>
      </c>
      <c r="AE11" s="31">
        <f t="shared" si="3"/>
        <v>585.64285714285722</v>
      </c>
      <c r="AF11" s="31">
        <f t="shared" si="3"/>
        <v>1309.7857142857142</v>
      </c>
    </row>
    <row r="12" spans="2:32" ht="23.1" customHeight="1" x14ac:dyDescent="0.25">
      <c r="B12" s="23" t="s">
        <v>39</v>
      </c>
      <c r="C12" s="49">
        <f>AVERAGE('22.07 Bwaise-Makerere'!C12,'23.07 BWAISE-MAKERERE'!C12,'24.07 Bwaise-Makerere'!C12,'25.07Bwaise-Makerere'!C12,'26.07 Bwaise-Makerere-24h'!C12,'27.07 Bwaise-Makerere-24h'!C12,'28.07 Bwaise-Makerere'!C12)</f>
        <v>60.857142857142854</v>
      </c>
      <c r="D12" s="49">
        <f>AVERAGE('22.07 Bwaise-Makerere'!D12,'23.07 BWAISE-MAKERERE'!D12,'24.07 Bwaise-Makerere'!D12,'25.07Bwaise-Makerere'!D12,'26.07 Bwaise-Makerere-24h'!D12,'27.07 Bwaise-Makerere-24h'!D12,'28.07 Bwaise-Makerere'!D12)</f>
        <v>11.428571428571429</v>
      </c>
      <c r="E12" s="49">
        <f>AVERAGE('22.07 Bwaise-Makerere'!E12,'23.07 BWAISE-MAKERERE'!E12,'24.07 Bwaise-Makerere'!E12,'25.07Bwaise-Makerere'!E12,'26.07 Bwaise-Makerere-24h'!E12,'27.07 Bwaise-Makerere-24h'!E12,'28.07 Bwaise-Makerere'!E12)</f>
        <v>4.7142857142857144</v>
      </c>
      <c r="F12" s="49">
        <f>AVERAGE('22.07 Bwaise-Makerere'!F12,'23.07 BWAISE-MAKERERE'!F12,'24.07 Bwaise-Makerere'!F12,'25.07Bwaise-Makerere'!F12,'26.07 Bwaise-Makerere-24h'!F12,'27.07 Bwaise-Makerere-24h'!F12,'28.07 Bwaise-Makerere'!F12)</f>
        <v>54.714285714285715</v>
      </c>
      <c r="G12" s="49">
        <f>AVERAGE('22.07 Bwaise-Makerere'!G12,'23.07 BWAISE-MAKERERE'!G12,'24.07 Bwaise-Makerere'!G12,'25.07Bwaise-Makerere'!G12,'26.07 Bwaise-Makerere-24h'!G12,'27.07 Bwaise-Makerere-24h'!G12,'28.07 Bwaise-Makerere'!G12)</f>
        <v>2.1428571428571428</v>
      </c>
      <c r="H12" s="49">
        <f>AVERAGE('22.07 Bwaise-Makerere'!H12,'23.07 BWAISE-MAKERERE'!H12,'24.07 Bwaise-Makerere'!H12,'25.07Bwaise-Makerere'!H12,'26.07 Bwaise-Makerere-24h'!H12,'27.07 Bwaise-Makerere-24h'!H12,'28.07 Bwaise-Makerere'!H12)</f>
        <v>0.2857142857142857</v>
      </c>
      <c r="I12" s="49">
        <f>AVERAGE('22.07 Bwaise-Makerere'!I12,'23.07 BWAISE-MAKERERE'!I12,'24.07 Bwaise-Makerere'!I12,'25.07Bwaise-Makerere'!I12,'26.07 Bwaise-Makerere-24h'!I12,'27.07 Bwaise-Makerere-24h'!I12,'28.07 Bwaise-Makerere'!I12)</f>
        <v>2.5714285714285716</v>
      </c>
      <c r="J12" s="49">
        <f>AVERAGE('22.07 Bwaise-Makerere'!J12,'23.07 BWAISE-MAKERERE'!J12,'24.07 Bwaise-Makerere'!J12,'25.07Bwaise-Makerere'!J12,'26.07 Bwaise-Makerere-24h'!J12,'27.07 Bwaise-Makerere-24h'!J12,'28.07 Bwaise-Makerere'!J12)</f>
        <v>1.4285714285714286</v>
      </c>
      <c r="K12" s="49">
        <f>AVERAGE('22.07 Bwaise-Makerere'!K12,'23.07 BWAISE-MAKERERE'!K12,'24.07 Bwaise-Makerere'!K12,'25.07Bwaise-Makerere'!K12,'26.07 Bwaise-Makerere-24h'!K12,'27.07 Bwaise-Makerere-24h'!K12,'28.07 Bwaise-Makerere'!K12)</f>
        <v>0.42857142857142855</v>
      </c>
      <c r="L12" s="49">
        <f>AVERAGE('22.07 Bwaise-Makerere'!L12,'23.07 BWAISE-MAKERERE'!L12,'24.07 Bwaise-Makerere'!L12,'25.07Bwaise-Makerere'!L12,'26.07 Bwaise-Makerere-24h'!L12,'27.07 Bwaise-Makerere-24h'!L12,'28.07 Bwaise-Makerere'!L12)</f>
        <v>0</v>
      </c>
      <c r="M12" s="49">
        <f>AVERAGE('22.07 Bwaise-Makerere'!M12,'23.07 BWAISE-MAKERERE'!M12,'24.07 Bwaise-Makerere'!M12,'25.07Bwaise-Makerere'!M12,'26.07 Bwaise-Makerere-24h'!M12,'27.07 Bwaise-Makerere-24h'!M12,'28.07 Bwaise-Makerere'!M12)</f>
        <v>171.28571428571428</v>
      </c>
      <c r="N12" s="49">
        <f>AVERAGE('22.07 Bwaise-Makerere'!N12,'23.07 BWAISE-MAKERERE'!N12,'24.07 Bwaise-Makerere'!N12,'25.07Bwaise-Makerere'!N12,'26.07 Bwaise-Makerere-24h'!N12,'27.07 Bwaise-Makerere-24h'!N12,'28.07 Bwaise-Makerere'!N12)</f>
        <v>0</v>
      </c>
      <c r="O12" s="15">
        <f t="shared" si="0"/>
        <v>138.57142857142853</v>
      </c>
      <c r="P12" s="15">
        <f t="shared" si="1"/>
        <v>309.85714285714278</v>
      </c>
      <c r="R12" s="1" t="s">
        <v>8</v>
      </c>
      <c r="S12" s="17">
        <f t="shared" ref="S12:AF12" si="4">SUM(C18:C21)</f>
        <v>219.14285714285714</v>
      </c>
      <c r="T12" s="17">
        <f t="shared" si="4"/>
        <v>59.285714285714292</v>
      </c>
      <c r="U12" s="17">
        <f t="shared" si="4"/>
        <v>22.714285714285715</v>
      </c>
      <c r="V12" s="17">
        <f t="shared" si="4"/>
        <v>174.71428571428572</v>
      </c>
      <c r="W12" s="17">
        <f t="shared" si="4"/>
        <v>21.285714285714288</v>
      </c>
      <c r="X12" s="17">
        <f t="shared" si="4"/>
        <v>3.1428571428571423</v>
      </c>
      <c r="Y12" s="17">
        <f t="shared" si="4"/>
        <v>20.857142857142858</v>
      </c>
      <c r="Z12" s="17">
        <f t="shared" si="4"/>
        <v>8.7142857142857153</v>
      </c>
      <c r="AA12" s="17">
        <f t="shared" si="4"/>
        <v>5.7142857142857144</v>
      </c>
      <c r="AB12" s="17">
        <f t="shared" si="4"/>
        <v>1.2857142857142858</v>
      </c>
      <c r="AC12" s="17">
        <f t="shared" si="4"/>
        <v>685.14285714285711</v>
      </c>
      <c r="AD12" s="17">
        <f t="shared" si="4"/>
        <v>0</v>
      </c>
      <c r="AE12" s="31">
        <f t="shared" si="4"/>
        <v>536.85714285714289</v>
      </c>
      <c r="AF12" s="31">
        <f t="shared" si="4"/>
        <v>1222</v>
      </c>
    </row>
    <row r="13" spans="2:32" ht="23.1" customHeight="1" x14ac:dyDescent="0.25">
      <c r="B13" s="23" t="s">
        <v>40</v>
      </c>
      <c r="C13" s="49">
        <f>AVERAGE('22.07 Bwaise-Makerere'!C13,'23.07 BWAISE-MAKERERE'!C13,'24.07 Bwaise-Makerere'!C13,'25.07Bwaise-Makerere'!C13,'26.07 Bwaise-Makerere-24h'!C13,'27.07 Bwaise-Makerere-24h'!C13,'28.07 Bwaise-Makerere'!C13)</f>
        <v>57.857142857142854</v>
      </c>
      <c r="D13" s="49">
        <f>AVERAGE('22.07 Bwaise-Makerere'!D13,'23.07 BWAISE-MAKERERE'!D13,'24.07 Bwaise-Makerere'!D13,'25.07Bwaise-Makerere'!D13,'26.07 Bwaise-Makerere-24h'!D13,'27.07 Bwaise-Makerere-24h'!D13,'28.07 Bwaise-Makerere'!D13)</f>
        <v>19.714285714285715</v>
      </c>
      <c r="E13" s="49">
        <f>AVERAGE('22.07 Bwaise-Makerere'!E13,'23.07 BWAISE-MAKERERE'!E13,'24.07 Bwaise-Makerere'!E13,'25.07Bwaise-Makerere'!E13,'26.07 Bwaise-Makerere-24h'!E13,'27.07 Bwaise-Makerere-24h'!E13,'28.07 Bwaise-Makerere'!E13)</f>
        <v>6.2857142857142856</v>
      </c>
      <c r="F13" s="49">
        <f>AVERAGE('22.07 Bwaise-Makerere'!F13,'23.07 BWAISE-MAKERERE'!F13,'24.07 Bwaise-Makerere'!F13,'25.07Bwaise-Makerere'!F13,'26.07 Bwaise-Makerere-24h'!F13,'27.07 Bwaise-Makerere-24h'!F13,'28.07 Bwaise-Makerere'!F13)</f>
        <v>58.428571428571431</v>
      </c>
      <c r="G13" s="49">
        <f>AVERAGE('22.07 Bwaise-Makerere'!G13,'23.07 BWAISE-MAKERERE'!G13,'24.07 Bwaise-Makerere'!G13,'25.07Bwaise-Makerere'!G13,'26.07 Bwaise-Makerere-24h'!G13,'27.07 Bwaise-Makerere-24h'!G13,'28.07 Bwaise-Makerere'!G13)</f>
        <v>1.1428571428571428</v>
      </c>
      <c r="H13" s="49">
        <f>AVERAGE('22.07 Bwaise-Makerere'!H13,'23.07 BWAISE-MAKERERE'!H13,'24.07 Bwaise-Makerere'!H13,'25.07Bwaise-Makerere'!H13,'26.07 Bwaise-Makerere-24h'!H13,'27.07 Bwaise-Makerere-24h'!H13,'28.07 Bwaise-Makerere'!H13)</f>
        <v>1</v>
      </c>
      <c r="I13" s="49">
        <f>AVERAGE('22.07 Bwaise-Makerere'!I13,'23.07 BWAISE-MAKERERE'!I13,'24.07 Bwaise-Makerere'!I13,'25.07Bwaise-Makerere'!I13,'26.07 Bwaise-Makerere-24h'!I13,'27.07 Bwaise-Makerere-24h'!I13,'28.07 Bwaise-Makerere'!I13)</f>
        <v>3.1428571428571428</v>
      </c>
      <c r="J13" s="49">
        <f>AVERAGE('22.07 Bwaise-Makerere'!J13,'23.07 BWAISE-MAKERERE'!J13,'24.07 Bwaise-Makerere'!J13,'25.07Bwaise-Makerere'!J13,'26.07 Bwaise-Makerere-24h'!J13,'27.07 Bwaise-Makerere-24h'!J13,'28.07 Bwaise-Makerere'!J13)</f>
        <v>0.7142857142857143</v>
      </c>
      <c r="K13" s="49">
        <f>AVERAGE('22.07 Bwaise-Makerere'!K13,'23.07 BWAISE-MAKERERE'!K13,'24.07 Bwaise-Makerere'!K13,'25.07Bwaise-Makerere'!K13,'26.07 Bwaise-Makerere-24h'!K13,'27.07 Bwaise-Makerere-24h'!K13,'28.07 Bwaise-Makerere'!K13)</f>
        <v>0.42857142857142855</v>
      </c>
      <c r="L13" s="49">
        <f>AVERAGE('22.07 Bwaise-Makerere'!L13,'23.07 BWAISE-MAKERERE'!L13,'24.07 Bwaise-Makerere'!L13,'25.07Bwaise-Makerere'!L13,'26.07 Bwaise-Makerere-24h'!L13,'27.07 Bwaise-Makerere-24h'!L13,'28.07 Bwaise-Makerere'!L13)</f>
        <v>0.2857142857142857</v>
      </c>
      <c r="M13" s="49">
        <f>AVERAGE('22.07 Bwaise-Makerere'!M13,'23.07 BWAISE-MAKERERE'!M13,'24.07 Bwaise-Makerere'!M13,'25.07Bwaise-Makerere'!M13,'26.07 Bwaise-Makerere-24h'!M13,'27.07 Bwaise-Makerere-24h'!M13,'28.07 Bwaise-Makerere'!M13)</f>
        <v>182.42857142857142</v>
      </c>
      <c r="N13" s="49">
        <f>AVERAGE('22.07 Bwaise-Makerere'!N13,'23.07 BWAISE-MAKERERE'!N13,'24.07 Bwaise-Makerere'!N13,'25.07Bwaise-Makerere'!N13,'26.07 Bwaise-Makerere-24h'!N13,'27.07 Bwaise-Makerere-24h'!N13,'28.07 Bwaise-Makerere'!N13)</f>
        <v>0</v>
      </c>
      <c r="O13" s="15">
        <f t="shared" si="0"/>
        <v>148.99999999999997</v>
      </c>
      <c r="P13" s="15">
        <f t="shared" si="1"/>
        <v>331.42857142857139</v>
      </c>
      <c r="R13" s="1" t="s">
        <v>9</v>
      </c>
      <c r="S13" s="17">
        <f t="shared" ref="S13:AF13" si="5">SUM(C22:C25)</f>
        <v>221.14285714285717</v>
      </c>
      <c r="T13" s="17">
        <f t="shared" si="5"/>
        <v>70.714285714285708</v>
      </c>
      <c r="U13" s="17">
        <f t="shared" si="5"/>
        <v>42.428571428571431</v>
      </c>
      <c r="V13" s="17">
        <f t="shared" si="5"/>
        <v>166.57142857142861</v>
      </c>
      <c r="W13" s="17">
        <f t="shared" si="5"/>
        <v>3.2857142857142856</v>
      </c>
      <c r="X13" s="17">
        <f t="shared" si="5"/>
        <v>2</v>
      </c>
      <c r="Y13" s="17">
        <f t="shared" si="5"/>
        <v>24.285714285714285</v>
      </c>
      <c r="Z13" s="17">
        <f t="shared" si="5"/>
        <v>7.5714285714285712</v>
      </c>
      <c r="AA13" s="17">
        <f t="shared" si="5"/>
        <v>5.7142857142857135</v>
      </c>
      <c r="AB13" s="17">
        <f t="shared" si="5"/>
        <v>1.5714285714285712</v>
      </c>
      <c r="AC13" s="17">
        <f t="shared" si="5"/>
        <v>639.42857142857144</v>
      </c>
      <c r="AD13" s="17">
        <f t="shared" si="5"/>
        <v>0</v>
      </c>
      <c r="AE13" s="31">
        <f t="shared" si="5"/>
        <v>545.28571428571433</v>
      </c>
      <c r="AF13" s="31">
        <f t="shared" si="5"/>
        <v>1184.7142857142858</v>
      </c>
    </row>
    <row r="14" spans="2:32" ht="23.1" customHeight="1" x14ac:dyDescent="0.25">
      <c r="B14" s="23" t="s">
        <v>41</v>
      </c>
      <c r="C14" s="49">
        <f>AVERAGE('22.07 Bwaise-Makerere'!C14,'23.07 BWAISE-MAKERERE'!C14,'24.07 Bwaise-Makerere'!C14,'25.07Bwaise-Makerere'!C14,'26.07 Bwaise-Makerere-24h'!C14,'27.07 Bwaise-Makerere-24h'!C14,'28.07 Bwaise-Makerere'!C14)</f>
        <v>56.714285714285715</v>
      </c>
      <c r="D14" s="49">
        <f>AVERAGE('22.07 Bwaise-Makerere'!D14,'23.07 BWAISE-MAKERERE'!D14,'24.07 Bwaise-Makerere'!D14,'25.07Bwaise-Makerere'!D14,'26.07 Bwaise-Makerere-24h'!D14,'27.07 Bwaise-Makerere-24h'!D14,'28.07 Bwaise-Makerere'!D14)</f>
        <v>12.428571428571429</v>
      </c>
      <c r="E14" s="49">
        <f>AVERAGE('22.07 Bwaise-Makerere'!E14,'23.07 BWAISE-MAKERERE'!E14,'24.07 Bwaise-Makerere'!E14,'25.07Bwaise-Makerere'!E14,'26.07 Bwaise-Makerere-24h'!E14,'27.07 Bwaise-Makerere-24h'!E14,'28.07 Bwaise-Makerere'!E14)</f>
        <v>5.2857142857142856</v>
      </c>
      <c r="F14" s="49">
        <f>AVERAGE('22.07 Bwaise-Makerere'!F14,'23.07 BWAISE-MAKERERE'!F14,'24.07 Bwaise-Makerere'!F14,'25.07Bwaise-Makerere'!F14,'26.07 Bwaise-Makerere-24h'!F14,'27.07 Bwaise-Makerere-24h'!F14,'28.07 Bwaise-Makerere'!F14)</f>
        <v>52.142857142857146</v>
      </c>
      <c r="G14" s="49">
        <f>AVERAGE('22.07 Bwaise-Makerere'!G14,'23.07 BWAISE-MAKERERE'!G14,'24.07 Bwaise-Makerere'!G14,'25.07Bwaise-Makerere'!G14,'26.07 Bwaise-Makerere-24h'!G14,'27.07 Bwaise-Makerere-24h'!G14,'28.07 Bwaise-Makerere'!G14)</f>
        <v>1.4285714285714286</v>
      </c>
      <c r="H14" s="49">
        <f>AVERAGE('22.07 Bwaise-Makerere'!H14,'23.07 BWAISE-MAKERERE'!H14,'24.07 Bwaise-Makerere'!H14,'25.07Bwaise-Makerere'!H14,'26.07 Bwaise-Makerere-24h'!H14,'27.07 Bwaise-Makerere-24h'!H14,'28.07 Bwaise-Makerere'!H14)</f>
        <v>1.7142857142857142</v>
      </c>
      <c r="I14" s="49">
        <f>AVERAGE('22.07 Bwaise-Makerere'!I14,'23.07 BWAISE-MAKERERE'!I14,'24.07 Bwaise-Makerere'!I14,'25.07Bwaise-Makerere'!I14,'26.07 Bwaise-Makerere-24h'!I14,'27.07 Bwaise-Makerere-24h'!I14,'28.07 Bwaise-Makerere'!I14)</f>
        <v>2.8571428571428572</v>
      </c>
      <c r="J14" s="49">
        <f>AVERAGE('22.07 Bwaise-Makerere'!J14,'23.07 BWAISE-MAKERERE'!J14,'24.07 Bwaise-Makerere'!J14,'25.07Bwaise-Makerere'!J14,'26.07 Bwaise-Makerere-24h'!J14,'27.07 Bwaise-Makerere-24h'!J14,'28.07 Bwaise-Makerere'!J14)</f>
        <v>1</v>
      </c>
      <c r="K14" s="49">
        <f>AVERAGE('22.07 Bwaise-Makerere'!K14,'23.07 BWAISE-MAKERERE'!K14,'24.07 Bwaise-Makerere'!K14,'25.07Bwaise-Makerere'!K14,'26.07 Bwaise-Makerere-24h'!K14,'27.07 Bwaise-Makerere-24h'!K14,'28.07 Bwaise-Makerere'!K14)</f>
        <v>0.8571428571428571</v>
      </c>
      <c r="L14" s="49">
        <f>AVERAGE('22.07 Bwaise-Makerere'!L14,'23.07 BWAISE-MAKERERE'!L14,'24.07 Bwaise-Makerere'!L14,'25.07Bwaise-Makerere'!L14,'26.07 Bwaise-Makerere-24h'!L14,'27.07 Bwaise-Makerere-24h'!L14,'28.07 Bwaise-Makerere'!L14)</f>
        <v>1</v>
      </c>
      <c r="M14" s="49">
        <f>AVERAGE('22.07 Bwaise-Makerere'!M14,'23.07 BWAISE-MAKERERE'!M14,'24.07 Bwaise-Makerere'!M14,'25.07Bwaise-Makerere'!M14,'26.07 Bwaise-Makerere-24h'!M14,'27.07 Bwaise-Makerere-24h'!M14,'28.07 Bwaise-Makerere'!M14)</f>
        <v>164.42857142857142</v>
      </c>
      <c r="N14" s="49">
        <f>AVERAGE('22.07 Bwaise-Makerere'!N14,'23.07 BWAISE-MAKERERE'!N14,'24.07 Bwaise-Makerere'!N14,'25.07Bwaise-Makerere'!N14,'26.07 Bwaise-Makerere-24h'!N14,'27.07 Bwaise-Makerere-24h'!N14,'28.07 Bwaise-Makerere'!N14)</f>
        <v>0</v>
      </c>
      <c r="O14" s="15">
        <f t="shared" si="0"/>
        <v>135.42857142857144</v>
      </c>
      <c r="P14" s="15">
        <f t="shared" si="1"/>
        <v>299.85714285714289</v>
      </c>
      <c r="R14" s="1" t="s">
        <v>10</v>
      </c>
      <c r="S14" s="17">
        <f t="shared" ref="S14:AF14" si="6">SUM(C26:C29)</f>
        <v>205.28571428571428</v>
      </c>
      <c r="T14" s="17">
        <f t="shared" si="6"/>
        <v>60.285714285714285</v>
      </c>
      <c r="U14" s="17">
        <f t="shared" si="6"/>
        <v>42</v>
      </c>
      <c r="V14" s="17">
        <f t="shared" si="6"/>
        <v>156.28571428571428</v>
      </c>
      <c r="W14" s="17">
        <f t="shared" si="6"/>
        <v>2.2857142857142856</v>
      </c>
      <c r="X14" s="17">
        <f t="shared" si="6"/>
        <v>3.2857142857142856</v>
      </c>
      <c r="Y14" s="17">
        <f t="shared" si="6"/>
        <v>21.571428571428569</v>
      </c>
      <c r="Z14" s="17">
        <f t="shared" si="6"/>
        <v>5.8571428571428577</v>
      </c>
      <c r="AA14" s="17">
        <f t="shared" si="6"/>
        <v>5.7142857142857144</v>
      </c>
      <c r="AB14" s="17">
        <f t="shared" si="6"/>
        <v>6.2857142857142865</v>
      </c>
      <c r="AC14" s="17">
        <f t="shared" si="6"/>
        <v>538.42857142857144</v>
      </c>
      <c r="AD14" s="17">
        <f t="shared" si="6"/>
        <v>0.14285714285714285</v>
      </c>
      <c r="AE14" s="31">
        <f t="shared" si="6"/>
        <v>509</v>
      </c>
      <c r="AF14" s="31">
        <f t="shared" si="6"/>
        <v>1047.4285714285713</v>
      </c>
    </row>
    <row r="15" spans="2:32" ht="23.1" customHeight="1" x14ac:dyDescent="0.25">
      <c r="B15" s="23" t="s">
        <v>42</v>
      </c>
      <c r="C15" s="49">
        <f>AVERAGE('22.07 Bwaise-Makerere'!C15,'23.07 BWAISE-MAKERERE'!C15,'24.07 Bwaise-Makerere'!C15,'25.07Bwaise-Makerere'!C15,'26.07 Bwaise-Makerere-24h'!C15,'27.07 Bwaise-Makerere-24h'!C15,'28.07 Bwaise-Makerere'!C15)</f>
        <v>50.571428571428569</v>
      </c>
      <c r="D15" s="49">
        <f>AVERAGE('22.07 Bwaise-Makerere'!D15,'23.07 BWAISE-MAKERERE'!D15,'24.07 Bwaise-Makerere'!D15,'25.07Bwaise-Makerere'!D15,'26.07 Bwaise-Makerere-24h'!D15,'27.07 Bwaise-Makerere-24h'!D15,'28.07 Bwaise-Makerere'!D15)</f>
        <v>11.857142857142858</v>
      </c>
      <c r="E15" s="49">
        <f>AVERAGE('22.07 Bwaise-Makerere'!E15,'23.07 BWAISE-MAKERERE'!E15,'24.07 Bwaise-Makerere'!E15,'25.07Bwaise-Makerere'!E15,'26.07 Bwaise-Makerere-24h'!E15,'27.07 Bwaise-Makerere-24h'!E15,'28.07 Bwaise-Makerere'!E15)</f>
        <v>6</v>
      </c>
      <c r="F15" s="49">
        <f>AVERAGE('22.07 Bwaise-Makerere'!F15,'23.07 BWAISE-MAKERERE'!F15,'24.07 Bwaise-Makerere'!F15,'25.07Bwaise-Makerere'!F15,'26.07 Bwaise-Makerere-24h'!F15,'27.07 Bwaise-Makerere-24h'!F15,'28.07 Bwaise-Makerere'!F15)</f>
        <v>57.571428571428569</v>
      </c>
      <c r="G15" s="49">
        <f>AVERAGE('22.07 Bwaise-Makerere'!G15,'23.07 BWAISE-MAKERERE'!G15,'24.07 Bwaise-Makerere'!G15,'25.07Bwaise-Makerere'!G15,'26.07 Bwaise-Makerere-24h'!G15,'27.07 Bwaise-Makerere-24h'!G15,'28.07 Bwaise-Makerere'!G15)</f>
        <v>0.7142857142857143</v>
      </c>
      <c r="H15" s="49">
        <f>AVERAGE('22.07 Bwaise-Makerere'!H15,'23.07 BWAISE-MAKERERE'!H15,'24.07 Bwaise-Makerere'!H15,'25.07Bwaise-Makerere'!H15,'26.07 Bwaise-Makerere-24h'!H15,'27.07 Bwaise-Makerere-24h'!H15,'28.07 Bwaise-Makerere'!H15)</f>
        <v>1.1428571428571428</v>
      </c>
      <c r="I15" s="49">
        <f>AVERAGE('22.07 Bwaise-Makerere'!I15,'23.07 BWAISE-MAKERERE'!I15,'24.07 Bwaise-Makerere'!I15,'25.07Bwaise-Makerere'!I15,'26.07 Bwaise-Makerere-24h'!I15,'27.07 Bwaise-Makerere-24h'!I15,'28.07 Bwaise-Makerere'!I15)</f>
        <v>10</v>
      </c>
      <c r="J15" s="49">
        <f>AVERAGE('22.07 Bwaise-Makerere'!J15,'23.07 BWAISE-MAKERERE'!J15,'24.07 Bwaise-Makerere'!J15,'25.07Bwaise-Makerere'!J15,'26.07 Bwaise-Makerere-24h'!J15,'27.07 Bwaise-Makerere-24h'!J15,'28.07 Bwaise-Makerere'!J15)</f>
        <v>0.7142857142857143</v>
      </c>
      <c r="K15" s="49">
        <f>AVERAGE('22.07 Bwaise-Makerere'!K15,'23.07 BWAISE-MAKERERE'!K15,'24.07 Bwaise-Makerere'!K15,'25.07Bwaise-Makerere'!K15,'26.07 Bwaise-Makerere-24h'!K15,'27.07 Bwaise-Makerere-24h'!K15,'28.07 Bwaise-Makerere'!K15)</f>
        <v>1.7142857142857142</v>
      </c>
      <c r="L15" s="49">
        <f>AVERAGE('22.07 Bwaise-Makerere'!L15,'23.07 BWAISE-MAKERERE'!L15,'24.07 Bwaise-Makerere'!L15,'25.07Bwaise-Makerere'!L15,'26.07 Bwaise-Makerere-24h'!L15,'27.07 Bwaise-Makerere-24h'!L15,'28.07 Bwaise-Makerere'!L15)</f>
        <v>0.7142857142857143</v>
      </c>
      <c r="M15" s="49">
        <f>AVERAGE('22.07 Bwaise-Makerere'!M15,'23.07 BWAISE-MAKERERE'!M15,'24.07 Bwaise-Makerere'!M15,'25.07Bwaise-Makerere'!M15,'26.07 Bwaise-Makerere-24h'!M15,'27.07 Bwaise-Makerere-24h'!M15,'28.07 Bwaise-Makerere'!M15)</f>
        <v>192</v>
      </c>
      <c r="N15" s="49">
        <f>AVERAGE('22.07 Bwaise-Makerere'!N15,'23.07 BWAISE-MAKERERE'!N15,'24.07 Bwaise-Makerere'!N15,'25.07Bwaise-Makerere'!N15,'26.07 Bwaise-Makerere-24h'!N15,'27.07 Bwaise-Makerere-24h'!N15,'28.07 Bwaise-Makerere'!N15)</f>
        <v>0</v>
      </c>
      <c r="O15" s="15">
        <f t="shared" si="0"/>
        <v>141</v>
      </c>
      <c r="P15" s="15">
        <f t="shared" si="1"/>
        <v>333</v>
      </c>
      <c r="R15" s="1" t="s">
        <v>11</v>
      </c>
      <c r="S15" s="17">
        <f t="shared" ref="S15:AF15" si="7">SUM(C30:C33)</f>
        <v>197.28571428571428</v>
      </c>
      <c r="T15" s="17">
        <f t="shared" si="7"/>
        <v>54.571428571428577</v>
      </c>
      <c r="U15" s="17">
        <f t="shared" si="7"/>
        <v>38.285714285714292</v>
      </c>
      <c r="V15" s="17">
        <f t="shared" si="7"/>
        <v>138.28571428571428</v>
      </c>
      <c r="W15" s="17">
        <f t="shared" si="7"/>
        <v>4</v>
      </c>
      <c r="X15" s="17">
        <f t="shared" si="7"/>
        <v>5.7142857142857144</v>
      </c>
      <c r="Y15" s="17">
        <f t="shared" si="7"/>
        <v>22.857142857142858</v>
      </c>
      <c r="Z15" s="17">
        <f t="shared" si="7"/>
        <v>9.8571428571428577</v>
      </c>
      <c r="AA15" s="17">
        <f t="shared" si="7"/>
        <v>5.8571428571428568</v>
      </c>
      <c r="AB15" s="17">
        <f t="shared" si="7"/>
        <v>2.2857142857142856</v>
      </c>
      <c r="AC15" s="17">
        <f t="shared" si="7"/>
        <v>522.28571428571422</v>
      </c>
      <c r="AD15" s="17">
        <f t="shared" si="7"/>
        <v>0</v>
      </c>
      <c r="AE15" s="31">
        <f t="shared" si="7"/>
        <v>479.00000000000006</v>
      </c>
      <c r="AF15" s="31">
        <f t="shared" si="7"/>
        <v>1001.2857142857142</v>
      </c>
    </row>
    <row r="16" spans="2:32" ht="23.1" customHeight="1" x14ac:dyDescent="0.25">
      <c r="B16" s="23" t="s">
        <v>43</v>
      </c>
      <c r="C16" s="49">
        <f>AVERAGE('22.07 Bwaise-Makerere'!C16,'23.07 BWAISE-MAKERERE'!C16,'24.07 Bwaise-Makerere'!C16,'25.07Bwaise-Makerere'!C16,'26.07 Bwaise-Makerere-24h'!C16,'27.07 Bwaise-Makerere-24h'!C16,'28.07 Bwaise-Makerere'!C16)</f>
        <v>69.857142857142861</v>
      </c>
      <c r="D16" s="49">
        <f>AVERAGE('22.07 Bwaise-Makerere'!D16,'23.07 BWAISE-MAKERERE'!D16,'24.07 Bwaise-Makerere'!D16,'25.07Bwaise-Makerere'!D16,'26.07 Bwaise-Makerere-24h'!D16,'27.07 Bwaise-Makerere-24h'!D16,'28.07 Bwaise-Makerere'!D16)</f>
        <v>14.428571428571429</v>
      </c>
      <c r="E16" s="49">
        <f>AVERAGE('22.07 Bwaise-Makerere'!E16,'23.07 BWAISE-MAKERERE'!E16,'24.07 Bwaise-Makerere'!E16,'25.07Bwaise-Makerere'!E16,'26.07 Bwaise-Makerere-24h'!E16,'27.07 Bwaise-Makerere-24h'!E16,'28.07 Bwaise-Makerere'!E16)</f>
        <v>8</v>
      </c>
      <c r="F16" s="49">
        <f>AVERAGE('22.07 Bwaise-Makerere'!F16,'23.07 BWAISE-MAKERERE'!F16,'24.07 Bwaise-Makerere'!F16,'25.07Bwaise-Makerere'!F16,'26.07 Bwaise-Makerere-24h'!F16,'27.07 Bwaise-Makerere-24h'!F16,'28.07 Bwaise-Makerere'!F16)</f>
        <v>65.714285714285708</v>
      </c>
      <c r="G16" s="49">
        <f>AVERAGE('22.07 Bwaise-Makerere'!G16,'23.07 BWAISE-MAKERERE'!G16,'24.07 Bwaise-Makerere'!G16,'25.07Bwaise-Makerere'!G16,'26.07 Bwaise-Makerere-24h'!G16,'27.07 Bwaise-Makerere-24h'!G16,'28.07 Bwaise-Makerere'!G16)</f>
        <v>1.1428571428571428</v>
      </c>
      <c r="H16" s="49">
        <f>AVERAGE('22.07 Bwaise-Makerere'!H16,'23.07 BWAISE-MAKERERE'!H16,'24.07 Bwaise-Makerere'!H16,'25.07Bwaise-Makerere'!H16,'26.07 Bwaise-Makerere-24h'!H16,'27.07 Bwaise-Makerere-24h'!H16,'28.07 Bwaise-Makerere'!H16)</f>
        <v>0.5714285714285714</v>
      </c>
      <c r="I16" s="49">
        <f>AVERAGE('22.07 Bwaise-Makerere'!I16,'23.07 BWAISE-MAKERERE'!I16,'24.07 Bwaise-Makerere'!I16,'25.07Bwaise-Makerere'!I16,'26.07 Bwaise-Makerere-24h'!I16,'27.07 Bwaise-Makerere-24h'!I16,'28.07 Bwaise-Makerere'!I16)</f>
        <v>4.333333333333333</v>
      </c>
      <c r="J16" s="49">
        <f>AVERAGE('22.07 Bwaise-Makerere'!J16,'23.07 BWAISE-MAKERERE'!J16,'24.07 Bwaise-Makerere'!J16,'25.07Bwaise-Makerere'!J16,'26.07 Bwaise-Makerere-24h'!J16,'27.07 Bwaise-Makerere-24h'!J16,'28.07 Bwaise-Makerere'!J16)</f>
        <v>1</v>
      </c>
      <c r="K16" s="49">
        <f>AVERAGE('22.07 Bwaise-Makerere'!K16,'23.07 BWAISE-MAKERERE'!K16,'24.07 Bwaise-Makerere'!K16,'25.07Bwaise-Makerere'!K16,'26.07 Bwaise-Makerere-24h'!K16,'27.07 Bwaise-Makerere-24h'!K16,'28.07 Bwaise-Makerere'!K16)</f>
        <v>1</v>
      </c>
      <c r="L16" s="49">
        <f>AVERAGE('22.07 Bwaise-Makerere'!L16,'23.07 BWAISE-MAKERERE'!L16,'24.07 Bwaise-Makerere'!L16,'25.07Bwaise-Makerere'!L16,'26.07 Bwaise-Makerere-24h'!L16,'27.07 Bwaise-Makerere-24h'!L16,'28.07 Bwaise-Makerere'!L16)</f>
        <v>0.7142857142857143</v>
      </c>
      <c r="M16" s="49">
        <f>AVERAGE('22.07 Bwaise-Makerere'!M16,'23.07 BWAISE-MAKERERE'!M16,'24.07 Bwaise-Makerere'!M16,'25.07Bwaise-Makerere'!M16,'26.07 Bwaise-Makerere-24h'!M16,'27.07 Bwaise-Makerere-24h'!M16,'28.07 Bwaise-Makerere'!M16)</f>
        <v>185.28571428571428</v>
      </c>
      <c r="N16" s="49">
        <f>AVERAGE('22.07 Bwaise-Makerere'!N16,'23.07 BWAISE-MAKERERE'!N16,'24.07 Bwaise-Makerere'!N16,'25.07Bwaise-Makerere'!N16,'26.07 Bwaise-Makerere-24h'!N16,'27.07 Bwaise-Makerere-24h'!N16,'28.07 Bwaise-Makerere'!N16)</f>
        <v>0</v>
      </c>
      <c r="O16" s="15">
        <f t="shared" si="0"/>
        <v>166.76190476190479</v>
      </c>
      <c r="P16" s="15">
        <f t="shared" si="1"/>
        <v>352.04761904761904</v>
      </c>
      <c r="R16" s="1" t="s">
        <v>12</v>
      </c>
      <c r="S16" s="17">
        <f t="shared" ref="S16:AF16" si="8">SUM(C34:C37)</f>
        <v>157</v>
      </c>
      <c r="T16" s="17">
        <f t="shared" si="8"/>
        <v>54.857142857142861</v>
      </c>
      <c r="U16" s="17">
        <f t="shared" si="8"/>
        <v>33.428571428571431</v>
      </c>
      <c r="V16" s="17">
        <f t="shared" si="8"/>
        <v>106.57142857142857</v>
      </c>
      <c r="W16" s="17">
        <f t="shared" si="8"/>
        <v>7.7142857142857144</v>
      </c>
      <c r="X16" s="17">
        <f t="shared" si="8"/>
        <v>9.4285714285714288</v>
      </c>
      <c r="Y16" s="17">
        <f t="shared" si="8"/>
        <v>25.428571428571423</v>
      </c>
      <c r="Z16" s="17">
        <f t="shared" si="8"/>
        <v>8.1428571428571423</v>
      </c>
      <c r="AA16" s="17">
        <f t="shared" si="8"/>
        <v>5.7142857142857135</v>
      </c>
      <c r="AB16" s="17">
        <f t="shared" si="8"/>
        <v>1.857142857142857</v>
      </c>
      <c r="AC16" s="17">
        <f t="shared" si="8"/>
        <v>464.57142857142856</v>
      </c>
      <c r="AD16" s="17">
        <f t="shared" si="8"/>
        <v>0.14285714285714285</v>
      </c>
      <c r="AE16" s="31">
        <f t="shared" si="8"/>
        <v>410.28571428571422</v>
      </c>
      <c r="AF16" s="31">
        <f t="shared" si="8"/>
        <v>874.85714285714278</v>
      </c>
    </row>
    <row r="17" spans="2:32" ht="23.1" customHeight="1" x14ac:dyDescent="0.25">
      <c r="B17" s="23" t="s">
        <v>44</v>
      </c>
      <c r="C17" s="49">
        <f>AVERAGE('22.07 Bwaise-Makerere'!C17,'23.07 BWAISE-MAKERERE'!C17,'24.07 Bwaise-Makerere'!C17,'25.07Bwaise-Makerere'!C17,'26.07 Bwaise-Makerere-24h'!C17,'27.07 Bwaise-Makerere-24h'!C17,'28.07 Bwaise-Makerere'!C17)</f>
        <v>56</v>
      </c>
      <c r="D17" s="49">
        <f>AVERAGE('22.07 Bwaise-Makerere'!D17,'23.07 BWAISE-MAKERERE'!D17,'24.07 Bwaise-Makerere'!D17,'25.07Bwaise-Makerere'!D17,'26.07 Bwaise-Makerere-24h'!D17,'27.07 Bwaise-Makerere-24h'!D17,'28.07 Bwaise-Makerere'!D17)</f>
        <v>13.571428571428571</v>
      </c>
      <c r="E17" s="49">
        <f>AVERAGE('22.07 Bwaise-Makerere'!E17,'23.07 BWAISE-MAKERERE'!E17,'24.07 Bwaise-Makerere'!E17,'25.07Bwaise-Makerere'!E17,'26.07 Bwaise-Makerere-24h'!E17,'27.07 Bwaise-Makerere-24h'!E17,'28.07 Bwaise-Makerere'!E17)</f>
        <v>7</v>
      </c>
      <c r="F17" s="49">
        <f>AVERAGE('22.07 Bwaise-Makerere'!F17,'23.07 BWAISE-MAKERERE'!F17,'24.07 Bwaise-Makerere'!F17,'25.07Bwaise-Makerere'!F17,'26.07 Bwaise-Makerere-24h'!F17,'27.07 Bwaise-Makerere-24h'!F17,'28.07 Bwaise-Makerere'!F17)</f>
        <v>55.857142857142854</v>
      </c>
      <c r="G17" s="49">
        <f>AVERAGE('22.07 Bwaise-Makerere'!G17,'23.07 BWAISE-MAKERERE'!G17,'24.07 Bwaise-Makerere'!G17,'25.07Bwaise-Makerere'!G17,'26.07 Bwaise-Makerere-24h'!G17,'27.07 Bwaise-Makerere-24h'!G17,'28.07 Bwaise-Makerere'!G17)</f>
        <v>1.2857142857142858</v>
      </c>
      <c r="H17" s="49">
        <f>AVERAGE('22.07 Bwaise-Makerere'!H17,'23.07 BWAISE-MAKERERE'!H17,'24.07 Bwaise-Makerere'!H17,'25.07Bwaise-Makerere'!H17,'26.07 Bwaise-Makerere-24h'!H17,'27.07 Bwaise-Makerere-24h'!H17,'28.07 Bwaise-Makerere'!H17)</f>
        <v>0.8571428571428571</v>
      </c>
      <c r="I17" s="49">
        <f>AVERAGE('22.07 Bwaise-Makerere'!I17,'23.07 BWAISE-MAKERERE'!I17,'24.07 Bwaise-Makerere'!I17,'25.07Bwaise-Makerere'!I17,'26.07 Bwaise-Makerere-24h'!I17,'27.07 Bwaise-Makerere-24h'!I17,'28.07 Bwaise-Makerere'!I17)</f>
        <v>4.166666666666667</v>
      </c>
      <c r="J17" s="49">
        <f>AVERAGE('22.07 Bwaise-Makerere'!J17,'23.07 BWAISE-MAKERERE'!J17,'24.07 Bwaise-Makerere'!J17,'25.07Bwaise-Makerere'!J17,'26.07 Bwaise-Makerere-24h'!J17,'27.07 Bwaise-Makerere-24h'!J17,'28.07 Bwaise-Makerere'!J17)</f>
        <v>0.8571428571428571</v>
      </c>
      <c r="K17" s="49">
        <f>AVERAGE('22.07 Bwaise-Makerere'!K17,'23.07 BWAISE-MAKERERE'!K17,'24.07 Bwaise-Makerere'!K17,'25.07Bwaise-Makerere'!K17,'26.07 Bwaise-Makerere-24h'!K17,'27.07 Bwaise-Makerere-24h'!K17,'28.07 Bwaise-Makerere'!K17)</f>
        <v>2.1428571428571428</v>
      </c>
      <c r="L17" s="49">
        <f>AVERAGE('22.07 Bwaise-Makerere'!L17,'23.07 BWAISE-MAKERERE'!L17,'24.07 Bwaise-Makerere'!L17,'25.07Bwaise-Makerere'!L17,'26.07 Bwaise-Makerere-24h'!L17,'27.07 Bwaise-Makerere-24h'!L17,'28.07 Bwaise-Makerere'!L17)</f>
        <v>0.7142857142857143</v>
      </c>
      <c r="M17" s="49">
        <f>AVERAGE('22.07 Bwaise-Makerere'!M17,'23.07 BWAISE-MAKERERE'!M17,'24.07 Bwaise-Makerere'!M17,'25.07Bwaise-Makerere'!M17,'26.07 Bwaise-Makerere-24h'!M17,'27.07 Bwaise-Makerere-24h'!M17,'28.07 Bwaise-Makerere'!M17)</f>
        <v>182.42857142857142</v>
      </c>
      <c r="N17" s="49">
        <f>AVERAGE('22.07 Bwaise-Makerere'!N17,'23.07 BWAISE-MAKERERE'!N17,'24.07 Bwaise-Makerere'!N17,'25.07Bwaise-Makerere'!N17,'26.07 Bwaise-Makerere-24h'!N17,'27.07 Bwaise-Makerere-24h'!N17,'28.07 Bwaise-Makerere'!N17)</f>
        <v>0</v>
      </c>
      <c r="O17" s="15">
        <f t="shared" si="0"/>
        <v>142.45238095238093</v>
      </c>
      <c r="P17" s="15">
        <f t="shared" si="1"/>
        <v>324.88095238095235</v>
      </c>
      <c r="R17" s="1" t="s">
        <v>13</v>
      </c>
      <c r="S17" s="17">
        <f t="shared" ref="S17:AF17" si="9">SUM(C38:C41)</f>
        <v>177.28571428571428</v>
      </c>
      <c r="T17" s="17">
        <f t="shared" si="9"/>
        <v>54.571428571428577</v>
      </c>
      <c r="U17" s="17">
        <f t="shared" si="9"/>
        <v>26.428571428571431</v>
      </c>
      <c r="V17" s="17">
        <f t="shared" si="9"/>
        <v>126.71428571428572</v>
      </c>
      <c r="W17" s="17">
        <f t="shared" si="9"/>
        <v>4.7142857142857144</v>
      </c>
      <c r="X17" s="17">
        <f t="shared" si="9"/>
        <v>4</v>
      </c>
      <c r="Y17" s="17">
        <f t="shared" si="9"/>
        <v>26.714285714285715</v>
      </c>
      <c r="Z17" s="17">
        <f t="shared" si="9"/>
        <v>8.1428571428571423</v>
      </c>
      <c r="AA17" s="17">
        <f t="shared" si="9"/>
        <v>4.1428571428571423</v>
      </c>
      <c r="AB17" s="17">
        <f t="shared" si="9"/>
        <v>2.1428571428571428</v>
      </c>
      <c r="AC17" s="17">
        <f t="shared" si="9"/>
        <v>463</v>
      </c>
      <c r="AD17" s="17">
        <f t="shared" si="9"/>
        <v>0</v>
      </c>
      <c r="AE17" s="31">
        <f t="shared" si="9"/>
        <v>434.85714285714283</v>
      </c>
      <c r="AF17" s="31">
        <f t="shared" si="9"/>
        <v>897.85714285714289</v>
      </c>
    </row>
    <row r="18" spans="2:32" ht="23.1" customHeight="1" x14ac:dyDescent="0.25">
      <c r="B18" s="23" t="s">
        <v>45</v>
      </c>
      <c r="C18" s="49">
        <f>AVERAGE('22.07 Bwaise-Makerere'!C18,'23.07 BWAISE-MAKERERE'!C18,'24.07 Bwaise-Makerere'!C18,'25.07Bwaise-Makerere'!C18,'26.07 Bwaise-Makerere-24h'!C18,'27.07 Bwaise-Makerere-24h'!C18,'28.07 Bwaise-Makerere'!C18)</f>
        <v>63.428571428571431</v>
      </c>
      <c r="D18" s="49">
        <f>AVERAGE('22.07 Bwaise-Makerere'!D18,'23.07 BWAISE-MAKERERE'!D18,'24.07 Bwaise-Makerere'!D18,'25.07Bwaise-Makerere'!D18,'26.07 Bwaise-Makerere-24h'!D18,'27.07 Bwaise-Makerere-24h'!D18,'28.07 Bwaise-Makerere'!D18)</f>
        <v>16</v>
      </c>
      <c r="E18" s="49">
        <f>AVERAGE('22.07 Bwaise-Makerere'!E18,'23.07 BWAISE-MAKERERE'!E18,'24.07 Bwaise-Makerere'!E18,'25.07Bwaise-Makerere'!E18,'26.07 Bwaise-Makerere-24h'!E18,'27.07 Bwaise-Makerere-24h'!E18,'28.07 Bwaise-Makerere'!E18)</f>
        <v>5.5714285714285712</v>
      </c>
      <c r="F18" s="49">
        <f>AVERAGE('22.07 Bwaise-Makerere'!F18,'23.07 BWAISE-MAKERERE'!F18,'24.07 Bwaise-Makerere'!F18,'25.07Bwaise-Makerere'!F18,'26.07 Bwaise-Makerere-24h'!F18,'27.07 Bwaise-Makerere-24h'!F18,'28.07 Bwaise-Makerere'!F18)</f>
        <v>50.428571428571431</v>
      </c>
      <c r="G18" s="49">
        <f>AVERAGE('22.07 Bwaise-Makerere'!G18,'23.07 BWAISE-MAKERERE'!G18,'24.07 Bwaise-Makerere'!G18,'25.07Bwaise-Makerere'!G18,'26.07 Bwaise-Makerere-24h'!G18,'27.07 Bwaise-Makerere-24h'!G18,'28.07 Bwaise-Makerere'!G18)</f>
        <v>0.7142857142857143</v>
      </c>
      <c r="H18" s="49">
        <f>AVERAGE('22.07 Bwaise-Makerere'!H18,'23.07 BWAISE-MAKERERE'!H18,'24.07 Bwaise-Makerere'!H18,'25.07Bwaise-Makerere'!H18,'26.07 Bwaise-Makerere-24h'!H18,'27.07 Bwaise-Makerere-24h'!H18,'28.07 Bwaise-Makerere'!H18)</f>
        <v>0</v>
      </c>
      <c r="I18" s="49">
        <f>AVERAGE('22.07 Bwaise-Makerere'!I18,'23.07 BWAISE-MAKERERE'!I18,'24.07 Bwaise-Makerere'!I18,'25.07Bwaise-Makerere'!I18,'26.07 Bwaise-Makerere-24h'!I18,'27.07 Bwaise-Makerere-24h'!I18,'28.07 Bwaise-Makerere'!I18)</f>
        <v>4.8571428571428568</v>
      </c>
      <c r="J18" s="49">
        <f>AVERAGE('22.07 Bwaise-Makerere'!J18,'23.07 BWAISE-MAKERERE'!J18,'24.07 Bwaise-Makerere'!J18,'25.07Bwaise-Makerere'!J18,'26.07 Bwaise-Makerere-24h'!J18,'27.07 Bwaise-Makerere-24h'!J18,'28.07 Bwaise-Makerere'!J18)</f>
        <v>1.1428571428571428</v>
      </c>
      <c r="K18" s="49">
        <f>AVERAGE('22.07 Bwaise-Makerere'!K18,'23.07 BWAISE-MAKERERE'!K18,'24.07 Bwaise-Makerere'!K18,'25.07Bwaise-Makerere'!K18,'26.07 Bwaise-Makerere-24h'!K18,'27.07 Bwaise-Makerere-24h'!K18,'28.07 Bwaise-Makerere'!K18)</f>
        <v>1.2857142857142858</v>
      </c>
      <c r="L18" s="49">
        <f>AVERAGE('22.07 Bwaise-Makerere'!L18,'23.07 BWAISE-MAKERERE'!L18,'24.07 Bwaise-Makerere'!L18,'25.07Bwaise-Makerere'!L18,'26.07 Bwaise-Makerere-24h'!L18,'27.07 Bwaise-Makerere-24h'!L18,'28.07 Bwaise-Makerere'!L18)</f>
        <v>0</v>
      </c>
      <c r="M18" s="49">
        <f>AVERAGE('22.07 Bwaise-Makerere'!M18,'23.07 BWAISE-MAKERERE'!M18,'24.07 Bwaise-Makerere'!M18,'25.07Bwaise-Makerere'!M18,'26.07 Bwaise-Makerere-24h'!M18,'27.07 Bwaise-Makerere-24h'!M18,'28.07 Bwaise-Makerere'!M18)</f>
        <v>189.85714285714286</v>
      </c>
      <c r="N18" s="49">
        <f>AVERAGE('22.07 Bwaise-Makerere'!N18,'23.07 BWAISE-MAKERERE'!N18,'24.07 Bwaise-Makerere'!N18,'25.07Bwaise-Makerere'!N18,'26.07 Bwaise-Makerere-24h'!N18,'27.07 Bwaise-Makerere-24h'!N18,'28.07 Bwaise-Makerere'!N18)</f>
        <v>0</v>
      </c>
      <c r="O18" s="15">
        <f t="shared" si="0"/>
        <v>143.42857142857144</v>
      </c>
      <c r="P18" s="15">
        <f t="shared" si="1"/>
        <v>333.28571428571433</v>
      </c>
      <c r="R18" s="1" t="s">
        <v>14</v>
      </c>
      <c r="S18" s="17">
        <f t="shared" ref="S18:AF18" si="10">SUM(C42:C45)</f>
        <v>190.57142857142856</v>
      </c>
      <c r="T18" s="17">
        <f t="shared" si="10"/>
        <v>57</v>
      </c>
      <c r="U18" s="17">
        <f t="shared" si="10"/>
        <v>28.285714285714285</v>
      </c>
      <c r="V18" s="17">
        <f t="shared" si="10"/>
        <v>144.85714285714286</v>
      </c>
      <c r="W18" s="17">
        <f t="shared" si="10"/>
        <v>2.4285714285714284</v>
      </c>
      <c r="X18" s="17">
        <f t="shared" si="10"/>
        <v>3.4285714285714284</v>
      </c>
      <c r="Y18" s="17">
        <f t="shared" si="10"/>
        <v>30.142857142857142</v>
      </c>
      <c r="Z18" s="17">
        <f t="shared" si="10"/>
        <v>6.5714285714285712</v>
      </c>
      <c r="AA18" s="17">
        <f t="shared" si="10"/>
        <v>3.1428571428571428</v>
      </c>
      <c r="AB18" s="17">
        <f t="shared" si="10"/>
        <v>2.0714285714285712</v>
      </c>
      <c r="AC18" s="17">
        <f t="shared" si="10"/>
        <v>462.14285714285711</v>
      </c>
      <c r="AD18" s="17">
        <f t="shared" si="10"/>
        <v>0</v>
      </c>
      <c r="AE18" s="31">
        <f t="shared" si="10"/>
        <v>468.5</v>
      </c>
      <c r="AF18" s="31">
        <f t="shared" si="10"/>
        <v>930.64285714285711</v>
      </c>
    </row>
    <row r="19" spans="2:32" ht="23.1" customHeight="1" x14ac:dyDescent="0.25">
      <c r="B19" s="23" t="s">
        <v>46</v>
      </c>
      <c r="C19" s="49">
        <f>AVERAGE('22.07 Bwaise-Makerere'!C19,'23.07 BWAISE-MAKERERE'!C19,'24.07 Bwaise-Makerere'!C19,'25.07Bwaise-Makerere'!C19,'26.07 Bwaise-Makerere-24h'!C19,'27.07 Bwaise-Makerere-24h'!C19,'28.07 Bwaise-Makerere'!C19)</f>
        <v>49.428571428571431</v>
      </c>
      <c r="D19" s="49">
        <f>AVERAGE('22.07 Bwaise-Makerere'!D19,'23.07 BWAISE-MAKERERE'!D19,'24.07 Bwaise-Makerere'!D19,'25.07Bwaise-Makerere'!D19,'26.07 Bwaise-Makerere-24h'!D19,'27.07 Bwaise-Makerere-24h'!D19,'28.07 Bwaise-Makerere'!D19)</f>
        <v>16.857142857142858</v>
      </c>
      <c r="E19" s="49">
        <f>AVERAGE('22.07 Bwaise-Makerere'!E19,'23.07 BWAISE-MAKERERE'!E19,'24.07 Bwaise-Makerere'!E19,'25.07Bwaise-Makerere'!E19,'26.07 Bwaise-Makerere-24h'!E19,'27.07 Bwaise-Makerere-24h'!E19,'28.07 Bwaise-Makerere'!E19)</f>
        <v>7</v>
      </c>
      <c r="F19" s="49">
        <f>AVERAGE('22.07 Bwaise-Makerere'!F19,'23.07 BWAISE-MAKERERE'!F19,'24.07 Bwaise-Makerere'!F19,'25.07Bwaise-Makerere'!F19,'26.07 Bwaise-Makerere-24h'!F19,'27.07 Bwaise-Makerere-24h'!F19,'28.07 Bwaise-Makerere'!F19)</f>
        <v>39.142857142857146</v>
      </c>
      <c r="G19" s="49">
        <f>AVERAGE('22.07 Bwaise-Makerere'!G19,'23.07 BWAISE-MAKERERE'!G19,'24.07 Bwaise-Makerere'!G19,'25.07Bwaise-Makerere'!G19,'26.07 Bwaise-Makerere-24h'!G19,'27.07 Bwaise-Makerere-24h'!G19,'28.07 Bwaise-Makerere'!G19)</f>
        <v>19</v>
      </c>
      <c r="H19" s="49">
        <f>AVERAGE('22.07 Bwaise-Makerere'!H19,'23.07 BWAISE-MAKERERE'!H19,'24.07 Bwaise-Makerere'!H19,'25.07Bwaise-Makerere'!H19,'26.07 Bwaise-Makerere-24h'!H19,'27.07 Bwaise-Makerere-24h'!H19,'28.07 Bwaise-Makerere'!H19)</f>
        <v>0.8571428571428571</v>
      </c>
      <c r="I19" s="49">
        <f>AVERAGE('22.07 Bwaise-Makerere'!I19,'23.07 BWAISE-MAKERERE'!I19,'24.07 Bwaise-Makerere'!I19,'25.07Bwaise-Makerere'!I19,'26.07 Bwaise-Makerere-24h'!I19,'27.07 Bwaise-Makerere-24h'!I19,'28.07 Bwaise-Makerere'!I19)</f>
        <v>3.2857142857142856</v>
      </c>
      <c r="J19" s="49">
        <f>AVERAGE('22.07 Bwaise-Makerere'!J19,'23.07 BWAISE-MAKERERE'!J19,'24.07 Bwaise-Makerere'!J19,'25.07Bwaise-Makerere'!J19,'26.07 Bwaise-Makerere-24h'!J19,'27.07 Bwaise-Makerere-24h'!J19,'28.07 Bwaise-Makerere'!J19)</f>
        <v>2.5714285714285716</v>
      </c>
      <c r="K19" s="49">
        <f>AVERAGE('22.07 Bwaise-Makerere'!K19,'23.07 BWAISE-MAKERERE'!K19,'24.07 Bwaise-Makerere'!K19,'25.07Bwaise-Makerere'!K19,'26.07 Bwaise-Makerere-24h'!K19,'27.07 Bwaise-Makerere-24h'!K19,'28.07 Bwaise-Makerere'!K19)</f>
        <v>1.5714285714285714</v>
      </c>
      <c r="L19" s="49">
        <f>AVERAGE('22.07 Bwaise-Makerere'!L19,'23.07 BWAISE-MAKERERE'!L19,'24.07 Bwaise-Makerere'!L19,'25.07Bwaise-Makerere'!L19,'26.07 Bwaise-Makerere-24h'!L19,'27.07 Bwaise-Makerere-24h'!L19,'28.07 Bwaise-Makerere'!L19)</f>
        <v>0.14285714285714285</v>
      </c>
      <c r="M19" s="49">
        <f>AVERAGE('22.07 Bwaise-Makerere'!M19,'23.07 BWAISE-MAKERERE'!M19,'24.07 Bwaise-Makerere'!M19,'25.07Bwaise-Makerere'!M19,'26.07 Bwaise-Makerere-24h'!M19,'27.07 Bwaise-Makerere-24h'!M19,'28.07 Bwaise-Makerere'!M19)</f>
        <v>175.85714285714286</v>
      </c>
      <c r="N19" s="49">
        <f>AVERAGE('22.07 Bwaise-Makerere'!N19,'23.07 BWAISE-MAKERERE'!N19,'24.07 Bwaise-Makerere'!N19,'25.07Bwaise-Makerere'!N19,'26.07 Bwaise-Makerere-24h'!N19,'27.07 Bwaise-Makerere-24h'!N19,'28.07 Bwaise-Makerere'!N19)</f>
        <v>0</v>
      </c>
      <c r="O19" s="15">
        <f t="shared" si="0"/>
        <v>139.85714285714289</v>
      </c>
      <c r="P19" s="15">
        <f t="shared" si="1"/>
        <v>315.71428571428578</v>
      </c>
      <c r="R19" s="1" t="s">
        <v>15</v>
      </c>
      <c r="S19" s="17">
        <f t="shared" ref="S19:AF19" si="11">SUM(C46:C49)</f>
        <v>194.57142857142856</v>
      </c>
      <c r="T19" s="17">
        <f t="shared" si="11"/>
        <v>60.857142857142861</v>
      </c>
      <c r="U19" s="17">
        <f t="shared" si="11"/>
        <v>40</v>
      </c>
      <c r="V19" s="17">
        <f t="shared" si="11"/>
        <v>117.28571428571431</v>
      </c>
      <c r="W19" s="17">
        <f t="shared" si="11"/>
        <v>4.2857142857142856</v>
      </c>
      <c r="X19" s="17">
        <f t="shared" si="11"/>
        <v>3.4285714285714288</v>
      </c>
      <c r="Y19" s="17">
        <f t="shared" si="11"/>
        <v>27.857142857142854</v>
      </c>
      <c r="Z19" s="17">
        <f t="shared" si="11"/>
        <v>8.1428571428571423</v>
      </c>
      <c r="AA19" s="17">
        <f t="shared" si="11"/>
        <v>3.8571428571428572</v>
      </c>
      <c r="AB19" s="17">
        <f t="shared" si="11"/>
        <v>2.2857142857142856</v>
      </c>
      <c r="AC19" s="17">
        <f t="shared" si="11"/>
        <v>539.57142857142856</v>
      </c>
      <c r="AD19" s="17">
        <f t="shared" si="11"/>
        <v>0</v>
      </c>
      <c r="AE19" s="31">
        <f t="shared" si="11"/>
        <v>462.57142857142856</v>
      </c>
      <c r="AF19" s="31">
        <f t="shared" si="11"/>
        <v>1002.1428571428571</v>
      </c>
    </row>
    <row r="20" spans="2:32" ht="23.1" customHeight="1" x14ac:dyDescent="0.25">
      <c r="B20" s="23" t="s">
        <v>47</v>
      </c>
      <c r="C20" s="49">
        <f>AVERAGE('22.07 Bwaise-Makerere'!C20,'23.07 BWAISE-MAKERERE'!C20,'24.07 Bwaise-Makerere'!C20,'25.07Bwaise-Makerere'!C20,'26.07 Bwaise-Makerere-24h'!C20,'27.07 Bwaise-Makerere-24h'!C20,'28.07 Bwaise-Makerere'!C20)</f>
        <v>53</v>
      </c>
      <c r="D20" s="49">
        <f>AVERAGE('22.07 Bwaise-Makerere'!D20,'23.07 BWAISE-MAKERERE'!D20,'24.07 Bwaise-Makerere'!D20,'25.07Bwaise-Makerere'!D20,'26.07 Bwaise-Makerere-24h'!D20,'27.07 Bwaise-Makerere-24h'!D20,'28.07 Bwaise-Makerere'!D20)</f>
        <v>12.857142857142858</v>
      </c>
      <c r="E20" s="49">
        <f>AVERAGE('22.07 Bwaise-Makerere'!E20,'23.07 BWAISE-MAKERERE'!E20,'24.07 Bwaise-Makerere'!E20,'25.07Bwaise-Makerere'!E20,'26.07 Bwaise-Makerere-24h'!E20,'27.07 Bwaise-Makerere-24h'!E20,'28.07 Bwaise-Makerere'!E20)</f>
        <v>5.4285714285714288</v>
      </c>
      <c r="F20" s="49">
        <f>AVERAGE('22.07 Bwaise-Makerere'!F20,'23.07 BWAISE-MAKERERE'!F20,'24.07 Bwaise-Makerere'!F20,'25.07Bwaise-Makerere'!F20,'26.07 Bwaise-Makerere-24h'!F20,'27.07 Bwaise-Makerere-24h'!F20,'28.07 Bwaise-Makerere'!F20)</f>
        <v>49</v>
      </c>
      <c r="G20" s="49">
        <f>AVERAGE('22.07 Bwaise-Makerere'!G20,'23.07 BWAISE-MAKERERE'!G20,'24.07 Bwaise-Makerere'!G20,'25.07Bwaise-Makerere'!G20,'26.07 Bwaise-Makerere-24h'!G20,'27.07 Bwaise-Makerere-24h'!G20,'28.07 Bwaise-Makerere'!G20)</f>
        <v>0.5714285714285714</v>
      </c>
      <c r="H20" s="49">
        <f>AVERAGE('22.07 Bwaise-Makerere'!H20,'23.07 BWAISE-MAKERERE'!H20,'24.07 Bwaise-Makerere'!H20,'25.07Bwaise-Makerere'!H20,'26.07 Bwaise-Makerere-24h'!H20,'27.07 Bwaise-Makerere-24h'!H20,'28.07 Bwaise-Makerere'!H20)</f>
        <v>0.5714285714285714</v>
      </c>
      <c r="I20" s="49">
        <f>AVERAGE('22.07 Bwaise-Makerere'!I20,'23.07 BWAISE-MAKERERE'!I20,'24.07 Bwaise-Makerere'!I20,'25.07Bwaise-Makerere'!I20,'26.07 Bwaise-Makerere-24h'!I20,'27.07 Bwaise-Makerere-24h'!I20,'28.07 Bwaise-Makerere'!I20)</f>
        <v>6.4285714285714288</v>
      </c>
      <c r="J20" s="49">
        <f>AVERAGE('22.07 Bwaise-Makerere'!J20,'23.07 BWAISE-MAKERERE'!J20,'24.07 Bwaise-Makerere'!J20,'25.07Bwaise-Makerere'!J20,'26.07 Bwaise-Makerere-24h'!J20,'27.07 Bwaise-Makerere-24h'!J20,'28.07 Bwaise-Makerere'!J20)</f>
        <v>2</v>
      </c>
      <c r="K20" s="49">
        <f>AVERAGE('22.07 Bwaise-Makerere'!K20,'23.07 BWAISE-MAKERERE'!K20,'24.07 Bwaise-Makerere'!K20,'25.07Bwaise-Makerere'!K20,'26.07 Bwaise-Makerere-24h'!K20,'27.07 Bwaise-Makerere-24h'!K20,'28.07 Bwaise-Makerere'!K20)</f>
        <v>1.2857142857142858</v>
      </c>
      <c r="L20" s="49">
        <f>AVERAGE('22.07 Bwaise-Makerere'!L20,'23.07 BWAISE-MAKERERE'!L20,'24.07 Bwaise-Makerere'!L20,'25.07Bwaise-Makerere'!L20,'26.07 Bwaise-Makerere-24h'!L20,'27.07 Bwaise-Makerere-24h'!L20,'28.07 Bwaise-Makerere'!L20)</f>
        <v>0.7142857142857143</v>
      </c>
      <c r="M20" s="49">
        <f>AVERAGE('22.07 Bwaise-Makerere'!M20,'23.07 BWAISE-MAKERERE'!M20,'24.07 Bwaise-Makerere'!M20,'25.07Bwaise-Makerere'!M20,'26.07 Bwaise-Makerere-24h'!M20,'27.07 Bwaise-Makerere-24h'!M20,'28.07 Bwaise-Makerere'!M20)</f>
        <v>168.28571428571428</v>
      </c>
      <c r="N20" s="49">
        <f>AVERAGE('22.07 Bwaise-Makerere'!N20,'23.07 BWAISE-MAKERERE'!N20,'24.07 Bwaise-Makerere'!N20,'25.07Bwaise-Makerere'!N20,'26.07 Bwaise-Makerere-24h'!N20,'27.07 Bwaise-Makerere-24h'!N20,'28.07 Bwaise-Makerere'!N20)</f>
        <v>0</v>
      </c>
      <c r="O20" s="15">
        <f t="shared" si="0"/>
        <v>131.85714285714286</v>
      </c>
      <c r="P20" s="15">
        <f t="shared" si="1"/>
        <v>300.14285714285711</v>
      </c>
      <c r="R20" s="1" t="s">
        <v>16</v>
      </c>
      <c r="S20" s="17">
        <f t="shared" ref="S20:AF20" si="12">SUM(C50:C53)</f>
        <v>177.85714285714286</v>
      </c>
      <c r="T20" s="17">
        <f t="shared" si="12"/>
        <v>63.571428571428577</v>
      </c>
      <c r="U20" s="17">
        <f t="shared" si="12"/>
        <v>30.428571428571431</v>
      </c>
      <c r="V20" s="17">
        <f t="shared" si="12"/>
        <v>153</v>
      </c>
      <c r="W20" s="17">
        <f t="shared" si="12"/>
        <v>4.7142857142857144</v>
      </c>
      <c r="X20" s="17">
        <f t="shared" si="12"/>
        <v>3.2857142857142856</v>
      </c>
      <c r="Y20" s="17">
        <f t="shared" si="12"/>
        <v>24.857142857142858</v>
      </c>
      <c r="Z20" s="17">
        <f t="shared" si="12"/>
        <v>6.8571428571428577</v>
      </c>
      <c r="AA20" s="17">
        <f t="shared" si="12"/>
        <v>4.4285714285714288</v>
      </c>
      <c r="AB20" s="17">
        <f t="shared" si="12"/>
        <v>2.5714285714285712</v>
      </c>
      <c r="AC20" s="17">
        <f t="shared" si="12"/>
        <v>528</v>
      </c>
      <c r="AD20" s="17">
        <f t="shared" si="12"/>
        <v>0</v>
      </c>
      <c r="AE20" s="31">
        <f t="shared" si="12"/>
        <v>471.57142857142856</v>
      </c>
      <c r="AF20" s="31">
        <f t="shared" si="12"/>
        <v>999.57142857142856</v>
      </c>
    </row>
    <row r="21" spans="2:32" ht="23.1" customHeight="1" x14ac:dyDescent="0.25">
      <c r="B21" s="23" t="s">
        <v>48</v>
      </c>
      <c r="C21" s="49">
        <f>AVERAGE('22.07 Bwaise-Makerere'!C21,'23.07 BWAISE-MAKERERE'!C21,'24.07 Bwaise-Makerere'!C21,'25.07Bwaise-Makerere'!C21,'26.07 Bwaise-Makerere-24h'!C21,'27.07 Bwaise-Makerere-24h'!C21,'28.07 Bwaise-Makerere'!C21)</f>
        <v>53.285714285714285</v>
      </c>
      <c r="D21" s="49">
        <f>AVERAGE('22.07 Bwaise-Makerere'!D21,'23.07 BWAISE-MAKERERE'!D21,'24.07 Bwaise-Makerere'!D21,'25.07Bwaise-Makerere'!D21,'26.07 Bwaise-Makerere-24h'!D21,'27.07 Bwaise-Makerere-24h'!D21,'28.07 Bwaise-Makerere'!D21)</f>
        <v>13.571428571428571</v>
      </c>
      <c r="E21" s="49">
        <f>AVERAGE('22.07 Bwaise-Makerere'!E21,'23.07 BWAISE-MAKERERE'!E21,'24.07 Bwaise-Makerere'!E21,'25.07Bwaise-Makerere'!E21,'26.07 Bwaise-Makerere-24h'!E21,'27.07 Bwaise-Makerere-24h'!E21,'28.07 Bwaise-Makerere'!E21)</f>
        <v>4.7142857142857144</v>
      </c>
      <c r="F21" s="49">
        <f>AVERAGE('22.07 Bwaise-Makerere'!F21,'23.07 BWAISE-MAKERERE'!F21,'24.07 Bwaise-Makerere'!F21,'25.07Bwaise-Makerere'!F21,'26.07 Bwaise-Makerere-24h'!F21,'27.07 Bwaise-Makerere-24h'!F21,'28.07 Bwaise-Makerere'!F21)</f>
        <v>36.142857142857146</v>
      </c>
      <c r="G21" s="49">
        <f>AVERAGE('22.07 Bwaise-Makerere'!G21,'23.07 BWAISE-MAKERERE'!G21,'24.07 Bwaise-Makerere'!G21,'25.07Bwaise-Makerere'!G21,'26.07 Bwaise-Makerere-24h'!G21,'27.07 Bwaise-Makerere-24h'!G21,'28.07 Bwaise-Makerere'!G21)</f>
        <v>1</v>
      </c>
      <c r="H21" s="49">
        <f>AVERAGE('22.07 Bwaise-Makerere'!H21,'23.07 BWAISE-MAKERERE'!H21,'24.07 Bwaise-Makerere'!H21,'25.07Bwaise-Makerere'!H21,'26.07 Bwaise-Makerere-24h'!H21,'27.07 Bwaise-Makerere-24h'!H21,'28.07 Bwaise-Makerere'!H21)</f>
        <v>1.7142857142857142</v>
      </c>
      <c r="I21" s="49">
        <f>AVERAGE('22.07 Bwaise-Makerere'!I21,'23.07 BWAISE-MAKERERE'!I21,'24.07 Bwaise-Makerere'!I21,'25.07Bwaise-Makerere'!I21,'26.07 Bwaise-Makerere-24h'!I21,'27.07 Bwaise-Makerere-24h'!I21,'28.07 Bwaise-Makerere'!I21)</f>
        <v>6.2857142857142856</v>
      </c>
      <c r="J21" s="49">
        <f>AVERAGE('22.07 Bwaise-Makerere'!J21,'23.07 BWAISE-MAKERERE'!J21,'24.07 Bwaise-Makerere'!J21,'25.07Bwaise-Makerere'!J21,'26.07 Bwaise-Makerere-24h'!J21,'27.07 Bwaise-Makerere-24h'!J21,'28.07 Bwaise-Makerere'!J21)</f>
        <v>3</v>
      </c>
      <c r="K21" s="49">
        <f>AVERAGE('22.07 Bwaise-Makerere'!K21,'23.07 BWAISE-MAKERERE'!K21,'24.07 Bwaise-Makerere'!K21,'25.07Bwaise-Makerere'!K21,'26.07 Bwaise-Makerere-24h'!K21,'27.07 Bwaise-Makerere-24h'!K21,'28.07 Bwaise-Makerere'!K21)</f>
        <v>1.5714285714285714</v>
      </c>
      <c r="L21" s="49">
        <f>AVERAGE('22.07 Bwaise-Makerere'!L21,'23.07 BWAISE-MAKERERE'!L21,'24.07 Bwaise-Makerere'!L21,'25.07Bwaise-Makerere'!L21,'26.07 Bwaise-Makerere-24h'!L21,'27.07 Bwaise-Makerere-24h'!L21,'28.07 Bwaise-Makerere'!L21)</f>
        <v>0.42857142857142855</v>
      </c>
      <c r="M21" s="49">
        <f>AVERAGE('22.07 Bwaise-Makerere'!M21,'23.07 BWAISE-MAKERERE'!M21,'24.07 Bwaise-Makerere'!M21,'25.07Bwaise-Makerere'!M21,'26.07 Bwaise-Makerere-24h'!M21,'27.07 Bwaise-Makerere-24h'!M21,'28.07 Bwaise-Makerere'!M21)</f>
        <v>151.14285714285714</v>
      </c>
      <c r="N21" s="49">
        <f>AVERAGE('22.07 Bwaise-Makerere'!N21,'23.07 BWAISE-MAKERERE'!N21,'24.07 Bwaise-Makerere'!N21,'25.07Bwaise-Makerere'!N21,'26.07 Bwaise-Makerere-24h'!N21,'27.07 Bwaise-Makerere-24h'!N21,'28.07 Bwaise-Makerere'!N21)</f>
        <v>0</v>
      </c>
      <c r="O21" s="15">
        <f t="shared" si="0"/>
        <v>121.71428571428572</v>
      </c>
      <c r="P21" s="15">
        <f t="shared" si="1"/>
        <v>272.85714285714289</v>
      </c>
      <c r="R21" s="1" t="s">
        <v>20</v>
      </c>
      <c r="S21" s="34">
        <f t="shared" ref="S21:AF21" si="13">SUM(C54:C57)</f>
        <v>149.14285714285714</v>
      </c>
      <c r="T21" s="17">
        <f t="shared" si="13"/>
        <v>46.285714285714292</v>
      </c>
      <c r="U21" s="17">
        <f t="shared" si="13"/>
        <v>20.857142857142858</v>
      </c>
      <c r="V21" s="17">
        <f t="shared" si="13"/>
        <v>149.42857142857142</v>
      </c>
      <c r="W21" s="17">
        <f t="shared" si="13"/>
        <v>5.8571428571428568</v>
      </c>
      <c r="X21" s="17">
        <f t="shared" si="13"/>
        <v>3</v>
      </c>
      <c r="Y21" s="17">
        <f t="shared" si="13"/>
        <v>20.142857142857142</v>
      </c>
      <c r="Z21" s="17">
        <f t="shared" si="13"/>
        <v>3.7142857142857144</v>
      </c>
      <c r="AA21" s="17">
        <f t="shared" si="13"/>
        <v>3.5238095238095237</v>
      </c>
      <c r="AB21" s="17">
        <f t="shared" si="13"/>
        <v>2.2857142857142856</v>
      </c>
      <c r="AC21" s="17">
        <f t="shared" si="13"/>
        <v>470</v>
      </c>
      <c r="AD21" s="17">
        <f t="shared" si="13"/>
        <v>0</v>
      </c>
      <c r="AE21" s="31">
        <f t="shared" si="13"/>
        <v>404.2380952380953</v>
      </c>
      <c r="AF21" s="31">
        <f t="shared" si="13"/>
        <v>874.23809523809518</v>
      </c>
    </row>
    <row r="22" spans="2:32" ht="23.1" customHeight="1" x14ac:dyDescent="0.25">
      <c r="B22" s="23" t="s">
        <v>49</v>
      </c>
      <c r="C22" s="49">
        <f>AVERAGE('22.07 Bwaise-Makerere'!C22,'23.07 BWAISE-MAKERERE'!C22,'24.07 Bwaise-Makerere'!C22,'25.07Bwaise-Makerere'!C22,'26.07 Bwaise-Makerere-24h'!C22,'27.07 Bwaise-Makerere-24h'!C22,'28.07 Bwaise-Makerere'!C22)</f>
        <v>63.142857142857146</v>
      </c>
      <c r="D22" s="49">
        <f>AVERAGE('22.07 Bwaise-Makerere'!D22,'23.07 BWAISE-MAKERERE'!D22,'24.07 Bwaise-Makerere'!D22,'25.07Bwaise-Makerere'!D22,'26.07 Bwaise-Makerere-24h'!D22,'27.07 Bwaise-Makerere-24h'!D22,'28.07 Bwaise-Makerere'!D22)</f>
        <v>17.714285714285715</v>
      </c>
      <c r="E22" s="49">
        <f>AVERAGE('22.07 Bwaise-Makerere'!E22,'23.07 BWAISE-MAKERERE'!E22,'24.07 Bwaise-Makerere'!E22,'25.07Bwaise-Makerere'!E22,'26.07 Bwaise-Makerere-24h'!E22,'27.07 Bwaise-Makerere-24h'!E22,'28.07 Bwaise-Makerere'!E22)</f>
        <v>8.7142857142857135</v>
      </c>
      <c r="F22" s="49">
        <f>AVERAGE('22.07 Bwaise-Makerere'!F22,'23.07 BWAISE-MAKERERE'!F22,'24.07 Bwaise-Makerere'!F22,'25.07Bwaise-Makerere'!F22,'26.07 Bwaise-Makerere-24h'!F22,'27.07 Bwaise-Makerere-24h'!F22,'28.07 Bwaise-Makerere'!F22)</f>
        <v>46.571428571428569</v>
      </c>
      <c r="G22" s="49">
        <f>AVERAGE('22.07 Bwaise-Makerere'!G22,'23.07 BWAISE-MAKERERE'!G22,'24.07 Bwaise-Makerere'!G22,'25.07Bwaise-Makerere'!G22,'26.07 Bwaise-Makerere-24h'!G22,'27.07 Bwaise-Makerere-24h'!G22,'28.07 Bwaise-Makerere'!G22)</f>
        <v>1.5714285714285714</v>
      </c>
      <c r="H22" s="49">
        <f>AVERAGE('22.07 Bwaise-Makerere'!H22,'23.07 BWAISE-MAKERERE'!H22,'24.07 Bwaise-Makerere'!H22,'25.07Bwaise-Makerere'!H22,'26.07 Bwaise-Makerere-24h'!H22,'27.07 Bwaise-Makerere-24h'!H22,'28.07 Bwaise-Makerere'!H22)</f>
        <v>0.14285714285714285</v>
      </c>
      <c r="I22" s="49">
        <f>AVERAGE('22.07 Bwaise-Makerere'!I22,'23.07 BWAISE-MAKERERE'!I22,'24.07 Bwaise-Makerere'!I22,'25.07Bwaise-Makerere'!I22,'26.07 Bwaise-Makerere-24h'!I22,'27.07 Bwaise-Makerere-24h'!I22,'28.07 Bwaise-Makerere'!I22)</f>
        <v>7.4285714285714288</v>
      </c>
      <c r="J22" s="49">
        <f>AVERAGE('22.07 Bwaise-Makerere'!J22,'23.07 BWAISE-MAKERERE'!J22,'24.07 Bwaise-Makerere'!J22,'25.07Bwaise-Makerere'!J22,'26.07 Bwaise-Makerere-24h'!J22,'27.07 Bwaise-Makerere-24h'!J22,'28.07 Bwaise-Makerere'!J22)</f>
        <v>2.1428571428571428</v>
      </c>
      <c r="K22" s="49">
        <f>AVERAGE('22.07 Bwaise-Makerere'!K22,'23.07 BWAISE-MAKERERE'!K22,'24.07 Bwaise-Makerere'!K22,'25.07Bwaise-Makerere'!K22,'26.07 Bwaise-Makerere-24h'!K22,'27.07 Bwaise-Makerere-24h'!K22,'28.07 Bwaise-Makerere'!K22)</f>
        <v>1.5714285714285714</v>
      </c>
      <c r="L22" s="49">
        <f>AVERAGE('22.07 Bwaise-Makerere'!L22,'23.07 BWAISE-MAKERERE'!L22,'24.07 Bwaise-Makerere'!L22,'25.07Bwaise-Makerere'!L22,'26.07 Bwaise-Makerere-24h'!L22,'27.07 Bwaise-Makerere-24h'!L22,'28.07 Bwaise-Makerere'!L22)</f>
        <v>0.5714285714285714</v>
      </c>
      <c r="M22" s="49">
        <f>AVERAGE('22.07 Bwaise-Makerere'!M22,'23.07 BWAISE-MAKERERE'!M22,'24.07 Bwaise-Makerere'!M22,'25.07Bwaise-Makerere'!M22,'26.07 Bwaise-Makerere-24h'!M22,'27.07 Bwaise-Makerere-24h'!M22,'28.07 Bwaise-Makerere'!M22)</f>
        <v>180.14285714285714</v>
      </c>
      <c r="N22" s="49">
        <f>AVERAGE('22.07 Bwaise-Makerere'!N22,'23.07 BWAISE-MAKERERE'!N22,'24.07 Bwaise-Makerere'!N22,'25.07Bwaise-Makerere'!N22,'26.07 Bwaise-Makerere-24h'!N22,'27.07 Bwaise-Makerere-24h'!N22,'28.07 Bwaise-Makerere'!N22)</f>
        <v>0</v>
      </c>
      <c r="O22" s="15">
        <f t="shared" si="0"/>
        <v>149.57142857142858</v>
      </c>
      <c r="P22" s="15">
        <f t="shared" si="1"/>
        <v>329.71428571428572</v>
      </c>
      <c r="R22" s="1" t="s">
        <v>146</v>
      </c>
      <c r="S22" s="34">
        <f>SUM(C58:C61)</f>
        <v>199</v>
      </c>
      <c r="T22" s="34">
        <f t="shared" ref="T22:AF22" si="14">SUM(D58:D61)</f>
        <v>63.5</v>
      </c>
      <c r="U22" s="34">
        <f t="shared" si="14"/>
        <v>45</v>
      </c>
      <c r="V22" s="34">
        <f t="shared" si="14"/>
        <v>159</v>
      </c>
      <c r="W22" s="34">
        <f t="shared" si="14"/>
        <v>3</v>
      </c>
      <c r="X22" s="34">
        <f t="shared" si="14"/>
        <v>2</v>
      </c>
      <c r="Y22" s="34">
        <f t="shared" si="14"/>
        <v>28.5</v>
      </c>
      <c r="Z22" s="34">
        <f t="shared" si="14"/>
        <v>10</v>
      </c>
      <c r="AA22" s="34">
        <f t="shared" si="14"/>
        <v>2</v>
      </c>
      <c r="AB22" s="34">
        <f t="shared" si="14"/>
        <v>3.5</v>
      </c>
      <c r="AC22" s="34">
        <f t="shared" si="14"/>
        <v>556</v>
      </c>
      <c r="AD22" s="34">
        <f t="shared" si="14"/>
        <v>0</v>
      </c>
      <c r="AE22" s="31">
        <f t="shared" si="14"/>
        <v>515.5</v>
      </c>
      <c r="AF22" s="31">
        <f t="shared" si="14"/>
        <v>1071.5</v>
      </c>
    </row>
    <row r="23" spans="2:32" ht="23.1" customHeight="1" x14ac:dyDescent="0.25">
      <c r="B23" s="23" t="s">
        <v>50</v>
      </c>
      <c r="C23" s="49">
        <f>AVERAGE('22.07 Bwaise-Makerere'!C23,'23.07 BWAISE-MAKERERE'!C23,'24.07 Bwaise-Makerere'!C23,'25.07Bwaise-Makerere'!C23,'26.07 Bwaise-Makerere-24h'!C23,'27.07 Bwaise-Makerere-24h'!C23,'28.07 Bwaise-Makerere'!C23)</f>
        <v>53.285714285714285</v>
      </c>
      <c r="D23" s="49">
        <f>AVERAGE('22.07 Bwaise-Makerere'!D23,'23.07 BWAISE-MAKERERE'!D23,'24.07 Bwaise-Makerere'!D23,'25.07Bwaise-Makerere'!D23,'26.07 Bwaise-Makerere-24h'!D23,'27.07 Bwaise-Makerere-24h'!D23,'28.07 Bwaise-Makerere'!D23)</f>
        <v>17.857142857142858</v>
      </c>
      <c r="E23" s="49">
        <f>AVERAGE('22.07 Bwaise-Makerere'!E23,'23.07 BWAISE-MAKERERE'!E23,'24.07 Bwaise-Makerere'!E23,'25.07Bwaise-Makerere'!E23,'26.07 Bwaise-Makerere-24h'!E23,'27.07 Bwaise-Makerere-24h'!E23,'28.07 Bwaise-Makerere'!E23)</f>
        <v>5.8571428571428568</v>
      </c>
      <c r="F23" s="49">
        <f>AVERAGE('22.07 Bwaise-Makerere'!F23,'23.07 BWAISE-MAKERERE'!F23,'24.07 Bwaise-Makerere'!F23,'25.07Bwaise-Makerere'!F23,'26.07 Bwaise-Makerere-24h'!F23,'27.07 Bwaise-Makerere-24h'!F23,'28.07 Bwaise-Makerere'!F23)</f>
        <v>36.142857142857146</v>
      </c>
      <c r="G23" s="49">
        <f>AVERAGE('22.07 Bwaise-Makerere'!G23,'23.07 BWAISE-MAKERERE'!G23,'24.07 Bwaise-Makerere'!G23,'25.07Bwaise-Makerere'!G23,'26.07 Bwaise-Makerere-24h'!G23,'27.07 Bwaise-Makerere-24h'!G23,'28.07 Bwaise-Makerere'!G23)</f>
        <v>0.5714285714285714</v>
      </c>
      <c r="H23" s="49">
        <f>AVERAGE('22.07 Bwaise-Makerere'!H23,'23.07 BWAISE-MAKERERE'!H23,'24.07 Bwaise-Makerere'!H23,'25.07Bwaise-Makerere'!H23,'26.07 Bwaise-Makerere-24h'!H23,'27.07 Bwaise-Makerere-24h'!H23,'28.07 Bwaise-Makerere'!H23)</f>
        <v>0.8571428571428571</v>
      </c>
      <c r="I23" s="49">
        <f>AVERAGE('22.07 Bwaise-Makerere'!I23,'23.07 BWAISE-MAKERERE'!I23,'24.07 Bwaise-Makerere'!I23,'25.07Bwaise-Makerere'!I23,'26.07 Bwaise-Makerere-24h'!I23,'27.07 Bwaise-Makerere-24h'!I23,'28.07 Bwaise-Makerere'!I23)</f>
        <v>5.8571428571428568</v>
      </c>
      <c r="J23" s="49">
        <f>AVERAGE('22.07 Bwaise-Makerere'!J23,'23.07 BWAISE-MAKERERE'!J23,'24.07 Bwaise-Makerere'!J23,'25.07Bwaise-Makerere'!J23,'26.07 Bwaise-Makerere-24h'!J23,'27.07 Bwaise-Makerere-24h'!J23,'28.07 Bwaise-Makerere'!J23)</f>
        <v>1.8571428571428572</v>
      </c>
      <c r="K23" s="49">
        <f>AVERAGE('22.07 Bwaise-Makerere'!K23,'23.07 BWAISE-MAKERERE'!K23,'24.07 Bwaise-Makerere'!K23,'25.07Bwaise-Makerere'!K23,'26.07 Bwaise-Makerere-24h'!K23,'27.07 Bwaise-Makerere-24h'!K23,'28.07 Bwaise-Makerere'!K23)</f>
        <v>1.2857142857142858</v>
      </c>
      <c r="L23" s="49">
        <f>AVERAGE('22.07 Bwaise-Makerere'!L23,'23.07 BWAISE-MAKERERE'!L23,'24.07 Bwaise-Makerere'!L23,'25.07Bwaise-Makerere'!L23,'26.07 Bwaise-Makerere-24h'!L23,'27.07 Bwaise-Makerere-24h'!L23,'28.07 Bwaise-Makerere'!L23)</f>
        <v>0.14285714285714285</v>
      </c>
      <c r="M23" s="49">
        <f>AVERAGE('22.07 Bwaise-Makerere'!M23,'23.07 BWAISE-MAKERERE'!M23,'24.07 Bwaise-Makerere'!M23,'25.07Bwaise-Makerere'!M23,'26.07 Bwaise-Makerere-24h'!M23,'27.07 Bwaise-Makerere-24h'!M23,'28.07 Bwaise-Makerere'!M23)</f>
        <v>154.71428571428572</v>
      </c>
      <c r="N23" s="49">
        <f>AVERAGE('22.07 Bwaise-Makerere'!N23,'23.07 BWAISE-MAKERERE'!N23,'24.07 Bwaise-Makerere'!N23,'25.07Bwaise-Makerere'!N23,'26.07 Bwaise-Makerere-24h'!N23,'27.07 Bwaise-Makerere-24h'!N23,'28.07 Bwaise-Makerere'!N23)</f>
        <v>0</v>
      </c>
      <c r="O23" s="15">
        <f t="shared" si="0"/>
        <v>123.71428571428572</v>
      </c>
      <c r="P23" s="15">
        <f t="shared" si="1"/>
        <v>278.42857142857144</v>
      </c>
      <c r="R23" s="1" t="s">
        <v>147</v>
      </c>
      <c r="S23" s="34">
        <f>SUM(C62:C65)</f>
        <v>173</v>
      </c>
      <c r="T23" s="34">
        <f t="shared" ref="T23:AF23" si="15">SUM(D62:D65)</f>
        <v>77</v>
      </c>
      <c r="U23" s="34">
        <f t="shared" si="15"/>
        <v>40</v>
      </c>
      <c r="V23" s="34">
        <f t="shared" si="15"/>
        <v>159</v>
      </c>
      <c r="W23" s="34">
        <f t="shared" si="15"/>
        <v>4.5</v>
      </c>
      <c r="X23" s="34">
        <f t="shared" si="15"/>
        <v>3.5</v>
      </c>
      <c r="Y23" s="34">
        <f t="shared" si="15"/>
        <v>22.5</v>
      </c>
      <c r="Z23" s="34">
        <f t="shared" si="15"/>
        <v>13.5</v>
      </c>
      <c r="AA23" s="34">
        <f t="shared" si="15"/>
        <v>1.5</v>
      </c>
      <c r="AB23" s="34">
        <f t="shared" si="15"/>
        <v>0.5</v>
      </c>
      <c r="AC23" s="34">
        <f t="shared" si="15"/>
        <v>537</v>
      </c>
      <c r="AD23" s="34">
        <f t="shared" si="15"/>
        <v>0</v>
      </c>
      <c r="AE23" s="31">
        <f t="shared" si="15"/>
        <v>495</v>
      </c>
      <c r="AF23" s="31">
        <f t="shared" si="15"/>
        <v>1032</v>
      </c>
    </row>
    <row r="24" spans="2:32" ht="23.1" customHeight="1" x14ac:dyDescent="0.25">
      <c r="B24" s="23" t="s">
        <v>51</v>
      </c>
      <c r="C24" s="49">
        <f>AVERAGE('22.07 Bwaise-Makerere'!C24,'23.07 BWAISE-MAKERERE'!C24,'24.07 Bwaise-Makerere'!C24,'25.07Bwaise-Makerere'!C24,'26.07 Bwaise-Makerere-24h'!C24,'27.07 Bwaise-Makerere-24h'!C24,'28.07 Bwaise-Makerere'!C24)</f>
        <v>57.142857142857146</v>
      </c>
      <c r="D24" s="49">
        <f>AVERAGE('22.07 Bwaise-Makerere'!D24,'23.07 BWAISE-MAKERERE'!D24,'24.07 Bwaise-Makerere'!D24,'25.07Bwaise-Makerere'!D24,'26.07 Bwaise-Makerere-24h'!D24,'27.07 Bwaise-Makerere-24h'!D24,'28.07 Bwaise-Makerere'!D24)</f>
        <v>19.142857142857142</v>
      </c>
      <c r="E24" s="49">
        <f>AVERAGE('22.07 Bwaise-Makerere'!E24,'23.07 BWAISE-MAKERERE'!E24,'24.07 Bwaise-Makerere'!E24,'25.07Bwaise-Makerere'!E24,'26.07 Bwaise-Makerere-24h'!E24,'27.07 Bwaise-Makerere-24h'!E24,'28.07 Bwaise-Makerere'!E24)</f>
        <v>20.714285714285715</v>
      </c>
      <c r="F24" s="49">
        <f>AVERAGE('22.07 Bwaise-Makerere'!F24,'23.07 BWAISE-MAKERERE'!F24,'24.07 Bwaise-Makerere'!F24,'25.07Bwaise-Makerere'!F24,'26.07 Bwaise-Makerere-24h'!F24,'27.07 Bwaise-Makerere-24h'!F24,'28.07 Bwaise-Makerere'!F24)</f>
        <v>46.428571428571431</v>
      </c>
      <c r="G24" s="49">
        <f>AVERAGE('22.07 Bwaise-Makerere'!G24,'23.07 BWAISE-MAKERERE'!G24,'24.07 Bwaise-Makerere'!G24,'25.07Bwaise-Makerere'!G24,'26.07 Bwaise-Makerere-24h'!G24,'27.07 Bwaise-Makerere-24h'!G24,'28.07 Bwaise-Makerere'!G24)</f>
        <v>0.8571428571428571</v>
      </c>
      <c r="H24" s="49">
        <f>AVERAGE('22.07 Bwaise-Makerere'!H24,'23.07 BWAISE-MAKERERE'!H24,'24.07 Bwaise-Makerere'!H24,'25.07Bwaise-Makerere'!H24,'26.07 Bwaise-Makerere-24h'!H24,'27.07 Bwaise-Makerere-24h'!H24,'28.07 Bwaise-Makerere'!H24)</f>
        <v>1</v>
      </c>
      <c r="I24" s="49">
        <f>AVERAGE('22.07 Bwaise-Makerere'!I24,'23.07 BWAISE-MAKERERE'!I24,'24.07 Bwaise-Makerere'!I24,'25.07Bwaise-Makerere'!I24,'26.07 Bwaise-Makerere-24h'!I24,'27.07 Bwaise-Makerere-24h'!I24,'28.07 Bwaise-Makerere'!I24)</f>
        <v>5.5714285714285712</v>
      </c>
      <c r="J24" s="49">
        <f>AVERAGE('22.07 Bwaise-Makerere'!J24,'23.07 BWAISE-MAKERERE'!J24,'24.07 Bwaise-Makerere'!J24,'25.07Bwaise-Makerere'!J24,'26.07 Bwaise-Makerere-24h'!J24,'27.07 Bwaise-Makerere-24h'!J24,'28.07 Bwaise-Makerere'!J24)</f>
        <v>2.4285714285714284</v>
      </c>
      <c r="K24" s="49">
        <f>AVERAGE('22.07 Bwaise-Makerere'!K24,'23.07 BWAISE-MAKERERE'!K24,'24.07 Bwaise-Makerere'!K24,'25.07Bwaise-Makerere'!K24,'26.07 Bwaise-Makerere-24h'!K24,'27.07 Bwaise-Makerere-24h'!K24,'28.07 Bwaise-Makerere'!K24)</f>
        <v>1.7142857142857142</v>
      </c>
      <c r="L24" s="49">
        <f>AVERAGE('22.07 Bwaise-Makerere'!L24,'23.07 BWAISE-MAKERERE'!L24,'24.07 Bwaise-Makerere'!L24,'25.07Bwaise-Makerere'!L24,'26.07 Bwaise-Makerere-24h'!L24,'27.07 Bwaise-Makerere-24h'!L24,'28.07 Bwaise-Makerere'!L24)</f>
        <v>0.2857142857142857</v>
      </c>
      <c r="M24" s="49">
        <f>AVERAGE('22.07 Bwaise-Makerere'!M24,'23.07 BWAISE-MAKERERE'!M24,'24.07 Bwaise-Makerere'!M24,'25.07Bwaise-Makerere'!M24,'26.07 Bwaise-Makerere-24h'!M24,'27.07 Bwaise-Makerere-24h'!M24,'28.07 Bwaise-Makerere'!M24)</f>
        <v>158.57142857142858</v>
      </c>
      <c r="N24" s="49">
        <f>AVERAGE('22.07 Bwaise-Makerere'!N24,'23.07 BWAISE-MAKERERE'!N24,'24.07 Bwaise-Makerere'!N24,'25.07Bwaise-Makerere'!N24,'26.07 Bwaise-Makerere-24h'!N24,'27.07 Bwaise-Makerere-24h'!N24,'28.07 Bwaise-Makerere'!N24)</f>
        <v>0</v>
      </c>
      <c r="O24" s="15">
        <f t="shared" si="0"/>
        <v>155.28571428571431</v>
      </c>
      <c r="P24" s="15">
        <f t="shared" si="1"/>
        <v>313.85714285714289</v>
      </c>
      <c r="R24" s="1" t="s">
        <v>148</v>
      </c>
      <c r="S24" s="34">
        <f>SUM(C66:C69)</f>
        <v>203</v>
      </c>
      <c r="T24" s="34">
        <f t="shared" ref="T24:AF24" si="16">SUM(D66:D69)</f>
        <v>86.5</v>
      </c>
      <c r="U24" s="34">
        <f t="shared" si="16"/>
        <v>42</v>
      </c>
      <c r="V24" s="34">
        <f t="shared" si="16"/>
        <v>179</v>
      </c>
      <c r="W24" s="34">
        <f t="shared" si="16"/>
        <v>3.5</v>
      </c>
      <c r="X24" s="34">
        <f t="shared" si="16"/>
        <v>3</v>
      </c>
      <c r="Y24" s="34">
        <f t="shared" si="16"/>
        <v>30</v>
      </c>
      <c r="Z24" s="34">
        <f t="shared" si="16"/>
        <v>9.5</v>
      </c>
      <c r="AA24" s="34">
        <f t="shared" si="16"/>
        <v>5.5</v>
      </c>
      <c r="AB24" s="34">
        <f t="shared" si="16"/>
        <v>1.5</v>
      </c>
      <c r="AC24" s="34">
        <f t="shared" si="16"/>
        <v>506.5</v>
      </c>
      <c r="AD24" s="34">
        <f t="shared" si="16"/>
        <v>0</v>
      </c>
      <c r="AE24" s="31">
        <f t="shared" si="16"/>
        <v>563.5</v>
      </c>
      <c r="AF24" s="31">
        <f t="shared" si="16"/>
        <v>1070</v>
      </c>
    </row>
    <row r="25" spans="2:32" ht="23.1" customHeight="1" x14ac:dyDescent="0.25">
      <c r="B25" s="23" t="s">
        <v>52</v>
      </c>
      <c r="C25" s="49">
        <f>AVERAGE('22.07 Bwaise-Makerere'!C25,'23.07 BWAISE-MAKERERE'!C25,'24.07 Bwaise-Makerere'!C25,'25.07Bwaise-Makerere'!C25,'26.07 Bwaise-Makerere-24h'!C25,'27.07 Bwaise-Makerere-24h'!C25,'28.07 Bwaise-Makerere'!C25)</f>
        <v>47.571428571428569</v>
      </c>
      <c r="D25" s="49">
        <f>AVERAGE('22.07 Bwaise-Makerere'!D25,'23.07 BWAISE-MAKERERE'!D25,'24.07 Bwaise-Makerere'!D25,'25.07Bwaise-Makerere'!D25,'26.07 Bwaise-Makerere-24h'!D25,'27.07 Bwaise-Makerere-24h'!D25,'28.07 Bwaise-Makerere'!D25)</f>
        <v>16</v>
      </c>
      <c r="E25" s="49">
        <f>AVERAGE('22.07 Bwaise-Makerere'!E25,'23.07 BWAISE-MAKERERE'!E25,'24.07 Bwaise-Makerere'!E25,'25.07Bwaise-Makerere'!E25,'26.07 Bwaise-Makerere-24h'!E25,'27.07 Bwaise-Makerere-24h'!E25,'28.07 Bwaise-Makerere'!E25)</f>
        <v>7.1428571428571432</v>
      </c>
      <c r="F25" s="49">
        <f>AVERAGE('22.07 Bwaise-Makerere'!F25,'23.07 BWAISE-MAKERERE'!F25,'24.07 Bwaise-Makerere'!F25,'25.07Bwaise-Makerere'!F25,'26.07 Bwaise-Makerere-24h'!F25,'27.07 Bwaise-Makerere-24h'!F25,'28.07 Bwaise-Makerere'!F25)</f>
        <v>37.428571428571431</v>
      </c>
      <c r="G25" s="49">
        <f>AVERAGE('22.07 Bwaise-Makerere'!G25,'23.07 BWAISE-MAKERERE'!G25,'24.07 Bwaise-Makerere'!G25,'25.07Bwaise-Makerere'!G25,'26.07 Bwaise-Makerere-24h'!G25,'27.07 Bwaise-Makerere-24h'!G25,'28.07 Bwaise-Makerere'!G25)</f>
        <v>0.2857142857142857</v>
      </c>
      <c r="H25" s="49">
        <f>AVERAGE('22.07 Bwaise-Makerere'!H25,'23.07 BWAISE-MAKERERE'!H25,'24.07 Bwaise-Makerere'!H25,'25.07Bwaise-Makerere'!H25,'26.07 Bwaise-Makerere-24h'!H25,'27.07 Bwaise-Makerere-24h'!H25,'28.07 Bwaise-Makerere'!H25)</f>
        <v>0</v>
      </c>
      <c r="I25" s="49">
        <f>AVERAGE('22.07 Bwaise-Makerere'!I25,'23.07 BWAISE-MAKERERE'!I25,'24.07 Bwaise-Makerere'!I25,'25.07Bwaise-Makerere'!I25,'26.07 Bwaise-Makerere-24h'!I25,'27.07 Bwaise-Makerere-24h'!I25,'28.07 Bwaise-Makerere'!I25)</f>
        <v>5.4285714285714288</v>
      </c>
      <c r="J25" s="49">
        <f>AVERAGE('22.07 Bwaise-Makerere'!J25,'23.07 BWAISE-MAKERERE'!J25,'24.07 Bwaise-Makerere'!J25,'25.07Bwaise-Makerere'!J25,'26.07 Bwaise-Makerere-24h'!J25,'27.07 Bwaise-Makerere-24h'!J25,'28.07 Bwaise-Makerere'!J25)</f>
        <v>1.1428571428571428</v>
      </c>
      <c r="K25" s="49">
        <f>AVERAGE('22.07 Bwaise-Makerere'!K25,'23.07 BWAISE-MAKERERE'!K25,'24.07 Bwaise-Makerere'!K25,'25.07Bwaise-Makerere'!K25,'26.07 Bwaise-Makerere-24h'!K25,'27.07 Bwaise-Makerere-24h'!K25,'28.07 Bwaise-Makerere'!K25)</f>
        <v>1.1428571428571428</v>
      </c>
      <c r="L25" s="49">
        <f>AVERAGE('22.07 Bwaise-Makerere'!L25,'23.07 BWAISE-MAKERERE'!L25,'24.07 Bwaise-Makerere'!L25,'25.07Bwaise-Makerere'!L25,'26.07 Bwaise-Makerere-24h'!L25,'27.07 Bwaise-Makerere-24h'!L25,'28.07 Bwaise-Makerere'!L25)</f>
        <v>0.5714285714285714</v>
      </c>
      <c r="M25" s="49">
        <f>AVERAGE('22.07 Bwaise-Makerere'!M25,'23.07 BWAISE-MAKERERE'!M25,'24.07 Bwaise-Makerere'!M25,'25.07Bwaise-Makerere'!M25,'26.07 Bwaise-Makerere-24h'!M25,'27.07 Bwaise-Makerere-24h'!M25,'28.07 Bwaise-Makerere'!M25)</f>
        <v>146</v>
      </c>
      <c r="N25" s="49">
        <f>AVERAGE('22.07 Bwaise-Makerere'!N25,'23.07 BWAISE-MAKERERE'!N25,'24.07 Bwaise-Makerere'!N25,'25.07Bwaise-Makerere'!N25,'26.07 Bwaise-Makerere-24h'!N25,'27.07 Bwaise-Makerere-24h'!N25,'28.07 Bwaise-Makerere'!N25)</f>
        <v>0</v>
      </c>
      <c r="O25" s="15">
        <f t="shared" si="0"/>
        <v>116.71428571428571</v>
      </c>
      <c r="P25" s="15">
        <f t="shared" si="1"/>
        <v>262.71428571428572</v>
      </c>
      <c r="R25" s="1" t="s">
        <v>149</v>
      </c>
      <c r="S25" s="34">
        <f>SUM(C70:C73)</f>
        <v>209</v>
      </c>
      <c r="T25" s="34">
        <f t="shared" ref="T25:AF25" si="17">SUM(D70:D73)</f>
        <v>48.5</v>
      </c>
      <c r="U25" s="34">
        <f t="shared" si="17"/>
        <v>59.5</v>
      </c>
      <c r="V25" s="34">
        <f t="shared" si="17"/>
        <v>162.5</v>
      </c>
      <c r="W25" s="34">
        <f t="shared" si="17"/>
        <v>4</v>
      </c>
      <c r="X25" s="34">
        <f t="shared" si="17"/>
        <v>12</v>
      </c>
      <c r="Y25" s="34">
        <f t="shared" si="17"/>
        <v>23</v>
      </c>
      <c r="Z25" s="34">
        <f t="shared" si="17"/>
        <v>5.5</v>
      </c>
      <c r="AA25" s="34">
        <f t="shared" si="17"/>
        <v>4</v>
      </c>
      <c r="AB25" s="34">
        <f t="shared" si="17"/>
        <v>1.5</v>
      </c>
      <c r="AC25" s="34">
        <f t="shared" si="17"/>
        <v>556.5</v>
      </c>
      <c r="AD25" s="34">
        <f t="shared" si="17"/>
        <v>0</v>
      </c>
      <c r="AE25" s="31">
        <f t="shared" si="17"/>
        <v>529.5</v>
      </c>
      <c r="AF25" s="31">
        <f t="shared" si="17"/>
        <v>1086</v>
      </c>
    </row>
    <row r="26" spans="2:32" ht="23.1" customHeight="1" x14ac:dyDescent="0.25">
      <c r="B26" s="23" t="s">
        <v>53</v>
      </c>
      <c r="C26" s="49">
        <f>AVERAGE('22.07 Bwaise-Makerere'!C26,'23.07 BWAISE-MAKERERE'!C26,'24.07 Bwaise-Makerere'!C26,'25.07Bwaise-Makerere'!C26,'26.07 Bwaise-Makerere-24h'!C26,'27.07 Bwaise-Makerere-24h'!C26,'28.07 Bwaise-Makerere'!C26)</f>
        <v>55.571428571428569</v>
      </c>
      <c r="D26" s="49">
        <f>AVERAGE('22.07 Bwaise-Makerere'!D26,'23.07 BWAISE-MAKERERE'!D26,'24.07 Bwaise-Makerere'!D26,'25.07Bwaise-Makerere'!D26,'26.07 Bwaise-Makerere-24h'!D26,'27.07 Bwaise-Makerere-24h'!D26,'28.07 Bwaise-Makerere'!D26)</f>
        <v>15.857142857142858</v>
      </c>
      <c r="E26" s="49">
        <f>AVERAGE('22.07 Bwaise-Makerere'!E26,'23.07 BWAISE-MAKERERE'!E26,'24.07 Bwaise-Makerere'!E26,'25.07Bwaise-Makerere'!E26,'26.07 Bwaise-Makerere-24h'!E26,'27.07 Bwaise-Makerere-24h'!E26,'28.07 Bwaise-Makerere'!E26)</f>
        <v>8.8571428571428577</v>
      </c>
      <c r="F26" s="49">
        <f>AVERAGE('22.07 Bwaise-Makerere'!F26,'23.07 BWAISE-MAKERERE'!F26,'24.07 Bwaise-Makerere'!F26,'25.07Bwaise-Makerere'!F26,'26.07 Bwaise-Makerere-24h'!F26,'27.07 Bwaise-Makerere-24h'!F26,'28.07 Bwaise-Makerere'!F26)</f>
        <v>47.714285714285715</v>
      </c>
      <c r="G26" s="49">
        <f>AVERAGE('22.07 Bwaise-Makerere'!G26,'23.07 BWAISE-MAKERERE'!G26,'24.07 Bwaise-Makerere'!G26,'25.07Bwaise-Makerere'!G26,'26.07 Bwaise-Makerere-24h'!G26,'27.07 Bwaise-Makerere-24h'!G26,'28.07 Bwaise-Makerere'!G26)</f>
        <v>1</v>
      </c>
      <c r="H26" s="49">
        <f>AVERAGE('22.07 Bwaise-Makerere'!H26,'23.07 BWAISE-MAKERERE'!H26,'24.07 Bwaise-Makerere'!H26,'25.07Bwaise-Makerere'!H26,'26.07 Bwaise-Makerere-24h'!H26,'27.07 Bwaise-Makerere-24h'!H26,'28.07 Bwaise-Makerere'!H26)</f>
        <v>0.42857142857142855</v>
      </c>
      <c r="I26" s="49">
        <f>AVERAGE('22.07 Bwaise-Makerere'!I26,'23.07 BWAISE-MAKERERE'!I26,'24.07 Bwaise-Makerere'!I26,'25.07Bwaise-Makerere'!I26,'26.07 Bwaise-Makerere-24h'!I26,'27.07 Bwaise-Makerere-24h'!I26,'28.07 Bwaise-Makerere'!I26)</f>
        <v>6.7142857142857144</v>
      </c>
      <c r="J26" s="49">
        <f>AVERAGE('22.07 Bwaise-Makerere'!J26,'23.07 BWAISE-MAKERERE'!J26,'24.07 Bwaise-Makerere'!J26,'25.07Bwaise-Makerere'!J26,'26.07 Bwaise-Makerere-24h'!J26,'27.07 Bwaise-Makerere-24h'!J26,'28.07 Bwaise-Makerere'!J26)</f>
        <v>2.1428571428571428</v>
      </c>
      <c r="K26" s="49">
        <f>AVERAGE('22.07 Bwaise-Makerere'!K26,'23.07 BWAISE-MAKERERE'!K26,'24.07 Bwaise-Makerere'!K26,'25.07Bwaise-Makerere'!K26,'26.07 Bwaise-Makerere-24h'!K26,'27.07 Bwaise-Makerere-24h'!K26,'28.07 Bwaise-Makerere'!K26)</f>
        <v>2</v>
      </c>
      <c r="L26" s="49">
        <f>AVERAGE('22.07 Bwaise-Makerere'!L26,'23.07 BWAISE-MAKERERE'!L26,'24.07 Bwaise-Makerere'!L26,'25.07Bwaise-Makerere'!L26,'26.07 Bwaise-Makerere-24h'!L26,'27.07 Bwaise-Makerere-24h'!L26,'28.07 Bwaise-Makerere'!L26)</f>
        <v>0.14285714285714285</v>
      </c>
      <c r="M26" s="49">
        <f>AVERAGE('22.07 Bwaise-Makerere'!M26,'23.07 BWAISE-MAKERERE'!M26,'24.07 Bwaise-Makerere'!M26,'25.07Bwaise-Makerere'!M26,'26.07 Bwaise-Makerere-24h'!M26,'27.07 Bwaise-Makerere-24h'!M26,'28.07 Bwaise-Makerere'!M26)</f>
        <v>146.85714285714286</v>
      </c>
      <c r="N26" s="49">
        <f>AVERAGE('22.07 Bwaise-Makerere'!N26,'23.07 BWAISE-MAKERERE'!N26,'24.07 Bwaise-Makerere'!N26,'25.07Bwaise-Makerere'!N26,'26.07 Bwaise-Makerere-24h'!N26,'27.07 Bwaise-Makerere-24h'!N26,'28.07 Bwaise-Makerere'!N26)</f>
        <v>0</v>
      </c>
      <c r="O26" s="15">
        <f t="shared" si="0"/>
        <v>140.42857142857142</v>
      </c>
      <c r="P26" s="15">
        <f t="shared" si="1"/>
        <v>287.28571428571428</v>
      </c>
      <c r="R26" s="1" t="s">
        <v>150</v>
      </c>
      <c r="S26" s="34">
        <f>SUM(C74:C77)</f>
        <v>223</v>
      </c>
      <c r="T26" s="34">
        <f t="shared" ref="T26:AF26" si="18">SUM(D74:D77)</f>
        <v>44</v>
      </c>
      <c r="U26" s="34">
        <f t="shared" si="18"/>
        <v>34.5</v>
      </c>
      <c r="V26" s="34">
        <f t="shared" si="18"/>
        <v>187.5</v>
      </c>
      <c r="W26" s="34">
        <f t="shared" si="18"/>
        <v>2.5</v>
      </c>
      <c r="X26" s="34">
        <f t="shared" si="18"/>
        <v>5</v>
      </c>
      <c r="Y26" s="34">
        <f t="shared" si="18"/>
        <v>18</v>
      </c>
      <c r="Z26" s="34">
        <f t="shared" si="18"/>
        <v>4</v>
      </c>
      <c r="AA26" s="34">
        <f t="shared" si="18"/>
        <v>3.5</v>
      </c>
      <c r="AB26" s="34">
        <f t="shared" si="18"/>
        <v>1</v>
      </c>
      <c r="AC26" s="34">
        <f t="shared" si="18"/>
        <v>467.5</v>
      </c>
      <c r="AD26" s="34">
        <f t="shared" si="18"/>
        <v>0</v>
      </c>
      <c r="AE26" s="31">
        <f t="shared" si="18"/>
        <v>523</v>
      </c>
      <c r="AF26" s="31">
        <f t="shared" si="18"/>
        <v>990.5</v>
      </c>
    </row>
    <row r="27" spans="2:32" ht="23.1" customHeight="1" x14ac:dyDescent="0.25">
      <c r="B27" s="23" t="s">
        <v>54</v>
      </c>
      <c r="C27" s="49">
        <f>AVERAGE('22.07 Bwaise-Makerere'!C27,'23.07 BWAISE-MAKERERE'!C27,'24.07 Bwaise-Makerere'!C27,'25.07Bwaise-Makerere'!C27,'26.07 Bwaise-Makerere-24h'!C27,'27.07 Bwaise-Makerere-24h'!C27,'28.07 Bwaise-Makerere'!C27)</f>
        <v>51.142857142857146</v>
      </c>
      <c r="D27" s="49">
        <f>AVERAGE('22.07 Bwaise-Makerere'!D27,'23.07 BWAISE-MAKERERE'!D27,'24.07 Bwaise-Makerere'!D27,'25.07Bwaise-Makerere'!D27,'26.07 Bwaise-Makerere-24h'!D27,'27.07 Bwaise-Makerere-24h'!D27,'28.07 Bwaise-Makerere'!D27)</f>
        <v>16.714285714285715</v>
      </c>
      <c r="E27" s="49">
        <f>AVERAGE('22.07 Bwaise-Makerere'!E27,'23.07 BWAISE-MAKERERE'!E27,'24.07 Bwaise-Makerere'!E27,'25.07Bwaise-Makerere'!E27,'26.07 Bwaise-Makerere-24h'!E27,'27.07 Bwaise-Makerere-24h'!E27,'28.07 Bwaise-Makerere'!E27)</f>
        <v>8.1428571428571423</v>
      </c>
      <c r="F27" s="49">
        <f>AVERAGE('22.07 Bwaise-Makerere'!F27,'23.07 BWAISE-MAKERERE'!F27,'24.07 Bwaise-Makerere'!F27,'25.07Bwaise-Makerere'!F27,'26.07 Bwaise-Makerere-24h'!F27,'27.07 Bwaise-Makerere-24h'!F27,'28.07 Bwaise-Makerere'!F27)</f>
        <v>39.571428571428569</v>
      </c>
      <c r="G27" s="49">
        <f>AVERAGE('22.07 Bwaise-Makerere'!G27,'23.07 BWAISE-MAKERERE'!G27,'24.07 Bwaise-Makerere'!G27,'25.07Bwaise-Makerere'!G27,'26.07 Bwaise-Makerere-24h'!G27,'27.07 Bwaise-Makerere-24h'!G27,'28.07 Bwaise-Makerere'!G27)</f>
        <v>0.5714285714285714</v>
      </c>
      <c r="H27" s="49">
        <f>AVERAGE('22.07 Bwaise-Makerere'!H27,'23.07 BWAISE-MAKERERE'!H27,'24.07 Bwaise-Makerere'!H27,'25.07Bwaise-Makerere'!H27,'26.07 Bwaise-Makerere-24h'!H27,'27.07 Bwaise-Makerere-24h'!H27,'28.07 Bwaise-Makerere'!H27)</f>
        <v>0.7142857142857143</v>
      </c>
      <c r="I27" s="49">
        <f>AVERAGE('22.07 Bwaise-Makerere'!I27,'23.07 BWAISE-MAKERERE'!I27,'24.07 Bwaise-Makerere'!I27,'25.07Bwaise-Makerere'!I27,'26.07 Bwaise-Makerere-24h'!I27,'27.07 Bwaise-Makerere-24h'!I27,'28.07 Bwaise-Makerere'!I27)</f>
        <v>5.1428571428571432</v>
      </c>
      <c r="J27" s="49">
        <f>AVERAGE('22.07 Bwaise-Makerere'!J27,'23.07 BWAISE-MAKERERE'!J27,'24.07 Bwaise-Makerere'!J27,'25.07Bwaise-Makerere'!J27,'26.07 Bwaise-Makerere-24h'!J27,'27.07 Bwaise-Makerere-24h'!J27,'28.07 Bwaise-Makerere'!J27)</f>
        <v>0.5714285714285714</v>
      </c>
      <c r="K27" s="49">
        <f>AVERAGE('22.07 Bwaise-Makerere'!K27,'23.07 BWAISE-MAKERERE'!K27,'24.07 Bwaise-Makerere'!K27,'25.07Bwaise-Makerere'!K27,'26.07 Bwaise-Makerere-24h'!K27,'27.07 Bwaise-Makerere-24h'!K27,'28.07 Bwaise-Makerere'!K27)</f>
        <v>1.1428571428571428</v>
      </c>
      <c r="L27" s="49">
        <f>AVERAGE('22.07 Bwaise-Makerere'!L27,'23.07 BWAISE-MAKERERE'!L27,'24.07 Bwaise-Makerere'!L27,'25.07Bwaise-Makerere'!L27,'26.07 Bwaise-Makerere-24h'!L27,'27.07 Bwaise-Makerere-24h'!L27,'28.07 Bwaise-Makerere'!L27)</f>
        <v>0.2857142857142857</v>
      </c>
      <c r="M27" s="49">
        <f>AVERAGE('22.07 Bwaise-Makerere'!M27,'23.07 BWAISE-MAKERERE'!M27,'24.07 Bwaise-Makerere'!M27,'25.07Bwaise-Makerere'!M27,'26.07 Bwaise-Makerere-24h'!M27,'27.07 Bwaise-Makerere-24h'!M27,'28.07 Bwaise-Makerere'!M27)</f>
        <v>139</v>
      </c>
      <c r="N27" s="49">
        <f>AVERAGE('22.07 Bwaise-Makerere'!N27,'23.07 BWAISE-MAKERERE'!N27,'24.07 Bwaise-Makerere'!N27,'25.07Bwaise-Makerere'!N27,'26.07 Bwaise-Makerere-24h'!N27,'27.07 Bwaise-Makerere-24h'!N27,'28.07 Bwaise-Makerere'!N27)</f>
        <v>0.14285714285714285</v>
      </c>
      <c r="O27" s="15">
        <f t="shared" si="0"/>
        <v>124.14285714285712</v>
      </c>
      <c r="P27" s="15">
        <f t="shared" si="1"/>
        <v>263.14285714285717</v>
      </c>
      <c r="R27" s="1" t="s">
        <v>151</v>
      </c>
      <c r="S27" s="34">
        <f>SUM(C78:C81)</f>
        <v>213</v>
      </c>
      <c r="T27" s="34">
        <f t="shared" ref="T27:AF27" si="19">SUM(D78:D81)</f>
        <v>37.5</v>
      </c>
      <c r="U27" s="34">
        <f t="shared" si="19"/>
        <v>40</v>
      </c>
      <c r="V27" s="34">
        <f t="shared" si="19"/>
        <v>156</v>
      </c>
      <c r="W27" s="34">
        <f t="shared" si="19"/>
        <v>2</v>
      </c>
      <c r="X27" s="34">
        <f t="shared" si="19"/>
        <v>3.5</v>
      </c>
      <c r="Y27" s="34">
        <f t="shared" si="19"/>
        <v>24</v>
      </c>
      <c r="Z27" s="34">
        <f t="shared" si="19"/>
        <v>7.5</v>
      </c>
      <c r="AA27" s="34">
        <f t="shared" si="19"/>
        <v>1.5</v>
      </c>
      <c r="AB27" s="34">
        <f t="shared" si="19"/>
        <v>3.5</v>
      </c>
      <c r="AC27" s="34">
        <f t="shared" si="19"/>
        <v>554</v>
      </c>
      <c r="AD27" s="34">
        <f t="shared" si="19"/>
        <v>0</v>
      </c>
      <c r="AE27" s="31">
        <f t="shared" si="19"/>
        <v>488.5</v>
      </c>
      <c r="AF27" s="31">
        <f t="shared" si="19"/>
        <v>1042.5</v>
      </c>
    </row>
    <row r="28" spans="2:32" ht="23.1" customHeight="1" x14ac:dyDescent="0.25">
      <c r="B28" s="23" t="s">
        <v>55</v>
      </c>
      <c r="C28" s="49">
        <f>AVERAGE('22.07 Bwaise-Makerere'!C28,'23.07 BWAISE-MAKERERE'!C28,'24.07 Bwaise-Makerere'!C28,'25.07Bwaise-Makerere'!C28,'26.07 Bwaise-Makerere-24h'!C28,'27.07 Bwaise-Makerere-24h'!C28,'28.07 Bwaise-Makerere'!C28)</f>
        <v>51.285714285714285</v>
      </c>
      <c r="D28" s="49">
        <f>AVERAGE('22.07 Bwaise-Makerere'!D28,'23.07 BWAISE-MAKERERE'!D28,'24.07 Bwaise-Makerere'!D28,'25.07Bwaise-Makerere'!D28,'26.07 Bwaise-Makerere-24h'!D28,'27.07 Bwaise-Makerere-24h'!D28,'28.07 Bwaise-Makerere'!D28)</f>
        <v>15.285714285714286</v>
      </c>
      <c r="E28" s="49">
        <f>AVERAGE('22.07 Bwaise-Makerere'!E28,'23.07 BWAISE-MAKERERE'!E28,'24.07 Bwaise-Makerere'!E28,'25.07Bwaise-Makerere'!E28,'26.07 Bwaise-Makerere-24h'!E28,'27.07 Bwaise-Makerere-24h'!E28,'28.07 Bwaise-Makerere'!E28)</f>
        <v>9.7142857142857135</v>
      </c>
      <c r="F28" s="49">
        <f>AVERAGE('22.07 Bwaise-Makerere'!F28,'23.07 BWAISE-MAKERERE'!F28,'24.07 Bwaise-Makerere'!F28,'25.07Bwaise-Makerere'!F28,'26.07 Bwaise-Makerere-24h'!F28,'27.07 Bwaise-Makerere-24h'!F28,'28.07 Bwaise-Makerere'!F28)</f>
        <v>40.428571428571431</v>
      </c>
      <c r="G28" s="49">
        <f>AVERAGE('22.07 Bwaise-Makerere'!G28,'23.07 BWAISE-MAKERERE'!G28,'24.07 Bwaise-Makerere'!G28,'25.07Bwaise-Makerere'!G28,'26.07 Bwaise-Makerere-24h'!G28,'27.07 Bwaise-Makerere-24h'!G28,'28.07 Bwaise-Makerere'!G28)</f>
        <v>0.2857142857142857</v>
      </c>
      <c r="H28" s="49">
        <f>AVERAGE('22.07 Bwaise-Makerere'!H28,'23.07 BWAISE-MAKERERE'!H28,'24.07 Bwaise-Makerere'!H28,'25.07Bwaise-Makerere'!H28,'26.07 Bwaise-Makerere-24h'!H28,'27.07 Bwaise-Makerere-24h'!H28,'28.07 Bwaise-Makerere'!H28)</f>
        <v>0.14285714285714285</v>
      </c>
      <c r="I28" s="49">
        <f>AVERAGE('22.07 Bwaise-Makerere'!I28,'23.07 BWAISE-MAKERERE'!I28,'24.07 Bwaise-Makerere'!I28,'25.07Bwaise-Makerere'!I28,'26.07 Bwaise-Makerere-24h'!I28,'27.07 Bwaise-Makerere-24h'!I28,'28.07 Bwaise-Makerere'!I28)</f>
        <v>5.4285714285714288</v>
      </c>
      <c r="J28" s="49">
        <f>AVERAGE('22.07 Bwaise-Makerere'!J28,'23.07 BWAISE-MAKERERE'!J28,'24.07 Bwaise-Makerere'!J28,'25.07Bwaise-Makerere'!J28,'26.07 Bwaise-Makerere-24h'!J28,'27.07 Bwaise-Makerere-24h'!J28,'28.07 Bwaise-Makerere'!J28)</f>
        <v>1.4285714285714286</v>
      </c>
      <c r="K28" s="49">
        <f>AVERAGE('22.07 Bwaise-Makerere'!K28,'23.07 BWAISE-MAKERERE'!K28,'24.07 Bwaise-Makerere'!K28,'25.07Bwaise-Makerere'!K28,'26.07 Bwaise-Makerere-24h'!K28,'27.07 Bwaise-Makerere-24h'!K28,'28.07 Bwaise-Makerere'!K28)</f>
        <v>1.5714285714285714</v>
      </c>
      <c r="L28" s="49">
        <f>AVERAGE('22.07 Bwaise-Makerere'!L28,'23.07 BWAISE-MAKERERE'!L28,'24.07 Bwaise-Makerere'!L28,'25.07Bwaise-Makerere'!L28,'26.07 Bwaise-Makerere-24h'!L28,'27.07 Bwaise-Makerere-24h'!L28,'28.07 Bwaise-Makerere'!L28)</f>
        <v>5.4285714285714288</v>
      </c>
      <c r="M28" s="49">
        <f>AVERAGE('22.07 Bwaise-Makerere'!M28,'23.07 BWAISE-MAKERERE'!M28,'24.07 Bwaise-Makerere'!M28,'25.07Bwaise-Makerere'!M28,'26.07 Bwaise-Makerere-24h'!M28,'27.07 Bwaise-Makerere-24h'!M28,'28.07 Bwaise-Makerere'!M28)</f>
        <v>132.71428571428572</v>
      </c>
      <c r="N28" s="49">
        <f>AVERAGE('22.07 Bwaise-Makerere'!N28,'23.07 BWAISE-MAKERERE'!N28,'24.07 Bwaise-Makerere'!N28,'25.07Bwaise-Makerere'!N28,'26.07 Bwaise-Makerere-24h'!N28,'27.07 Bwaise-Makerere-24h'!N28,'28.07 Bwaise-Makerere'!N28)</f>
        <v>0</v>
      </c>
      <c r="O28" s="15">
        <f t="shared" si="0"/>
        <v>131</v>
      </c>
      <c r="P28" s="15">
        <f t="shared" si="1"/>
        <v>263.71428571428572</v>
      </c>
      <c r="R28" s="1" t="s">
        <v>152</v>
      </c>
      <c r="S28" s="34">
        <f>SUM(C82:C85)</f>
        <v>210</v>
      </c>
      <c r="T28" s="34">
        <f t="shared" ref="T28:AF28" si="20">SUM(D82:D85)</f>
        <v>40.5</v>
      </c>
      <c r="U28" s="34">
        <f t="shared" si="20"/>
        <v>39</v>
      </c>
      <c r="V28" s="34">
        <f t="shared" si="20"/>
        <v>151.5</v>
      </c>
      <c r="W28" s="34">
        <f t="shared" si="20"/>
        <v>3.5</v>
      </c>
      <c r="X28" s="34">
        <f t="shared" si="20"/>
        <v>4.5</v>
      </c>
      <c r="Y28" s="34">
        <f t="shared" si="20"/>
        <v>18</v>
      </c>
      <c r="Z28" s="34">
        <f t="shared" si="20"/>
        <v>8</v>
      </c>
      <c r="AA28" s="34">
        <f t="shared" si="20"/>
        <v>5.5</v>
      </c>
      <c r="AB28" s="34">
        <f t="shared" si="20"/>
        <v>4</v>
      </c>
      <c r="AC28" s="34">
        <f t="shared" si="20"/>
        <v>515</v>
      </c>
      <c r="AD28" s="34">
        <f t="shared" si="20"/>
        <v>0</v>
      </c>
      <c r="AE28" s="31">
        <f t="shared" si="20"/>
        <v>484.5</v>
      </c>
      <c r="AF28" s="31">
        <f t="shared" si="20"/>
        <v>999.5</v>
      </c>
    </row>
    <row r="29" spans="2:32" ht="23.1" customHeight="1" x14ac:dyDescent="0.25">
      <c r="B29" s="23" t="s">
        <v>56</v>
      </c>
      <c r="C29" s="49">
        <f>AVERAGE('22.07 Bwaise-Makerere'!C29,'23.07 BWAISE-MAKERERE'!C29,'24.07 Bwaise-Makerere'!C29,'25.07Bwaise-Makerere'!C29,'26.07 Bwaise-Makerere-24h'!C29,'27.07 Bwaise-Makerere-24h'!C29,'28.07 Bwaise-Makerere'!C29)</f>
        <v>47.285714285714285</v>
      </c>
      <c r="D29" s="49">
        <f>AVERAGE('22.07 Bwaise-Makerere'!D29,'23.07 BWAISE-MAKERERE'!D29,'24.07 Bwaise-Makerere'!D29,'25.07Bwaise-Makerere'!D29,'26.07 Bwaise-Makerere-24h'!D29,'27.07 Bwaise-Makerere-24h'!D29,'28.07 Bwaise-Makerere'!D29)</f>
        <v>12.428571428571429</v>
      </c>
      <c r="E29" s="49">
        <f>AVERAGE('22.07 Bwaise-Makerere'!E29,'23.07 BWAISE-MAKERERE'!E29,'24.07 Bwaise-Makerere'!E29,'25.07Bwaise-Makerere'!E29,'26.07 Bwaise-Makerere-24h'!E29,'27.07 Bwaise-Makerere-24h'!E29,'28.07 Bwaise-Makerere'!E29)</f>
        <v>15.285714285714286</v>
      </c>
      <c r="F29" s="49">
        <f>AVERAGE('22.07 Bwaise-Makerere'!F29,'23.07 BWAISE-MAKERERE'!F29,'24.07 Bwaise-Makerere'!F29,'25.07Bwaise-Makerere'!F29,'26.07 Bwaise-Makerere-24h'!F29,'27.07 Bwaise-Makerere-24h'!F29,'28.07 Bwaise-Makerere'!F29)</f>
        <v>28.571428571428573</v>
      </c>
      <c r="G29" s="49">
        <f>AVERAGE('22.07 Bwaise-Makerere'!G29,'23.07 BWAISE-MAKERERE'!G29,'24.07 Bwaise-Makerere'!G29,'25.07Bwaise-Makerere'!G29,'26.07 Bwaise-Makerere-24h'!G29,'27.07 Bwaise-Makerere-24h'!G29,'28.07 Bwaise-Makerere'!G29)</f>
        <v>0.42857142857142855</v>
      </c>
      <c r="H29" s="49">
        <f>AVERAGE('22.07 Bwaise-Makerere'!H29,'23.07 BWAISE-MAKERERE'!H29,'24.07 Bwaise-Makerere'!H29,'25.07Bwaise-Makerere'!H29,'26.07 Bwaise-Makerere-24h'!H29,'27.07 Bwaise-Makerere-24h'!H29,'28.07 Bwaise-Makerere'!H29)</f>
        <v>2</v>
      </c>
      <c r="I29" s="49">
        <f>AVERAGE('22.07 Bwaise-Makerere'!I29,'23.07 BWAISE-MAKERERE'!I29,'24.07 Bwaise-Makerere'!I29,'25.07Bwaise-Makerere'!I29,'26.07 Bwaise-Makerere-24h'!I29,'27.07 Bwaise-Makerere-24h'!I29,'28.07 Bwaise-Makerere'!I29)</f>
        <v>4.2857142857142856</v>
      </c>
      <c r="J29" s="49">
        <f>AVERAGE('22.07 Bwaise-Makerere'!J29,'23.07 BWAISE-MAKERERE'!J29,'24.07 Bwaise-Makerere'!J29,'25.07Bwaise-Makerere'!J29,'26.07 Bwaise-Makerere-24h'!J29,'27.07 Bwaise-Makerere-24h'!J29,'28.07 Bwaise-Makerere'!J29)</f>
        <v>1.7142857142857142</v>
      </c>
      <c r="K29" s="49">
        <f>AVERAGE('22.07 Bwaise-Makerere'!K29,'23.07 BWAISE-MAKERERE'!K29,'24.07 Bwaise-Makerere'!K29,'25.07Bwaise-Makerere'!K29,'26.07 Bwaise-Makerere-24h'!K29,'27.07 Bwaise-Makerere-24h'!K29,'28.07 Bwaise-Makerere'!K29)</f>
        <v>1</v>
      </c>
      <c r="L29" s="49">
        <f>AVERAGE('22.07 Bwaise-Makerere'!L29,'23.07 BWAISE-MAKERERE'!L29,'24.07 Bwaise-Makerere'!L29,'25.07Bwaise-Makerere'!L29,'26.07 Bwaise-Makerere-24h'!L29,'27.07 Bwaise-Makerere-24h'!L29,'28.07 Bwaise-Makerere'!L29)</f>
        <v>0.42857142857142855</v>
      </c>
      <c r="M29" s="49">
        <f>AVERAGE('22.07 Bwaise-Makerere'!M29,'23.07 BWAISE-MAKERERE'!M29,'24.07 Bwaise-Makerere'!M29,'25.07Bwaise-Makerere'!M29,'26.07 Bwaise-Makerere-24h'!M29,'27.07 Bwaise-Makerere-24h'!M29,'28.07 Bwaise-Makerere'!M29)</f>
        <v>119.85714285714286</v>
      </c>
      <c r="N29" s="49">
        <f>AVERAGE('22.07 Bwaise-Makerere'!N29,'23.07 BWAISE-MAKERERE'!N29,'24.07 Bwaise-Makerere'!N29,'25.07Bwaise-Makerere'!N29,'26.07 Bwaise-Makerere-24h'!N29,'27.07 Bwaise-Makerere-24h'!N29,'28.07 Bwaise-Makerere'!N29)</f>
        <v>0</v>
      </c>
      <c r="O29" s="15">
        <f t="shared" si="0"/>
        <v>113.42857142857143</v>
      </c>
      <c r="P29" s="15">
        <f t="shared" si="1"/>
        <v>233.28571428571428</v>
      </c>
      <c r="R29" s="1" t="s">
        <v>153</v>
      </c>
      <c r="S29" s="34">
        <f>SUM(C86:C89)</f>
        <v>193.5</v>
      </c>
      <c r="T29" s="34">
        <f t="shared" ref="T29:AF29" si="21">SUM(D86:D89)</f>
        <v>44.5</v>
      </c>
      <c r="U29" s="34">
        <f t="shared" si="21"/>
        <v>29</v>
      </c>
      <c r="V29" s="34">
        <f t="shared" si="21"/>
        <v>100.5</v>
      </c>
      <c r="W29" s="34">
        <f t="shared" si="21"/>
        <v>3.5</v>
      </c>
      <c r="X29" s="34">
        <f t="shared" si="21"/>
        <v>1.5</v>
      </c>
      <c r="Y29" s="34">
        <f t="shared" si="21"/>
        <v>16</v>
      </c>
      <c r="Z29" s="34">
        <f t="shared" si="21"/>
        <v>4</v>
      </c>
      <c r="AA29" s="34">
        <f t="shared" si="21"/>
        <v>6.5</v>
      </c>
      <c r="AB29" s="34">
        <f t="shared" si="21"/>
        <v>0.5</v>
      </c>
      <c r="AC29" s="34">
        <f t="shared" si="21"/>
        <v>488.5</v>
      </c>
      <c r="AD29" s="34">
        <f t="shared" si="21"/>
        <v>0</v>
      </c>
      <c r="AE29" s="31">
        <f t="shared" si="21"/>
        <v>399.5</v>
      </c>
      <c r="AF29" s="31">
        <f t="shared" si="21"/>
        <v>888</v>
      </c>
    </row>
    <row r="30" spans="2:32" ht="23.1" customHeight="1" x14ac:dyDescent="0.25">
      <c r="B30" s="23" t="s">
        <v>57</v>
      </c>
      <c r="C30" s="49">
        <f>AVERAGE('22.07 Bwaise-Makerere'!C30,'23.07 BWAISE-MAKERERE'!C30,'24.07 Bwaise-Makerere'!C30,'25.07Bwaise-Makerere'!C30,'26.07 Bwaise-Makerere-24h'!C30,'27.07 Bwaise-Makerere-24h'!C30,'28.07 Bwaise-Makerere'!C30)</f>
        <v>49.571428571428569</v>
      </c>
      <c r="D30" s="49">
        <f>AVERAGE('22.07 Bwaise-Makerere'!D30,'23.07 BWAISE-MAKERERE'!D30,'24.07 Bwaise-Makerere'!D30,'25.07Bwaise-Makerere'!D30,'26.07 Bwaise-Makerere-24h'!D30,'27.07 Bwaise-Makerere-24h'!D30,'28.07 Bwaise-Makerere'!D30)</f>
        <v>13.142857142857142</v>
      </c>
      <c r="E30" s="49">
        <f>AVERAGE('22.07 Bwaise-Makerere'!E30,'23.07 BWAISE-MAKERERE'!E30,'24.07 Bwaise-Makerere'!E30,'25.07Bwaise-Makerere'!E30,'26.07 Bwaise-Makerere-24h'!E30,'27.07 Bwaise-Makerere-24h'!E30,'28.07 Bwaise-Makerere'!E30)</f>
        <v>8.8571428571428577</v>
      </c>
      <c r="F30" s="49">
        <f>AVERAGE('22.07 Bwaise-Makerere'!F30,'23.07 BWAISE-MAKERERE'!F30,'24.07 Bwaise-Makerere'!F30,'25.07Bwaise-Makerere'!F30,'26.07 Bwaise-Makerere-24h'!F30,'27.07 Bwaise-Makerere-24h'!F30,'28.07 Bwaise-Makerere'!F30)</f>
        <v>37.714285714285715</v>
      </c>
      <c r="G30" s="49">
        <f>AVERAGE('22.07 Bwaise-Makerere'!G30,'23.07 BWAISE-MAKERERE'!G30,'24.07 Bwaise-Makerere'!G30,'25.07Bwaise-Makerere'!G30,'26.07 Bwaise-Makerere-24h'!G30,'27.07 Bwaise-Makerere-24h'!G30,'28.07 Bwaise-Makerere'!G30)</f>
        <v>0.5714285714285714</v>
      </c>
      <c r="H30" s="49">
        <f>AVERAGE('22.07 Bwaise-Makerere'!H30,'23.07 BWAISE-MAKERERE'!H30,'24.07 Bwaise-Makerere'!H30,'25.07Bwaise-Makerere'!H30,'26.07 Bwaise-Makerere-24h'!H30,'27.07 Bwaise-Makerere-24h'!H30,'28.07 Bwaise-Makerere'!H30)</f>
        <v>1.1428571428571428</v>
      </c>
      <c r="I30" s="49">
        <f>AVERAGE('22.07 Bwaise-Makerere'!I30,'23.07 BWAISE-MAKERERE'!I30,'24.07 Bwaise-Makerere'!I30,'25.07Bwaise-Makerere'!I30,'26.07 Bwaise-Makerere-24h'!I30,'27.07 Bwaise-Makerere-24h'!I30,'28.07 Bwaise-Makerere'!I30)</f>
        <v>4.5714285714285712</v>
      </c>
      <c r="J30" s="49">
        <f>AVERAGE('22.07 Bwaise-Makerere'!J30,'23.07 BWAISE-MAKERERE'!J30,'24.07 Bwaise-Makerere'!J30,'25.07Bwaise-Makerere'!J30,'26.07 Bwaise-Makerere-24h'!J30,'27.07 Bwaise-Makerere-24h'!J30,'28.07 Bwaise-Makerere'!J30)</f>
        <v>1.5714285714285714</v>
      </c>
      <c r="K30" s="49">
        <f>AVERAGE('22.07 Bwaise-Makerere'!K30,'23.07 BWAISE-MAKERERE'!K30,'24.07 Bwaise-Makerere'!K30,'25.07Bwaise-Makerere'!K30,'26.07 Bwaise-Makerere-24h'!K30,'27.07 Bwaise-Makerere-24h'!K30,'28.07 Bwaise-Makerere'!K30)</f>
        <v>1.1428571428571428</v>
      </c>
      <c r="L30" s="49">
        <f>AVERAGE('22.07 Bwaise-Makerere'!L30,'23.07 BWAISE-MAKERERE'!L30,'24.07 Bwaise-Makerere'!L30,'25.07Bwaise-Makerere'!L30,'26.07 Bwaise-Makerere-24h'!L30,'27.07 Bwaise-Makerere-24h'!L30,'28.07 Bwaise-Makerere'!L30)</f>
        <v>0.2857142857142857</v>
      </c>
      <c r="M30" s="49">
        <f>AVERAGE('22.07 Bwaise-Makerere'!M30,'23.07 BWAISE-MAKERERE'!M30,'24.07 Bwaise-Makerere'!M30,'25.07Bwaise-Makerere'!M30,'26.07 Bwaise-Makerere-24h'!M30,'27.07 Bwaise-Makerere-24h'!M30,'28.07 Bwaise-Makerere'!M30)</f>
        <v>135.42857142857142</v>
      </c>
      <c r="N30" s="49">
        <f>AVERAGE('22.07 Bwaise-Makerere'!N30,'23.07 BWAISE-MAKERERE'!N30,'24.07 Bwaise-Makerere'!N30,'25.07Bwaise-Makerere'!N30,'26.07 Bwaise-Makerere-24h'!N30,'27.07 Bwaise-Makerere-24h'!N30,'28.07 Bwaise-Makerere'!N30)</f>
        <v>0</v>
      </c>
      <c r="O30" s="15">
        <f t="shared" si="0"/>
        <v>118.57142857142856</v>
      </c>
      <c r="P30" s="15">
        <f t="shared" si="1"/>
        <v>253.99999999999997</v>
      </c>
      <c r="R30" s="1" t="s">
        <v>154</v>
      </c>
      <c r="S30" s="34">
        <f>SUM(C90:C93)</f>
        <v>182</v>
      </c>
      <c r="T30" s="34">
        <f t="shared" ref="T30:AF30" si="22">SUM(D90:D93)</f>
        <v>44.5</v>
      </c>
      <c r="U30" s="34">
        <f t="shared" si="22"/>
        <v>22</v>
      </c>
      <c r="V30" s="34">
        <f t="shared" si="22"/>
        <v>118.5</v>
      </c>
      <c r="W30" s="34">
        <f t="shared" si="22"/>
        <v>3.5</v>
      </c>
      <c r="X30" s="34">
        <f t="shared" si="22"/>
        <v>2.5</v>
      </c>
      <c r="Y30" s="34">
        <f t="shared" si="22"/>
        <v>12</v>
      </c>
      <c r="Z30" s="34">
        <f t="shared" si="22"/>
        <v>2</v>
      </c>
      <c r="AA30" s="34">
        <f t="shared" si="22"/>
        <v>5</v>
      </c>
      <c r="AB30" s="34">
        <f t="shared" si="22"/>
        <v>1</v>
      </c>
      <c r="AC30" s="34">
        <f t="shared" si="22"/>
        <v>386.5</v>
      </c>
      <c r="AD30" s="34">
        <f t="shared" si="22"/>
        <v>0</v>
      </c>
      <c r="AE30" s="31">
        <f t="shared" si="22"/>
        <v>393</v>
      </c>
      <c r="AF30" s="31">
        <f t="shared" si="22"/>
        <v>779.5</v>
      </c>
    </row>
    <row r="31" spans="2:32" ht="23.1" customHeight="1" x14ac:dyDescent="0.25">
      <c r="B31" s="24" t="s">
        <v>58</v>
      </c>
      <c r="C31" s="49">
        <f>AVERAGE('22.07 Bwaise-Makerere'!C31,'23.07 BWAISE-MAKERERE'!C31,'24.07 Bwaise-Makerere'!C31,'25.07Bwaise-Makerere'!C31,'26.07 Bwaise-Makerere-24h'!C31,'27.07 Bwaise-Makerere-24h'!C31,'28.07 Bwaise-Makerere'!C31)</f>
        <v>44.285714285714285</v>
      </c>
      <c r="D31" s="49">
        <f>AVERAGE('22.07 Bwaise-Makerere'!D31,'23.07 BWAISE-MAKERERE'!D31,'24.07 Bwaise-Makerere'!D31,'25.07Bwaise-Makerere'!D31,'26.07 Bwaise-Makerere-24h'!D31,'27.07 Bwaise-Makerere-24h'!D31,'28.07 Bwaise-Makerere'!D31)</f>
        <v>13.571428571428571</v>
      </c>
      <c r="E31" s="49">
        <f>AVERAGE('22.07 Bwaise-Makerere'!E31,'23.07 BWAISE-MAKERERE'!E31,'24.07 Bwaise-Makerere'!E31,'25.07Bwaise-Makerere'!E31,'26.07 Bwaise-Makerere-24h'!E31,'27.07 Bwaise-Makerere-24h'!E31,'28.07 Bwaise-Makerere'!E31)</f>
        <v>8.5714285714285712</v>
      </c>
      <c r="F31" s="49">
        <f>AVERAGE('22.07 Bwaise-Makerere'!F31,'23.07 BWAISE-MAKERERE'!F31,'24.07 Bwaise-Makerere'!F31,'25.07Bwaise-Makerere'!F31,'26.07 Bwaise-Makerere-24h'!F31,'27.07 Bwaise-Makerere-24h'!F31,'28.07 Bwaise-Makerere'!F31)</f>
        <v>33.571428571428569</v>
      </c>
      <c r="G31" s="49">
        <f>AVERAGE('22.07 Bwaise-Makerere'!G31,'23.07 BWAISE-MAKERERE'!G31,'24.07 Bwaise-Makerere'!G31,'25.07Bwaise-Makerere'!G31,'26.07 Bwaise-Makerere-24h'!G31,'27.07 Bwaise-Makerere-24h'!G31,'28.07 Bwaise-Makerere'!G31)</f>
        <v>1.4285714285714286</v>
      </c>
      <c r="H31" s="49">
        <f>AVERAGE('22.07 Bwaise-Makerere'!H31,'23.07 BWAISE-MAKERERE'!H31,'24.07 Bwaise-Makerere'!H31,'25.07Bwaise-Makerere'!H31,'26.07 Bwaise-Makerere-24h'!H31,'27.07 Bwaise-Makerere-24h'!H31,'28.07 Bwaise-Makerere'!H31)</f>
        <v>0.8571428571428571</v>
      </c>
      <c r="I31" s="49">
        <f>AVERAGE('22.07 Bwaise-Makerere'!I31,'23.07 BWAISE-MAKERERE'!I31,'24.07 Bwaise-Makerere'!I31,'25.07Bwaise-Makerere'!I31,'26.07 Bwaise-Makerere-24h'!I31,'27.07 Bwaise-Makerere-24h'!I31,'28.07 Bwaise-Makerere'!I31)</f>
        <v>6</v>
      </c>
      <c r="J31" s="49">
        <f>AVERAGE('22.07 Bwaise-Makerere'!J31,'23.07 BWAISE-MAKERERE'!J31,'24.07 Bwaise-Makerere'!J31,'25.07Bwaise-Makerere'!J31,'26.07 Bwaise-Makerere-24h'!J31,'27.07 Bwaise-Makerere-24h'!J31,'28.07 Bwaise-Makerere'!J31)</f>
        <v>0.7142857142857143</v>
      </c>
      <c r="K31" s="49">
        <f>AVERAGE('22.07 Bwaise-Makerere'!K31,'23.07 BWAISE-MAKERERE'!K31,'24.07 Bwaise-Makerere'!K31,'25.07Bwaise-Makerere'!K31,'26.07 Bwaise-Makerere-24h'!K31,'27.07 Bwaise-Makerere-24h'!K31,'28.07 Bwaise-Makerere'!K31)</f>
        <v>1.4285714285714286</v>
      </c>
      <c r="L31" s="49">
        <f>AVERAGE('22.07 Bwaise-Makerere'!L31,'23.07 BWAISE-MAKERERE'!L31,'24.07 Bwaise-Makerere'!L31,'25.07Bwaise-Makerere'!L31,'26.07 Bwaise-Makerere-24h'!L31,'27.07 Bwaise-Makerere-24h'!L31,'28.07 Bwaise-Makerere'!L31)</f>
        <v>0.2857142857142857</v>
      </c>
      <c r="M31" s="49">
        <f>AVERAGE('22.07 Bwaise-Makerere'!M31,'23.07 BWAISE-MAKERERE'!M31,'24.07 Bwaise-Makerere'!M31,'25.07Bwaise-Makerere'!M31,'26.07 Bwaise-Makerere-24h'!M31,'27.07 Bwaise-Makerere-24h'!M31,'28.07 Bwaise-Makerere'!M31)</f>
        <v>135.42857142857142</v>
      </c>
      <c r="N31" s="49">
        <f>AVERAGE('22.07 Bwaise-Makerere'!N31,'23.07 BWAISE-MAKERERE'!N31,'24.07 Bwaise-Makerere'!N31,'25.07Bwaise-Makerere'!N31,'26.07 Bwaise-Makerere-24h'!N31,'27.07 Bwaise-Makerere-24h'!N31,'28.07 Bwaise-Makerere'!N31)</f>
        <v>0</v>
      </c>
      <c r="O31" s="15">
        <f t="shared" si="0"/>
        <v>110.71428571428572</v>
      </c>
      <c r="P31" s="15">
        <f t="shared" si="1"/>
        <v>246.14285714285714</v>
      </c>
      <c r="R31" s="1" t="s">
        <v>155</v>
      </c>
      <c r="S31" s="34">
        <f>SUM(C94:C97)</f>
        <v>121.5</v>
      </c>
      <c r="T31" s="34">
        <f t="shared" ref="T31:AF31" si="23">SUM(D94:D97)</f>
        <v>38.5</v>
      </c>
      <c r="U31" s="34">
        <f t="shared" si="23"/>
        <v>25</v>
      </c>
      <c r="V31" s="34">
        <f t="shared" si="23"/>
        <v>129.5</v>
      </c>
      <c r="W31" s="34">
        <f t="shared" si="23"/>
        <v>1</v>
      </c>
      <c r="X31" s="34">
        <f t="shared" si="23"/>
        <v>2.5</v>
      </c>
      <c r="Y31" s="34">
        <f t="shared" si="23"/>
        <v>15</v>
      </c>
      <c r="Z31" s="34">
        <f t="shared" si="23"/>
        <v>4</v>
      </c>
      <c r="AA31" s="34">
        <f t="shared" si="23"/>
        <v>3.5</v>
      </c>
      <c r="AB31" s="34">
        <f t="shared" si="23"/>
        <v>1</v>
      </c>
      <c r="AC31" s="34">
        <f t="shared" si="23"/>
        <v>377</v>
      </c>
      <c r="AD31" s="34">
        <f t="shared" si="23"/>
        <v>0</v>
      </c>
      <c r="AE31" s="31">
        <f t="shared" si="23"/>
        <v>341.5</v>
      </c>
      <c r="AF31" s="31">
        <f t="shared" si="23"/>
        <v>718.5</v>
      </c>
    </row>
    <row r="32" spans="2:32" ht="23.1" customHeight="1" x14ac:dyDescent="0.25">
      <c r="B32" s="24" t="s">
        <v>59</v>
      </c>
      <c r="C32" s="49">
        <f>AVERAGE('22.07 Bwaise-Makerere'!C32,'23.07 BWAISE-MAKERERE'!C32,'24.07 Bwaise-Makerere'!C32,'25.07Bwaise-Makerere'!C32,'26.07 Bwaise-Makerere-24h'!C32,'27.07 Bwaise-Makerere-24h'!C32,'28.07 Bwaise-Makerere'!C32)</f>
        <v>52.285714285714285</v>
      </c>
      <c r="D32" s="49">
        <f>AVERAGE('22.07 Bwaise-Makerere'!D32,'23.07 BWAISE-MAKERERE'!D32,'24.07 Bwaise-Makerere'!D32,'25.07Bwaise-Makerere'!D32,'26.07 Bwaise-Makerere-24h'!D32,'27.07 Bwaise-Makerere-24h'!D32,'28.07 Bwaise-Makerere'!D32)</f>
        <v>15.142857142857142</v>
      </c>
      <c r="E32" s="49">
        <f>AVERAGE('22.07 Bwaise-Makerere'!E32,'23.07 BWAISE-MAKERERE'!E32,'24.07 Bwaise-Makerere'!E32,'25.07Bwaise-Makerere'!E32,'26.07 Bwaise-Makerere-24h'!E32,'27.07 Bwaise-Makerere-24h'!E32,'28.07 Bwaise-Makerere'!E32)</f>
        <v>14.428571428571429</v>
      </c>
      <c r="F32" s="49">
        <f>AVERAGE('22.07 Bwaise-Makerere'!F32,'23.07 BWAISE-MAKERERE'!F32,'24.07 Bwaise-Makerere'!F32,'25.07Bwaise-Makerere'!F32,'26.07 Bwaise-Makerere-24h'!F32,'27.07 Bwaise-Makerere-24h'!F32,'28.07 Bwaise-Makerere'!F32)</f>
        <v>36.857142857142854</v>
      </c>
      <c r="G32" s="49">
        <f>AVERAGE('22.07 Bwaise-Makerere'!G32,'23.07 BWAISE-MAKERERE'!G32,'24.07 Bwaise-Makerere'!G32,'25.07Bwaise-Makerere'!G32,'26.07 Bwaise-Makerere-24h'!G32,'27.07 Bwaise-Makerere-24h'!G32,'28.07 Bwaise-Makerere'!G32)</f>
        <v>1</v>
      </c>
      <c r="H32" s="49">
        <f>AVERAGE('22.07 Bwaise-Makerere'!H32,'23.07 BWAISE-MAKERERE'!H32,'24.07 Bwaise-Makerere'!H32,'25.07Bwaise-Makerere'!H32,'26.07 Bwaise-Makerere-24h'!H32,'27.07 Bwaise-Makerere-24h'!H32,'28.07 Bwaise-Makerere'!H32)</f>
        <v>1</v>
      </c>
      <c r="I32" s="49">
        <f>AVERAGE('22.07 Bwaise-Makerere'!I32,'23.07 BWAISE-MAKERERE'!I32,'24.07 Bwaise-Makerere'!I32,'25.07Bwaise-Makerere'!I32,'26.07 Bwaise-Makerere-24h'!I32,'27.07 Bwaise-Makerere-24h'!I32,'28.07 Bwaise-Makerere'!I32)</f>
        <v>6.2857142857142856</v>
      </c>
      <c r="J32" s="49">
        <f>AVERAGE('22.07 Bwaise-Makerere'!J32,'23.07 BWAISE-MAKERERE'!J32,'24.07 Bwaise-Makerere'!J32,'25.07Bwaise-Makerere'!J32,'26.07 Bwaise-Makerere-24h'!J32,'27.07 Bwaise-Makerere-24h'!J32,'28.07 Bwaise-Makerere'!J32)</f>
        <v>2.7142857142857144</v>
      </c>
      <c r="K32" s="49">
        <f>AVERAGE('22.07 Bwaise-Makerere'!K32,'23.07 BWAISE-MAKERERE'!K32,'24.07 Bwaise-Makerere'!K32,'25.07Bwaise-Makerere'!K32,'26.07 Bwaise-Makerere-24h'!K32,'27.07 Bwaise-Makerere-24h'!K32,'28.07 Bwaise-Makerere'!K32)</f>
        <v>1.5714285714285714</v>
      </c>
      <c r="L32" s="49">
        <f>AVERAGE('22.07 Bwaise-Makerere'!L32,'23.07 BWAISE-MAKERERE'!L32,'24.07 Bwaise-Makerere'!L32,'25.07Bwaise-Makerere'!L32,'26.07 Bwaise-Makerere-24h'!L32,'27.07 Bwaise-Makerere-24h'!L32,'28.07 Bwaise-Makerere'!L32)</f>
        <v>0.7142857142857143</v>
      </c>
      <c r="M32" s="49">
        <f>AVERAGE('22.07 Bwaise-Makerere'!M32,'23.07 BWAISE-MAKERERE'!M32,'24.07 Bwaise-Makerere'!M32,'25.07Bwaise-Makerere'!M32,'26.07 Bwaise-Makerere-24h'!M32,'27.07 Bwaise-Makerere-24h'!M32,'28.07 Bwaise-Makerere'!M32)</f>
        <v>124.28571428571429</v>
      </c>
      <c r="N32" s="49">
        <f>AVERAGE('22.07 Bwaise-Makerere'!N32,'23.07 BWAISE-MAKERERE'!N32,'24.07 Bwaise-Makerere'!N32,'25.07Bwaise-Makerere'!N32,'26.07 Bwaise-Makerere-24h'!N32,'27.07 Bwaise-Makerere-24h'!N32,'28.07 Bwaise-Makerere'!N32)</f>
        <v>0</v>
      </c>
      <c r="O32" s="15">
        <f t="shared" si="0"/>
        <v>132.00000000000003</v>
      </c>
      <c r="P32" s="15">
        <f t="shared" si="1"/>
        <v>256.28571428571433</v>
      </c>
      <c r="R32" s="1" t="s">
        <v>156</v>
      </c>
      <c r="S32" s="34">
        <f>SUM(C98:C101)</f>
        <v>163.5</v>
      </c>
      <c r="T32" s="34">
        <f t="shared" ref="T32:AF32" si="24">SUM(D98:D101)</f>
        <v>36</v>
      </c>
      <c r="U32" s="34">
        <f t="shared" si="24"/>
        <v>18.5</v>
      </c>
      <c r="V32" s="34">
        <f t="shared" si="24"/>
        <v>155</v>
      </c>
      <c r="W32" s="34">
        <f t="shared" si="24"/>
        <v>1.5</v>
      </c>
      <c r="X32" s="34">
        <f t="shared" si="24"/>
        <v>3</v>
      </c>
      <c r="Y32" s="34">
        <f t="shared" si="24"/>
        <v>15</v>
      </c>
      <c r="Z32" s="34">
        <f t="shared" si="24"/>
        <v>2</v>
      </c>
      <c r="AA32" s="34">
        <f t="shared" si="24"/>
        <v>1</v>
      </c>
      <c r="AB32" s="34">
        <f t="shared" si="24"/>
        <v>0.5</v>
      </c>
      <c r="AC32" s="34">
        <f t="shared" si="24"/>
        <v>479.5</v>
      </c>
      <c r="AD32" s="34">
        <f t="shared" si="24"/>
        <v>0</v>
      </c>
      <c r="AE32" s="31">
        <f t="shared" si="24"/>
        <v>396</v>
      </c>
      <c r="AF32" s="31">
        <f t="shared" si="24"/>
        <v>875.5</v>
      </c>
    </row>
    <row r="33" spans="2:32" ht="23.1" customHeight="1" x14ac:dyDescent="0.25">
      <c r="B33" s="23" t="s">
        <v>60</v>
      </c>
      <c r="C33" s="49">
        <f>AVERAGE('22.07 Bwaise-Makerere'!C33,'23.07 BWAISE-MAKERERE'!C33,'24.07 Bwaise-Makerere'!C33,'25.07Bwaise-Makerere'!C33,'26.07 Bwaise-Makerere-24h'!C33,'27.07 Bwaise-Makerere-24h'!C33,'28.07 Bwaise-Makerere'!C33)</f>
        <v>51.142857142857146</v>
      </c>
      <c r="D33" s="49">
        <f>AVERAGE('22.07 Bwaise-Makerere'!D33,'23.07 BWAISE-MAKERERE'!D33,'24.07 Bwaise-Makerere'!D33,'25.07Bwaise-Makerere'!D33,'26.07 Bwaise-Makerere-24h'!D33,'27.07 Bwaise-Makerere-24h'!D33,'28.07 Bwaise-Makerere'!D33)</f>
        <v>12.714285714285714</v>
      </c>
      <c r="E33" s="49">
        <f>AVERAGE('22.07 Bwaise-Makerere'!E33,'23.07 BWAISE-MAKERERE'!E33,'24.07 Bwaise-Makerere'!E33,'25.07Bwaise-Makerere'!E33,'26.07 Bwaise-Makerere-24h'!E33,'27.07 Bwaise-Makerere-24h'!E33,'28.07 Bwaise-Makerere'!E33)</f>
        <v>6.4285714285714288</v>
      </c>
      <c r="F33" s="49">
        <f>AVERAGE('22.07 Bwaise-Makerere'!F33,'23.07 BWAISE-MAKERERE'!F33,'24.07 Bwaise-Makerere'!F33,'25.07Bwaise-Makerere'!F33,'26.07 Bwaise-Makerere-24h'!F33,'27.07 Bwaise-Makerere-24h'!F33,'28.07 Bwaise-Makerere'!F33)</f>
        <v>30.142857142857142</v>
      </c>
      <c r="G33" s="49">
        <f>AVERAGE('22.07 Bwaise-Makerere'!G33,'23.07 BWAISE-MAKERERE'!G33,'24.07 Bwaise-Makerere'!G33,'25.07Bwaise-Makerere'!G33,'26.07 Bwaise-Makerere-24h'!G33,'27.07 Bwaise-Makerere-24h'!G33,'28.07 Bwaise-Makerere'!G33)</f>
        <v>1</v>
      </c>
      <c r="H33" s="49">
        <f>AVERAGE('22.07 Bwaise-Makerere'!H33,'23.07 BWAISE-MAKERERE'!H33,'24.07 Bwaise-Makerere'!H33,'25.07Bwaise-Makerere'!H33,'26.07 Bwaise-Makerere-24h'!H33,'27.07 Bwaise-Makerere-24h'!H33,'28.07 Bwaise-Makerere'!H33)</f>
        <v>2.7142857142857144</v>
      </c>
      <c r="I33" s="49">
        <f>AVERAGE('22.07 Bwaise-Makerere'!I33,'23.07 BWAISE-MAKERERE'!I33,'24.07 Bwaise-Makerere'!I33,'25.07Bwaise-Makerere'!I33,'26.07 Bwaise-Makerere-24h'!I33,'27.07 Bwaise-Makerere-24h'!I33,'28.07 Bwaise-Makerere'!I33)</f>
        <v>6</v>
      </c>
      <c r="J33" s="49">
        <f>AVERAGE('22.07 Bwaise-Makerere'!J33,'23.07 BWAISE-MAKERERE'!J33,'24.07 Bwaise-Makerere'!J33,'25.07Bwaise-Makerere'!J33,'26.07 Bwaise-Makerere-24h'!J33,'27.07 Bwaise-Makerere-24h'!J33,'28.07 Bwaise-Makerere'!J33)</f>
        <v>4.8571428571428568</v>
      </c>
      <c r="K33" s="49">
        <f>AVERAGE('22.07 Bwaise-Makerere'!K33,'23.07 BWAISE-MAKERERE'!K33,'24.07 Bwaise-Makerere'!K33,'25.07Bwaise-Makerere'!K33,'26.07 Bwaise-Makerere-24h'!K33,'27.07 Bwaise-Makerere-24h'!K33,'28.07 Bwaise-Makerere'!K33)</f>
        <v>1.7142857142857142</v>
      </c>
      <c r="L33" s="49">
        <f>AVERAGE('22.07 Bwaise-Makerere'!L33,'23.07 BWAISE-MAKERERE'!L33,'24.07 Bwaise-Makerere'!L33,'25.07Bwaise-Makerere'!L33,'26.07 Bwaise-Makerere-24h'!L33,'27.07 Bwaise-Makerere-24h'!L33,'28.07 Bwaise-Makerere'!L33)</f>
        <v>1</v>
      </c>
      <c r="M33" s="49">
        <f>AVERAGE('22.07 Bwaise-Makerere'!M33,'23.07 BWAISE-MAKERERE'!M33,'24.07 Bwaise-Makerere'!M33,'25.07Bwaise-Makerere'!M33,'26.07 Bwaise-Makerere-24h'!M33,'27.07 Bwaise-Makerere-24h'!M33,'28.07 Bwaise-Makerere'!M33)</f>
        <v>127.14285714285714</v>
      </c>
      <c r="N33" s="49">
        <f>AVERAGE('22.07 Bwaise-Makerere'!N33,'23.07 BWAISE-MAKERERE'!N33,'24.07 Bwaise-Makerere'!N33,'25.07Bwaise-Makerere'!N33,'26.07 Bwaise-Makerere-24h'!N33,'27.07 Bwaise-Makerere-24h'!N33,'28.07 Bwaise-Makerere'!N33)</f>
        <v>0</v>
      </c>
      <c r="O33" s="15">
        <f t="shared" si="0"/>
        <v>117.71428571428571</v>
      </c>
      <c r="P33" s="15">
        <f t="shared" si="1"/>
        <v>244.85714285714283</v>
      </c>
      <c r="R33" s="1" t="s">
        <v>157</v>
      </c>
      <c r="S33" s="34">
        <f>SUM(C102:C105)</f>
        <v>201.5</v>
      </c>
      <c r="T33" s="34">
        <f t="shared" ref="T33:AF33" si="25">SUM(D102:D105)</f>
        <v>42</v>
      </c>
      <c r="U33" s="34">
        <f t="shared" si="25"/>
        <v>21.5</v>
      </c>
      <c r="V33" s="34">
        <f t="shared" si="25"/>
        <v>163</v>
      </c>
      <c r="W33" s="34">
        <f t="shared" si="25"/>
        <v>7</v>
      </c>
      <c r="X33" s="34">
        <f t="shared" si="25"/>
        <v>1.5</v>
      </c>
      <c r="Y33" s="34">
        <f t="shared" si="25"/>
        <v>6</v>
      </c>
      <c r="Z33" s="34">
        <f t="shared" si="25"/>
        <v>1</v>
      </c>
      <c r="AA33" s="34">
        <f t="shared" si="25"/>
        <v>7</v>
      </c>
      <c r="AB33" s="34">
        <f t="shared" si="25"/>
        <v>0.5</v>
      </c>
      <c r="AC33" s="34">
        <f t="shared" si="25"/>
        <v>379.5</v>
      </c>
      <c r="AD33" s="34">
        <f t="shared" si="25"/>
        <v>0</v>
      </c>
      <c r="AE33" s="31">
        <f t="shared" si="25"/>
        <v>451</v>
      </c>
      <c r="AF33" s="31">
        <f t="shared" si="25"/>
        <v>830.5</v>
      </c>
    </row>
    <row r="34" spans="2:32" ht="23.1" customHeight="1" x14ac:dyDescent="0.25">
      <c r="B34" s="24" t="s">
        <v>61</v>
      </c>
      <c r="C34" s="49">
        <f>AVERAGE('22.07 Bwaise-Makerere'!C34,'23.07 BWAISE-MAKERERE'!C34,'24.07 Bwaise-Makerere'!C34,'25.07Bwaise-Makerere'!C34,'26.07 Bwaise-Makerere-24h'!C34,'27.07 Bwaise-Makerere-24h'!C34,'28.07 Bwaise-Makerere'!C34)</f>
        <v>36.285714285714285</v>
      </c>
      <c r="D34" s="49">
        <f>AVERAGE('22.07 Bwaise-Makerere'!D34,'23.07 BWAISE-MAKERERE'!D34,'24.07 Bwaise-Makerere'!D34,'25.07Bwaise-Makerere'!D34,'26.07 Bwaise-Makerere-24h'!D34,'27.07 Bwaise-Makerere-24h'!D34,'28.07 Bwaise-Makerere'!D34)</f>
        <v>13.571428571428571</v>
      </c>
      <c r="E34" s="49">
        <f>AVERAGE('22.07 Bwaise-Makerere'!E34,'23.07 BWAISE-MAKERERE'!E34,'24.07 Bwaise-Makerere'!E34,'25.07Bwaise-Makerere'!E34,'26.07 Bwaise-Makerere-24h'!E34,'27.07 Bwaise-Makerere-24h'!E34,'28.07 Bwaise-Makerere'!E34)</f>
        <v>14.285714285714286</v>
      </c>
      <c r="F34" s="49">
        <f>AVERAGE('22.07 Bwaise-Makerere'!F34,'23.07 BWAISE-MAKERERE'!F34,'24.07 Bwaise-Makerere'!F34,'25.07Bwaise-Makerere'!F34,'26.07 Bwaise-Makerere-24h'!F34,'27.07 Bwaise-Makerere-24h'!F34,'28.07 Bwaise-Makerere'!F34)</f>
        <v>21.285714285714285</v>
      </c>
      <c r="G34" s="49">
        <f>AVERAGE('22.07 Bwaise-Makerere'!G34,'23.07 BWAISE-MAKERERE'!G34,'24.07 Bwaise-Makerere'!G34,'25.07Bwaise-Makerere'!G34,'26.07 Bwaise-Makerere-24h'!G34,'27.07 Bwaise-Makerere-24h'!G34,'28.07 Bwaise-Makerere'!G34)</f>
        <v>0.14285714285714285</v>
      </c>
      <c r="H34" s="49">
        <f>AVERAGE('22.07 Bwaise-Makerere'!H34,'23.07 BWAISE-MAKERERE'!H34,'24.07 Bwaise-Makerere'!H34,'25.07Bwaise-Makerere'!H34,'26.07 Bwaise-Makerere-24h'!H34,'27.07 Bwaise-Makerere-24h'!H34,'28.07 Bwaise-Makerere'!H34)</f>
        <v>2.4285714285714284</v>
      </c>
      <c r="I34" s="49">
        <f>AVERAGE('22.07 Bwaise-Makerere'!I34,'23.07 BWAISE-MAKERERE'!I34,'24.07 Bwaise-Makerere'!I34,'25.07Bwaise-Makerere'!I34,'26.07 Bwaise-Makerere-24h'!I34,'27.07 Bwaise-Makerere-24h'!I34,'28.07 Bwaise-Makerere'!I34)</f>
        <v>5.4285714285714288</v>
      </c>
      <c r="J34" s="49">
        <f>AVERAGE('22.07 Bwaise-Makerere'!J34,'23.07 BWAISE-MAKERERE'!J34,'24.07 Bwaise-Makerere'!J34,'25.07Bwaise-Makerere'!J34,'26.07 Bwaise-Makerere-24h'!J34,'27.07 Bwaise-Makerere-24h'!J34,'28.07 Bwaise-Makerere'!J34)</f>
        <v>1</v>
      </c>
      <c r="K34" s="49">
        <f>AVERAGE('22.07 Bwaise-Makerere'!K34,'23.07 BWAISE-MAKERERE'!K34,'24.07 Bwaise-Makerere'!K34,'25.07Bwaise-Makerere'!K34,'26.07 Bwaise-Makerere-24h'!K34,'27.07 Bwaise-Makerere-24h'!K34,'28.07 Bwaise-Makerere'!K34)</f>
        <v>1.5714285714285714</v>
      </c>
      <c r="L34" s="49">
        <f>AVERAGE('22.07 Bwaise-Makerere'!L34,'23.07 BWAISE-MAKERERE'!L34,'24.07 Bwaise-Makerere'!L34,'25.07Bwaise-Makerere'!L34,'26.07 Bwaise-Makerere-24h'!L34,'27.07 Bwaise-Makerere-24h'!L34,'28.07 Bwaise-Makerere'!L34)</f>
        <v>0.7142857142857143</v>
      </c>
      <c r="M34" s="49">
        <f>AVERAGE('22.07 Bwaise-Makerere'!M34,'23.07 BWAISE-MAKERERE'!M34,'24.07 Bwaise-Makerere'!M34,'25.07Bwaise-Makerere'!M34,'26.07 Bwaise-Makerere-24h'!M34,'27.07 Bwaise-Makerere-24h'!M34,'28.07 Bwaise-Makerere'!M34)</f>
        <v>117.71428571428571</v>
      </c>
      <c r="N34" s="49">
        <f>AVERAGE('22.07 Bwaise-Makerere'!N34,'23.07 BWAISE-MAKERERE'!N34,'24.07 Bwaise-Makerere'!N34,'25.07Bwaise-Makerere'!N34,'26.07 Bwaise-Makerere-24h'!N34,'27.07 Bwaise-Makerere-24h'!N34,'28.07 Bwaise-Makerere'!N34)</f>
        <v>0</v>
      </c>
      <c r="O34" s="15">
        <f t="shared" si="0"/>
        <v>96.714285714285694</v>
      </c>
      <c r="P34" s="15">
        <f t="shared" si="1"/>
        <v>214.42857142857139</v>
      </c>
      <c r="R34" s="53" t="s">
        <v>90</v>
      </c>
      <c r="S34" s="54">
        <f t="shared" ref="S34:AF34" si="26">MAX(S10:S12)</f>
        <v>251.14285714285717</v>
      </c>
      <c r="T34" s="54">
        <f t="shared" si="26"/>
        <v>64</v>
      </c>
      <c r="U34" s="54">
        <f t="shared" si="26"/>
        <v>26.285714285714285</v>
      </c>
      <c r="V34" s="54">
        <f t="shared" si="26"/>
        <v>242.71428571428572</v>
      </c>
      <c r="W34" s="54">
        <f t="shared" si="26"/>
        <v>21.285714285714288</v>
      </c>
      <c r="X34" s="54">
        <f t="shared" si="26"/>
        <v>4.2857142857142847</v>
      </c>
      <c r="Y34" s="54">
        <f t="shared" si="26"/>
        <v>21.357142857142858</v>
      </c>
      <c r="Z34" s="54">
        <f t="shared" si="26"/>
        <v>8.7142857142857153</v>
      </c>
      <c r="AA34" s="54">
        <f t="shared" si="26"/>
        <v>5.7142857142857144</v>
      </c>
      <c r="AB34" s="54">
        <f t="shared" si="26"/>
        <v>3.1428571428571432</v>
      </c>
      <c r="AC34" s="54">
        <f t="shared" si="26"/>
        <v>724.14285714285722</v>
      </c>
      <c r="AD34" s="54">
        <f t="shared" si="26"/>
        <v>0</v>
      </c>
      <c r="AE34" s="40">
        <f t="shared" si="26"/>
        <v>607.54761904761904</v>
      </c>
      <c r="AF34" s="40">
        <f t="shared" si="26"/>
        <v>1309.7857142857142</v>
      </c>
    </row>
    <row r="35" spans="2:32" ht="23.1" customHeight="1" x14ac:dyDescent="0.25">
      <c r="B35" s="24" t="s">
        <v>62</v>
      </c>
      <c r="C35" s="49">
        <f>AVERAGE('22.07 Bwaise-Makerere'!C35,'23.07 BWAISE-MAKERERE'!C35,'24.07 Bwaise-Makerere'!C35,'25.07Bwaise-Makerere'!C35,'26.07 Bwaise-Makerere-24h'!C35,'27.07 Bwaise-Makerere-24h'!C35,'28.07 Bwaise-Makerere'!C35)</f>
        <v>35.857142857142854</v>
      </c>
      <c r="D35" s="49">
        <f>AVERAGE('22.07 Bwaise-Makerere'!D35,'23.07 BWAISE-MAKERERE'!D35,'24.07 Bwaise-Makerere'!D35,'25.07Bwaise-Makerere'!D35,'26.07 Bwaise-Makerere-24h'!D35,'27.07 Bwaise-Makerere-24h'!D35,'28.07 Bwaise-Makerere'!D35)</f>
        <v>12.285714285714286</v>
      </c>
      <c r="E35" s="49">
        <f>AVERAGE('22.07 Bwaise-Makerere'!E35,'23.07 BWAISE-MAKERERE'!E35,'24.07 Bwaise-Makerere'!E35,'25.07Bwaise-Makerere'!E35,'26.07 Bwaise-Makerere-24h'!E35,'27.07 Bwaise-Makerere-24h'!E35,'28.07 Bwaise-Makerere'!E35)</f>
        <v>7.5714285714285712</v>
      </c>
      <c r="F35" s="49">
        <f>AVERAGE('22.07 Bwaise-Makerere'!F35,'23.07 BWAISE-MAKERERE'!F35,'24.07 Bwaise-Makerere'!F35,'25.07Bwaise-Makerere'!F35,'26.07 Bwaise-Makerere-24h'!F35,'27.07 Bwaise-Makerere-24h'!F35,'28.07 Bwaise-Makerere'!F35)</f>
        <v>22.857142857142858</v>
      </c>
      <c r="G35" s="49">
        <f>AVERAGE('22.07 Bwaise-Makerere'!G35,'23.07 BWAISE-MAKERERE'!G35,'24.07 Bwaise-Makerere'!G35,'25.07Bwaise-Makerere'!G35,'26.07 Bwaise-Makerere-24h'!G35,'27.07 Bwaise-Makerere-24h'!G35,'28.07 Bwaise-Makerere'!G35)</f>
        <v>0.5714285714285714</v>
      </c>
      <c r="H35" s="49">
        <f>AVERAGE('22.07 Bwaise-Makerere'!H35,'23.07 BWAISE-MAKERERE'!H35,'24.07 Bwaise-Makerere'!H35,'25.07Bwaise-Makerere'!H35,'26.07 Bwaise-Makerere-24h'!H35,'27.07 Bwaise-Makerere-24h'!H35,'28.07 Bwaise-Makerere'!H35)</f>
        <v>3</v>
      </c>
      <c r="I35" s="49">
        <f>AVERAGE('22.07 Bwaise-Makerere'!I35,'23.07 BWAISE-MAKERERE'!I35,'24.07 Bwaise-Makerere'!I35,'25.07Bwaise-Makerere'!I35,'26.07 Bwaise-Makerere-24h'!I35,'27.07 Bwaise-Makerere-24h'!I35,'28.07 Bwaise-Makerere'!I35)</f>
        <v>6.8571428571428568</v>
      </c>
      <c r="J35" s="49">
        <f>AVERAGE('22.07 Bwaise-Makerere'!J35,'23.07 BWAISE-MAKERERE'!J35,'24.07 Bwaise-Makerere'!J35,'25.07Bwaise-Makerere'!J35,'26.07 Bwaise-Makerere-24h'!J35,'27.07 Bwaise-Makerere-24h'!J35,'28.07 Bwaise-Makerere'!J35)</f>
        <v>2.8571428571428572</v>
      </c>
      <c r="K35" s="49">
        <f>AVERAGE('22.07 Bwaise-Makerere'!K35,'23.07 BWAISE-MAKERERE'!K35,'24.07 Bwaise-Makerere'!K35,'25.07Bwaise-Makerere'!K35,'26.07 Bwaise-Makerere-24h'!K35,'27.07 Bwaise-Makerere-24h'!K35,'28.07 Bwaise-Makerere'!K35)</f>
        <v>0.7142857142857143</v>
      </c>
      <c r="L35" s="49">
        <f>AVERAGE('22.07 Bwaise-Makerere'!L35,'23.07 BWAISE-MAKERERE'!L35,'24.07 Bwaise-Makerere'!L35,'25.07Bwaise-Makerere'!L35,'26.07 Bwaise-Makerere-24h'!L35,'27.07 Bwaise-Makerere-24h'!L35,'28.07 Bwaise-Makerere'!L35)</f>
        <v>0.42857142857142855</v>
      </c>
      <c r="M35" s="49">
        <f>AVERAGE('22.07 Bwaise-Makerere'!M35,'23.07 BWAISE-MAKERERE'!M35,'24.07 Bwaise-Makerere'!M35,'25.07Bwaise-Makerere'!M35,'26.07 Bwaise-Makerere-24h'!M35,'27.07 Bwaise-Makerere-24h'!M35,'28.07 Bwaise-Makerere'!M35)</f>
        <v>121.71428571428571</v>
      </c>
      <c r="N35" s="49">
        <f>AVERAGE('22.07 Bwaise-Makerere'!N35,'23.07 BWAISE-MAKERERE'!N35,'24.07 Bwaise-Makerere'!N35,'25.07Bwaise-Makerere'!N35,'26.07 Bwaise-Makerere-24h'!N35,'27.07 Bwaise-Makerere-24h'!N35,'28.07 Bwaise-Makerere'!N35)</f>
        <v>0</v>
      </c>
      <c r="O35" s="15">
        <f t="shared" si="0"/>
        <v>93</v>
      </c>
      <c r="P35" s="15">
        <f t="shared" si="1"/>
        <v>214.71428571428572</v>
      </c>
      <c r="R35" s="53" t="s">
        <v>91</v>
      </c>
      <c r="S35" s="54">
        <f t="shared" ref="S35:AF35" si="27">MAX(S13:S18)</f>
        <v>221.14285714285717</v>
      </c>
      <c r="T35" s="54">
        <f t="shared" si="27"/>
        <v>70.714285714285708</v>
      </c>
      <c r="U35" s="54">
        <f t="shared" si="27"/>
        <v>42.428571428571431</v>
      </c>
      <c r="V35" s="54">
        <f t="shared" si="27"/>
        <v>166.57142857142861</v>
      </c>
      <c r="W35" s="54">
        <f t="shared" si="27"/>
        <v>7.7142857142857144</v>
      </c>
      <c r="X35" s="54">
        <f t="shared" si="27"/>
        <v>9.4285714285714288</v>
      </c>
      <c r="Y35" s="54">
        <f t="shared" si="27"/>
        <v>30.142857142857142</v>
      </c>
      <c r="Z35" s="54">
        <f t="shared" si="27"/>
        <v>9.8571428571428577</v>
      </c>
      <c r="AA35" s="54">
        <f t="shared" si="27"/>
        <v>5.8571428571428568</v>
      </c>
      <c r="AB35" s="54">
        <f t="shared" si="27"/>
        <v>6.2857142857142865</v>
      </c>
      <c r="AC35" s="54">
        <f t="shared" si="27"/>
        <v>639.42857142857144</v>
      </c>
      <c r="AD35" s="54">
        <f t="shared" si="27"/>
        <v>0.14285714285714285</v>
      </c>
      <c r="AE35" s="40">
        <f t="shared" si="27"/>
        <v>545.28571428571433</v>
      </c>
      <c r="AF35" s="40">
        <f t="shared" si="27"/>
        <v>1184.7142857142858</v>
      </c>
    </row>
    <row r="36" spans="2:32" ht="23.1" customHeight="1" x14ac:dyDescent="0.25">
      <c r="B36" s="24" t="s">
        <v>63</v>
      </c>
      <c r="C36" s="49">
        <f>AVERAGE('22.07 Bwaise-Makerere'!C36,'23.07 BWAISE-MAKERERE'!C36,'24.07 Bwaise-Makerere'!C36,'25.07Bwaise-Makerere'!C36,'26.07 Bwaise-Makerere-24h'!C36,'27.07 Bwaise-Makerere-24h'!C36,'28.07 Bwaise-Makerere'!C36)</f>
        <v>44.285714285714285</v>
      </c>
      <c r="D36" s="49">
        <f>AVERAGE('22.07 Bwaise-Makerere'!D36,'23.07 BWAISE-MAKERERE'!D36,'24.07 Bwaise-Makerere'!D36,'25.07Bwaise-Makerere'!D36,'26.07 Bwaise-Makerere-24h'!D36,'27.07 Bwaise-Makerere-24h'!D36,'28.07 Bwaise-Makerere'!D36)</f>
        <v>13.142857142857142</v>
      </c>
      <c r="E36" s="49">
        <f>AVERAGE('22.07 Bwaise-Makerere'!E36,'23.07 BWAISE-MAKERERE'!E36,'24.07 Bwaise-Makerere'!E36,'25.07Bwaise-Makerere'!E36,'26.07 Bwaise-Makerere-24h'!E36,'27.07 Bwaise-Makerere-24h'!E36,'28.07 Bwaise-Makerere'!E36)</f>
        <v>5.8571428571428568</v>
      </c>
      <c r="F36" s="49">
        <f>AVERAGE('22.07 Bwaise-Makerere'!F36,'23.07 BWAISE-MAKERERE'!F36,'24.07 Bwaise-Makerere'!F36,'25.07Bwaise-Makerere'!F36,'26.07 Bwaise-Makerere-24h'!F36,'27.07 Bwaise-Makerere-24h'!F36,'28.07 Bwaise-Makerere'!F36)</f>
        <v>27.428571428571427</v>
      </c>
      <c r="G36" s="49">
        <f>AVERAGE('22.07 Bwaise-Makerere'!G36,'23.07 BWAISE-MAKERERE'!G36,'24.07 Bwaise-Makerere'!G36,'25.07Bwaise-Makerere'!G36,'26.07 Bwaise-Makerere-24h'!G36,'27.07 Bwaise-Makerere-24h'!G36,'28.07 Bwaise-Makerere'!G36)</f>
        <v>6.5714285714285712</v>
      </c>
      <c r="H36" s="49">
        <f>AVERAGE('22.07 Bwaise-Makerere'!H36,'23.07 BWAISE-MAKERERE'!H36,'24.07 Bwaise-Makerere'!H36,'25.07Bwaise-Makerere'!H36,'26.07 Bwaise-Makerere-24h'!H36,'27.07 Bwaise-Makerere-24h'!H36,'28.07 Bwaise-Makerere'!H36)</f>
        <v>1.5714285714285714</v>
      </c>
      <c r="I36" s="49">
        <f>AVERAGE('22.07 Bwaise-Makerere'!I36,'23.07 BWAISE-MAKERERE'!I36,'24.07 Bwaise-Makerere'!I36,'25.07Bwaise-Makerere'!I36,'26.07 Bwaise-Makerere-24h'!I36,'27.07 Bwaise-Makerere-24h'!I36,'28.07 Bwaise-Makerere'!I36)</f>
        <v>6.5714285714285712</v>
      </c>
      <c r="J36" s="49">
        <f>AVERAGE('22.07 Bwaise-Makerere'!J36,'23.07 BWAISE-MAKERERE'!J36,'24.07 Bwaise-Makerere'!J36,'25.07Bwaise-Makerere'!J36,'26.07 Bwaise-Makerere-24h'!J36,'27.07 Bwaise-Makerere-24h'!J36,'28.07 Bwaise-Makerere'!J36)</f>
        <v>2.7142857142857144</v>
      </c>
      <c r="K36" s="49">
        <f>AVERAGE('22.07 Bwaise-Makerere'!K36,'23.07 BWAISE-MAKERERE'!K36,'24.07 Bwaise-Makerere'!K36,'25.07Bwaise-Makerere'!K36,'26.07 Bwaise-Makerere-24h'!K36,'27.07 Bwaise-Makerere-24h'!K36,'28.07 Bwaise-Makerere'!K36)</f>
        <v>1.2857142857142858</v>
      </c>
      <c r="L36" s="49">
        <f>AVERAGE('22.07 Bwaise-Makerere'!L36,'23.07 BWAISE-MAKERERE'!L36,'24.07 Bwaise-Makerere'!L36,'25.07Bwaise-Makerere'!L36,'26.07 Bwaise-Makerere-24h'!L36,'27.07 Bwaise-Makerere-24h'!L36,'28.07 Bwaise-Makerere'!L36)</f>
        <v>0.2857142857142857</v>
      </c>
      <c r="M36" s="49">
        <f>AVERAGE('22.07 Bwaise-Makerere'!M36,'23.07 BWAISE-MAKERERE'!M36,'24.07 Bwaise-Makerere'!M36,'25.07Bwaise-Makerere'!M36,'26.07 Bwaise-Makerere-24h'!M36,'27.07 Bwaise-Makerere-24h'!M36,'28.07 Bwaise-Makerere'!M36)</f>
        <v>125.42857142857143</v>
      </c>
      <c r="N36" s="49">
        <f>AVERAGE('22.07 Bwaise-Makerere'!N36,'23.07 BWAISE-MAKERERE'!N36,'24.07 Bwaise-Makerere'!N36,'25.07Bwaise-Makerere'!N36,'26.07 Bwaise-Makerere-24h'!N36,'27.07 Bwaise-Makerere-24h'!N36,'28.07 Bwaise-Makerere'!N36)</f>
        <v>0</v>
      </c>
      <c r="O36" s="15">
        <f t="shared" si="0"/>
        <v>109.71428571428571</v>
      </c>
      <c r="P36" s="15">
        <f t="shared" si="1"/>
        <v>235.14285714285714</v>
      </c>
      <c r="R36" s="53" t="s">
        <v>92</v>
      </c>
      <c r="S36" s="54">
        <f t="shared" ref="S36:AF36" si="28">MAX(S19:S21)</f>
        <v>194.57142857142856</v>
      </c>
      <c r="T36" s="54">
        <f t="shared" si="28"/>
        <v>63.571428571428577</v>
      </c>
      <c r="U36" s="54">
        <f t="shared" si="28"/>
        <v>40</v>
      </c>
      <c r="V36" s="54">
        <f t="shared" si="28"/>
        <v>153</v>
      </c>
      <c r="W36" s="54">
        <f t="shared" si="28"/>
        <v>5.8571428571428568</v>
      </c>
      <c r="X36" s="54">
        <f t="shared" si="28"/>
        <v>3.4285714285714288</v>
      </c>
      <c r="Y36" s="54">
        <f t="shared" si="28"/>
        <v>27.857142857142854</v>
      </c>
      <c r="Z36" s="54">
        <f t="shared" si="28"/>
        <v>8.1428571428571423</v>
      </c>
      <c r="AA36" s="54">
        <f t="shared" si="28"/>
        <v>4.4285714285714288</v>
      </c>
      <c r="AB36" s="54">
        <f t="shared" si="28"/>
        <v>2.5714285714285712</v>
      </c>
      <c r="AC36" s="54">
        <f t="shared" si="28"/>
        <v>539.57142857142856</v>
      </c>
      <c r="AD36" s="54">
        <f t="shared" si="28"/>
        <v>0</v>
      </c>
      <c r="AE36" s="40">
        <f t="shared" si="28"/>
        <v>471.57142857142856</v>
      </c>
      <c r="AF36" s="40">
        <f t="shared" si="28"/>
        <v>1002.1428571428571</v>
      </c>
    </row>
    <row r="37" spans="2:32" ht="23.1" customHeight="1" x14ac:dyDescent="0.25">
      <c r="B37" s="23" t="s">
        <v>64</v>
      </c>
      <c r="C37" s="49">
        <f>AVERAGE('22.07 Bwaise-Makerere'!C37,'23.07 BWAISE-MAKERERE'!C37,'24.07 Bwaise-Makerere'!C37,'25.07Bwaise-Makerere'!C37,'26.07 Bwaise-Makerere-24h'!C37,'27.07 Bwaise-Makerere-24h'!C37,'28.07 Bwaise-Makerere'!C37)</f>
        <v>40.571428571428569</v>
      </c>
      <c r="D37" s="49">
        <f>AVERAGE('22.07 Bwaise-Makerere'!D37,'23.07 BWAISE-MAKERERE'!D37,'24.07 Bwaise-Makerere'!D37,'25.07Bwaise-Makerere'!D37,'26.07 Bwaise-Makerere-24h'!D37,'27.07 Bwaise-Makerere-24h'!D37,'28.07 Bwaise-Makerere'!D37)</f>
        <v>15.857142857142858</v>
      </c>
      <c r="E37" s="49">
        <f>AVERAGE('22.07 Bwaise-Makerere'!E37,'23.07 BWAISE-MAKERERE'!E37,'24.07 Bwaise-Makerere'!E37,'25.07Bwaise-Makerere'!E37,'26.07 Bwaise-Makerere-24h'!E37,'27.07 Bwaise-Makerere-24h'!E37,'28.07 Bwaise-Makerere'!E37)</f>
        <v>5.7142857142857144</v>
      </c>
      <c r="F37" s="49">
        <f>AVERAGE('22.07 Bwaise-Makerere'!F37,'23.07 BWAISE-MAKERERE'!F37,'24.07 Bwaise-Makerere'!F37,'25.07Bwaise-Makerere'!F37,'26.07 Bwaise-Makerere-24h'!F37,'27.07 Bwaise-Makerere-24h'!F37,'28.07 Bwaise-Makerere'!F37)</f>
        <v>35</v>
      </c>
      <c r="G37" s="49">
        <f>AVERAGE('22.07 Bwaise-Makerere'!G37,'23.07 BWAISE-MAKERERE'!G37,'24.07 Bwaise-Makerere'!G37,'25.07Bwaise-Makerere'!G37,'26.07 Bwaise-Makerere-24h'!G37,'27.07 Bwaise-Makerere-24h'!G37,'28.07 Bwaise-Makerere'!G37)</f>
        <v>0.42857142857142855</v>
      </c>
      <c r="H37" s="49">
        <f>AVERAGE('22.07 Bwaise-Makerere'!H37,'23.07 BWAISE-MAKERERE'!H37,'24.07 Bwaise-Makerere'!H37,'25.07Bwaise-Makerere'!H37,'26.07 Bwaise-Makerere-24h'!H37,'27.07 Bwaise-Makerere-24h'!H37,'28.07 Bwaise-Makerere'!H37)</f>
        <v>2.4285714285714284</v>
      </c>
      <c r="I37" s="49">
        <f>AVERAGE('22.07 Bwaise-Makerere'!I37,'23.07 BWAISE-MAKERERE'!I37,'24.07 Bwaise-Makerere'!I37,'25.07Bwaise-Makerere'!I37,'26.07 Bwaise-Makerere-24h'!I37,'27.07 Bwaise-Makerere-24h'!I37,'28.07 Bwaise-Makerere'!I37)</f>
        <v>6.5714285714285712</v>
      </c>
      <c r="J37" s="49">
        <f>AVERAGE('22.07 Bwaise-Makerere'!J37,'23.07 BWAISE-MAKERERE'!J37,'24.07 Bwaise-Makerere'!J37,'25.07Bwaise-Makerere'!J37,'26.07 Bwaise-Makerere-24h'!J37,'27.07 Bwaise-Makerere-24h'!J37,'28.07 Bwaise-Makerere'!J37)</f>
        <v>1.5714285714285714</v>
      </c>
      <c r="K37" s="49">
        <f>AVERAGE('22.07 Bwaise-Makerere'!K37,'23.07 BWAISE-MAKERERE'!K37,'24.07 Bwaise-Makerere'!K37,'25.07Bwaise-Makerere'!K37,'26.07 Bwaise-Makerere-24h'!K37,'27.07 Bwaise-Makerere-24h'!K37,'28.07 Bwaise-Makerere'!K37)</f>
        <v>2.1428571428571428</v>
      </c>
      <c r="L37" s="49">
        <f>AVERAGE('22.07 Bwaise-Makerere'!L37,'23.07 BWAISE-MAKERERE'!L37,'24.07 Bwaise-Makerere'!L37,'25.07Bwaise-Makerere'!L37,'26.07 Bwaise-Makerere-24h'!L37,'27.07 Bwaise-Makerere-24h'!L37,'28.07 Bwaise-Makerere'!L37)</f>
        <v>0.42857142857142855</v>
      </c>
      <c r="M37" s="49">
        <f>AVERAGE('22.07 Bwaise-Makerere'!M37,'23.07 BWAISE-MAKERERE'!M37,'24.07 Bwaise-Makerere'!M37,'25.07Bwaise-Makerere'!M37,'26.07 Bwaise-Makerere-24h'!M37,'27.07 Bwaise-Makerere-24h'!M37,'28.07 Bwaise-Makerere'!M37)</f>
        <v>99.714285714285708</v>
      </c>
      <c r="N37" s="49">
        <f>AVERAGE('22.07 Bwaise-Makerere'!N37,'23.07 BWAISE-MAKERERE'!N37,'24.07 Bwaise-Makerere'!N37,'25.07Bwaise-Makerere'!N37,'26.07 Bwaise-Makerere-24h'!N37,'27.07 Bwaise-Makerere-24h'!N37,'28.07 Bwaise-Makerere'!N37)</f>
        <v>0.14285714285714285</v>
      </c>
      <c r="O37" s="15">
        <f t="shared" si="0"/>
        <v>110.85714285714285</v>
      </c>
      <c r="P37" s="15">
        <f t="shared" si="1"/>
        <v>210.57142857142856</v>
      </c>
      <c r="R37" s="37" t="s">
        <v>85</v>
      </c>
      <c r="S37" s="35">
        <f t="shared" ref="S37:AF37" si="29">SUM(S10:S12)</f>
        <v>703.42857142857144</v>
      </c>
      <c r="T37" s="16">
        <f t="shared" si="29"/>
        <v>175.57142857142856</v>
      </c>
      <c r="U37" s="16">
        <f t="shared" si="29"/>
        <v>71.714285714285722</v>
      </c>
      <c r="V37" s="16">
        <f t="shared" si="29"/>
        <v>648.71428571428578</v>
      </c>
      <c r="W37" s="16">
        <f t="shared" si="29"/>
        <v>32.571428571428569</v>
      </c>
      <c r="X37" s="16">
        <f t="shared" si="29"/>
        <v>8.9999999999999982</v>
      </c>
      <c r="Y37" s="16">
        <f t="shared" si="29"/>
        <v>52.642857142857139</v>
      </c>
      <c r="Z37" s="16">
        <f t="shared" si="29"/>
        <v>17.428571428571431</v>
      </c>
      <c r="AA37" s="16">
        <f t="shared" si="29"/>
        <v>13.428571428571427</v>
      </c>
      <c r="AB37" s="16">
        <f t="shared" si="29"/>
        <v>5.5476190476190483</v>
      </c>
      <c r="AC37" s="16">
        <f t="shared" si="29"/>
        <v>2051.5714285714284</v>
      </c>
      <c r="AD37" s="16">
        <f t="shared" si="29"/>
        <v>0</v>
      </c>
      <c r="AE37" s="32">
        <f t="shared" si="29"/>
        <v>1730.047619047619</v>
      </c>
      <c r="AF37" s="32">
        <f t="shared" si="29"/>
        <v>3781.6190476190477</v>
      </c>
    </row>
    <row r="38" spans="2:32" ht="23.1" customHeight="1" x14ac:dyDescent="0.25">
      <c r="B38" s="24" t="s">
        <v>65</v>
      </c>
      <c r="C38" s="49">
        <f>AVERAGE('22.07 Bwaise-Makerere'!C38,'23.07 BWAISE-MAKERERE'!C38,'24.07 Bwaise-Makerere'!C38,'25.07Bwaise-Makerere'!C38,'26.07 Bwaise-Makerere-24h'!C38,'27.07 Bwaise-Makerere-24h'!C38,'28.07 Bwaise-Makerere'!C38)</f>
        <v>36.857142857142854</v>
      </c>
      <c r="D38" s="49">
        <f>AVERAGE('22.07 Bwaise-Makerere'!D38,'23.07 BWAISE-MAKERERE'!D38,'24.07 Bwaise-Makerere'!D38,'25.07Bwaise-Makerere'!D38,'26.07 Bwaise-Makerere-24h'!D38,'27.07 Bwaise-Makerere-24h'!D38,'28.07 Bwaise-Makerere'!D38)</f>
        <v>10</v>
      </c>
      <c r="E38" s="49">
        <f>AVERAGE('22.07 Bwaise-Makerere'!E38,'23.07 BWAISE-MAKERERE'!E38,'24.07 Bwaise-Makerere'!E38,'25.07Bwaise-Makerere'!E38,'26.07 Bwaise-Makerere-24h'!E38,'27.07 Bwaise-Makerere-24h'!E38,'28.07 Bwaise-Makerere'!E38)</f>
        <v>4.8571428571428568</v>
      </c>
      <c r="F38" s="49">
        <f>AVERAGE('22.07 Bwaise-Makerere'!F38,'23.07 BWAISE-MAKERERE'!F38,'24.07 Bwaise-Makerere'!F38,'25.07Bwaise-Makerere'!F38,'26.07 Bwaise-Makerere-24h'!F38,'27.07 Bwaise-Makerere-24h'!F38,'28.07 Bwaise-Makerere'!F38)</f>
        <v>27</v>
      </c>
      <c r="G38" s="49">
        <f>AVERAGE('22.07 Bwaise-Makerere'!G38,'23.07 BWAISE-MAKERERE'!G38,'24.07 Bwaise-Makerere'!G38,'25.07Bwaise-Makerere'!G38,'26.07 Bwaise-Makerere-24h'!G38,'27.07 Bwaise-Makerere-24h'!G38,'28.07 Bwaise-Makerere'!G38)</f>
        <v>1</v>
      </c>
      <c r="H38" s="49">
        <f>AVERAGE('22.07 Bwaise-Makerere'!H38,'23.07 BWAISE-MAKERERE'!H38,'24.07 Bwaise-Makerere'!H38,'25.07Bwaise-Makerere'!H38,'26.07 Bwaise-Makerere-24h'!H38,'27.07 Bwaise-Makerere-24h'!H38,'28.07 Bwaise-Makerere'!H38)</f>
        <v>0.7142857142857143</v>
      </c>
      <c r="I38" s="49">
        <f>AVERAGE('22.07 Bwaise-Makerere'!I38,'23.07 BWAISE-MAKERERE'!I38,'24.07 Bwaise-Makerere'!I38,'25.07Bwaise-Makerere'!I38,'26.07 Bwaise-Makerere-24h'!I38,'27.07 Bwaise-Makerere-24h'!I38,'28.07 Bwaise-Makerere'!I38)</f>
        <v>5</v>
      </c>
      <c r="J38" s="49">
        <f>AVERAGE('22.07 Bwaise-Makerere'!J38,'23.07 BWAISE-MAKERERE'!J38,'24.07 Bwaise-Makerere'!J38,'25.07Bwaise-Makerere'!J38,'26.07 Bwaise-Makerere-24h'!J38,'27.07 Bwaise-Makerere-24h'!J38,'28.07 Bwaise-Makerere'!J38)</f>
        <v>2</v>
      </c>
      <c r="K38" s="49">
        <f>AVERAGE('22.07 Bwaise-Makerere'!K38,'23.07 BWAISE-MAKERERE'!K38,'24.07 Bwaise-Makerere'!K38,'25.07Bwaise-Makerere'!K38,'26.07 Bwaise-Makerere-24h'!K38,'27.07 Bwaise-Makerere-24h'!K38,'28.07 Bwaise-Makerere'!K38)</f>
        <v>1.1428571428571428</v>
      </c>
      <c r="L38" s="49">
        <f>AVERAGE('22.07 Bwaise-Makerere'!L38,'23.07 BWAISE-MAKERERE'!L38,'24.07 Bwaise-Makerere'!L38,'25.07Bwaise-Makerere'!L38,'26.07 Bwaise-Makerere-24h'!L38,'27.07 Bwaise-Makerere-24h'!L38,'28.07 Bwaise-Makerere'!L38)</f>
        <v>0.8571428571428571</v>
      </c>
      <c r="M38" s="49">
        <f>AVERAGE('22.07 Bwaise-Makerere'!M38,'23.07 BWAISE-MAKERERE'!M38,'24.07 Bwaise-Makerere'!M38,'25.07Bwaise-Makerere'!M38,'26.07 Bwaise-Makerere-24h'!M38,'27.07 Bwaise-Makerere-24h'!M38,'28.07 Bwaise-Makerere'!M38)</f>
        <v>104</v>
      </c>
      <c r="N38" s="49">
        <f>AVERAGE('22.07 Bwaise-Makerere'!N38,'23.07 BWAISE-MAKERERE'!N38,'24.07 Bwaise-Makerere'!N38,'25.07Bwaise-Makerere'!N38,'26.07 Bwaise-Makerere-24h'!N38,'27.07 Bwaise-Makerere-24h'!N38,'28.07 Bwaise-Makerere'!N38)</f>
        <v>0</v>
      </c>
      <c r="O38" s="15">
        <f t="shared" si="0"/>
        <v>89.428571428571416</v>
      </c>
      <c r="P38" s="15">
        <f t="shared" si="1"/>
        <v>193.42857142857142</v>
      </c>
      <c r="R38" s="28" t="s">
        <v>86</v>
      </c>
      <c r="S38" s="16">
        <f t="shared" ref="S38:AF38" si="30">SUM(S13:S18)</f>
        <v>1148.5714285714284</v>
      </c>
      <c r="T38" s="16">
        <f t="shared" si="30"/>
        <v>352</v>
      </c>
      <c r="U38" s="16">
        <f t="shared" si="30"/>
        <v>210.85714285714289</v>
      </c>
      <c r="V38" s="16">
        <f t="shared" si="30"/>
        <v>839.28571428571445</v>
      </c>
      <c r="W38" s="16">
        <f t="shared" si="30"/>
        <v>24.428571428571427</v>
      </c>
      <c r="X38" s="16">
        <f t="shared" si="30"/>
        <v>27.857142857142858</v>
      </c>
      <c r="Y38" s="16">
        <f t="shared" si="30"/>
        <v>151</v>
      </c>
      <c r="Z38" s="16">
        <f t="shared" si="30"/>
        <v>46.142857142857139</v>
      </c>
      <c r="AA38" s="16">
        <f t="shared" si="30"/>
        <v>30.285714285714285</v>
      </c>
      <c r="AB38" s="16">
        <f t="shared" si="30"/>
        <v>16.214285714285715</v>
      </c>
      <c r="AC38" s="16">
        <f t="shared" si="30"/>
        <v>3089.8571428571431</v>
      </c>
      <c r="AD38" s="16">
        <f t="shared" si="30"/>
        <v>0.2857142857142857</v>
      </c>
      <c r="AE38" s="32">
        <f t="shared" si="30"/>
        <v>2846.9285714285711</v>
      </c>
      <c r="AF38" s="32">
        <f t="shared" si="30"/>
        <v>5936.7857142857138</v>
      </c>
    </row>
    <row r="39" spans="2:32" ht="23.1" customHeight="1" x14ac:dyDescent="0.25">
      <c r="B39" s="24" t="s">
        <v>66</v>
      </c>
      <c r="C39" s="49">
        <f>AVERAGE('22.07 Bwaise-Makerere'!C39,'23.07 BWAISE-MAKERERE'!C39,'24.07 Bwaise-Makerere'!C39,'25.07Bwaise-Makerere'!C39,'26.07 Bwaise-Makerere-24h'!C39,'27.07 Bwaise-Makerere-24h'!C39,'28.07 Bwaise-Makerere'!C39)</f>
        <v>45.714285714285715</v>
      </c>
      <c r="D39" s="49">
        <f>AVERAGE('22.07 Bwaise-Makerere'!D39,'23.07 BWAISE-MAKERERE'!D39,'24.07 Bwaise-Makerere'!D39,'25.07Bwaise-Makerere'!D39,'26.07 Bwaise-Makerere-24h'!D39,'27.07 Bwaise-Makerere-24h'!D39,'28.07 Bwaise-Makerere'!D39)</f>
        <v>15.428571428571429</v>
      </c>
      <c r="E39" s="49">
        <f>AVERAGE('22.07 Bwaise-Makerere'!E39,'23.07 BWAISE-MAKERERE'!E39,'24.07 Bwaise-Makerere'!E39,'25.07Bwaise-Makerere'!E39,'26.07 Bwaise-Makerere-24h'!E39,'27.07 Bwaise-Makerere-24h'!E39,'28.07 Bwaise-Makerere'!E39)</f>
        <v>7</v>
      </c>
      <c r="F39" s="49">
        <f>AVERAGE('22.07 Bwaise-Makerere'!F39,'23.07 BWAISE-MAKERERE'!F39,'24.07 Bwaise-Makerere'!F39,'25.07Bwaise-Makerere'!F39,'26.07 Bwaise-Makerere-24h'!F39,'27.07 Bwaise-Makerere-24h'!F39,'28.07 Bwaise-Makerere'!F39)</f>
        <v>31.428571428571427</v>
      </c>
      <c r="G39" s="49">
        <f>AVERAGE('22.07 Bwaise-Makerere'!G39,'23.07 BWAISE-MAKERERE'!G39,'24.07 Bwaise-Makerere'!G39,'25.07Bwaise-Makerere'!G39,'26.07 Bwaise-Makerere-24h'!G39,'27.07 Bwaise-Makerere-24h'!G39,'28.07 Bwaise-Makerere'!G39)</f>
        <v>1.8571428571428572</v>
      </c>
      <c r="H39" s="49">
        <f>AVERAGE('22.07 Bwaise-Makerere'!H39,'23.07 BWAISE-MAKERERE'!H39,'24.07 Bwaise-Makerere'!H39,'25.07Bwaise-Makerere'!H39,'26.07 Bwaise-Makerere-24h'!H39,'27.07 Bwaise-Makerere-24h'!H39,'28.07 Bwaise-Makerere'!H39)</f>
        <v>0.5714285714285714</v>
      </c>
      <c r="I39" s="49">
        <f>AVERAGE('22.07 Bwaise-Makerere'!I39,'23.07 BWAISE-MAKERERE'!I39,'24.07 Bwaise-Makerere'!I39,'25.07Bwaise-Makerere'!I39,'26.07 Bwaise-Makerere-24h'!I39,'27.07 Bwaise-Makerere-24h'!I39,'28.07 Bwaise-Makerere'!I39)</f>
        <v>7.2857142857142856</v>
      </c>
      <c r="J39" s="49">
        <f>AVERAGE('22.07 Bwaise-Makerere'!J39,'23.07 BWAISE-MAKERERE'!J39,'24.07 Bwaise-Makerere'!J39,'25.07Bwaise-Makerere'!J39,'26.07 Bwaise-Makerere-24h'!J39,'27.07 Bwaise-Makerere-24h'!J39,'28.07 Bwaise-Makerere'!J39)</f>
        <v>2</v>
      </c>
      <c r="K39" s="49">
        <f>AVERAGE('22.07 Bwaise-Makerere'!K39,'23.07 BWAISE-MAKERERE'!K39,'24.07 Bwaise-Makerere'!K39,'25.07Bwaise-Makerere'!K39,'26.07 Bwaise-Makerere-24h'!K39,'27.07 Bwaise-Makerere-24h'!K39,'28.07 Bwaise-Makerere'!K39)</f>
        <v>1.1428571428571428</v>
      </c>
      <c r="L39" s="49">
        <f>AVERAGE('22.07 Bwaise-Makerere'!L39,'23.07 BWAISE-MAKERERE'!L39,'24.07 Bwaise-Makerere'!L39,'25.07Bwaise-Makerere'!L39,'26.07 Bwaise-Makerere-24h'!L39,'27.07 Bwaise-Makerere-24h'!L39,'28.07 Bwaise-Makerere'!L39)</f>
        <v>0</v>
      </c>
      <c r="M39" s="49">
        <f>AVERAGE('22.07 Bwaise-Makerere'!M39,'23.07 BWAISE-MAKERERE'!M39,'24.07 Bwaise-Makerere'!M39,'25.07Bwaise-Makerere'!M39,'26.07 Bwaise-Makerere-24h'!M39,'27.07 Bwaise-Makerere-24h'!M39,'28.07 Bwaise-Makerere'!M39)</f>
        <v>118.14285714285714</v>
      </c>
      <c r="N39" s="49">
        <f>AVERAGE('22.07 Bwaise-Makerere'!N39,'23.07 BWAISE-MAKERERE'!N39,'24.07 Bwaise-Makerere'!N39,'25.07Bwaise-Makerere'!N39,'26.07 Bwaise-Makerere-24h'!N39,'27.07 Bwaise-Makerere-24h'!N39,'28.07 Bwaise-Makerere'!N39)</f>
        <v>0</v>
      </c>
      <c r="O39" s="15">
        <f t="shared" si="0"/>
        <v>112.42857142857143</v>
      </c>
      <c r="P39" s="15">
        <f t="shared" si="1"/>
        <v>230.57142857142856</v>
      </c>
      <c r="R39" s="29" t="s">
        <v>87</v>
      </c>
      <c r="S39" s="16">
        <f t="shared" ref="S39:AF39" si="31">SUM(S19:S21)</f>
        <v>521.57142857142856</v>
      </c>
      <c r="T39" s="16">
        <f t="shared" si="31"/>
        <v>170.71428571428572</v>
      </c>
      <c r="U39" s="16">
        <f t="shared" si="31"/>
        <v>91.285714285714292</v>
      </c>
      <c r="V39" s="16">
        <f t="shared" si="31"/>
        <v>419.71428571428578</v>
      </c>
      <c r="W39" s="16">
        <f t="shared" si="31"/>
        <v>14.857142857142858</v>
      </c>
      <c r="X39" s="16">
        <f t="shared" si="31"/>
        <v>9.7142857142857153</v>
      </c>
      <c r="Y39" s="16">
        <f t="shared" si="31"/>
        <v>72.857142857142847</v>
      </c>
      <c r="Z39" s="16">
        <f t="shared" si="31"/>
        <v>18.714285714285715</v>
      </c>
      <c r="AA39" s="16">
        <f t="shared" si="31"/>
        <v>11.80952380952381</v>
      </c>
      <c r="AB39" s="16">
        <f t="shared" si="31"/>
        <v>7.1428571428571423</v>
      </c>
      <c r="AC39" s="16">
        <f t="shared" si="31"/>
        <v>1537.5714285714284</v>
      </c>
      <c r="AD39" s="16">
        <f t="shared" si="31"/>
        <v>0</v>
      </c>
      <c r="AE39" s="32">
        <f t="shared" si="31"/>
        <v>1338.3809523809523</v>
      </c>
      <c r="AF39" s="32">
        <f t="shared" si="31"/>
        <v>2875.9523809523807</v>
      </c>
    </row>
    <row r="40" spans="2:32" ht="23.1" customHeight="1" x14ac:dyDescent="0.25">
      <c r="B40" s="24" t="s">
        <v>67</v>
      </c>
      <c r="C40" s="49">
        <f>AVERAGE('22.07 Bwaise-Makerere'!C40,'23.07 BWAISE-MAKERERE'!C40,'24.07 Bwaise-Makerere'!C40,'25.07Bwaise-Makerere'!C40,'26.07 Bwaise-Makerere-24h'!C40,'27.07 Bwaise-Makerere-24h'!C40,'28.07 Bwaise-Makerere'!C40)</f>
        <v>47.285714285714285</v>
      </c>
      <c r="D40" s="49">
        <f>AVERAGE('22.07 Bwaise-Makerere'!D40,'23.07 BWAISE-MAKERERE'!D40,'24.07 Bwaise-Makerere'!D40,'25.07Bwaise-Makerere'!D40,'26.07 Bwaise-Makerere-24h'!D40,'27.07 Bwaise-Makerere-24h'!D40,'28.07 Bwaise-Makerere'!D40)</f>
        <v>13.428571428571429</v>
      </c>
      <c r="E40" s="49">
        <f>AVERAGE('22.07 Bwaise-Makerere'!E40,'23.07 BWAISE-MAKERERE'!E40,'24.07 Bwaise-Makerere'!E40,'25.07Bwaise-Makerere'!E40,'26.07 Bwaise-Makerere-24h'!E40,'27.07 Bwaise-Makerere-24h'!E40,'28.07 Bwaise-Makerere'!E40)</f>
        <v>6.1428571428571432</v>
      </c>
      <c r="F40" s="49">
        <f>AVERAGE('22.07 Bwaise-Makerere'!F40,'23.07 BWAISE-MAKERERE'!F40,'24.07 Bwaise-Makerere'!F40,'25.07Bwaise-Makerere'!F40,'26.07 Bwaise-Makerere-24h'!F40,'27.07 Bwaise-Makerere-24h'!F40,'28.07 Bwaise-Makerere'!F40)</f>
        <v>32</v>
      </c>
      <c r="G40" s="49">
        <f>AVERAGE('22.07 Bwaise-Makerere'!G40,'23.07 BWAISE-MAKERERE'!G40,'24.07 Bwaise-Makerere'!G40,'25.07Bwaise-Makerere'!G40,'26.07 Bwaise-Makerere-24h'!G40,'27.07 Bwaise-Makerere-24h'!G40,'28.07 Bwaise-Makerere'!G40)</f>
        <v>1</v>
      </c>
      <c r="H40" s="49">
        <f>AVERAGE('22.07 Bwaise-Makerere'!H40,'23.07 BWAISE-MAKERERE'!H40,'24.07 Bwaise-Makerere'!H40,'25.07Bwaise-Makerere'!H40,'26.07 Bwaise-Makerere-24h'!H40,'27.07 Bwaise-Makerere-24h'!H40,'28.07 Bwaise-Makerere'!H40)</f>
        <v>1</v>
      </c>
      <c r="I40" s="49">
        <f>AVERAGE('22.07 Bwaise-Makerere'!I40,'23.07 BWAISE-MAKERERE'!I40,'24.07 Bwaise-Makerere'!I40,'25.07Bwaise-Makerere'!I40,'26.07 Bwaise-Makerere-24h'!I40,'27.07 Bwaise-Makerere-24h'!I40,'28.07 Bwaise-Makerere'!I40)</f>
        <v>6.4285714285714288</v>
      </c>
      <c r="J40" s="49">
        <f>AVERAGE('22.07 Bwaise-Makerere'!J40,'23.07 BWAISE-MAKERERE'!J40,'24.07 Bwaise-Makerere'!J40,'25.07Bwaise-Makerere'!J40,'26.07 Bwaise-Makerere-24h'!J40,'27.07 Bwaise-Makerere-24h'!J40,'28.07 Bwaise-Makerere'!J40)</f>
        <v>1.4285714285714286</v>
      </c>
      <c r="K40" s="49">
        <f>AVERAGE('22.07 Bwaise-Makerere'!K40,'23.07 BWAISE-MAKERERE'!K40,'24.07 Bwaise-Makerere'!K40,'25.07Bwaise-Makerere'!K40,'26.07 Bwaise-Makerere-24h'!K40,'27.07 Bwaise-Makerere-24h'!K40,'28.07 Bwaise-Makerere'!K40)</f>
        <v>0.5714285714285714</v>
      </c>
      <c r="L40" s="49">
        <f>AVERAGE('22.07 Bwaise-Makerere'!L40,'23.07 BWAISE-MAKERERE'!L40,'24.07 Bwaise-Makerere'!L40,'25.07Bwaise-Makerere'!L40,'26.07 Bwaise-Makerere-24h'!L40,'27.07 Bwaise-Makerere-24h'!L40,'28.07 Bwaise-Makerere'!L40)</f>
        <v>0.7142857142857143</v>
      </c>
      <c r="M40" s="49">
        <f>AVERAGE('22.07 Bwaise-Makerere'!M40,'23.07 BWAISE-MAKERERE'!M40,'24.07 Bwaise-Makerere'!M40,'25.07Bwaise-Makerere'!M40,'26.07 Bwaise-Makerere-24h'!M40,'27.07 Bwaise-Makerere-24h'!M40,'28.07 Bwaise-Makerere'!M40)</f>
        <v>133</v>
      </c>
      <c r="N40" s="49">
        <f>AVERAGE('22.07 Bwaise-Makerere'!N40,'23.07 BWAISE-MAKERERE'!N40,'24.07 Bwaise-Makerere'!N40,'25.07Bwaise-Makerere'!N40,'26.07 Bwaise-Makerere-24h'!N40,'27.07 Bwaise-Makerere-24h'!N40,'28.07 Bwaise-Makerere'!N40)</f>
        <v>0</v>
      </c>
      <c r="O40" s="15">
        <f t="shared" si="0"/>
        <v>110</v>
      </c>
      <c r="P40" s="15">
        <f t="shared" si="1"/>
        <v>243</v>
      </c>
      <c r="R40" s="5" t="s">
        <v>17</v>
      </c>
      <c r="S40" s="16">
        <f t="shared" ref="S40:AF40" si="32">SUM(S10:S21)</f>
        <v>2373.5714285714284</v>
      </c>
      <c r="T40" s="16">
        <f t="shared" si="32"/>
        <v>698.28571428571433</v>
      </c>
      <c r="U40" s="16">
        <f t="shared" si="32"/>
        <v>373.85714285714289</v>
      </c>
      <c r="V40" s="16">
        <f t="shared" si="32"/>
        <v>1907.7142857142858</v>
      </c>
      <c r="W40" s="16">
        <f t="shared" si="32"/>
        <v>71.857142857142861</v>
      </c>
      <c r="X40" s="16">
        <f t="shared" si="32"/>
        <v>46.571428571428577</v>
      </c>
      <c r="Y40" s="16">
        <f t="shared" si="32"/>
        <v>276.5</v>
      </c>
      <c r="Z40" s="16">
        <f t="shared" si="32"/>
        <v>82.285714285714278</v>
      </c>
      <c r="AA40" s="16">
        <f t="shared" si="32"/>
        <v>55.523809523809526</v>
      </c>
      <c r="AB40" s="16">
        <f t="shared" si="32"/>
        <v>28.904761904761898</v>
      </c>
      <c r="AC40" s="16">
        <f t="shared" si="32"/>
        <v>6679</v>
      </c>
      <c r="AD40" s="16">
        <f t="shared" si="32"/>
        <v>0.2857142857142857</v>
      </c>
      <c r="AE40" s="32">
        <f t="shared" si="32"/>
        <v>5915.3571428571431</v>
      </c>
      <c r="AF40" s="32">
        <f t="shared" si="32"/>
        <v>12594.357142857145</v>
      </c>
    </row>
    <row r="41" spans="2:32" ht="23.1" customHeight="1" x14ac:dyDescent="0.25">
      <c r="B41" s="23" t="s">
        <v>68</v>
      </c>
      <c r="C41" s="49">
        <f>AVERAGE('22.07 Bwaise-Makerere'!C41,'23.07 BWAISE-MAKERERE'!C41,'24.07 Bwaise-Makerere'!C41,'25.07Bwaise-Makerere'!C41,'26.07 Bwaise-Makerere-24h'!C41,'27.07 Bwaise-Makerere-24h'!C41,'28.07 Bwaise-Makerere'!C41)</f>
        <v>47.428571428571431</v>
      </c>
      <c r="D41" s="49">
        <f>AVERAGE('22.07 Bwaise-Makerere'!D41,'23.07 BWAISE-MAKERERE'!D41,'24.07 Bwaise-Makerere'!D41,'25.07Bwaise-Makerere'!D41,'26.07 Bwaise-Makerere-24h'!D41,'27.07 Bwaise-Makerere-24h'!D41,'28.07 Bwaise-Makerere'!D41)</f>
        <v>15.714285714285714</v>
      </c>
      <c r="E41" s="49">
        <f>AVERAGE('22.07 Bwaise-Makerere'!E41,'23.07 BWAISE-MAKERERE'!E41,'24.07 Bwaise-Makerere'!E41,'25.07Bwaise-Makerere'!E41,'26.07 Bwaise-Makerere-24h'!E41,'27.07 Bwaise-Makerere-24h'!E41,'28.07 Bwaise-Makerere'!E41)</f>
        <v>8.4285714285714288</v>
      </c>
      <c r="F41" s="49">
        <f>AVERAGE('22.07 Bwaise-Makerere'!F41,'23.07 BWAISE-MAKERERE'!F41,'24.07 Bwaise-Makerere'!F41,'25.07Bwaise-Makerere'!F41,'26.07 Bwaise-Makerere-24h'!F41,'27.07 Bwaise-Makerere-24h'!F41,'28.07 Bwaise-Makerere'!F41)</f>
        <v>36.285714285714285</v>
      </c>
      <c r="G41" s="49">
        <f>AVERAGE('22.07 Bwaise-Makerere'!G41,'23.07 BWAISE-MAKERERE'!G41,'24.07 Bwaise-Makerere'!G41,'25.07Bwaise-Makerere'!G41,'26.07 Bwaise-Makerere-24h'!G41,'27.07 Bwaise-Makerere-24h'!G41,'28.07 Bwaise-Makerere'!G41)</f>
        <v>0.8571428571428571</v>
      </c>
      <c r="H41" s="49">
        <f>AVERAGE('22.07 Bwaise-Makerere'!H41,'23.07 BWAISE-MAKERERE'!H41,'24.07 Bwaise-Makerere'!H41,'25.07Bwaise-Makerere'!H41,'26.07 Bwaise-Makerere-24h'!H41,'27.07 Bwaise-Makerere-24h'!H41,'28.07 Bwaise-Makerere'!H41)</f>
        <v>1.7142857142857142</v>
      </c>
      <c r="I41" s="49">
        <f>AVERAGE('22.07 Bwaise-Makerere'!I41,'23.07 BWAISE-MAKERERE'!I41,'24.07 Bwaise-Makerere'!I41,'25.07Bwaise-Makerere'!I41,'26.07 Bwaise-Makerere-24h'!I41,'27.07 Bwaise-Makerere-24h'!I41,'28.07 Bwaise-Makerere'!I41)</f>
        <v>8</v>
      </c>
      <c r="J41" s="49">
        <f>AVERAGE('22.07 Bwaise-Makerere'!J41,'23.07 BWAISE-MAKERERE'!J41,'24.07 Bwaise-Makerere'!J41,'25.07Bwaise-Makerere'!J41,'26.07 Bwaise-Makerere-24h'!J41,'27.07 Bwaise-Makerere-24h'!J41,'28.07 Bwaise-Makerere'!J41)</f>
        <v>2.7142857142857144</v>
      </c>
      <c r="K41" s="49">
        <f>AVERAGE('22.07 Bwaise-Makerere'!K41,'23.07 BWAISE-MAKERERE'!K41,'24.07 Bwaise-Makerere'!K41,'25.07Bwaise-Makerere'!K41,'26.07 Bwaise-Makerere-24h'!K41,'27.07 Bwaise-Makerere-24h'!K41,'28.07 Bwaise-Makerere'!K41)</f>
        <v>1.2857142857142858</v>
      </c>
      <c r="L41" s="49">
        <f>AVERAGE('22.07 Bwaise-Makerere'!L41,'23.07 BWAISE-MAKERERE'!L41,'24.07 Bwaise-Makerere'!L41,'25.07Bwaise-Makerere'!L41,'26.07 Bwaise-Makerere-24h'!L41,'27.07 Bwaise-Makerere-24h'!L41,'28.07 Bwaise-Makerere'!L41)</f>
        <v>0.5714285714285714</v>
      </c>
      <c r="M41" s="49">
        <f>AVERAGE('22.07 Bwaise-Makerere'!M41,'23.07 BWAISE-MAKERERE'!M41,'24.07 Bwaise-Makerere'!M41,'25.07Bwaise-Makerere'!M41,'26.07 Bwaise-Makerere-24h'!M41,'27.07 Bwaise-Makerere-24h'!M41,'28.07 Bwaise-Makerere'!M41)</f>
        <v>107.85714285714286</v>
      </c>
      <c r="N41" s="49">
        <f>AVERAGE('22.07 Bwaise-Makerere'!N41,'23.07 BWAISE-MAKERERE'!N41,'24.07 Bwaise-Makerere'!N41,'25.07Bwaise-Makerere'!N41,'26.07 Bwaise-Makerere-24h'!N41,'27.07 Bwaise-Makerere-24h'!N41,'28.07 Bwaise-Makerere'!N41)</f>
        <v>0</v>
      </c>
      <c r="O41" s="15">
        <f t="shared" si="0"/>
        <v>123</v>
      </c>
      <c r="P41" s="15">
        <f t="shared" si="1"/>
        <v>230.85714285714286</v>
      </c>
      <c r="R41" s="5" t="s">
        <v>188</v>
      </c>
      <c r="S41" s="16">
        <f>SUM(S10:S33)</f>
        <v>4665.5714285714284</v>
      </c>
      <c r="T41" s="16">
        <f t="shared" ref="T41:AD41" si="33">SUM(T10:T33)</f>
        <v>1301.2857142857142</v>
      </c>
      <c r="U41" s="16">
        <f t="shared" si="33"/>
        <v>789.85714285714289</v>
      </c>
      <c r="V41" s="16">
        <f t="shared" si="33"/>
        <v>3728.7142857142858</v>
      </c>
      <c r="W41" s="16">
        <f t="shared" si="33"/>
        <v>111.35714285714286</v>
      </c>
      <c r="X41" s="16">
        <f t="shared" si="33"/>
        <v>91.071428571428584</v>
      </c>
      <c r="Y41" s="16">
        <f t="shared" si="33"/>
        <v>504.5</v>
      </c>
      <c r="Z41" s="16">
        <f t="shared" si="33"/>
        <v>153.28571428571428</v>
      </c>
      <c r="AA41" s="16">
        <f t="shared" si="33"/>
        <v>102.02380952380952</v>
      </c>
      <c r="AB41" s="16">
        <f t="shared" si="33"/>
        <v>47.904761904761898</v>
      </c>
      <c r="AC41" s="16">
        <f t="shared" si="33"/>
        <v>12482.5</v>
      </c>
      <c r="AD41" s="16">
        <f t="shared" si="33"/>
        <v>0.2857142857142857</v>
      </c>
      <c r="AE41" s="32">
        <f>SUM(AE10:AE33)</f>
        <v>11495.857142857143</v>
      </c>
      <c r="AF41" s="32">
        <f>SUM(AF10:AF33)</f>
        <v>23978.357142857145</v>
      </c>
    </row>
    <row r="42" spans="2:32" ht="23.1" customHeight="1" x14ac:dyDescent="0.25">
      <c r="B42" s="24" t="s">
        <v>69</v>
      </c>
      <c r="C42" s="49">
        <f>AVERAGE('22.07 Bwaise-Makerere'!C42,'23.07 BWAISE-MAKERERE'!C42,'24.07 Bwaise-Makerere'!C42,'25.07Bwaise-Makerere'!C42,'26.07 Bwaise-Makerere-24h'!C42,'27.07 Bwaise-Makerere-24h'!C42,'28.07 Bwaise-Makerere'!C42)</f>
        <v>48</v>
      </c>
      <c r="D42" s="49">
        <f>AVERAGE('22.07 Bwaise-Makerere'!D42,'23.07 BWAISE-MAKERERE'!D42,'24.07 Bwaise-Makerere'!D42,'25.07Bwaise-Makerere'!D42,'26.07 Bwaise-Makerere-24h'!D42,'27.07 Bwaise-Makerere-24h'!D42,'28.07 Bwaise-Makerere'!D42)</f>
        <v>13.857142857142858</v>
      </c>
      <c r="E42" s="49">
        <f>AVERAGE('22.07 Bwaise-Makerere'!E42,'23.07 BWAISE-MAKERERE'!E42,'24.07 Bwaise-Makerere'!E42,'25.07Bwaise-Makerere'!E42,'26.07 Bwaise-Makerere-24h'!E42,'27.07 Bwaise-Makerere-24h'!E42,'28.07 Bwaise-Makerere'!E42)</f>
        <v>7.2857142857142856</v>
      </c>
      <c r="F42" s="49">
        <f>AVERAGE('22.07 Bwaise-Makerere'!F42,'23.07 BWAISE-MAKERERE'!F42,'24.07 Bwaise-Makerere'!F42,'25.07Bwaise-Makerere'!F42,'26.07 Bwaise-Makerere-24h'!F42,'27.07 Bwaise-Makerere-24h'!F42,'28.07 Bwaise-Makerere'!F42)</f>
        <v>38.428571428571431</v>
      </c>
      <c r="G42" s="49">
        <f>AVERAGE('22.07 Bwaise-Makerere'!G42,'23.07 BWAISE-MAKERERE'!G42,'24.07 Bwaise-Makerere'!G42,'25.07Bwaise-Makerere'!G42,'26.07 Bwaise-Makerere-24h'!G42,'27.07 Bwaise-Makerere-24h'!G42,'28.07 Bwaise-Makerere'!G42)</f>
        <v>0.2857142857142857</v>
      </c>
      <c r="H42" s="49">
        <f>AVERAGE('22.07 Bwaise-Makerere'!H42,'23.07 BWAISE-MAKERERE'!H42,'24.07 Bwaise-Makerere'!H42,'25.07Bwaise-Makerere'!H42,'26.07 Bwaise-Makerere-24h'!H42,'27.07 Bwaise-Makerere-24h'!H42,'28.07 Bwaise-Makerere'!H42)</f>
        <v>0.8571428571428571</v>
      </c>
      <c r="I42" s="49">
        <f>AVERAGE('22.07 Bwaise-Makerere'!I42,'23.07 BWAISE-MAKERERE'!I42,'24.07 Bwaise-Makerere'!I42,'25.07Bwaise-Makerere'!I42,'26.07 Bwaise-Makerere-24h'!I42,'27.07 Bwaise-Makerere-24h'!I42,'28.07 Bwaise-Makerere'!I42)</f>
        <v>6.2857142857142856</v>
      </c>
      <c r="J42" s="49">
        <f>AVERAGE('22.07 Bwaise-Makerere'!J42,'23.07 BWAISE-MAKERERE'!J42,'24.07 Bwaise-Makerere'!J42,'25.07Bwaise-Makerere'!J42,'26.07 Bwaise-Makerere-24h'!J42,'27.07 Bwaise-Makerere-24h'!J42,'28.07 Bwaise-Makerere'!J42)</f>
        <v>1.2857142857142858</v>
      </c>
      <c r="K42" s="49">
        <f>AVERAGE('22.07 Bwaise-Makerere'!K42,'23.07 BWAISE-MAKERERE'!K42,'24.07 Bwaise-Makerere'!K42,'25.07Bwaise-Makerere'!K42,'26.07 Bwaise-Makerere-24h'!K42,'27.07 Bwaise-Makerere-24h'!K42,'28.07 Bwaise-Makerere'!K42)</f>
        <v>1</v>
      </c>
      <c r="L42" s="49">
        <f>AVERAGE('22.07 Bwaise-Makerere'!L42,'23.07 BWAISE-MAKERERE'!L42,'24.07 Bwaise-Makerere'!L42,'25.07Bwaise-Makerere'!L42,'26.07 Bwaise-Makerere-24h'!L42,'27.07 Bwaise-Makerere-24h'!L42,'28.07 Bwaise-Makerere'!L42)</f>
        <v>0.7142857142857143</v>
      </c>
      <c r="M42" s="49">
        <f>AVERAGE('22.07 Bwaise-Makerere'!M42,'23.07 BWAISE-MAKERERE'!M42,'24.07 Bwaise-Makerere'!M42,'25.07Bwaise-Makerere'!M42,'26.07 Bwaise-Makerere-24h'!M42,'27.07 Bwaise-Makerere-24h'!M42,'28.07 Bwaise-Makerere'!M42)</f>
        <v>112.85714285714286</v>
      </c>
      <c r="N42" s="49">
        <f>AVERAGE('22.07 Bwaise-Makerere'!N42,'23.07 BWAISE-MAKERERE'!N42,'24.07 Bwaise-Makerere'!N42,'25.07Bwaise-Makerere'!N42,'26.07 Bwaise-Makerere-24h'!N42,'27.07 Bwaise-Makerere-24h'!N42,'28.07 Bwaise-Makerere'!N42)</f>
        <v>0</v>
      </c>
      <c r="O42" s="15">
        <f t="shared" si="0"/>
        <v>118.00000000000003</v>
      </c>
      <c r="P42" s="15">
        <f t="shared" si="1"/>
        <v>230.85714285714289</v>
      </c>
      <c r="R42" s="5" t="s">
        <v>160</v>
      </c>
      <c r="S42" s="48">
        <f>S41/S40</f>
        <v>1.9656334637375865</v>
      </c>
      <c r="T42" s="48">
        <f t="shared" ref="T42:AF42" si="34">T41/T40</f>
        <v>1.8635433715220946</v>
      </c>
      <c r="U42" s="48">
        <f t="shared" si="34"/>
        <v>2.1127244936950706</v>
      </c>
      <c r="V42" s="48">
        <f t="shared" si="34"/>
        <v>1.9545454545454546</v>
      </c>
      <c r="W42" s="48">
        <f t="shared" si="34"/>
        <v>1.5497017892644136</v>
      </c>
      <c r="X42" s="48">
        <f t="shared" si="34"/>
        <v>1.9555214723926382</v>
      </c>
      <c r="Y42" s="48">
        <f t="shared" si="34"/>
        <v>1.8245931283905967</v>
      </c>
      <c r="Z42" s="48">
        <f t="shared" si="34"/>
        <v>1.8628472222222223</v>
      </c>
      <c r="AA42" s="48">
        <f t="shared" si="34"/>
        <v>1.8374785591766722</v>
      </c>
      <c r="AB42" s="48">
        <f t="shared" si="34"/>
        <v>1.6573311367380561</v>
      </c>
      <c r="AC42" s="48">
        <f t="shared" si="34"/>
        <v>1.8689175026201528</v>
      </c>
      <c r="AD42" s="48">
        <f t="shared" si="34"/>
        <v>1</v>
      </c>
      <c r="AE42" s="58">
        <f t="shared" si="34"/>
        <v>1.9433918976030913</v>
      </c>
      <c r="AF42" s="58">
        <f t="shared" si="34"/>
        <v>1.9038968699133965</v>
      </c>
    </row>
    <row r="43" spans="2:32" ht="23.1" customHeight="1" x14ac:dyDescent="0.25">
      <c r="B43" s="23" t="s">
        <v>70</v>
      </c>
      <c r="C43" s="49">
        <f>AVERAGE('22.07 Bwaise-Makerere'!C43,'23.07 BWAISE-MAKERERE'!C43,'24.07 Bwaise-Makerere'!C43,'25.07Bwaise-Makerere'!C43,'26.07 Bwaise-Makerere-24h'!C43,'27.07 Bwaise-Makerere-24h'!C43,'28.07 Bwaise-Makerere'!C43)</f>
        <v>42.428571428571431</v>
      </c>
      <c r="D43" s="49">
        <f>AVERAGE('22.07 Bwaise-Makerere'!D43,'23.07 BWAISE-MAKERERE'!D43,'24.07 Bwaise-Makerere'!D43,'25.07Bwaise-Makerere'!D43,'26.07 Bwaise-Makerere-24h'!D43,'27.07 Bwaise-Makerere-24h'!D43,'28.07 Bwaise-Makerere'!D43)</f>
        <v>14</v>
      </c>
      <c r="E43" s="49">
        <f>AVERAGE('22.07 Bwaise-Makerere'!E43,'23.07 BWAISE-MAKERERE'!E43,'24.07 Bwaise-Makerere'!E43,'25.07Bwaise-Makerere'!E43,'26.07 Bwaise-Makerere-24h'!E43,'27.07 Bwaise-Makerere-24h'!E43,'28.07 Bwaise-Makerere'!E43)</f>
        <v>7.5714285714285712</v>
      </c>
      <c r="F43" s="49">
        <f>AVERAGE('22.07 Bwaise-Makerere'!F43,'23.07 BWAISE-MAKERERE'!F43,'24.07 Bwaise-Makerere'!F43,'25.07Bwaise-Makerere'!F43,'26.07 Bwaise-Makerere-24h'!F43,'27.07 Bwaise-Makerere-24h'!F43,'28.07 Bwaise-Makerere'!F43)</f>
        <v>33.142857142857146</v>
      </c>
      <c r="G43" s="49">
        <f>AVERAGE('22.07 Bwaise-Makerere'!G43,'23.07 BWAISE-MAKERERE'!G43,'24.07 Bwaise-Makerere'!G43,'25.07Bwaise-Makerere'!G43,'26.07 Bwaise-Makerere-24h'!G43,'27.07 Bwaise-Makerere-24h'!G43,'28.07 Bwaise-Makerere'!G43)</f>
        <v>0.42857142857142855</v>
      </c>
      <c r="H43" s="49">
        <f>AVERAGE('22.07 Bwaise-Makerere'!H43,'23.07 BWAISE-MAKERERE'!H43,'24.07 Bwaise-Makerere'!H43,'25.07Bwaise-Makerere'!H43,'26.07 Bwaise-Makerere-24h'!H43,'27.07 Bwaise-Makerere-24h'!H43,'28.07 Bwaise-Makerere'!H43)</f>
        <v>0.5714285714285714</v>
      </c>
      <c r="I43" s="49">
        <f>AVERAGE('22.07 Bwaise-Makerere'!I43,'23.07 BWAISE-MAKERERE'!I43,'24.07 Bwaise-Makerere'!I43,'25.07Bwaise-Makerere'!I43,'26.07 Bwaise-Makerere-24h'!I43,'27.07 Bwaise-Makerere-24h'!I43,'28.07 Bwaise-Makerere'!I43)</f>
        <v>7.8571428571428568</v>
      </c>
      <c r="J43" s="49">
        <f>AVERAGE('22.07 Bwaise-Makerere'!J43,'23.07 BWAISE-MAKERERE'!J43,'24.07 Bwaise-Makerere'!J43,'25.07Bwaise-Makerere'!J43,'26.07 Bwaise-Makerere-24h'!J43,'27.07 Bwaise-Makerere-24h'!J43,'28.07 Bwaise-Makerere'!J43)</f>
        <v>2.4285714285714284</v>
      </c>
      <c r="K43" s="49">
        <f>AVERAGE('22.07 Bwaise-Makerere'!K43,'23.07 BWAISE-MAKERERE'!K43,'24.07 Bwaise-Makerere'!K43,'25.07Bwaise-Makerere'!K43,'26.07 Bwaise-Makerere-24h'!K43,'27.07 Bwaise-Makerere-24h'!K43,'28.07 Bwaise-Makerere'!K43)</f>
        <v>0.7142857142857143</v>
      </c>
      <c r="L43" s="49">
        <f>AVERAGE('22.07 Bwaise-Makerere'!L43,'23.07 BWAISE-MAKERERE'!L43,'24.07 Bwaise-Makerere'!L43,'25.07Bwaise-Makerere'!L43,'26.07 Bwaise-Makerere-24h'!L43,'27.07 Bwaise-Makerere-24h'!L43,'28.07 Bwaise-Makerere'!L43)</f>
        <v>0.5</v>
      </c>
      <c r="M43" s="49">
        <f>AVERAGE('22.07 Bwaise-Makerere'!M43,'23.07 BWAISE-MAKERERE'!M43,'24.07 Bwaise-Makerere'!M43,'25.07Bwaise-Makerere'!M43,'26.07 Bwaise-Makerere-24h'!M43,'27.07 Bwaise-Makerere-24h'!M43,'28.07 Bwaise-Makerere'!M43)</f>
        <v>97.428571428571431</v>
      </c>
      <c r="N43" s="49">
        <f>AVERAGE('22.07 Bwaise-Makerere'!N43,'23.07 BWAISE-MAKERERE'!N43,'24.07 Bwaise-Makerere'!N43,'25.07Bwaise-Makerere'!N43,'26.07 Bwaise-Makerere-24h'!N43,'27.07 Bwaise-Makerere-24h'!N43,'28.07 Bwaise-Makerere'!N43)</f>
        <v>0</v>
      </c>
      <c r="O43" s="15">
        <f t="shared" si="0"/>
        <v>109.64285714285714</v>
      </c>
      <c r="P43" s="15">
        <f t="shared" si="1"/>
        <v>207.07142857142856</v>
      </c>
    </row>
    <row r="44" spans="2:32" ht="23.1" customHeight="1" x14ac:dyDescent="0.25">
      <c r="B44" s="25" t="s">
        <v>71</v>
      </c>
      <c r="C44" s="49">
        <f>AVERAGE('22.07 Bwaise-Makerere'!C44,'23.07 BWAISE-MAKERERE'!C44,'24.07 Bwaise-Makerere'!C44,'25.07Bwaise-Makerere'!C44,'26.07 Bwaise-Makerere-24h'!C44,'27.07 Bwaise-Makerere-24h'!C44,'28.07 Bwaise-Makerere'!C44)</f>
        <v>50.857142857142854</v>
      </c>
      <c r="D44" s="49">
        <f>AVERAGE('22.07 Bwaise-Makerere'!D44,'23.07 BWAISE-MAKERERE'!D44,'24.07 Bwaise-Makerere'!D44,'25.07Bwaise-Makerere'!D44,'26.07 Bwaise-Makerere-24h'!D44,'27.07 Bwaise-Makerere-24h'!D44,'28.07 Bwaise-Makerere'!D44)</f>
        <v>13.714285714285714</v>
      </c>
      <c r="E44" s="49">
        <f>AVERAGE('22.07 Bwaise-Makerere'!E44,'23.07 BWAISE-MAKERERE'!E44,'24.07 Bwaise-Makerere'!E44,'25.07Bwaise-Makerere'!E44,'26.07 Bwaise-Makerere-24h'!E44,'27.07 Bwaise-Makerere-24h'!E44,'28.07 Bwaise-Makerere'!E44)</f>
        <v>6</v>
      </c>
      <c r="F44" s="49">
        <f>AVERAGE('22.07 Bwaise-Makerere'!F44,'23.07 BWAISE-MAKERERE'!F44,'24.07 Bwaise-Makerere'!F44,'25.07Bwaise-Makerere'!F44,'26.07 Bwaise-Makerere-24h'!F44,'27.07 Bwaise-Makerere-24h'!F44,'28.07 Bwaise-Makerere'!F44)</f>
        <v>38.142857142857146</v>
      </c>
      <c r="G44" s="49">
        <f>AVERAGE('22.07 Bwaise-Makerere'!G44,'23.07 BWAISE-MAKERERE'!G44,'24.07 Bwaise-Makerere'!G44,'25.07Bwaise-Makerere'!G44,'26.07 Bwaise-Makerere-24h'!G44,'27.07 Bwaise-Makerere-24h'!G44,'28.07 Bwaise-Makerere'!G44)</f>
        <v>0.5714285714285714</v>
      </c>
      <c r="H44" s="49">
        <f>AVERAGE('22.07 Bwaise-Makerere'!H44,'23.07 BWAISE-MAKERERE'!H44,'24.07 Bwaise-Makerere'!H44,'25.07Bwaise-Makerere'!H44,'26.07 Bwaise-Makerere-24h'!H44,'27.07 Bwaise-Makerere-24h'!H44,'28.07 Bwaise-Makerere'!H44)</f>
        <v>1.1428571428571428</v>
      </c>
      <c r="I44" s="49">
        <f>AVERAGE('22.07 Bwaise-Makerere'!I44,'23.07 BWAISE-MAKERERE'!I44,'24.07 Bwaise-Makerere'!I44,'25.07Bwaise-Makerere'!I44,'26.07 Bwaise-Makerere-24h'!I44,'27.07 Bwaise-Makerere-24h'!I44,'28.07 Bwaise-Makerere'!I44)</f>
        <v>7</v>
      </c>
      <c r="J44" s="49">
        <f>AVERAGE('22.07 Bwaise-Makerere'!J44,'23.07 BWAISE-MAKERERE'!J44,'24.07 Bwaise-Makerere'!J44,'25.07Bwaise-Makerere'!J44,'26.07 Bwaise-Makerere-24h'!J44,'27.07 Bwaise-Makerere-24h'!J44,'28.07 Bwaise-Makerere'!J44)</f>
        <v>1.7142857142857142</v>
      </c>
      <c r="K44" s="49">
        <f>AVERAGE('22.07 Bwaise-Makerere'!K44,'23.07 BWAISE-MAKERERE'!K44,'24.07 Bwaise-Makerere'!K44,'25.07Bwaise-Makerere'!K44,'26.07 Bwaise-Makerere-24h'!K44,'27.07 Bwaise-Makerere-24h'!K44,'28.07 Bwaise-Makerere'!K44)</f>
        <v>0.5714285714285714</v>
      </c>
      <c r="L44" s="49">
        <f>AVERAGE('22.07 Bwaise-Makerere'!L44,'23.07 BWAISE-MAKERERE'!L44,'24.07 Bwaise-Makerere'!L44,'25.07Bwaise-Makerere'!L44,'26.07 Bwaise-Makerere-24h'!L44,'27.07 Bwaise-Makerere-24h'!L44,'28.07 Bwaise-Makerere'!L44)</f>
        <v>0.2857142857142857</v>
      </c>
      <c r="M44" s="49">
        <f>AVERAGE('22.07 Bwaise-Makerere'!M44,'23.07 BWAISE-MAKERERE'!M44,'24.07 Bwaise-Makerere'!M44,'25.07Bwaise-Makerere'!M44,'26.07 Bwaise-Makerere-24h'!M44,'27.07 Bwaise-Makerere-24h'!M44,'28.07 Bwaise-Makerere'!M44)</f>
        <v>115.71428571428571</v>
      </c>
      <c r="N44" s="49">
        <f>AVERAGE('22.07 Bwaise-Makerere'!N44,'23.07 BWAISE-MAKERERE'!N44,'24.07 Bwaise-Makerere'!N44,'25.07Bwaise-Makerere'!N44,'26.07 Bwaise-Makerere-24h'!N44,'27.07 Bwaise-Makerere-24h'!N44,'28.07 Bwaise-Makerere'!N44)</f>
        <v>0</v>
      </c>
      <c r="O44" s="15">
        <f t="shared" si="0"/>
        <v>120</v>
      </c>
      <c r="P44" s="15">
        <f t="shared" si="1"/>
        <v>235.71428571428572</v>
      </c>
    </row>
    <row r="45" spans="2:32" ht="23.1" customHeight="1" x14ac:dyDescent="0.25">
      <c r="B45" s="23" t="s">
        <v>72</v>
      </c>
      <c r="C45" s="49">
        <f>AVERAGE('22.07 Bwaise-Makerere'!C45,'23.07 BWAISE-MAKERERE'!C45,'24.07 Bwaise-Makerere'!C45,'25.07Bwaise-Makerere'!C45,'26.07 Bwaise-Makerere-24h'!C45,'27.07 Bwaise-Makerere-24h'!C45,'28.07 Bwaise-Makerere'!C45)</f>
        <v>49.285714285714285</v>
      </c>
      <c r="D45" s="49">
        <f>AVERAGE('22.07 Bwaise-Makerere'!D45,'23.07 BWAISE-MAKERERE'!D45,'24.07 Bwaise-Makerere'!D45,'25.07Bwaise-Makerere'!D45,'26.07 Bwaise-Makerere-24h'!D45,'27.07 Bwaise-Makerere-24h'!D45,'28.07 Bwaise-Makerere'!D45)</f>
        <v>15.428571428571429</v>
      </c>
      <c r="E45" s="49">
        <f>AVERAGE('22.07 Bwaise-Makerere'!E45,'23.07 BWAISE-MAKERERE'!E45,'24.07 Bwaise-Makerere'!E45,'25.07Bwaise-Makerere'!E45,'26.07 Bwaise-Makerere-24h'!E45,'27.07 Bwaise-Makerere-24h'!E45,'28.07 Bwaise-Makerere'!E45)</f>
        <v>7.4285714285714288</v>
      </c>
      <c r="F45" s="49">
        <f>AVERAGE('22.07 Bwaise-Makerere'!F45,'23.07 BWAISE-MAKERERE'!F45,'24.07 Bwaise-Makerere'!F45,'25.07Bwaise-Makerere'!F45,'26.07 Bwaise-Makerere-24h'!F45,'27.07 Bwaise-Makerere-24h'!F45,'28.07 Bwaise-Makerere'!F45)</f>
        <v>35.142857142857146</v>
      </c>
      <c r="G45" s="49">
        <f>AVERAGE('22.07 Bwaise-Makerere'!G45,'23.07 BWAISE-MAKERERE'!G45,'24.07 Bwaise-Makerere'!G45,'25.07Bwaise-Makerere'!G45,'26.07 Bwaise-Makerere-24h'!G45,'27.07 Bwaise-Makerere-24h'!G45,'28.07 Bwaise-Makerere'!G45)</f>
        <v>1.1428571428571428</v>
      </c>
      <c r="H45" s="49">
        <f>AVERAGE('22.07 Bwaise-Makerere'!H45,'23.07 BWAISE-MAKERERE'!H45,'24.07 Bwaise-Makerere'!H45,'25.07Bwaise-Makerere'!H45,'26.07 Bwaise-Makerere-24h'!H45,'27.07 Bwaise-Makerere-24h'!H45,'28.07 Bwaise-Makerere'!H45)</f>
        <v>0.8571428571428571</v>
      </c>
      <c r="I45" s="49">
        <f>AVERAGE('22.07 Bwaise-Makerere'!I45,'23.07 BWAISE-MAKERERE'!I45,'24.07 Bwaise-Makerere'!I45,'25.07Bwaise-Makerere'!I45,'26.07 Bwaise-Makerere-24h'!I45,'27.07 Bwaise-Makerere-24h'!I45,'28.07 Bwaise-Makerere'!I45)</f>
        <v>9</v>
      </c>
      <c r="J45" s="49">
        <f>AVERAGE('22.07 Bwaise-Makerere'!J45,'23.07 BWAISE-MAKERERE'!J45,'24.07 Bwaise-Makerere'!J45,'25.07Bwaise-Makerere'!J45,'26.07 Bwaise-Makerere-24h'!J45,'27.07 Bwaise-Makerere-24h'!J45,'28.07 Bwaise-Makerere'!J45)</f>
        <v>1.1428571428571428</v>
      </c>
      <c r="K45" s="49">
        <f>AVERAGE('22.07 Bwaise-Makerere'!K45,'23.07 BWAISE-MAKERERE'!K45,'24.07 Bwaise-Makerere'!K45,'25.07Bwaise-Makerere'!K45,'26.07 Bwaise-Makerere-24h'!K45,'27.07 Bwaise-Makerere-24h'!K45,'28.07 Bwaise-Makerere'!K45)</f>
        <v>0.8571428571428571</v>
      </c>
      <c r="L45" s="49">
        <f>AVERAGE('22.07 Bwaise-Makerere'!L45,'23.07 BWAISE-MAKERERE'!L45,'24.07 Bwaise-Makerere'!L45,'25.07Bwaise-Makerere'!L45,'26.07 Bwaise-Makerere-24h'!L45,'27.07 Bwaise-Makerere-24h'!L45,'28.07 Bwaise-Makerere'!L45)</f>
        <v>0.5714285714285714</v>
      </c>
      <c r="M45" s="49">
        <f>AVERAGE('22.07 Bwaise-Makerere'!M45,'23.07 BWAISE-MAKERERE'!M45,'24.07 Bwaise-Makerere'!M45,'25.07Bwaise-Makerere'!M45,'26.07 Bwaise-Makerere-24h'!M45,'27.07 Bwaise-Makerere-24h'!M45,'28.07 Bwaise-Makerere'!M45)</f>
        <v>136.14285714285714</v>
      </c>
      <c r="N45" s="49">
        <f>AVERAGE('22.07 Bwaise-Makerere'!N45,'23.07 BWAISE-MAKERERE'!N45,'24.07 Bwaise-Makerere'!N45,'25.07Bwaise-Makerere'!N45,'26.07 Bwaise-Makerere-24h'!N45,'27.07 Bwaise-Makerere-24h'!N45,'28.07 Bwaise-Makerere'!N45)</f>
        <v>0</v>
      </c>
      <c r="O45" s="15">
        <f t="shared" si="0"/>
        <v>120.85714285714285</v>
      </c>
      <c r="P45" s="15">
        <f t="shared" si="1"/>
        <v>257</v>
      </c>
    </row>
    <row r="46" spans="2:32" ht="23.1" customHeight="1" x14ac:dyDescent="0.25">
      <c r="B46" s="24" t="s">
        <v>73</v>
      </c>
      <c r="C46" s="49">
        <f>AVERAGE('22.07 Bwaise-Makerere'!C46,'23.07 BWAISE-MAKERERE'!C46,'24.07 Bwaise-Makerere'!C46,'25.07Bwaise-Makerere'!C46,'26.07 Bwaise-Makerere-24h'!C46,'27.07 Bwaise-Makerere-24h'!C46,'28.07 Bwaise-Makerere'!C46)</f>
        <v>49.285714285714285</v>
      </c>
      <c r="D46" s="49">
        <f>AVERAGE('22.07 Bwaise-Makerere'!D46,'23.07 BWAISE-MAKERERE'!D46,'24.07 Bwaise-Makerere'!D46,'25.07Bwaise-Makerere'!D46,'26.07 Bwaise-Makerere-24h'!D46,'27.07 Bwaise-Makerere-24h'!D46,'28.07 Bwaise-Makerere'!D46)</f>
        <v>13.857142857142858</v>
      </c>
      <c r="E46" s="49">
        <f>AVERAGE('22.07 Bwaise-Makerere'!E46,'23.07 BWAISE-MAKERERE'!E46,'24.07 Bwaise-Makerere'!E46,'25.07Bwaise-Makerere'!E46,'26.07 Bwaise-Makerere-24h'!E46,'27.07 Bwaise-Makerere-24h'!E46,'28.07 Bwaise-Makerere'!E46)</f>
        <v>14.857142857142858</v>
      </c>
      <c r="F46" s="49">
        <f>AVERAGE('22.07 Bwaise-Makerere'!F46,'23.07 BWAISE-MAKERERE'!F46,'24.07 Bwaise-Makerere'!F46,'25.07Bwaise-Makerere'!F46,'26.07 Bwaise-Makerere-24h'!F46,'27.07 Bwaise-Makerere-24h'!F46,'28.07 Bwaise-Makerere'!F46)</f>
        <v>24</v>
      </c>
      <c r="G46" s="49">
        <f>AVERAGE('22.07 Bwaise-Makerere'!G46,'23.07 BWAISE-MAKERERE'!G46,'24.07 Bwaise-Makerere'!G46,'25.07Bwaise-Makerere'!G46,'26.07 Bwaise-Makerere-24h'!G46,'27.07 Bwaise-Makerere-24h'!G46,'28.07 Bwaise-Makerere'!G46)</f>
        <v>0.8571428571428571</v>
      </c>
      <c r="H46" s="49">
        <f>AVERAGE('22.07 Bwaise-Makerere'!H46,'23.07 BWAISE-MAKERERE'!H46,'24.07 Bwaise-Makerere'!H46,'25.07Bwaise-Makerere'!H46,'26.07 Bwaise-Makerere-24h'!H46,'27.07 Bwaise-Makerere-24h'!H46,'28.07 Bwaise-Makerere'!H46)</f>
        <v>0.42857142857142855</v>
      </c>
      <c r="I46" s="49">
        <f>AVERAGE('22.07 Bwaise-Makerere'!I46,'23.07 BWAISE-MAKERERE'!I46,'24.07 Bwaise-Makerere'!I46,'25.07Bwaise-Makerere'!I46,'26.07 Bwaise-Makerere-24h'!I46,'27.07 Bwaise-Makerere-24h'!I46,'28.07 Bwaise-Makerere'!I46)</f>
        <v>5.7142857142857144</v>
      </c>
      <c r="J46" s="49">
        <f>AVERAGE('22.07 Bwaise-Makerere'!J46,'23.07 BWAISE-MAKERERE'!J46,'24.07 Bwaise-Makerere'!J46,'25.07Bwaise-Makerere'!J46,'26.07 Bwaise-Makerere-24h'!J46,'27.07 Bwaise-Makerere-24h'!J46,'28.07 Bwaise-Makerere'!J46)</f>
        <v>2.1428571428571428</v>
      </c>
      <c r="K46" s="49">
        <f>AVERAGE('22.07 Bwaise-Makerere'!K46,'23.07 BWAISE-MAKERERE'!K46,'24.07 Bwaise-Makerere'!K46,'25.07Bwaise-Makerere'!K46,'26.07 Bwaise-Makerere-24h'!K46,'27.07 Bwaise-Makerere-24h'!K46,'28.07 Bwaise-Makerere'!K46)</f>
        <v>0.7142857142857143</v>
      </c>
      <c r="L46" s="49">
        <f>AVERAGE('22.07 Bwaise-Makerere'!L46,'23.07 BWAISE-MAKERERE'!L46,'24.07 Bwaise-Makerere'!L46,'25.07Bwaise-Makerere'!L46,'26.07 Bwaise-Makerere-24h'!L46,'27.07 Bwaise-Makerere-24h'!L46,'28.07 Bwaise-Makerere'!L46)</f>
        <v>0.42857142857142855</v>
      </c>
      <c r="M46" s="49">
        <f>AVERAGE('22.07 Bwaise-Makerere'!M46,'23.07 BWAISE-MAKERERE'!M46,'24.07 Bwaise-Makerere'!M46,'25.07Bwaise-Makerere'!M46,'26.07 Bwaise-Makerere-24h'!M46,'27.07 Bwaise-Makerere-24h'!M46,'28.07 Bwaise-Makerere'!M46)</f>
        <v>135.28571428571428</v>
      </c>
      <c r="N46" s="49">
        <f>AVERAGE('22.07 Bwaise-Makerere'!N46,'23.07 BWAISE-MAKERERE'!N46,'24.07 Bwaise-Makerere'!N46,'25.07Bwaise-Makerere'!N46,'26.07 Bwaise-Makerere-24h'!N46,'27.07 Bwaise-Makerere-24h'!N46,'28.07 Bwaise-Makerere'!N46)</f>
        <v>0</v>
      </c>
      <c r="O46" s="15">
        <f t="shared" si="0"/>
        <v>112.28571428571428</v>
      </c>
      <c r="P46" s="15">
        <f t="shared" si="1"/>
        <v>247.57142857142856</v>
      </c>
      <c r="R46" s="8"/>
      <c r="T46"/>
    </row>
    <row r="47" spans="2:32" ht="23.1" customHeight="1" x14ac:dyDescent="0.25">
      <c r="B47" s="24" t="s">
        <v>74</v>
      </c>
      <c r="C47" s="49">
        <f>AVERAGE('22.07 Bwaise-Makerere'!C47,'23.07 BWAISE-MAKERERE'!C47,'24.07 Bwaise-Makerere'!C47,'25.07Bwaise-Makerere'!C47,'26.07 Bwaise-Makerere-24h'!C47,'27.07 Bwaise-Makerere-24h'!C47,'28.07 Bwaise-Makerere'!C47)</f>
        <v>46.714285714285715</v>
      </c>
      <c r="D47" s="49">
        <f>AVERAGE('22.07 Bwaise-Makerere'!D47,'23.07 BWAISE-MAKERERE'!D47,'24.07 Bwaise-Makerere'!D47,'25.07Bwaise-Makerere'!D47,'26.07 Bwaise-Makerere-24h'!D47,'27.07 Bwaise-Makerere-24h'!D47,'28.07 Bwaise-Makerere'!D47)</f>
        <v>15.285714285714286</v>
      </c>
      <c r="E47" s="49">
        <f>AVERAGE('22.07 Bwaise-Makerere'!E47,'23.07 BWAISE-MAKERERE'!E47,'24.07 Bwaise-Makerere'!E47,'25.07Bwaise-Makerere'!E47,'26.07 Bwaise-Makerere-24h'!E47,'27.07 Bwaise-Makerere-24h'!E47,'28.07 Bwaise-Makerere'!E47)</f>
        <v>7.1428571428571432</v>
      </c>
      <c r="F47" s="49">
        <f>AVERAGE('22.07 Bwaise-Makerere'!F47,'23.07 BWAISE-MAKERERE'!F47,'24.07 Bwaise-Makerere'!F47,'25.07Bwaise-Makerere'!F47,'26.07 Bwaise-Makerere-24h'!F47,'27.07 Bwaise-Makerere-24h'!F47,'28.07 Bwaise-Makerere'!F47)</f>
        <v>29.857142857142858</v>
      </c>
      <c r="G47" s="49">
        <f>AVERAGE('22.07 Bwaise-Makerere'!G47,'23.07 BWAISE-MAKERERE'!G47,'24.07 Bwaise-Makerere'!G47,'25.07Bwaise-Makerere'!G47,'26.07 Bwaise-Makerere-24h'!G47,'27.07 Bwaise-Makerere-24h'!G47,'28.07 Bwaise-Makerere'!G47)</f>
        <v>0.8571428571428571</v>
      </c>
      <c r="H47" s="49">
        <f>AVERAGE('22.07 Bwaise-Makerere'!H47,'23.07 BWAISE-MAKERERE'!H47,'24.07 Bwaise-Makerere'!H47,'25.07Bwaise-Makerere'!H47,'26.07 Bwaise-Makerere-24h'!H47,'27.07 Bwaise-Makerere-24h'!H47,'28.07 Bwaise-Makerere'!H47)</f>
        <v>0.2857142857142857</v>
      </c>
      <c r="I47" s="49">
        <f>AVERAGE('22.07 Bwaise-Makerere'!I47,'23.07 BWAISE-MAKERERE'!I47,'24.07 Bwaise-Makerere'!I47,'25.07Bwaise-Makerere'!I47,'26.07 Bwaise-Makerere-24h'!I47,'27.07 Bwaise-Makerere-24h'!I47,'28.07 Bwaise-Makerere'!I47)</f>
        <v>7.4285714285714288</v>
      </c>
      <c r="J47" s="49">
        <f>AVERAGE('22.07 Bwaise-Makerere'!J47,'23.07 BWAISE-MAKERERE'!J47,'24.07 Bwaise-Makerere'!J47,'25.07Bwaise-Makerere'!J47,'26.07 Bwaise-Makerere-24h'!J47,'27.07 Bwaise-Makerere-24h'!J47,'28.07 Bwaise-Makerere'!J47)</f>
        <v>2.1428571428571428</v>
      </c>
      <c r="K47" s="49">
        <f>AVERAGE('22.07 Bwaise-Makerere'!K47,'23.07 BWAISE-MAKERERE'!K47,'24.07 Bwaise-Makerere'!K47,'25.07Bwaise-Makerere'!K47,'26.07 Bwaise-Makerere-24h'!K47,'27.07 Bwaise-Makerere-24h'!K47,'28.07 Bwaise-Makerere'!K47)</f>
        <v>1.1428571428571428</v>
      </c>
      <c r="L47" s="49">
        <f>AVERAGE('22.07 Bwaise-Makerere'!L47,'23.07 BWAISE-MAKERERE'!L47,'24.07 Bwaise-Makerere'!L47,'25.07Bwaise-Makerere'!L47,'26.07 Bwaise-Makerere-24h'!L47,'27.07 Bwaise-Makerere-24h'!L47,'28.07 Bwaise-Makerere'!L47)</f>
        <v>0.8571428571428571</v>
      </c>
      <c r="M47" s="49">
        <f>AVERAGE('22.07 Bwaise-Makerere'!M47,'23.07 BWAISE-MAKERERE'!M47,'24.07 Bwaise-Makerere'!M47,'25.07Bwaise-Makerere'!M47,'26.07 Bwaise-Makerere-24h'!M47,'27.07 Bwaise-Makerere-24h'!M47,'28.07 Bwaise-Makerere'!M47)</f>
        <v>116.14285714285714</v>
      </c>
      <c r="N47" s="49">
        <f>AVERAGE('22.07 Bwaise-Makerere'!N47,'23.07 BWAISE-MAKERERE'!N47,'24.07 Bwaise-Makerere'!N47,'25.07Bwaise-Makerere'!N47,'26.07 Bwaise-Makerere-24h'!N47,'27.07 Bwaise-Makerere-24h'!N47,'28.07 Bwaise-Makerere'!N47)</f>
        <v>0</v>
      </c>
      <c r="O47" s="15">
        <f t="shared" si="0"/>
        <v>111.71428571428572</v>
      </c>
      <c r="P47" s="15">
        <f t="shared" si="1"/>
        <v>227.85714285714286</v>
      </c>
      <c r="R47" s="8"/>
      <c r="T47"/>
    </row>
    <row r="48" spans="2:32" ht="23.1" customHeight="1" x14ac:dyDescent="0.25">
      <c r="B48" s="24" t="s">
        <v>75</v>
      </c>
      <c r="C48" s="49">
        <f>AVERAGE('22.07 Bwaise-Makerere'!C48,'23.07 BWAISE-MAKERERE'!C48,'24.07 Bwaise-Makerere'!C48,'25.07Bwaise-Makerere'!C48,'26.07 Bwaise-Makerere-24h'!C48,'27.07 Bwaise-Makerere-24h'!C48,'28.07 Bwaise-Makerere'!C48)</f>
        <v>53.142857142857146</v>
      </c>
      <c r="D48" s="49">
        <f>AVERAGE('22.07 Bwaise-Makerere'!D48,'23.07 BWAISE-MAKERERE'!D48,'24.07 Bwaise-Makerere'!D48,'25.07Bwaise-Makerere'!D48,'26.07 Bwaise-Makerere-24h'!D48,'27.07 Bwaise-Makerere-24h'!D48,'28.07 Bwaise-Makerere'!D48)</f>
        <v>15.285714285714286</v>
      </c>
      <c r="E48" s="49">
        <f>AVERAGE('22.07 Bwaise-Makerere'!E48,'23.07 BWAISE-MAKERERE'!E48,'24.07 Bwaise-Makerere'!E48,'25.07Bwaise-Makerere'!E48,'26.07 Bwaise-Makerere-24h'!E48,'27.07 Bwaise-Makerere-24h'!E48,'28.07 Bwaise-Makerere'!E48)</f>
        <v>7.8571428571428568</v>
      </c>
      <c r="F48" s="49">
        <f>AVERAGE('22.07 Bwaise-Makerere'!F48,'23.07 BWAISE-MAKERERE'!F48,'24.07 Bwaise-Makerere'!F48,'25.07Bwaise-Makerere'!F48,'26.07 Bwaise-Makerere-24h'!F48,'27.07 Bwaise-Makerere-24h'!F48,'28.07 Bwaise-Makerere'!F48)</f>
        <v>32.714285714285715</v>
      </c>
      <c r="G48" s="49">
        <f>AVERAGE('22.07 Bwaise-Makerere'!G48,'23.07 BWAISE-MAKERERE'!G48,'24.07 Bwaise-Makerere'!G48,'25.07Bwaise-Makerere'!G48,'26.07 Bwaise-Makerere-24h'!G48,'27.07 Bwaise-Makerere-24h'!G48,'28.07 Bwaise-Makerere'!G48)</f>
        <v>1.4285714285714286</v>
      </c>
      <c r="H48" s="49">
        <f>AVERAGE('22.07 Bwaise-Makerere'!H48,'23.07 BWAISE-MAKERERE'!H48,'24.07 Bwaise-Makerere'!H48,'25.07Bwaise-Makerere'!H48,'26.07 Bwaise-Makerere-24h'!H48,'27.07 Bwaise-Makerere-24h'!H48,'28.07 Bwaise-Makerere'!H48)</f>
        <v>1.2857142857142858</v>
      </c>
      <c r="I48" s="49">
        <f>AVERAGE('22.07 Bwaise-Makerere'!I48,'23.07 BWAISE-MAKERERE'!I48,'24.07 Bwaise-Makerere'!I48,'25.07Bwaise-Makerere'!I48,'26.07 Bwaise-Makerere-24h'!I48,'27.07 Bwaise-Makerere-24h'!I48,'28.07 Bwaise-Makerere'!I48)</f>
        <v>6</v>
      </c>
      <c r="J48" s="49">
        <f>AVERAGE('22.07 Bwaise-Makerere'!J48,'23.07 BWAISE-MAKERERE'!J48,'24.07 Bwaise-Makerere'!J48,'25.07Bwaise-Makerere'!J48,'26.07 Bwaise-Makerere-24h'!J48,'27.07 Bwaise-Makerere-24h'!J48,'28.07 Bwaise-Makerere'!J48)</f>
        <v>1.7142857142857142</v>
      </c>
      <c r="K48" s="49">
        <f>AVERAGE('22.07 Bwaise-Makerere'!K48,'23.07 BWAISE-MAKERERE'!K48,'24.07 Bwaise-Makerere'!K48,'25.07Bwaise-Makerere'!K48,'26.07 Bwaise-Makerere-24h'!K48,'27.07 Bwaise-Makerere-24h'!K48,'28.07 Bwaise-Makerere'!K48)</f>
        <v>1.1428571428571428</v>
      </c>
      <c r="L48" s="49">
        <f>AVERAGE('22.07 Bwaise-Makerere'!L48,'23.07 BWAISE-MAKERERE'!L48,'24.07 Bwaise-Makerere'!L48,'25.07Bwaise-Makerere'!L48,'26.07 Bwaise-Makerere-24h'!L48,'27.07 Bwaise-Makerere-24h'!L48,'28.07 Bwaise-Makerere'!L48)</f>
        <v>0.42857142857142855</v>
      </c>
      <c r="M48" s="49">
        <f>AVERAGE('22.07 Bwaise-Makerere'!M48,'23.07 BWAISE-MAKERERE'!M48,'24.07 Bwaise-Makerere'!M48,'25.07Bwaise-Makerere'!M48,'26.07 Bwaise-Makerere-24h'!M48,'27.07 Bwaise-Makerere-24h'!M48,'28.07 Bwaise-Makerere'!M48)</f>
        <v>141</v>
      </c>
      <c r="N48" s="49">
        <f>AVERAGE('22.07 Bwaise-Makerere'!N48,'23.07 BWAISE-MAKERERE'!N48,'24.07 Bwaise-Makerere'!N48,'25.07Bwaise-Makerere'!N48,'26.07 Bwaise-Makerere-24h'!N48,'27.07 Bwaise-Makerere-24h'!N48,'28.07 Bwaise-Makerere'!N48)</f>
        <v>0</v>
      </c>
      <c r="O48" s="15">
        <f t="shared" si="0"/>
        <v>121</v>
      </c>
      <c r="P48" s="15">
        <f t="shared" si="1"/>
        <v>262</v>
      </c>
      <c r="R48" s="8"/>
      <c r="T48"/>
    </row>
    <row r="49" spans="2:20" ht="23.1" customHeight="1" x14ac:dyDescent="0.25">
      <c r="B49" s="23" t="s">
        <v>76</v>
      </c>
      <c r="C49" s="49">
        <f>AVERAGE('22.07 Bwaise-Makerere'!C49,'23.07 BWAISE-MAKERERE'!C49,'24.07 Bwaise-Makerere'!C49,'25.07Bwaise-Makerere'!C49,'26.07 Bwaise-Makerere-24h'!C49,'27.07 Bwaise-Makerere-24h'!C49,'28.07 Bwaise-Makerere'!C49)</f>
        <v>45.428571428571431</v>
      </c>
      <c r="D49" s="49">
        <f>AVERAGE('22.07 Bwaise-Makerere'!D49,'23.07 BWAISE-MAKERERE'!D49,'24.07 Bwaise-Makerere'!D49,'25.07Bwaise-Makerere'!D49,'26.07 Bwaise-Makerere-24h'!D49,'27.07 Bwaise-Makerere-24h'!D49,'28.07 Bwaise-Makerere'!D49)</f>
        <v>16.428571428571427</v>
      </c>
      <c r="E49" s="49">
        <f>AVERAGE('22.07 Bwaise-Makerere'!E49,'23.07 BWAISE-MAKERERE'!E49,'24.07 Bwaise-Makerere'!E49,'25.07Bwaise-Makerere'!E49,'26.07 Bwaise-Makerere-24h'!E49,'27.07 Bwaise-Makerere-24h'!E49,'28.07 Bwaise-Makerere'!E49)</f>
        <v>10.142857142857142</v>
      </c>
      <c r="F49" s="49">
        <f>AVERAGE('22.07 Bwaise-Makerere'!F49,'23.07 BWAISE-MAKERERE'!F49,'24.07 Bwaise-Makerere'!F49,'25.07Bwaise-Makerere'!F49,'26.07 Bwaise-Makerere-24h'!F49,'27.07 Bwaise-Makerere-24h'!F49,'28.07 Bwaise-Makerere'!F49)</f>
        <v>30.714285714285715</v>
      </c>
      <c r="G49" s="49">
        <f>AVERAGE('22.07 Bwaise-Makerere'!G49,'23.07 BWAISE-MAKERERE'!G49,'24.07 Bwaise-Makerere'!G49,'25.07Bwaise-Makerere'!G49,'26.07 Bwaise-Makerere-24h'!G49,'27.07 Bwaise-Makerere-24h'!G49,'28.07 Bwaise-Makerere'!G49)</f>
        <v>1.1428571428571428</v>
      </c>
      <c r="H49" s="49">
        <f>AVERAGE('22.07 Bwaise-Makerere'!H49,'23.07 BWAISE-MAKERERE'!H49,'24.07 Bwaise-Makerere'!H49,'25.07Bwaise-Makerere'!H49,'26.07 Bwaise-Makerere-24h'!H49,'27.07 Bwaise-Makerere-24h'!H49,'28.07 Bwaise-Makerere'!H49)</f>
        <v>1.4285714285714286</v>
      </c>
      <c r="I49" s="49">
        <f>AVERAGE('22.07 Bwaise-Makerere'!I49,'23.07 BWAISE-MAKERERE'!I49,'24.07 Bwaise-Makerere'!I49,'25.07Bwaise-Makerere'!I49,'26.07 Bwaise-Makerere-24h'!I49,'27.07 Bwaise-Makerere-24h'!I49,'28.07 Bwaise-Makerere'!I49)</f>
        <v>8.7142857142857135</v>
      </c>
      <c r="J49" s="49">
        <f>AVERAGE('22.07 Bwaise-Makerere'!J49,'23.07 BWAISE-MAKERERE'!J49,'24.07 Bwaise-Makerere'!J49,'25.07Bwaise-Makerere'!J49,'26.07 Bwaise-Makerere-24h'!J49,'27.07 Bwaise-Makerere-24h'!J49,'28.07 Bwaise-Makerere'!J49)</f>
        <v>2.1428571428571428</v>
      </c>
      <c r="K49" s="49">
        <f>AVERAGE('22.07 Bwaise-Makerere'!K49,'23.07 BWAISE-MAKERERE'!K49,'24.07 Bwaise-Makerere'!K49,'25.07Bwaise-Makerere'!K49,'26.07 Bwaise-Makerere-24h'!K49,'27.07 Bwaise-Makerere-24h'!K49,'28.07 Bwaise-Makerere'!K49)</f>
        <v>0.8571428571428571</v>
      </c>
      <c r="L49" s="49">
        <f>AVERAGE('22.07 Bwaise-Makerere'!L49,'23.07 BWAISE-MAKERERE'!L49,'24.07 Bwaise-Makerere'!L49,'25.07Bwaise-Makerere'!L49,'26.07 Bwaise-Makerere-24h'!L49,'27.07 Bwaise-Makerere-24h'!L49,'28.07 Bwaise-Makerere'!L49)</f>
        <v>0.5714285714285714</v>
      </c>
      <c r="M49" s="49">
        <f>AVERAGE('22.07 Bwaise-Makerere'!M49,'23.07 BWAISE-MAKERERE'!M49,'24.07 Bwaise-Makerere'!M49,'25.07Bwaise-Makerere'!M49,'26.07 Bwaise-Makerere-24h'!M49,'27.07 Bwaise-Makerere-24h'!M49,'28.07 Bwaise-Makerere'!M49)</f>
        <v>147.14285714285714</v>
      </c>
      <c r="N49" s="49">
        <f>AVERAGE('22.07 Bwaise-Makerere'!N49,'23.07 BWAISE-MAKERERE'!N49,'24.07 Bwaise-Makerere'!N49,'25.07Bwaise-Makerere'!N49,'26.07 Bwaise-Makerere-24h'!N49,'27.07 Bwaise-Makerere-24h'!N49,'28.07 Bwaise-Makerere'!N49)</f>
        <v>0</v>
      </c>
      <c r="O49" s="15">
        <f t="shared" si="0"/>
        <v>117.57142857142857</v>
      </c>
      <c r="P49" s="15">
        <f t="shared" si="1"/>
        <v>264.71428571428572</v>
      </c>
      <c r="R49" s="8"/>
      <c r="T49"/>
    </row>
    <row r="50" spans="2:20" ht="23.1" customHeight="1" x14ac:dyDescent="0.25">
      <c r="B50" s="24" t="s">
        <v>77</v>
      </c>
      <c r="C50" s="49">
        <f>AVERAGE('22.07 Bwaise-Makerere'!C50,'23.07 BWAISE-MAKERERE'!C50,'24.07 Bwaise-Makerere'!C50,'25.07Bwaise-Makerere'!C50,'26.07 Bwaise-Makerere-24h'!C50,'27.07 Bwaise-Makerere-24h'!C50,'28.07 Bwaise-Makerere'!C50)</f>
        <v>50.571428571428569</v>
      </c>
      <c r="D50" s="49">
        <f>AVERAGE('22.07 Bwaise-Makerere'!D50,'23.07 BWAISE-MAKERERE'!D50,'24.07 Bwaise-Makerere'!D50,'25.07Bwaise-Makerere'!D50,'26.07 Bwaise-Makerere-24h'!D50,'27.07 Bwaise-Makerere-24h'!D50,'28.07 Bwaise-Makerere'!D50)</f>
        <v>17.714285714285715</v>
      </c>
      <c r="E50" s="49">
        <f>AVERAGE('22.07 Bwaise-Makerere'!E50,'23.07 BWAISE-MAKERERE'!E50,'24.07 Bwaise-Makerere'!E50,'25.07Bwaise-Makerere'!E50,'26.07 Bwaise-Makerere-24h'!E50,'27.07 Bwaise-Makerere-24h'!E50,'28.07 Bwaise-Makerere'!E50)</f>
        <v>8.5714285714285712</v>
      </c>
      <c r="F50" s="49">
        <f>AVERAGE('22.07 Bwaise-Makerere'!F50,'23.07 BWAISE-MAKERERE'!F50,'24.07 Bwaise-Makerere'!F50,'25.07Bwaise-Makerere'!F50,'26.07 Bwaise-Makerere-24h'!F50,'27.07 Bwaise-Makerere-24h'!F50,'28.07 Bwaise-Makerere'!F50)</f>
        <v>41.428571428571431</v>
      </c>
      <c r="G50" s="49">
        <f>AVERAGE('22.07 Bwaise-Makerere'!G50,'23.07 BWAISE-MAKERERE'!G50,'24.07 Bwaise-Makerere'!G50,'25.07Bwaise-Makerere'!G50,'26.07 Bwaise-Makerere-24h'!G50,'27.07 Bwaise-Makerere-24h'!G50,'28.07 Bwaise-Makerere'!G50)</f>
        <v>0.7142857142857143</v>
      </c>
      <c r="H50" s="49">
        <f>AVERAGE('22.07 Bwaise-Makerere'!H50,'23.07 BWAISE-MAKERERE'!H50,'24.07 Bwaise-Makerere'!H50,'25.07Bwaise-Makerere'!H50,'26.07 Bwaise-Makerere-24h'!H50,'27.07 Bwaise-Makerere-24h'!H50,'28.07 Bwaise-Makerere'!H50)</f>
        <v>1</v>
      </c>
      <c r="I50" s="49">
        <f>AVERAGE('22.07 Bwaise-Makerere'!I50,'23.07 BWAISE-MAKERERE'!I50,'24.07 Bwaise-Makerere'!I50,'25.07Bwaise-Makerere'!I50,'26.07 Bwaise-Makerere-24h'!I50,'27.07 Bwaise-Makerere-24h'!I50,'28.07 Bwaise-Makerere'!I50)</f>
        <v>7.2857142857142856</v>
      </c>
      <c r="J50" s="49">
        <f>AVERAGE('22.07 Bwaise-Makerere'!J50,'23.07 BWAISE-MAKERERE'!J50,'24.07 Bwaise-Makerere'!J50,'25.07Bwaise-Makerere'!J50,'26.07 Bwaise-Makerere-24h'!J50,'27.07 Bwaise-Makerere-24h'!J50,'28.07 Bwaise-Makerere'!J50)</f>
        <v>2.8571428571428572</v>
      </c>
      <c r="K50" s="49">
        <f>AVERAGE('22.07 Bwaise-Makerere'!K50,'23.07 BWAISE-MAKERERE'!K50,'24.07 Bwaise-Makerere'!K50,'25.07Bwaise-Makerere'!K50,'26.07 Bwaise-Makerere-24h'!K50,'27.07 Bwaise-Makerere-24h'!K50,'28.07 Bwaise-Makerere'!K50)</f>
        <v>1.2857142857142858</v>
      </c>
      <c r="L50" s="49">
        <f>AVERAGE('22.07 Bwaise-Makerere'!L50,'23.07 BWAISE-MAKERERE'!L50,'24.07 Bwaise-Makerere'!L50,'25.07Bwaise-Makerere'!L50,'26.07 Bwaise-Makerere-24h'!L50,'27.07 Bwaise-Makerere-24h'!L50,'28.07 Bwaise-Makerere'!L50)</f>
        <v>0.7142857142857143</v>
      </c>
      <c r="M50" s="49">
        <f>AVERAGE('22.07 Bwaise-Makerere'!M50,'23.07 BWAISE-MAKERERE'!M50,'24.07 Bwaise-Makerere'!M50,'25.07Bwaise-Makerere'!M50,'26.07 Bwaise-Makerere-24h'!M50,'27.07 Bwaise-Makerere-24h'!M50,'28.07 Bwaise-Makerere'!M50)</f>
        <v>147</v>
      </c>
      <c r="N50" s="49">
        <f>AVERAGE('22.07 Bwaise-Makerere'!N50,'23.07 BWAISE-MAKERERE'!N50,'24.07 Bwaise-Makerere'!N50,'25.07Bwaise-Makerere'!N50,'26.07 Bwaise-Makerere-24h'!N50,'27.07 Bwaise-Makerere-24h'!N50,'28.07 Bwaise-Makerere'!N50)</f>
        <v>0</v>
      </c>
      <c r="O50" s="15">
        <f t="shared" si="0"/>
        <v>132.14285714285714</v>
      </c>
      <c r="P50" s="15">
        <f t="shared" si="1"/>
        <v>279.14285714285711</v>
      </c>
      <c r="R50" s="8"/>
      <c r="T50"/>
    </row>
    <row r="51" spans="2:20" ht="23.1" customHeight="1" x14ac:dyDescent="0.25">
      <c r="B51" s="24" t="s">
        <v>78</v>
      </c>
      <c r="C51" s="49">
        <f>AVERAGE('22.07 Bwaise-Makerere'!C51,'23.07 BWAISE-MAKERERE'!C51,'24.07 Bwaise-Makerere'!C51,'25.07Bwaise-Makerere'!C51,'26.07 Bwaise-Makerere-24h'!C51,'27.07 Bwaise-Makerere-24h'!C51,'28.07 Bwaise-Makerere'!C51)</f>
        <v>37.857142857142854</v>
      </c>
      <c r="D51" s="49">
        <f>AVERAGE('22.07 Bwaise-Makerere'!D51,'23.07 BWAISE-MAKERERE'!D51,'24.07 Bwaise-Makerere'!D51,'25.07Bwaise-Makerere'!D51,'26.07 Bwaise-Makerere-24h'!D51,'27.07 Bwaise-Makerere-24h'!D51,'28.07 Bwaise-Makerere'!D51)</f>
        <v>14</v>
      </c>
      <c r="E51" s="49">
        <f>AVERAGE('22.07 Bwaise-Makerere'!E51,'23.07 BWAISE-MAKERERE'!E51,'24.07 Bwaise-Makerere'!E51,'25.07Bwaise-Makerere'!E51,'26.07 Bwaise-Makerere-24h'!E51,'27.07 Bwaise-Makerere-24h'!E51,'28.07 Bwaise-Makerere'!E51)</f>
        <v>8.1428571428571423</v>
      </c>
      <c r="F51" s="49">
        <f>AVERAGE('22.07 Bwaise-Makerere'!F51,'23.07 BWAISE-MAKERERE'!F51,'24.07 Bwaise-Makerere'!F51,'25.07Bwaise-Makerere'!F51,'26.07 Bwaise-Makerere-24h'!F51,'27.07 Bwaise-Makerere-24h'!F51,'28.07 Bwaise-Makerere'!F51)</f>
        <v>28.857142857142858</v>
      </c>
      <c r="G51" s="49">
        <f>AVERAGE('22.07 Bwaise-Makerere'!G51,'23.07 BWAISE-MAKERERE'!G51,'24.07 Bwaise-Makerere'!G51,'25.07Bwaise-Makerere'!G51,'26.07 Bwaise-Makerere-24h'!G51,'27.07 Bwaise-Makerere-24h'!G51,'28.07 Bwaise-Makerere'!G51)</f>
        <v>1.4285714285714286</v>
      </c>
      <c r="H51" s="49">
        <f>AVERAGE('22.07 Bwaise-Makerere'!H51,'23.07 BWAISE-MAKERERE'!H51,'24.07 Bwaise-Makerere'!H51,'25.07Bwaise-Makerere'!H51,'26.07 Bwaise-Makerere-24h'!H51,'27.07 Bwaise-Makerere-24h'!H51,'28.07 Bwaise-Makerere'!H51)</f>
        <v>1</v>
      </c>
      <c r="I51" s="49">
        <f>AVERAGE('22.07 Bwaise-Makerere'!I51,'23.07 BWAISE-MAKERERE'!I51,'24.07 Bwaise-Makerere'!I51,'25.07Bwaise-Makerere'!I51,'26.07 Bwaise-Makerere-24h'!I51,'27.07 Bwaise-Makerere-24h'!I51,'28.07 Bwaise-Makerere'!I51)</f>
        <v>6</v>
      </c>
      <c r="J51" s="49">
        <f>AVERAGE('22.07 Bwaise-Makerere'!J51,'23.07 BWAISE-MAKERERE'!J51,'24.07 Bwaise-Makerere'!J51,'25.07Bwaise-Makerere'!J51,'26.07 Bwaise-Makerere-24h'!J51,'27.07 Bwaise-Makerere-24h'!J51,'28.07 Bwaise-Makerere'!J51)</f>
        <v>1.5714285714285714</v>
      </c>
      <c r="K51" s="49">
        <f>AVERAGE('22.07 Bwaise-Makerere'!K51,'23.07 BWAISE-MAKERERE'!K51,'24.07 Bwaise-Makerere'!K51,'25.07Bwaise-Makerere'!K51,'26.07 Bwaise-Makerere-24h'!K51,'27.07 Bwaise-Makerere-24h'!K51,'28.07 Bwaise-Makerere'!K51)</f>
        <v>1</v>
      </c>
      <c r="L51" s="49">
        <f>AVERAGE('22.07 Bwaise-Makerere'!L51,'23.07 BWAISE-MAKERERE'!L51,'24.07 Bwaise-Makerere'!L51,'25.07Bwaise-Makerere'!L51,'26.07 Bwaise-Makerere-24h'!L51,'27.07 Bwaise-Makerere-24h'!L51,'28.07 Bwaise-Makerere'!L51)</f>
        <v>0.7142857142857143</v>
      </c>
      <c r="M51" s="49">
        <f>AVERAGE('22.07 Bwaise-Makerere'!M51,'23.07 BWAISE-MAKERERE'!M51,'24.07 Bwaise-Makerere'!M51,'25.07Bwaise-Makerere'!M51,'26.07 Bwaise-Makerere-24h'!M51,'27.07 Bwaise-Makerere-24h'!M51,'28.07 Bwaise-Makerere'!M51)</f>
        <v>107.85714285714286</v>
      </c>
      <c r="N51" s="49">
        <f>AVERAGE('22.07 Bwaise-Makerere'!N51,'23.07 BWAISE-MAKERERE'!N51,'24.07 Bwaise-Makerere'!N51,'25.07Bwaise-Makerere'!N51,'26.07 Bwaise-Makerere-24h'!N51,'27.07 Bwaise-Makerere-24h'!N51,'28.07 Bwaise-Makerere'!N51)</f>
        <v>0</v>
      </c>
      <c r="O51" s="15">
        <f t="shared" si="0"/>
        <v>100.57142857142857</v>
      </c>
      <c r="P51" s="15">
        <f t="shared" si="1"/>
        <v>208.42857142857144</v>
      </c>
      <c r="R51" s="8"/>
      <c r="T51"/>
    </row>
    <row r="52" spans="2:20" ht="23.1" customHeight="1" x14ac:dyDescent="0.25">
      <c r="B52" s="24" t="s">
        <v>79</v>
      </c>
      <c r="C52" s="49">
        <f>AVERAGE('22.07 Bwaise-Makerere'!C52,'23.07 BWAISE-MAKERERE'!C52,'24.07 Bwaise-Makerere'!C52,'25.07Bwaise-Makerere'!C52,'26.07 Bwaise-Makerere-24h'!C52,'27.07 Bwaise-Makerere-24h'!C52,'28.07 Bwaise-Makerere'!C52)</f>
        <v>47.714285714285715</v>
      </c>
      <c r="D52" s="49">
        <f>AVERAGE('22.07 Bwaise-Makerere'!D52,'23.07 BWAISE-MAKERERE'!D52,'24.07 Bwaise-Makerere'!D52,'25.07Bwaise-Makerere'!D52,'26.07 Bwaise-Makerere-24h'!D52,'27.07 Bwaise-Makerere-24h'!D52,'28.07 Bwaise-Makerere'!D52)</f>
        <v>15.142857142857142</v>
      </c>
      <c r="E52" s="49">
        <f>AVERAGE('22.07 Bwaise-Makerere'!E52,'23.07 BWAISE-MAKERERE'!E52,'24.07 Bwaise-Makerere'!E52,'25.07Bwaise-Makerere'!E52,'26.07 Bwaise-Makerere-24h'!E52,'27.07 Bwaise-Makerere-24h'!E52,'28.07 Bwaise-Makerere'!E52)</f>
        <v>9</v>
      </c>
      <c r="F52" s="49">
        <f>AVERAGE('22.07 Bwaise-Makerere'!F52,'23.07 BWAISE-MAKERERE'!F52,'24.07 Bwaise-Makerere'!F52,'25.07Bwaise-Makerere'!F52,'26.07 Bwaise-Makerere-24h'!F52,'27.07 Bwaise-Makerere-24h'!F52,'28.07 Bwaise-Makerere'!F52)</f>
        <v>41</v>
      </c>
      <c r="G52" s="49">
        <f>AVERAGE('22.07 Bwaise-Makerere'!G52,'23.07 BWAISE-MAKERERE'!G52,'24.07 Bwaise-Makerere'!G52,'25.07Bwaise-Makerere'!G52,'26.07 Bwaise-Makerere-24h'!G52,'27.07 Bwaise-Makerere-24h'!G52,'28.07 Bwaise-Makerere'!G52)</f>
        <v>1.1428571428571428</v>
      </c>
      <c r="H52" s="49">
        <f>AVERAGE('22.07 Bwaise-Makerere'!H52,'23.07 BWAISE-MAKERERE'!H52,'24.07 Bwaise-Makerere'!H52,'25.07Bwaise-Makerere'!H52,'26.07 Bwaise-Makerere-24h'!H52,'27.07 Bwaise-Makerere-24h'!H52,'28.07 Bwaise-Makerere'!H52)</f>
        <v>0.42857142857142855</v>
      </c>
      <c r="I52" s="49">
        <f>AVERAGE('22.07 Bwaise-Makerere'!I52,'23.07 BWAISE-MAKERERE'!I52,'24.07 Bwaise-Makerere'!I52,'25.07Bwaise-Makerere'!I52,'26.07 Bwaise-Makerere-24h'!I52,'27.07 Bwaise-Makerere-24h'!I52,'28.07 Bwaise-Makerere'!I52)</f>
        <v>5.4285714285714288</v>
      </c>
      <c r="J52" s="49">
        <f>AVERAGE('22.07 Bwaise-Makerere'!J52,'23.07 BWAISE-MAKERERE'!J52,'24.07 Bwaise-Makerere'!J52,'25.07Bwaise-Makerere'!J52,'26.07 Bwaise-Makerere-24h'!J52,'27.07 Bwaise-Makerere-24h'!J52,'28.07 Bwaise-Makerere'!J52)</f>
        <v>1.4285714285714286</v>
      </c>
      <c r="K52" s="49">
        <f>AVERAGE('22.07 Bwaise-Makerere'!K52,'23.07 BWAISE-MAKERERE'!K52,'24.07 Bwaise-Makerere'!K52,'25.07Bwaise-Makerere'!K52,'26.07 Bwaise-Makerere-24h'!K52,'27.07 Bwaise-Makerere-24h'!K52,'28.07 Bwaise-Makerere'!K52)</f>
        <v>0.7142857142857143</v>
      </c>
      <c r="L52" s="49">
        <f>AVERAGE('22.07 Bwaise-Makerere'!L52,'23.07 BWAISE-MAKERERE'!L52,'24.07 Bwaise-Makerere'!L52,'25.07Bwaise-Makerere'!L52,'26.07 Bwaise-Makerere-24h'!L52,'27.07 Bwaise-Makerere-24h'!L52,'28.07 Bwaise-Makerere'!L52)</f>
        <v>0.5714285714285714</v>
      </c>
      <c r="M52" s="49">
        <f>AVERAGE('22.07 Bwaise-Makerere'!M52,'23.07 BWAISE-MAKERERE'!M52,'24.07 Bwaise-Makerere'!M52,'25.07Bwaise-Makerere'!M52,'26.07 Bwaise-Makerere-24h'!M52,'27.07 Bwaise-Makerere-24h'!M52,'28.07 Bwaise-Makerere'!M52)</f>
        <v>137.42857142857142</v>
      </c>
      <c r="N52" s="49">
        <f>AVERAGE('22.07 Bwaise-Makerere'!N52,'23.07 BWAISE-MAKERERE'!N52,'24.07 Bwaise-Makerere'!N52,'25.07Bwaise-Makerere'!N52,'26.07 Bwaise-Makerere-24h'!N52,'27.07 Bwaise-Makerere-24h'!N52,'28.07 Bwaise-Makerere'!N52)</f>
        <v>0</v>
      </c>
      <c r="O52" s="15">
        <f t="shared" si="0"/>
        <v>122.57142857142857</v>
      </c>
      <c r="P52" s="15">
        <f t="shared" si="1"/>
        <v>260</v>
      </c>
      <c r="R52" s="8"/>
      <c r="T52"/>
    </row>
    <row r="53" spans="2:20" ht="23.1" customHeight="1" x14ac:dyDescent="0.25">
      <c r="B53" s="23" t="s">
        <v>80</v>
      </c>
      <c r="C53" s="49">
        <f>AVERAGE('22.07 Bwaise-Makerere'!C53,'23.07 BWAISE-MAKERERE'!C53,'24.07 Bwaise-Makerere'!C53,'25.07Bwaise-Makerere'!C53,'26.07 Bwaise-Makerere-24h'!C53,'27.07 Bwaise-Makerere-24h'!C53,'28.07 Bwaise-Makerere'!C53)</f>
        <v>41.714285714285715</v>
      </c>
      <c r="D53" s="49">
        <f>AVERAGE('22.07 Bwaise-Makerere'!D53,'23.07 BWAISE-MAKERERE'!D53,'24.07 Bwaise-Makerere'!D53,'25.07Bwaise-Makerere'!D53,'26.07 Bwaise-Makerere-24h'!D53,'27.07 Bwaise-Makerere-24h'!D53,'28.07 Bwaise-Makerere'!D53)</f>
        <v>16.714285714285715</v>
      </c>
      <c r="E53" s="49">
        <f>AVERAGE('22.07 Bwaise-Makerere'!E53,'23.07 BWAISE-MAKERERE'!E53,'24.07 Bwaise-Makerere'!E53,'25.07Bwaise-Makerere'!E53,'26.07 Bwaise-Makerere-24h'!E53,'27.07 Bwaise-Makerere-24h'!E53,'28.07 Bwaise-Makerere'!E53)</f>
        <v>4.7142857142857144</v>
      </c>
      <c r="F53" s="49">
        <f>AVERAGE('22.07 Bwaise-Makerere'!F53,'23.07 BWAISE-MAKERERE'!F53,'24.07 Bwaise-Makerere'!F53,'25.07Bwaise-Makerere'!F53,'26.07 Bwaise-Makerere-24h'!F53,'27.07 Bwaise-Makerere-24h'!F53,'28.07 Bwaise-Makerere'!F53)</f>
        <v>41.714285714285715</v>
      </c>
      <c r="G53" s="49">
        <f>AVERAGE('22.07 Bwaise-Makerere'!G53,'23.07 BWAISE-MAKERERE'!G53,'24.07 Bwaise-Makerere'!G53,'25.07Bwaise-Makerere'!G53,'26.07 Bwaise-Makerere-24h'!G53,'27.07 Bwaise-Makerere-24h'!G53,'28.07 Bwaise-Makerere'!G53)</f>
        <v>1.4285714285714286</v>
      </c>
      <c r="H53" s="49">
        <f>AVERAGE('22.07 Bwaise-Makerere'!H53,'23.07 BWAISE-MAKERERE'!H53,'24.07 Bwaise-Makerere'!H53,'25.07Bwaise-Makerere'!H53,'26.07 Bwaise-Makerere-24h'!H53,'27.07 Bwaise-Makerere-24h'!H53,'28.07 Bwaise-Makerere'!H53)</f>
        <v>0.8571428571428571</v>
      </c>
      <c r="I53" s="49">
        <f>AVERAGE('22.07 Bwaise-Makerere'!I53,'23.07 BWAISE-MAKERERE'!I53,'24.07 Bwaise-Makerere'!I53,'25.07Bwaise-Makerere'!I53,'26.07 Bwaise-Makerere-24h'!I53,'27.07 Bwaise-Makerere-24h'!I53,'28.07 Bwaise-Makerere'!I53)</f>
        <v>6.1428571428571432</v>
      </c>
      <c r="J53" s="49">
        <f>AVERAGE('22.07 Bwaise-Makerere'!J53,'23.07 BWAISE-MAKERERE'!J53,'24.07 Bwaise-Makerere'!J53,'25.07Bwaise-Makerere'!J53,'26.07 Bwaise-Makerere-24h'!J53,'27.07 Bwaise-Makerere-24h'!J53,'28.07 Bwaise-Makerere'!J53)</f>
        <v>1</v>
      </c>
      <c r="K53" s="49">
        <f>AVERAGE('22.07 Bwaise-Makerere'!K53,'23.07 BWAISE-MAKERERE'!K53,'24.07 Bwaise-Makerere'!K53,'25.07Bwaise-Makerere'!K53,'26.07 Bwaise-Makerere-24h'!K53,'27.07 Bwaise-Makerere-24h'!K53,'28.07 Bwaise-Makerere'!K53)</f>
        <v>1.4285714285714286</v>
      </c>
      <c r="L53" s="49">
        <f>AVERAGE('22.07 Bwaise-Makerere'!L53,'23.07 BWAISE-MAKERERE'!L53,'24.07 Bwaise-Makerere'!L53,'25.07Bwaise-Makerere'!L53,'26.07 Bwaise-Makerere-24h'!L53,'27.07 Bwaise-Makerere-24h'!L53,'28.07 Bwaise-Makerere'!L53)</f>
        <v>0.5714285714285714</v>
      </c>
      <c r="M53" s="49">
        <f>AVERAGE('22.07 Bwaise-Makerere'!M53,'23.07 BWAISE-MAKERERE'!M53,'24.07 Bwaise-Makerere'!M53,'25.07Bwaise-Makerere'!M53,'26.07 Bwaise-Makerere-24h'!M53,'27.07 Bwaise-Makerere-24h'!M53,'28.07 Bwaise-Makerere'!M53)</f>
        <v>135.71428571428572</v>
      </c>
      <c r="N53" s="49">
        <f>AVERAGE('22.07 Bwaise-Makerere'!N53,'23.07 BWAISE-MAKERERE'!N53,'24.07 Bwaise-Makerere'!N53,'25.07Bwaise-Makerere'!N53,'26.07 Bwaise-Makerere-24h'!N53,'27.07 Bwaise-Makerere-24h'!N53,'28.07 Bwaise-Makerere'!N53)</f>
        <v>0</v>
      </c>
      <c r="O53" s="15">
        <f t="shared" si="0"/>
        <v>116.28571428571429</v>
      </c>
      <c r="P53" s="15">
        <f t="shared" si="1"/>
        <v>252</v>
      </c>
      <c r="R53" s="8"/>
      <c r="T53"/>
    </row>
    <row r="54" spans="2:20" ht="23.1" customHeight="1" x14ac:dyDescent="0.25">
      <c r="B54" s="23" t="s">
        <v>81</v>
      </c>
      <c r="C54" s="49">
        <f>AVERAGE('22.07 Bwaise-Makerere'!C54,'23.07 BWAISE-MAKERERE'!C54,'24.07 Bwaise-Makerere'!C54,'25.07Bwaise-Makerere'!C54,'26.07 Bwaise-Makerere-24h'!C54,'27.07 Bwaise-Makerere-24h'!C54,'28.07 Bwaise-Makerere'!C54)</f>
        <v>42.857142857142854</v>
      </c>
      <c r="D54" s="49">
        <f>AVERAGE('22.07 Bwaise-Makerere'!D54,'23.07 BWAISE-MAKERERE'!D54,'24.07 Bwaise-Makerere'!D54,'25.07Bwaise-Makerere'!D54,'26.07 Bwaise-Makerere-24h'!D54,'27.07 Bwaise-Makerere-24h'!D54,'28.07 Bwaise-Makerere'!D54)</f>
        <v>14.571428571428571</v>
      </c>
      <c r="E54" s="49">
        <f>AVERAGE('22.07 Bwaise-Makerere'!E54,'23.07 BWAISE-MAKERERE'!E54,'24.07 Bwaise-Makerere'!E54,'25.07Bwaise-Makerere'!E54,'26.07 Bwaise-Makerere-24h'!E54,'27.07 Bwaise-Makerere-24h'!E54,'28.07 Bwaise-Makerere'!E54)</f>
        <v>8.2857142857142865</v>
      </c>
      <c r="F54" s="49">
        <f>AVERAGE('22.07 Bwaise-Makerere'!F54,'23.07 BWAISE-MAKERERE'!F54,'24.07 Bwaise-Makerere'!F54,'25.07Bwaise-Makerere'!F54,'26.07 Bwaise-Makerere-24h'!F54,'27.07 Bwaise-Makerere-24h'!F54,'28.07 Bwaise-Makerere'!F54)</f>
        <v>38.285714285714285</v>
      </c>
      <c r="G54" s="49">
        <f>AVERAGE('22.07 Bwaise-Makerere'!G54,'23.07 BWAISE-MAKERERE'!G54,'24.07 Bwaise-Makerere'!G54,'25.07Bwaise-Makerere'!G54,'26.07 Bwaise-Makerere-24h'!G54,'27.07 Bwaise-Makerere-24h'!G54,'28.07 Bwaise-Makerere'!G54)</f>
        <v>2.8571428571428572</v>
      </c>
      <c r="H54" s="49">
        <f>AVERAGE('22.07 Bwaise-Makerere'!H54,'23.07 BWAISE-MAKERERE'!H54,'24.07 Bwaise-Makerere'!H54,'25.07Bwaise-Makerere'!H54,'26.07 Bwaise-Makerere-24h'!H54,'27.07 Bwaise-Makerere-24h'!H54,'28.07 Bwaise-Makerere'!H54)</f>
        <v>0.14285714285714285</v>
      </c>
      <c r="I54" s="49">
        <f>AVERAGE('22.07 Bwaise-Makerere'!I54,'23.07 BWAISE-MAKERERE'!I54,'24.07 Bwaise-Makerere'!I54,'25.07Bwaise-Makerere'!I54,'26.07 Bwaise-Makerere-24h'!I54,'27.07 Bwaise-Makerere-24h'!I54,'28.07 Bwaise-Makerere'!I54)</f>
        <v>4.8571428571428568</v>
      </c>
      <c r="J54" s="49">
        <f>AVERAGE('22.07 Bwaise-Makerere'!J54,'23.07 BWAISE-MAKERERE'!J54,'24.07 Bwaise-Makerere'!J54,'25.07Bwaise-Makerere'!J54,'26.07 Bwaise-Makerere-24h'!J54,'27.07 Bwaise-Makerere-24h'!J54,'28.07 Bwaise-Makerere'!J54)</f>
        <v>0.7142857142857143</v>
      </c>
      <c r="K54" s="49">
        <f>AVERAGE('22.07 Bwaise-Makerere'!K54,'23.07 BWAISE-MAKERERE'!K54,'24.07 Bwaise-Makerere'!K54,'25.07Bwaise-Makerere'!K54,'26.07 Bwaise-Makerere-24h'!K54,'27.07 Bwaise-Makerere-24h'!K54,'28.07 Bwaise-Makerere'!K54)</f>
        <v>0.66666666666666663</v>
      </c>
      <c r="L54" s="49">
        <f>AVERAGE('22.07 Bwaise-Makerere'!L54,'23.07 BWAISE-MAKERERE'!L54,'24.07 Bwaise-Makerere'!L54,'25.07Bwaise-Makerere'!L54,'26.07 Bwaise-Makerere-24h'!L54,'27.07 Bwaise-Makerere-24h'!L54,'28.07 Bwaise-Makerere'!L54)</f>
        <v>1</v>
      </c>
      <c r="M54" s="49">
        <f>AVERAGE('22.07 Bwaise-Makerere'!M54,'23.07 BWAISE-MAKERERE'!M54,'24.07 Bwaise-Makerere'!M54,'25.07Bwaise-Makerere'!M54,'26.07 Bwaise-Makerere-24h'!M54,'27.07 Bwaise-Makerere-24h'!M54,'28.07 Bwaise-Makerere'!M54)</f>
        <v>147.14285714285714</v>
      </c>
      <c r="N54" s="49">
        <f>AVERAGE('22.07 Bwaise-Makerere'!N54,'23.07 BWAISE-MAKERERE'!N54,'24.07 Bwaise-Makerere'!N54,'25.07Bwaise-Makerere'!N54,'26.07 Bwaise-Makerere-24h'!N54,'27.07 Bwaise-Makerere-24h'!N54,'28.07 Bwaise-Makerere'!N54)</f>
        <v>0</v>
      </c>
      <c r="O54" s="15">
        <f t="shared" si="0"/>
        <v>114.23809523809524</v>
      </c>
      <c r="P54" s="15">
        <f t="shared" si="1"/>
        <v>261.38095238095241</v>
      </c>
      <c r="R54" s="8"/>
      <c r="T54"/>
    </row>
    <row r="55" spans="2:20" ht="23.1" customHeight="1" x14ac:dyDescent="0.25">
      <c r="B55" s="23" t="s">
        <v>82</v>
      </c>
      <c r="C55" s="49">
        <f>AVERAGE('22.07 Bwaise-Makerere'!C55,'23.07 BWAISE-MAKERERE'!C55,'24.07 Bwaise-Makerere'!C55,'25.07Bwaise-Makerere'!C55,'26.07 Bwaise-Makerere-24h'!C55,'27.07 Bwaise-Makerere-24h'!C55,'28.07 Bwaise-Makerere'!C55)</f>
        <v>37.285714285714285</v>
      </c>
      <c r="D55" s="49">
        <f>AVERAGE('22.07 Bwaise-Makerere'!D55,'23.07 BWAISE-MAKERERE'!D55,'24.07 Bwaise-Makerere'!D55,'25.07Bwaise-Makerere'!D55,'26.07 Bwaise-Makerere-24h'!D55,'27.07 Bwaise-Makerere-24h'!D55,'28.07 Bwaise-Makerere'!D55)</f>
        <v>14.285714285714286</v>
      </c>
      <c r="E55" s="49">
        <f>AVERAGE('22.07 Bwaise-Makerere'!E55,'23.07 BWAISE-MAKERERE'!E55,'24.07 Bwaise-Makerere'!E55,'25.07Bwaise-Makerere'!E55,'26.07 Bwaise-Makerere-24h'!E55,'27.07 Bwaise-Makerere-24h'!E55,'28.07 Bwaise-Makerere'!E55)</f>
        <v>4.2857142857142856</v>
      </c>
      <c r="F55" s="49">
        <f>AVERAGE('22.07 Bwaise-Makerere'!F55,'23.07 BWAISE-MAKERERE'!F55,'24.07 Bwaise-Makerere'!F55,'25.07Bwaise-Makerere'!F55,'26.07 Bwaise-Makerere-24h'!F55,'27.07 Bwaise-Makerere-24h'!F55,'28.07 Bwaise-Makerere'!F55)</f>
        <v>38.285714285714285</v>
      </c>
      <c r="G55" s="49">
        <f>AVERAGE('22.07 Bwaise-Makerere'!G55,'23.07 BWAISE-MAKERERE'!G55,'24.07 Bwaise-Makerere'!G55,'25.07Bwaise-Makerere'!G55,'26.07 Bwaise-Makerere-24h'!G55,'27.07 Bwaise-Makerere-24h'!G55,'28.07 Bwaise-Makerere'!G55)</f>
        <v>1.4285714285714286</v>
      </c>
      <c r="H55" s="49">
        <f>AVERAGE('22.07 Bwaise-Makerere'!H55,'23.07 BWAISE-MAKERERE'!H55,'24.07 Bwaise-Makerere'!H55,'25.07Bwaise-Makerere'!H55,'26.07 Bwaise-Makerere-24h'!H55,'27.07 Bwaise-Makerere-24h'!H55,'28.07 Bwaise-Makerere'!H55)</f>
        <v>1.1428571428571428</v>
      </c>
      <c r="I55" s="49">
        <f>AVERAGE('22.07 Bwaise-Makerere'!I55,'23.07 BWAISE-MAKERERE'!I55,'24.07 Bwaise-Makerere'!I55,'25.07Bwaise-Makerere'!I55,'26.07 Bwaise-Makerere-24h'!I55,'27.07 Bwaise-Makerere-24h'!I55,'28.07 Bwaise-Makerere'!I55)</f>
        <v>7</v>
      </c>
      <c r="J55" s="49">
        <f>AVERAGE('22.07 Bwaise-Makerere'!J55,'23.07 BWAISE-MAKERERE'!J55,'24.07 Bwaise-Makerere'!J55,'25.07Bwaise-Makerere'!J55,'26.07 Bwaise-Makerere-24h'!J55,'27.07 Bwaise-Makerere-24h'!J55,'28.07 Bwaise-Makerere'!J55)</f>
        <v>1.4285714285714286</v>
      </c>
      <c r="K55" s="49">
        <f>AVERAGE('22.07 Bwaise-Makerere'!K55,'23.07 BWAISE-MAKERERE'!K55,'24.07 Bwaise-Makerere'!K55,'25.07Bwaise-Makerere'!K55,'26.07 Bwaise-Makerere-24h'!K55,'27.07 Bwaise-Makerere-24h'!K55,'28.07 Bwaise-Makerere'!K55)</f>
        <v>0.8571428571428571</v>
      </c>
      <c r="L55" s="49">
        <f>AVERAGE('22.07 Bwaise-Makerere'!L55,'23.07 BWAISE-MAKERERE'!L55,'24.07 Bwaise-Makerere'!L55,'25.07Bwaise-Makerere'!L55,'26.07 Bwaise-Makerere-24h'!L55,'27.07 Bwaise-Makerere-24h'!L55,'28.07 Bwaise-Makerere'!L55)</f>
        <v>0.8571428571428571</v>
      </c>
      <c r="M55" s="49">
        <f>AVERAGE('22.07 Bwaise-Makerere'!M55,'23.07 BWAISE-MAKERERE'!M55,'24.07 Bwaise-Makerere'!M55,'25.07Bwaise-Makerere'!M55,'26.07 Bwaise-Makerere-24h'!M55,'27.07 Bwaise-Makerere-24h'!M55,'28.07 Bwaise-Makerere'!M55)</f>
        <v>126.42857142857143</v>
      </c>
      <c r="N55" s="49">
        <f>AVERAGE('22.07 Bwaise-Makerere'!N55,'23.07 BWAISE-MAKERERE'!N55,'24.07 Bwaise-Makerere'!N55,'25.07Bwaise-Makerere'!N55,'26.07 Bwaise-Makerere-24h'!N55,'27.07 Bwaise-Makerere-24h'!N55,'28.07 Bwaise-Makerere'!N55)</f>
        <v>0</v>
      </c>
      <c r="O55" s="15">
        <f t="shared" si="0"/>
        <v>106.85714285714286</v>
      </c>
      <c r="P55" s="15">
        <f t="shared" si="1"/>
        <v>233.28571428571428</v>
      </c>
      <c r="R55" s="8"/>
      <c r="T55"/>
    </row>
    <row r="56" spans="2:20" ht="23.1" customHeight="1" x14ac:dyDescent="0.25">
      <c r="B56" s="23" t="s">
        <v>83</v>
      </c>
      <c r="C56" s="49">
        <f>AVERAGE('22.07 Bwaise-Makerere'!C56,'23.07 BWAISE-MAKERERE'!C56,'24.07 Bwaise-Makerere'!C56,'25.07Bwaise-Makerere'!C56,'26.07 Bwaise-Makerere-24h'!C56,'27.07 Bwaise-Makerere-24h'!C56,'28.07 Bwaise-Makerere'!C56)</f>
        <v>34.142857142857146</v>
      </c>
      <c r="D56" s="49">
        <f>AVERAGE('22.07 Bwaise-Makerere'!D56,'23.07 BWAISE-MAKERERE'!D56,'24.07 Bwaise-Makerere'!D56,'25.07Bwaise-Makerere'!D56,'26.07 Bwaise-Makerere-24h'!D56,'27.07 Bwaise-Makerere-24h'!D56,'28.07 Bwaise-Makerere'!D56)</f>
        <v>10</v>
      </c>
      <c r="E56" s="49">
        <f>AVERAGE('22.07 Bwaise-Makerere'!E56,'23.07 BWAISE-MAKERERE'!E56,'24.07 Bwaise-Makerere'!E56,'25.07Bwaise-Makerere'!E56,'26.07 Bwaise-Makerere-24h'!E56,'27.07 Bwaise-Makerere-24h'!E56,'28.07 Bwaise-Makerere'!E56)</f>
        <v>5</v>
      </c>
      <c r="F56" s="49">
        <f>AVERAGE('22.07 Bwaise-Makerere'!F56,'23.07 BWAISE-MAKERERE'!F56,'24.07 Bwaise-Makerere'!F56,'25.07Bwaise-Makerere'!F56,'26.07 Bwaise-Makerere-24h'!F56,'27.07 Bwaise-Makerere-24h'!F56,'28.07 Bwaise-Makerere'!F56)</f>
        <v>35.571428571428569</v>
      </c>
      <c r="G56" s="49">
        <f>AVERAGE('22.07 Bwaise-Makerere'!G56,'23.07 BWAISE-MAKERERE'!G56,'24.07 Bwaise-Makerere'!G56,'25.07Bwaise-Makerere'!G56,'26.07 Bwaise-Makerere-24h'!G56,'27.07 Bwaise-Makerere-24h'!G56,'28.07 Bwaise-Makerere'!G56)</f>
        <v>1.2857142857142858</v>
      </c>
      <c r="H56" s="49">
        <f>AVERAGE('22.07 Bwaise-Makerere'!H56,'23.07 BWAISE-MAKERERE'!H56,'24.07 Bwaise-Makerere'!H56,'25.07Bwaise-Makerere'!H56,'26.07 Bwaise-Makerere-24h'!H56,'27.07 Bwaise-Makerere-24h'!H56,'28.07 Bwaise-Makerere'!H56)</f>
        <v>0.8571428571428571</v>
      </c>
      <c r="I56" s="49">
        <f>AVERAGE('22.07 Bwaise-Makerere'!I56,'23.07 BWAISE-MAKERERE'!I56,'24.07 Bwaise-Makerere'!I56,'25.07Bwaise-Makerere'!I56,'26.07 Bwaise-Makerere-24h'!I56,'27.07 Bwaise-Makerere-24h'!I56,'28.07 Bwaise-Makerere'!I56)</f>
        <v>5.4285714285714288</v>
      </c>
      <c r="J56" s="49">
        <f>AVERAGE('22.07 Bwaise-Makerere'!J56,'23.07 BWAISE-MAKERERE'!J56,'24.07 Bwaise-Makerere'!J56,'25.07Bwaise-Makerere'!J56,'26.07 Bwaise-Makerere-24h'!J56,'27.07 Bwaise-Makerere-24h'!J56,'28.07 Bwaise-Makerere'!J56)</f>
        <v>1</v>
      </c>
      <c r="K56" s="49">
        <f>AVERAGE('22.07 Bwaise-Makerere'!K56,'23.07 BWAISE-MAKERERE'!K56,'24.07 Bwaise-Makerere'!K56,'25.07Bwaise-Makerere'!K56,'26.07 Bwaise-Makerere-24h'!K56,'27.07 Bwaise-Makerere-24h'!K56,'28.07 Bwaise-Makerere'!K56)</f>
        <v>0.8571428571428571</v>
      </c>
      <c r="L56" s="49">
        <f>AVERAGE('22.07 Bwaise-Makerere'!L56,'23.07 BWAISE-MAKERERE'!L56,'24.07 Bwaise-Makerere'!L56,'25.07Bwaise-Makerere'!L56,'26.07 Bwaise-Makerere-24h'!L56,'27.07 Bwaise-Makerere-24h'!L56,'28.07 Bwaise-Makerere'!L56)</f>
        <v>0.2857142857142857</v>
      </c>
      <c r="M56" s="49">
        <f>AVERAGE('22.07 Bwaise-Makerere'!M56,'23.07 BWAISE-MAKERERE'!M56,'24.07 Bwaise-Makerere'!M56,'25.07Bwaise-Makerere'!M56,'26.07 Bwaise-Makerere-24h'!M56,'27.07 Bwaise-Makerere-24h'!M56,'28.07 Bwaise-Makerere'!M56)</f>
        <v>100</v>
      </c>
      <c r="N56" s="49">
        <f>AVERAGE('22.07 Bwaise-Makerere'!N56,'23.07 BWAISE-MAKERERE'!N56,'24.07 Bwaise-Makerere'!N56,'25.07Bwaise-Makerere'!N56,'26.07 Bwaise-Makerere-24h'!N56,'27.07 Bwaise-Makerere-24h'!N56,'28.07 Bwaise-Makerere'!N56)</f>
        <v>0</v>
      </c>
      <c r="O56" s="15">
        <f t="shared" si="0"/>
        <v>94.428571428571459</v>
      </c>
      <c r="P56" s="15">
        <f t="shared" si="1"/>
        <v>194.42857142857144</v>
      </c>
      <c r="R56" s="8"/>
      <c r="T56"/>
    </row>
    <row r="57" spans="2:20" ht="23.1" customHeight="1" x14ac:dyDescent="0.25">
      <c r="B57" s="23" t="s">
        <v>84</v>
      </c>
      <c r="C57" s="49">
        <f>AVERAGE('22.07 Bwaise-Makerere'!C57,'23.07 BWAISE-MAKERERE'!C57,'24.07 Bwaise-Makerere'!C57,'25.07Bwaise-Makerere'!C57,'26.07 Bwaise-Makerere-24h'!C57,'27.07 Bwaise-Makerere-24h'!C57,'28.07 Bwaise-Makerere'!C57)</f>
        <v>34.857142857142854</v>
      </c>
      <c r="D57" s="49">
        <f>AVERAGE('22.07 Bwaise-Makerere'!D57,'23.07 BWAISE-MAKERERE'!D57,'24.07 Bwaise-Makerere'!D57,'25.07Bwaise-Makerere'!D57,'26.07 Bwaise-Makerere-24h'!D57,'27.07 Bwaise-Makerere-24h'!D57,'28.07 Bwaise-Makerere'!D57)</f>
        <v>7.4285714285714288</v>
      </c>
      <c r="E57" s="49">
        <f>AVERAGE('22.07 Bwaise-Makerere'!E57,'23.07 BWAISE-MAKERERE'!E57,'24.07 Bwaise-Makerere'!E57,'25.07Bwaise-Makerere'!E57,'26.07 Bwaise-Makerere-24h'!E57,'27.07 Bwaise-Makerere-24h'!E57,'28.07 Bwaise-Makerere'!E57)</f>
        <v>3.2857142857142856</v>
      </c>
      <c r="F57" s="49">
        <f>AVERAGE('22.07 Bwaise-Makerere'!F57,'23.07 BWAISE-MAKERERE'!F57,'24.07 Bwaise-Makerere'!F57,'25.07Bwaise-Makerere'!F57,'26.07 Bwaise-Makerere-24h'!F57,'27.07 Bwaise-Makerere-24h'!F57,'28.07 Bwaise-Makerere'!F57)</f>
        <v>37.285714285714285</v>
      </c>
      <c r="G57" s="49">
        <f>AVERAGE('22.07 Bwaise-Makerere'!G57,'23.07 BWAISE-MAKERERE'!G57,'24.07 Bwaise-Makerere'!G57,'25.07Bwaise-Makerere'!G57,'26.07 Bwaise-Makerere-24h'!G57,'27.07 Bwaise-Makerere-24h'!G57,'28.07 Bwaise-Makerere'!G57)</f>
        <v>0.2857142857142857</v>
      </c>
      <c r="H57" s="49">
        <f>AVERAGE('22.07 Bwaise-Makerere'!H57,'23.07 BWAISE-MAKERERE'!H57,'24.07 Bwaise-Makerere'!H57,'25.07Bwaise-Makerere'!H57,'26.07 Bwaise-Makerere-24h'!H57,'27.07 Bwaise-Makerere-24h'!H57,'28.07 Bwaise-Makerere'!H57)</f>
        <v>0.8571428571428571</v>
      </c>
      <c r="I57" s="49">
        <f>AVERAGE('22.07 Bwaise-Makerere'!I57,'23.07 BWAISE-MAKERERE'!I57,'24.07 Bwaise-Makerere'!I57,'25.07Bwaise-Makerere'!I57,'26.07 Bwaise-Makerere-24h'!I57,'27.07 Bwaise-Makerere-24h'!I57,'28.07 Bwaise-Makerere'!I57)</f>
        <v>2.8571428571428572</v>
      </c>
      <c r="J57" s="49">
        <f>AVERAGE('22.07 Bwaise-Makerere'!J57,'23.07 BWAISE-MAKERERE'!J57,'24.07 Bwaise-Makerere'!J57,'25.07Bwaise-Makerere'!J57,'26.07 Bwaise-Makerere-24h'!J57,'27.07 Bwaise-Makerere-24h'!J57,'28.07 Bwaise-Makerere'!J57)</f>
        <v>0.5714285714285714</v>
      </c>
      <c r="K57" s="49">
        <f>AVERAGE('22.07 Bwaise-Makerere'!K57,'23.07 BWAISE-MAKERERE'!K57,'24.07 Bwaise-Makerere'!K57,'25.07Bwaise-Makerere'!K57,'26.07 Bwaise-Makerere-24h'!K57,'27.07 Bwaise-Makerere-24h'!K57,'28.07 Bwaise-Makerere'!K57)</f>
        <v>1.1428571428571428</v>
      </c>
      <c r="L57" s="49">
        <f>AVERAGE('22.07 Bwaise-Makerere'!L57,'23.07 BWAISE-MAKERERE'!L57,'24.07 Bwaise-Makerere'!L57,'25.07Bwaise-Makerere'!L57,'26.07 Bwaise-Makerere-24h'!L57,'27.07 Bwaise-Makerere-24h'!L57,'28.07 Bwaise-Makerere'!L57)</f>
        <v>0.14285714285714285</v>
      </c>
      <c r="M57" s="49">
        <f>AVERAGE('22.07 Bwaise-Makerere'!M57,'23.07 BWAISE-MAKERERE'!M57,'24.07 Bwaise-Makerere'!M57,'25.07Bwaise-Makerere'!M57,'26.07 Bwaise-Makerere-24h'!M57,'27.07 Bwaise-Makerere-24h'!M57,'28.07 Bwaise-Makerere'!M57)</f>
        <v>96.428571428571431</v>
      </c>
      <c r="N57" s="49">
        <f>AVERAGE('22.07 Bwaise-Makerere'!N57,'23.07 BWAISE-MAKERERE'!N57,'24.07 Bwaise-Makerere'!N57,'25.07Bwaise-Makerere'!N57,'26.07 Bwaise-Makerere-24h'!N57,'27.07 Bwaise-Makerere-24h'!N57,'28.07 Bwaise-Makerere'!N57)</f>
        <v>0</v>
      </c>
      <c r="O57" s="15">
        <f t="shared" si="0"/>
        <v>88.714285714285722</v>
      </c>
      <c r="P57" s="15">
        <f t="shared" si="1"/>
        <v>185.14285714285717</v>
      </c>
      <c r="R57" s="8"/>
      <c r="T57"/>
    </row>
    <row r="58" spans="2:20" ht="23.1" customHeight="1" x14ac:dyDescent="0.25">
      <c r="B58" s="23" t="s">
        <v>99</v>
      </c>
      <c r="C58" s="49">
        <f>AVERAGE('26.07 Bwaise-Makerere-24h'!C58,'27.07 Bwaise-Makerere-24h'!C46)</f>
        <v>56</v>
      </c>
      <c r="D58" s="49">
        <f>AVERAGE('26.07 Bwaise-Makerere-24h'!D58,'27.07 Bwaise-Makerere-24h'!D46)</f>
        <v>17</v>
      </c>
      <c r="E58" s="49">
        <f>AVERAGE('26.07 Bwaise-Makerere-24h'!E58,'27.07 Bwaise-Makerere-24h'!E46)</f>
        <v>13</v>
      </c>
      <c r="F58" s="49">
        <f>AVERAGE('26.07 Bwaise-Makerere-24h'!F58,'27.07 Bwaise-Makerere-24h'!F46)</f>
        <v>41.5</v>
      </c>
      <c r="G58" s="49">
        <f>AVERAGE('26.07 Bwaise-Makerere-24h'!G58,'27.07 Bwaise-Makerere-24h'!G46)</f>
        <v>0</v>
      </c>
      <c r="H58" s="49">
        <f>AVERAGE('26.07 Bwaise-Makerere-24h'!H58,'27.07 Bwaise-Makerere-24h'!H46)</f>
        <v>0</v>
      </c>
      <c r="I58" s="49">
        <f>AVERAGE('26.07 Bwaise-Makerere-24h'!I58,'27.07 Bwaise-Makerere-24h'!I46)</f>
        <v>6</v>
      </c>
      <c r="J58" s="49">
        <f>AVERAGE('26.07 Bwaise-Makerere-24h'!J58,'27.07 Bwaise-Makerere-24h'!J46)</f>
        <v>3.5</v>
      </c>
      <c r="K58" s="49">
        <f>AVERAGE('26.07 Bwaise-Makerere-24h'!K58,'27.07 Bwaise-Makerere-24h'!K46)</f>
        <v>0.5</v>
      </c>
      <c r="L58" s="49">
        <f>AVERAGE('26.07 Bwaise-Makerere-24h'!L58,'27.07 Bwaise-Makerere-24h'!L46)</f>
        <v>0</v>
      </c>
      <c r="M58" s="49">
        <f>AVERAGE('26.07 Bwaise-Makerere-24h'!M58,'27.07 Bwaise-Makerere-24h'!M46)</f>
        <v>145.5</v>
      </c>
      <c r="N58" s="49">
        <f>AVERAGE('26.07 Bwaise-Makerere-24h'!N58,'27.07 Bwaise-Makerere-24h'!N46)</f>
        <v>0</v>
      </c>
      <c r="O58" s="15">
        <f t="shared" si="0"/>
        <v>137.5</v>
      </c>
      <c r="P58" s="15">
        <f t="shared" si="1"/>
        <v>283</v>
      </c>
      <c r="R58" s="8"/>
      <c r="T58"/>
    </row>
    <row r="59" spans="2:20" ht="23.1" customHeight="1" x14ac:dyDescent="0.25">
      <c r="B59" s="23" t="s">
        <v>100</v>
      </c>
      <c r="C59" s="49">
        <f>AVERAGE('26.07 Bwaise-Makerere-24h'!C59,'27.07 Bwaise-Makerere-24h'!C47)</f>
        <v>43</v>
      </c>
      <c r="D59" s="49">
        <f>AVERAGE('26.07 Bwaise-Makerere-24h'!D59,'27.07 Bwaise-Makerere-24h'!D47)</f>
        <v>16.5</v>
      </c>
      <c r="E59" s="49">
        <f>AVERAGE('26.07 Bwaise-Makerere-24h'!E59,'27.07 Bwaise-Makerere-24h'!E47)</f>
        <v>11.5</v>
      </c>
      <c r="F59" s="49">
        <f>AVERAGE('26.07 Bwaise-Makerere-24h'!F59,'27.07 Bwaise-Makerere-24h'!F47)</f>
        <v>27</v>
      </c>
      <c r="G59" s="49">
        <f>AVERAGE('26.07 Bwaise-Makerere-24h'!G59,'27.07 Bwaise-Makerere-24h'!G47)</f>
        <v>0</v>
      </c>
      <c r="H59" s="49">
        <f>AVERAGE('26.07 Bwaise-Makerere-24h'!H59,'27.07 Bwaise-Makerere-24h'!H47)</f>
        <v>0</v>
      </c>
      <c r="I59" s="49">
        <f>AVERAGE('26.07 Bwaise-Makerere-24h'!I59,'27.07 Bwaise-Makerere-24h'!I47)</f>
        <v>5</v>
      </c>
      <c r="J59" s="49">
        <f>AVERAGE('26.07 Bwaise-Makerere-24h'!J59,'27.07 Bwaise-Makerere-24h'!J47)</f>
        <v>3</v>
      </c>
      <c r="K59" s="49">
        <f>AVERAGE('26.07 Bwaise-Makerere-24h'!K59,'27.07 Bwaise-Makerere-24h'!K47)</f>
        <v>0</v>
      </c>
      <c r="L59" s="49">
        <f>AVERAGE('26.07 Bwaise-Makerere-24h'!L59,'27.07 Bwaise-Makerere-24h'!L47)</f>
        <v>2</v>
      </c>
      <c r="M59" s="49">
        <f>AVERAGE('26.07 Bwaise-Makerere-24h'!M59,'27.07 Bwaise-Makerere-24h'!M47)</f>
        <v>146</v>
      </c>
      <c r="N59" s="49">
        <f>AVERAGE('26.07 Bwaise-Makerere-24h'!N59,'27.07 Bwaise-Makerere-24h'!N47)</f>
        <v>0</v>
      </c>
      <c r="O59" s="15">
        <f t="shared" si="0"/>
        <v>108</v>
      </c>
      <c r="P59" s="15">
        <f t="shared" si="1"/>
        <v>254</v>
      </c>
      <c r="R59" s="8"/>
      <c r="T59"/>
    </row>
    <row r="60" spans="2:20" ht="23.1" customHeight="1" x14ac:dyDescent="0.25">
      <c r="B60" s="23" t="s">
        <v>101</v>
      </c>
      <c r="C60" s="49">
        <f>AVERAGE('26.07 Bwaise-Makerere-24h'!C60,'27.07 Bwaise-Makerere-24h'!C48)</f>
        <v>49.5</v>
      </c>
      <c r="D60" s="49">
        <f>AVERAGE('26.07 Bwaise-Makerere-24h'!D60,'27.07 Bwaise-Makerere-24h'!D48)</f>
        <v>17.5</v>
      </c>
      <c r="E60" s="49">
        <f>AVERAGE('26.07 Bwaise-Makerere-24h'!E60,'27.07 Bwaise-Makerere-24h'!E48)</f>
        <v>12</v>
      </c>
      <c r="F60" s="49">
        <f>AVERAGE('26.07 Bwaise-Makerere-24h'!F60,'27.07 Bwaise-Makerere-24h'!F48)</f>
        <v>52</v>
      </c>
      <c r="G60" s="49">
        <f>AVERAGE('26.07 Bwaise-Makerere-24h'!G60,'27.07 Bwaise-Makerere-24h'!G48)</f>
        <v>1</v>
      </c>
      <c r="H60" s="49">
        <f>AVERAGE('26.07 Bwaise-Makerere-24h'!H60,'27.07 Bwaise-Makerere-24h'!H48)</f>
        <v>1.5</v>
      </c>
      <c r="I60" s="49">
        <f>AVERAGE('26.07 Bwaise-Makerere-24h'!I60,'27.07 Bwaise-Makerere-24h'!I48)</f>
        <v>9.5</v>
      </c>
      <c r="J60" s="49">
        <f>AVERAGE('26.07 Bwaise-Makerere-24h'!J60,'27.07 Bwaise-Makerere-24h'!J48)</f>
        <v>0.5</v>
      </c>
      <c r="K60" s="49">
        <f>AVERAGE('26.07 Bwaise-Makerere-24h'!K60,'27.07 Bwaise-Makerere-24h'!K48)</f>
        <v>0</v>
      </c>
      <c r="L60" s="49">
        <f>AVERAGE('26.07 Bwaise-Makerere-24h'!L60,'27.07 Bwaise-Makerere-24h'!L48)</f>
        <v>1.5</v>
      </c>
      <c r="M60" s="49">
        <f>AVERAGE('26.07 Bwaise-Makerere-24h'!M60,'27.07 Bwaise-Makerere-24h'!M48)</f>
        <v>144.5</v>
      </c>
      <c r="N60" s="49">
        <f>AVERAGE('26.07 Bwaise-Makerere-24h'!N60,'27.07 Bwaise-Makerere-24h'!N48)</f>
        <v>0</v>
      </c>
      <c r="O60" s="15">
        <f t="shared" si="0"/>
        <v>145</v>
      </c>
      <c r="P60" s="15">
        <f t="shared" si="1"/>
        <v>289.5</v>
      </c>
      <c r="R60" s="8"/>
      <c r="T60"/>
    </row>
    <row r="61" spans="2:20" ht="23.1" customHeight="1" x14ac:dyDescent="0.25">
      <c r="B61" s="23" t="s">
        <v>102</v>
      </c>
      <c r="C61" s="49">
        <f>AVERAGE('26.07 Bwaise-Makerere-24h'!C61,'27.07 Bwaise-Makerere-24h'!C49)</f>
        <v>50.5</v>
      </c>
      <c r="D61" s="49">
        <f>AVERAGE('26.07 Bwaise-Makerere-24h'!D61,'27.07 Bwaise-Makerere-24h'!D49)</f>
        <v>12.5</v>
      </c>
      <c r="E61" s="49">
        <f>AVERAGE('26.07 Bwaise-Makerere-24h'!E61,'27.07 Bwaise-Makerere-24h'!E49)</f>
        <v>8.5</v>
      </c>
      <c r="F61" s="49">
        <f>AVERAGE('26.07 Bwaise-Makerere-24h'!F61,'27.07 Bwaise-Makerere-24h'!F49)</f>
        <v>38.5</v>
      </c>
      <c r="G61" s="49">
        <f>AVERAGE('26.07 Bwaise-Makerere-24h'!G61,'27.07 Bwaise-Makerere-24h'!G49)</f>
        <v>2</v>
      </c>
      <c r="H61" s="49">
        <f>AVERAGE('26.07 Bwaise-Makerere-24h'!H61,'27.07 Bwaise-Makerere-24h'!H49)</f>
        <v>0.5</v>
      </c>
      <c r="I61" s="49">
        <f>AVERAGE('26.07 Bwaise-Makerere-24h'!I61,'27.07 Bwaise-Makerere-24h'!I49)</f>
        <v>8</v>
      </c>
      <c r="J61" s="49">
        <f>AVERAGE('26.07 Bwaise-Makerere-24h'!J61,'27.07 Bwaise-Makerere-24h'!J49)</f>
        <v>3</v>
      </c>
      <c r="K61" s="49">
        <f>AVERAGE('26.07 Bwaise-Makerere-24h'!K61,'27.07 Bwaise-Makerere-24h'!K49)</f>
        <v>1.5</v>
      </c>
      <c r="L61" s="49">
        <f>AVERAGE('26.07 Bwaise-Makerere-24h'!L61,'27.07 Bwaise-Makerere-24h'!L49)</f>
        <v>0</v>
      </c>
      <c r="M61" s="49">
        <f>AVERAGE('26.07 Bwaise-Makerere-24h'!M61,'27.07 Bwaise-Makerere-24h'!M49)</f>
        <v>120</v>
      </c>
      <c r="N61" s="49">
        <f>AVERAGE('26.07 Bwaise-Makerere-24h'!N61,'27.07 Bwaise-Makerere-24h'!N49)</f>
        <v>0</v>
      </c>
      <c r="O61" s="15">
        <f t="shared" si="0"/>
        <v>125</v>
      </c>
      <c r="P61" s="15">
        <f t="shared" si="1"/>
        <v>245</v>
      </c>
      <c r="R61" s="8"/>
      <c r="T61"/>
    </row>
    <row r="62" spans="2:20" ht="23.1" customHeight="1" x14ac:dyDescent="0.25">
      <c r="B62" s="23" t="s">
        <v>107</v>
      </c>
      <c r="C62" s="49">
        <f>AVERAGE('26.07 Bwaise-Makerere-24h'!C62,'27.07 Bwaise-Makerere-24h'!C50)</f>
        <v>64.5</v>
      </c>
      <c r="D62" s="49">
        <f>AVERAGE('26.07 Bwaise-Makerere-24h'!D62,'27.07 Bwaise-Makerere-24h'!D50)</f>
        <v>20</v>
      </c>
      <c r="E62" s="49">
        <f>AVERAGE('26.07 Bwaise-Makerere-24h'!E62,'27.07 Bwaise-Makerere-24h'!E50)</f>
        <v>14</v>
      </c>
      <c r="F62" s="49">
        <f>AVERAGE('26.07 Bwaise-Makerere-24h'!F62,'27.07 Bwaise-Makerere-24h'!F50)</f>
        <v>52</v>
      </c>
      <c r="G62" s="49">
        <f>AVERAGE('26.07 Bwaise-Makerere-24h'!G62,'27.07 Bwaise-Makerere-24h'!G50)</f>
        <v>1.5</v>
      </c>
      <c r="H62" s="49">
        <f>AVERAGE('26.07 Bwaise-Makerere-24h'!H62,'27.07 Bwaise-Makerere-24h'!H50)</f>
        <v>1</v>
      </c>
      <c r="I62" s="49">
        <f>AVERAGE('26.07 Bwaise-Makerere-24h'!I62,'27.07 Bwaise-Makerere-24h'!I50)</f>
        <v>7</v>
      </c>
      <c r="J62" s="49">
        <f>AVERAGE('26.07 Bwaise-Makerere-24h'!J62,'27.07 Bwaise-Makerere-24h'!J50)</f>
        <v>6</v>
      </c>
      <c r="K62" s="49">
        <f>AVERAGE('26.07 Bwaise-Makerere-24h'!K62,'27.07 Bwaise-Makerere-24h'!K50)</f>
        <v>0.5</v>
      </c>
      <c r="L62" s="49">
        <f>AVERAGE('26.07 Bwaise-Makerere-24h'!L62,'27.07 Bwaise-Makerere-24h'!L50)</f>
        <v>0</v>
      </c>
      <c r="M62" s="49">
        <f>AVERAGE('26.07 Bwaise-Makerere-24h'!M62,'27.07 Bwaise-Makerere-24h'!M50)</f>
        <v>142.5</v>
      </c>
      <c r="N62" s="49">
        <f>AVERAGE('26.07 Bwaise-Makerere-24h'!N62,'27.07 Bwaise-Makerere-24h'!N50)</f>
        <v>0</v>
      </c>
      <c r="O62" s="15">
        <f t="shared" si="0"/>
        <v>166.5</v>
      </c>
      <c r="P62" s="15">
        <f t="shared" si="1"/>
        <v>309</v>
      </c>
      <c r="R62" s="8"/>
      <c r="T62"/>
    </row>
    <row r="63" spans="2:20" ht="23.1" customHeight="1" x14ac:dyDescent="0.25">
      <c r="B63" s="23" t="s">
        <v>108</v>
      </c>
      <c r="C63" s="49">
        <f>AVERAGE('26.07 Bwaise-Makerere-24h'!C63,'27.07 Bwaise-Makerere-24h'!C51)</f>
        <v>35.5</v>
      </c>
      <c r="D63" s="49">
        <f>AVERAGE('26.07 Bwaise-Makerere-24h'!D63,'27.07 Bwaise-Makerere-24h'!D51)</f>
        <v>15.5</v>
      </c>
      <c r="E63" s="49">
        <f>AVERAGE('26.07 Bwaise-Makerere-24h'!E63,'27.07 Bwaise-Makerere-24h'!E51)</f>
        <v>9.5</v>
      </c>
      <c r="F63" s="49">
        <f>AVERAGE('26.07 Bwaise-Makerere-24h'!F63,'27.07 Bwaise-Makerere-24h'!F51)</f>
        <v>35</v>
      </c>
      <c r="G63" s="49">
        <f>AVERAGE('26.07 Bwaise-Makerere-24h'!G63,'27.07 Bwaise-Makerere-24h'!G51)</f>
        <v>0.5</v>
      </c>
      <c r="H63" s="49">
        <f>AVERAGE('26.07 Bwaise-Makerere-24h'!H63,'27.07 Bwaise-Makerere-24h'!H51)</f>
        <v>0.5</v>
      </c>
      <c r="I63" s="49">
        <f>AVERAGE('26.07 Bwaise-Makerere-24h'!I63,'27.07 Bwaise-Makerere-24h'!I51)</f>
        <v>6</v>
      </c>
      <c r="J63" s="49">
        <f>AVERAGE('26.07 Bwaise-Makerere-24h'!J63,'27.07 Bwaise-Makerere-24h'!J51)</f>
        <v>2.5</v>
      </c>
      <c r="K63" s="49">
        <f>AVERAGE('26.07 Bwaise-Makerere-24h'!K63,'27.07 Bwaise-Makerere-24h'!K51)</f>
        <v>0.5</v>
      </c>
      <c r="L63" s="49">
        <f>AVERAGE('26.07 Bwaise-Makerere-24h'!L63,'27.07 Bwaise-Makerere-24h'!L51)</f>
        <v>0.5</v>
      </c>
      <c r="M63" s="49">
        <f>AVERAGE('26.07 Bwaise-Makerere-24h'!M63,'27.07 Bwaise-Makerere-24h'!M51)</f>
        <v>112.5</v>
      </c>
      <c r="N63" s="49">
        <f>AVERAGE('26.07 Bwaise-Makerere-24h'!N63,'27.07 Bwaise-Makerere-24h'!N51)</f>
        <v>0</v>
      </c>
      <c r="O63" s="15">
        <f t="shared" si="0"/>
        <v>106</v>
      </c>
      <c r="P63" s="15">
        <f t="shared" si="1"/>
        <v>218.5</v>
      </c>
      <c r="R63" s="8"/>
      <c r="T63"/>
    </row>
    <row r="64" spans="2:20" ht="23.1" customHeight="1" x14ac:dyDescent="0.25">
      <c r="B64" s="23" t="s">
        <v>109</v>
      </c>
      <c r="C64" s="49">
        <f>AVERAGE('26.07 Bwaise-Makerere-24h'!C64,'27.07 Bwaise-Makerere-24h'!C52)</f>
        <v>32.5</v>
      </c>
      <c r="D64" s="49">
        <f>AVERAGE('26.07 Bwaise-Makerere-24h'!D64,'27.07 Bwaise-Makerere-24h'!D52)</f>
        <v>20</v>
      </c>
      <c r="E64" s="49">
        <f>AVERAGE('26.07 Bwaise-Makerere-24h'!E64,'27.07 Bwaise-Makerere-24h'!E52)</f>
        <v>10</v>
      </c>
      <c r="F64" s="49">
        <f>AVERAGE('26.07 Bwaise-Makerere-24h'!F64,'27.07 Bwaise-Makerere-24h'!F52)</f>
        <v>31</v>
      </c>
      <c r="G64" s="49">
        <f>AVERAGE('26.07 Bwaise-Makerere-24h'!G64,'27.07 Bwaise-Makerere-24h'!G52)</f>
        <v>1.5</v>
      </c>
      <c r="H64" s="49">
        <f>AVERAGE('26.07 Bwaise-Makerere-24h'!H64,'27.07 Bwaise-Makerere-24h'!H52)</f>
        <v>1.5</v>
      </c>
      <c r="I64" s="49">
        <f>AVERAGE('26.07 Bwaise-Makerere-24h'!I64,'27.07 Bwaise-Makerere-24h'!I52)</f>
        <v>6</v>
      </c>
      <c r="J64" s="49">
        <f>AVERAGE('26.07 Bwaise-Makerere-24h'!J64,'27.07 Bwaise-Makerere-24h'!J52)</f>
        <v>3.5</v>
      </c>
      <c r="K64" s="49">
        <f>AVERAGE('26.07 Bwaise-Makerere-24h'!K64,'27.07 Bwaise-Makerere-24h'!K52)</f>
        <v>0.5</v>
      </c>
      <c r="L64" s="49">
        <f>AVERAGE('26.07 Bwaise-Makerere-24h'!L64,'27.07 Bwaise-Makerere-24h'!L52)</f>
        <v>0</v>
      </c>
      <c r="M64" s="49">
        <f>AVERAGE('26.07 Bwaise-Makerere-24h'!M64,'27.07 Bwaise-Makerere-24h'!M52)</f>
        <v>136</v>
      </c>
      <c r="N64" s="49">
        <f>AVERAGE('26.07 Bwaise-Makerere-24h'!N64,'27.07 Bwaise-Makerere-24h'!N52)</f>
        <v>0</v>
      </c>
      <c r="O64" s="15">
        <f t="shared" si="0"/>
        <v>106.5</v>
      </c>
      <c r="P64" s="15">
        <f t="shared" si="1"/>
        <v>242.5</v>
      </c>
      <c r="R64" s="8"/>
      <c r="T64"/>
    </row>
    <row r="65" spans="2:20" ht="23.1" customHeight="1" x14ac:dyDescent="0.25">
      <c r="B65" s="23" t="s">
        <v>158</v>
      </c>
      <c r="C65" s="49">
        <f>AVERAGE('26.07 Bwaise-Makerere-24h'!C65,'27.07 Bwaise-Makerere-24h'!C53)</f>
        <v>40.5</v>
      </c>
      <c r="D65" s="49">
        <f>AVERAGE('26.07 Bwaise-Makerere-24h'!D65,'27.07 Bwaise-Makerere-24h'!D53)</f>
        <v>21.5</v>
      </c>
      <c r="E65" s="49">
        <f>AVERAGE('26.07 Bwaise-Makerere-24h'!E65,'27.07 Bwaise-Makerere-24h'!E53)</f>
        <v>6.5</v>
      </c>
      <c r="F65" s="49">
        <f>AVERAGE('26.07 Bwaise-Makerere-24h'!F65,'27.07 Bwaise-Makerere-24h'!F53)</f>
        <v>41</v>
      </c>
      <c r="G65" s="49">
        <f>AVERAGE('26.07 Bwaise-Makerere-24h'!G65,'27.07 Bwaise-Makerere-24h'!G53)</f>
        <v>1</v>
      </c>
      <c r="H65" s="49">
        <f>AVERAGE('26.07 Bwaise-Makerere-24h'!H65,'27.07 Bwaise-Makerere-24h'!H53)</f>
        <v>0.5</v>
      </c>
      <c r="I65" s="49">
        <f>AVERAGE('26.07 Bwaise-Makerere-24h'!I65,'27.07 Bwaise-Makerere-24h'!I53)</f>
        <v>3.5</v>
      </c>
      <c r="J65" s="49">
        <f>AVERAGE('26.07 Bwaise-Makerere-24h'!J65,'27.07 Bwaise-Makerere-24h'!J53)</f>
        <v>1.5</v>
      </c>
      <c r="K65" s="49">
        <f>AVERAGE('26.07 Bwaise-Makerere-24h'!K65,'27.07 Bwaise-Makerere-24h'!K53)</f>
        <v>0</v>
      </c>
      <c r="L65" s="49">
        <f>AVERAGE('26.07 Bwaise-Makerere-24h'!L65,'27.07 Bwaise-Makerere-24h'!L53)</f>
        <v>0</v>
      </c>
      <c r="M65" s="49">
        <f>AVERAGE('26.07 Bwaise-Makerere-24h'!M65,'27.07 Bwaise-Makerere-24h'!M53)</f>
        <v>146</v>
      </c>
      <c r="N65" s="49">
        <f>AVERAGE('26.07 Bwaise-Makerere-24h'!N65,'27.07 Bwaise-Makerere-24h'!N53)</f>
        <v>0</v>
      </c>
      <c r="O65" s="15">
        <f t="shared" si="0"/>
        <v>116</v>
      </c>
      <c r="P65" s="15">
        <f t="shared" si="1"/>
        <v>262</v>
      </c>
      <c r="R65" s="8"/>
      <c r="T65"/>
    </row>
    <row r="66" spans="2:20" ht="23.1" customHeight="1" x14ac:dyDescent="0.25">
      <c r="B66" s="23" t="s">
        <v>103</v>
      </c>
      <c r="C66" s="49">
        <f>AVERAGE('26.07 Bwaise-Makerere-24h'!C66,'27.07 Bwaise-Makerere-24h'!C54)</f>
        <v>58</v>
      </c>
      <c r="D66" s="49">
        <f>AVERAGE('26.07 Bwaise-Makerere-24h'!D66,'27.07 Bwaise-Makerere-24h'!D54)</f>
        <v>23.5</v>
      </c>
      <c r="E66" s="49">
        <f>AVERAGE('26.07 Bwaise-Makerere-24h'!E66,'27.07 Bwaise-Makerere-24h'!E54)</f>
        <v>11</v>
      </c>
      <c r="F66" s="49">
        <f>AVERAGE('26.07 Bwaise-Makerere-24h'!F66,'27.07 Bwaise-Makerere-24h'!F54)</f>
        <v>37.5</v>
      </c>
      <c r="G66" s="49">
        <f>AVERAGE('26.07 Bwaise-Makerere-24h'!G66,'27.07 Bwaise-Makerere-24h'!G54)</f>
        <v>1.5</v>
      </c>
      <c r="H66" s="49">
        <f>AVERAGE('26.07 Bwaise-Makerere-24h'!H66,'27.07 Bwaise-Makerere-24h'!H54)</f>
        <v>0.5</v>
      </c>
      <c r="I66" s="49">
        <f>AVERAGE('26.07 Bwaise-Makerere-24h'!I66,'27.07 Bwaise-Makerere-24h'!I54)</f>
        <v>9</v>
      </c>
      <c r="J66" s="49">
        <f>AVERAGE('26.07 Bwaise-Makerere-24h'!J66,'27.07 Bwaise-Makerere-24h'!J54)</f>
        <v>1.5</v>
      </c>
      <c r="K66" s="49">
        <f>AVERAGE('26.07 Bwaise-Makerere-24h'!K66,'27.07 Bwaise-Makerere-24h'!K54)</f>
        <v>1</v>
      </c>
      <c r="L66" s="49">
        <f>AVERAGE('26.07 Bwaise-Makerere-24h'!L66,'27.07 Bwaise-Makerere-24h'!L54)</f>
        <v>0.5</v>
      </c>
      <c r="M66" s="49">
        <f>AVERAGE('26.07 Bwaise-Makerere-24h'!M66,'27.07 Bwaise-Makerere-24h'!M54)</f>
        <v>127</v>
      </c>
      <c r="N66" s="49">
        <f>AVERAGE('26.07 Bwaise-Makerere-24h'!N66,'27.07 Bwaise-Makerere-24h'!N54)</f>
        <v>0</v>
      </c>
      <c r="O66" s="15">
        <f t="shared" si="0"/>
        <v>144</v>
      </c>
      <c r="P66" s="15">
        <f t="shared" si="1"/>
        <v>271</v>
      </c>
      <c r="R66" s="8"/>
      <c r="T66"/>
    </row>
    <row r="67" spans="2:20" ht="23.1" customHeight="1" x14ac:dyDescent="0.25">
      <c r="B67" s="23" t="s">
        <v>104</v>
      </c>
      <c r="C67" s="49">
        <f>AVERAGE('26.07 Bwaise-Makerere-24h'!C67,'27.07 Bwaise-Makerere-24h'!C55)</f>
        <v>47.5</v>
      </c>
      <c r="D67" s="49">
        <f>AVERAGE('26.07 Bwaise-Makerere-24h'!D67,'27.07 Bwaise-Makerere-24h'!D55)</f>
        <v>26.5</v>
      </c>
      <c r="E67" s="49">
        <f>AVERAGE('26.07 Bwaise-Makerere-24h'!E67,'27.07 Bwaise-Makerere-24h'!E55)</f>
        <v>14</v>
      </c>
      <c r="F67" s="49">
        <f>AVERAGE('26.07 Bwaise-Makerere-24h'!F67,'27.07 Bwaise-Makerere-24h'!F55)</f>
        <v>50.5</v>
      </c>
      <c r="G67" s="49">
        <f>AVERAGE('26.07 Bwaise-Makerere-24h'!G67,'27.07 Bwaise-Makerere-24h'!G55)</f>
        <v>0.5</v>
      </c>
      <c r="H67" s="49">
        <f>AVERAGE('26.07 Bwaise-Makerere-24h'!H67,'27.07 Bwaise-Makerere-24h'!H55)</f>
        <v>1.5</v>
      </c>
      <c r="I67" s="49">
        <f>AVERAGE('26.07 Bwaise-Makerere-24h'!I67,'27.07 Bwaise-Makerere-24h'!I55)</f>
        <v>12</v>
      </c>
      <c r="J67" s="49">
        <f>AVERAGE('26.07 Bwaise-Makerere-24h'!J67,'27.07 Bwaise-Makerere-24h'!J55)</f>
        <v>2.5</v>
      </c>
      <c r="K67" s="49">
        <f>AVERAGE('26.07 Bwaise-Makerere-24h'!K67,'27.07 Bwaise-Makerere-24h'!K55)</f>
        <v>1.5</v>
      </c>
      <c r="L67" s="49">
        <f>AVERAGE('26.07 Bwaise-Makerere-24h'!L67,'27.07 Bwaise-Makerere-24h'!L55)</f>
        <v>1</v>
      </c>
      <c r="M67" s="49">
        <f>AVERAGE('26.07 Bwaise-Makerere-24h'!M67,'27.07 Bwaise-Makerere-24h'!M55)</f>
        <v>128</v>
      </c>
      <c r="N67" s="49">
        <f>AVERAGE('26.07 Bwaise-Makerere-24h'!N67,'27.07 Bwaise-Makerere-24h'!N55)</f>
        <v>0</v>
      </c>
      <c r="O67" s="15">
        <f t="shared" si="0"/>
        <v>157.5</v>
      </c>
      <c r="P67" s="15">
        <f t="shared" si="1"/>
        <v>285.5</v>
      </c>
      <c r="R67" s="8"/>
      <c r="T67"/>
    </row>
    <row r="68" spans="2:20" ht="23.1" customHeight="1" x14ac:dyDescent="0.25">
      <c r="B68" s="23" t="s">
        <v>105</v>
      </c>
      <c r="C68" s="49">
        <f>AVERAGE('26.07 Bwaise-Makerere-24h'!C68,'27.07 Bwaise-Makerere-24h'!C56)</f>
        <v>44</v>
      </c>
      <c r="D68" s="49">
        <f>AVERAGE('26.07 Bwaise-Makerere-24h'!D68,'27.07 Bwaise-Makerere-24h'!D56)</f>
        <v>17.5</v>
      </c>
      <c r="E68" s="49">
        <f>AVERAGE('26.07 Bwaise-Makerere-24h'!E68,'27.07 Bwaise-Makerere-24h'!E56)</f>
        <v>10.5</v>
      </c>
      <c r="F68" s="49">
        <f>AVERAGE('26.07 Bwaise-Makerere-24h'!F68,'27.07 Bwaise-Makerere-24h'!F56)</f>
        <v>36.5</v>
      </c>
      <c r="G68" s="49">
        <f>AVERAGE('26.07 Bwaise-Makerere-24h'!G68,'27.07 Bwaise-Makerere-24h'!G56)</f>
        <v>1</v>
      </c>
      <c r="H68" s="49">
        <f>AVERAGE('26.07 Bwaise-Makerere-24h'!H68,'27.07 Bwaise-Makerere-24h'!H56)</f>
        <v>0.5</v>
      </c>
      <c r="I68" s="49">
        <f>AVERAGE('26.07 Bwaise-Makerere-24h'!I68,'27.07 Bwaise-Makerere-24h'!I56)</f>
        <v>4.5</v>
      </c>
      <c r="J68" s="49">
        <f>AVERAGE('26.07 Bwaise-Makerere-24h'!J68,'27.07 Bwaise-Makerere-24h'!J56)</f>
        <v>3</v>
      </c>
      <c r="K68" s="49">
        <f>AVERAGE('26.07 Bwaise-Makerere-24h'!K68,'27.07 Bwaise-Makerere-24h'!K56)</f>
        <v>1.5</v>
      </c>
      <c r="L68" s="49">
        <f>AVERAGE('26.07 Bwaise-Makerere-24h'!L68,'27.07 Bwaise-Makerere-24h'!L56)</f>
        <v>0</v>
      </c>
      <c r="M68" s="49">
        <f>AVERAGE('26.07 Bwaise-Makerere-24h'!M68,'27.07 Bwaise-Makerere-24h'!M56)</f>
        <v>130</v>
      </c>
      <c r="N68" s="49">
        <f>AVERAGE('26.07 Bwaise-Makerere-24h'!N68,'27.07 Bwaise-Makerere-24h'!N56)</f>
        <v>0</v>
      </c>
      <c r="O68" s="15">
        <f t="shared" si="0"/>
        <v>119</v>
      </c>
      <c r="P68" s="15">
        <f t="shared" si="1"/>
        <v>249</v>
      </c>
      <c r="R68" s="8"/>
      <c r="T68"/>
    </row>
    <row r="69" spans="2:20" ht="23.1" customHeight="1" x14ac:dyDescent="0.25">
      <c r="B69" s="23" t="s">
        <v>106</v>
      </c>
      <c r="C69" s="49">
        <f>AVERAGE('26.07 Bwaise-Makerere-24h'!C69,'27.07 Bwaise-Makerere-24h'!C57)</f>
        <v>53.5</v>
      </c>
      <c r="D69" s="49">
        <f>AVERAGE('26.07 Bwaise-Makerere-24h'!D69,'27.07 Bwaise-Makerere-24h'!D57)</f>
        <v>19</v>
      </c>
      <c r="E69" s="49">
        <f>AVERAGE('26.07 Bwaise-Makerere-24h'!E69,'27.07 Bwaise-Makerere-24h'!E57)</f>
        <v>6.5</v>
      </c>
      <c r="F69" s="49">
        <f>AVERAGE('26.07 Bwaise-Makerere-24h'!F69,'27.07 Bwaise-Makerere-24h'!F57)</f>
        <v>54.5</v>
      </c>
      <c r="G69" s="49">
        <f>AVERAGE('26.07 Bwaise-Makerere-24h'!G69,'27.07 Bwaise-Makerere-24h'!G57)</f>
        <v>0.5</v>
      </c>
      <c r="H69" s="49">
        <f>AVERAGE('26.07 Bwaise-Makerere-24h'!H69,'27.07 Bwaise-Makerere-24h'!H57)</f>
        <v>0.5</v>
      </c>
      <c r="I69" s="49">
        <f>AVERAGE('26.07 Bwaise-Makerere-24h'!I69,'27.07 Bwaise-Makerere-24h'!I57)</f>
        <v>4.5</v>
      </c>
      <c r="J69" s="49">
        <f>AVERAGE('26.07 Bwaise-Makerere-24h'!J69,'27.07 Bwaise-Makerere-24h'!J57)</f>
        <v>2.5</v>
      </c>
      <c r="K69" s="49">
        <f>AVERAGE('26.07 Bwaise-Makerere-24h'!K69,'27.07 Bwaise-Makerere-24h'!K57)</f>
        <v>1.5</v>
      </c>
      <c r="L69" s="49">
        <f>AVERAGE('26.07 Bwaise-Makerere-24h'!L69,'27.07 Bwaise-Makerere-24h'!L57)</f>
        <v>0</v>
      </c>
      <c r="M69" s="49">
        <f>AVERAGE('26.07 Bwaise-Makerere-24h'!M69,'27.07 Bwaise-Makerere-24h'!M57)</f>
        <v>121.5</v>
      </c>
      <c r="N69" s="49">
        <f>AVERAGE('26.07 Bwaise-Makerere-24h'!N69,'27.07 Bwaise-Makerere-24h'!N57)</f>
        <v>0</v>
      </c>
      <c r="O69" s="15">
        <f t="shared" si="0"/>
        <v>143</v>
      </c>
      <c r="P69" s="15">
        <f t="shared" si="1"/>
        <v>264.5</v>
      </c>
      <c r="R69" s="8"/>
      <c r="T69"/>
    </row>
    <row r="70" spans="2:20" ht="23.1" customHeight="1" x14ac:dyDescent="0.25">
      <c r="B70" s="23" t="s">
        <v>110</v>
      </c>
      <c r="C70" s="49">
        <f>AVERAGE('26.07 Bwaise-Makerere-24h'!C70,'27.07 Bwaise-Makerere-24h'!C58)</f>
        <v>54</v>
      </c>
      <c r="D70" s="49">
        <f>AVERAGE('26.07 Bwaise-Makerere-24h'!D70,'27.07 Bwaise-Makerere-24h'!D58)</f>
        <v>10</v>
      </c>
      <c r="E70" s="49">
        <f>AVERAGE('26.07 Bwaise-Makerere-24h'!E70,'27.07 Bwaise-Makerere-24h'!E58)</f>
        <v>32.5</v>
      </c>
      <c r="F70" s="49">
        <f>AVERAGE('26.07 Bwaise-Makerere-24h'!F70,'27.07 Bwaise-Makerere-24h'!F58)</f>
        <v>25</v>
      </c>
      <c r="G70" s="49">
        <f>AVERAGE('26.07 Bwaise-Makerere-24h'!G70,'27.07 Bwaise-Makerere-24h'!G58)</f>
        <v>1</v>
      </c>
      <c r="H70" s="49">
        <f>AVERAGE('26.07 Bwaise-Makerere-24h'!H70,'27.07 Bwaise-Makerere-24h'!H58)</f>
        <v>8</v>
      </c>
      <c r="I70" s="49">
        <f>AVERAGE('26.07 Bwaise-Makerere-24h'!I70,'27.07 Bwaise-Makerere-24h'!I58)</f>
        <v>2.5</v>
      </c>
      <c r="J70" s="49">
        <f>AVERAGE('26.07 Bwaise-Makerere-24h'!J70,'27.07 Bwaise-Makerere-24h'!J58)</f>
        <v>0</v>
      </c>
      <c r="K70" s="49">
        <f>AVERAGE('26.07 Bwaise-Makerere-24h'!K70,'27.07 Bwaise-Makerere-24h'!K58)</f>
        <v>0</v>
      </c>
      <c r="L70" s="49">
        <f>AVERAGE('26.07 Bwaise-Makerere-24h'!L70,'27.07 Bwaise-Makerere-24h'!L58)</f>
        <v>0</v>
      </c>
      <c r="M70" s="49">
        <f>AVERAGE('26.07 Bwaise-Makerere-24h'!M70,'27.07 Bwaise-Makerere-24h'!M58)</f>
        <v>130</v>
      </c>
      <c r="N70" s="49">
        <f>AVERAGE('26.07 Bwaise-Makerere-24h'!N70,'27.07 Bwaise-Makerere-24h'!N58)</f>
        <v>0</v>
      </c>
      <c r="O70" s="15">
        <f t="shared" si="0"/>
        <v>133</v>
      </c>
      <c r="P70" s="15">
        <f t="shared" si="1"/>
        <v>263</v>
      </c>
      <c r="R70" s="8"/>
      <c r="T70"/>
    </row>
    <row r="71" spans="2:20" ht="23.1" customHeight="1" x14ac:dyDescent="0.25">
      <c r="B71" s="23" t="s">
        <v>111</v>
      </c>
      <c r="C71" s="49">
        <f>AVERAGE('26.07 Bwaise-Makerere-24h'!C71,'27.07 Bwaise-Makerere-24h'!C59)</f>
        <v>65.5</v>
      </c>
      <c r="D71" s="49">
        <f>AVERAGE('26.07 Bwaise-Makerere-24h'!D71,'27.07 Bwaise-Makerere-24h'!D59)</f>
        <v>13</v>
      </c>
      <c r="E71" s="49">
        <f>AVERAGE('26.07 Bwaise-Makerere-24h'!E71,'27.07 Bwaise-Makerere-24h'!E59)</f>
        <v>6</v>
      </c>
      <c r="F71" s="49">
        <f>AVERAGE('26.07 Bwaise-Makerere-24h'!F71,'27.07 Bwaise-Makerere-24h'!F59)</f>
        <v>56</v>
      </c>
      <c r="G71" s="49">
        <f>AVERAGE('26.07 Bwaise-Makerere-24h'!G71,'27.07 Bwaise-Makerere-24h'!G59)</f>
        <v>2</v>
      </c>
      <c r="H71" s="49">
        <f>AVERAGE('26.07 Bwaise-Makerere-24h'!H71,'27.07 Bwaise-Makerere-24h'!H59)</f>
        <v>1.5</v>
      </c>
      <c r="I71" s="49">
        <f>AVERAGE('26.07 Bwaise-Makerere-24h'!I71,'27.07 Bwaise-Makerere-24h'!I59)</f>
        <v>7</v>
      </c>
      <c r="J71" s="49">
        <f>AVERAGE('26.07 Bwaise-Makerere-24h'!J71,'27.07 Bwaise-Makerere-24h'!J59)</f>
        <v>2</v>
      </c>
      <c r="K71" s="49">
        <f>AVERAGE('26.07 Bwaise-Makerere-24h'!K71,'27.07 Bwaise-Makerere-24h'!K59)</f>
        <v>0.5</v>
      </c>
      <c r="L71" s="49">
        <f>AVERAGE('26.07 Bwaise-Makerere-24h'!L71,'27.07 Bwaise-Makerere-24h'!L59)</f>
        <v>1</v>
      </c>
      <c r="M71" s="49">
        <f>AVERAGE('26.07 Bwaise-Makerere-24h'!M71,'27.07 Bwaise-Makerere-24h'!M59)</f>
        <v>162.5</v>
      </c>
      <c r="N71" s="49">
        <f>AVERAGE('26.07 Bwaise-Makerere-24h'!N71,'27.07 Bwaise-Makerere-24h'!N59)</f>
        <v>0</v>
      </c>
      <c r="O71" s="15">
        <f t="shared" si="0"/>
        <v>154.5</v>
      </c>
      <c r="P71" s="15">
        <f t="shared" si="1"/>
        <v>317</v>
      </c>
      <c r="R71" s="8"/>
      <c r="T71"/>
    </row>
    <row r="72" spans="2:20" ht="23.1" customHeight="1" x14ac:dyDescent="0.25">
      <c r="B72" s="23" t="s">
        <v>112</v>
      </c>
      <c r="C72" s="49">
        <f>AVERAGE('26.07 Bwaise-Makerere-24h'!C72,'27.07 Bwaise-Makerere-24h'!C60)</f>
        <v>42.5</v>
      </c>
      <c r="D72" s="49">
        <f>AVERAGE('26.07 Bwaise-Makerere-24h'!D72,'27.07 Bwaise-Makerere-24h'!D60)</f>
        <v>13.5</v>
      </c>
      <c r="E72" s="49">
        <f>AVERAGE('26.07 Bwaise-Makerere-24h'!E72,'27.07 Bwaise-Makerere-24h'!E60)</f>
        <v>7</v>
      </c>
      <c r="F72" s="49">
        <f>AVERAGE('26.07 Bwaise-Makerere-24h'!F72,'27.07 Bwaise-Makerere-24h'!F60)</f>
        <v>45</v>
      </c>
      <c r="G72" s="49">
        <f>AVERAGE('26.07 Bwaise-Makerere-24h'!G72,'27.07 Bwaise-Makerere-24h'!G60)</f>
        <v>1</v>
      </c>
      <c r="H72" s="49">
        <f>AVERAGE('26.07 Bwaise-Makerere-24h'!H72,'27.07 Bwaise-Makerere-24h'!H60)</f>
        <v>2</v>
      </c>
      <c r="I72" s="49">
        <f>AVERAGE('26.07 Bwaise-Makerere-24h'!I72,'27.07 Bwaise-Makerere-24h'!I60)</f>
        <v>6</v>
      </c>
      <c r="J72" s="49">
        <f>AVERAGE('26.07 Bwaise-Makerere-24h'!J72,'27.07 Bwaise-Makerere-24h'!J60)</f>
        <v>0</v>
      </c>
      <c r="K72" s="49">
        <f>AVERAGE('26.07 Bwaise-Makerere-24h'!K72,'27.07 Bwaise-Makerere-24h'!K60)</f>
        <v>2.5</v>
      </c>
      <c r="L72" s="49">
        <f>AVERAGE('26.07 Bwaise-Makerere-24h'!L72,'27.07 Bwaise-Makerere-24h'!L60)</f>
        <v>0</v>
      </c>
      <c r="M72" s="49">
        <f>AVERAGE('26.07 Bwaise-Makerere-24h'!M72,'27.07 Bwaise-Makerere-24h'!M60)</f>
        <v>138.5</v>
      </c>
      <c r="N72" s="49">
        <f>AVERAGE('26.07 Bwaise-Makerere-24h'!N72,'27.07 Bwaise-Makerere-24h'!N60)</f>
        <v>0</v>
      </c>
      <c r="O72" s="15">
        <f t="shared" si="0"/>
        <v>119.5</v>
      </c>
      <c r="P72" s="15">
        <f t="shared" si="1"/>
        <v>258</v>
      </c>
      <c r="R72" s="8"/>
      <c r="T72"/>
    </row>
    <row r="73" spans="2:20" ht="23.1" customHeight="1" x14ac:dyDescent="0.25">
      <c r="B73" s="23" t="s">
        <v>113</v>
      </c>
      <c r="C73" s="49">
        <f>AVERAGE('26.07 Bwaise-Makerere-24h'!C73,'27.07 Bwaise-Makerere-24h'!C61)</f>
        <v>47</v>
      </c>
      <c r="D73" s="49">
        <f>AVERAGE('26.07 Bwaise-Makerere-24h'!D73,'27.07 Bwaise-Makerere-24h'!D61)</f>
        <v>12</v>
      </c>
      <c r="E73" s="49">
        <f>AVERAGE('26.07 Bwaise-Makerere-24h'!E73,'27.07 Bwaise-Makerere-24h'!E61)</f>
        <v>14</v>
      </c>
      <c r="F73" s="49">
        <f>AVERAGE('26.07 Bwaise-Makerere-24h'!F73,'27.07 Bwaise-Makerere-24h'!F61)</f>
        <v>36.5</v>
      </c>
      <c r="G73" s="49">
        <f>AVERAGE('26.07 Bwaise-Makerere-24h'!G73,'27.07 Bwaise-Makerere-24h'!G61)</f>
        <v>0</v>
      </c>
      <c r="H73" s="49">
        <f>AVERAGE('26.07 Bwaise-Makerere-24h'!H73,'27.07 Bwaise-Makerere-24h'!H61)</f>
        <v>0.5</v>
      </c>
      <c r="I73" s="49">
        <f>AVERAGE('26.07 Bwaise-Makerere-24h'!I73,'27.07 Bwaise-Makerere-24h'!I61)</f>
        <v>7.5</v>
      </c>
      <c r="J73" s="49">
        <f>AVERAGE('26.07 Bwaise-Makerere-24h'!J73,'27.07 Bwaise-Makerere-24h'!J61)</f>
        <v>3.5</v>
      </c>
      <c r="K73" s="49">
        <f>AVERAGE('26.07 Bwaise-Makerere-24h'!K73,'27.07 Bwaise-Makerere-24h'!K61)</f>
        <v>1</v>
      </c>
      <c r="L73" s="49">
        <f>AVERAGE('26.07 Bwaise-Makerere-24h'!L73,'27.07 Bwaise-Makerere-24h'!L61)</f>
        <v>0.5</v>
      </c>
      <c r="M73" s="49">
        <f>AVERAGE('26.07 Bwaise-Makerere-24h'!M73,'27.07 Bwaise-Makerere-24h'!M61)</f>
        <v>125.5</v>
      </c>
      <c r="N73" s="49">
        <f>AVERAGE('26.07 Bwaise-Makerere-24h'!N73,'27.07 Bwaise-Makerere-24h'!N61)</f>
        <v>0</v>
      </c>
      <c r="O73" s="15">
        <f t="shared" si="0"/>
        <v>122.5</v>
      </c>
      <c r="P73" s="15">
        <f t="shared" si="1"/>
        <v>248</v>
      </c>
      <c r="R73" s="8"/>
      <c r="T73"/>
    </row>
    <row r="74" spans="2:20" ht="23.1" customHeight="1" x14ac:dyDescent="0.25">
      <c r="B74" s="23" t="s">
        <v>114</v>
      </c>
      <c r="C74" s="49">
        <f>AVERAGE('26.07 Bwaise-Makerere-24h'!C74,'27.07 Bwaise-Makerere-24h'!C62)</f>
        <v>60</v>
      </c>
      <c r="D74" s="49">
        <f>AVERAGE('26.07 Bwaise-Makerere-24h'!D74,'27.07 Bwaise-Makerere-24h'!D62)</f>
        <v>7.5</v>
      </c>
      <c r="E74" s="49">
        <f>AVERAGE('26.07 Bwaise-Makerere-24h'!E74,'27.07 Bwaise-Makerere-24h'!E62)</f>
        <v>15.5</v>
      </c>
      <c r="F74" s="49">
        <f>AVERAGE('26.07 Bwaise-Makerere-24h'!F74,'27.07 Bwaise-Makerere-24h'!F62)</f>
        <v>49.5</v>
      </c>
      <c r="G74" s="49">
        <f>AVERAGE('26.07 Bwaise-Makerere-24h'!G74,'27.07 Bwaise-Makerere-24h'!G62)</f>
        <v>1</v>
      </c>
      <c r="H74" s="49">
        <f>AVERAGE('26.07 Bwaise-Makerere-24h'!H74,'27.07 Bwaise-Makerere-24h'!H62)</f>
        <v>2</v>
      </c>
      <c r="I74" s="49">
        <f>AVERAGE('26.07 Bwaise-Makerere-24h'!I74,'27.07 Bwaise-Makerere-24h'!I62)</f>
        <v>3.5</v>
      </c>
      <c r="J74" s="49">
        <f>AVERAGE('26.07 Bwaise-Makerere-24h'!J74,'27.07 Bwaise-Makerere-24h'!J62)</f>
        <v>1</v>
      </c>
      <c r="K74" s="49">
        <f>AVERAGE('26.07 Bwaise-Makerere-24h'!K74,'27.07 Bwaise-Makerere-24h'!K62)</f>
        <v>0</v>
      </c>
      <c r="L74" s="49">
        <f>AVERAGE('26.07 Bwaise-Makerere-24h'!L74,'27.07 Bwaise-Makerere-24h'!L62)</f>
        <v>0</v>
      </c>
      <c r="M74" s="49">
        <f>AVERAGE('26.07 Bwaise-Makerere-24h'!M74,'27.07 Bwaise-Makerere-24h'!M62)</f>
        <v>105</v>
      </c>
      <c r="N74" s="49">
        <f>AVERAGE('26.07 Bwaise-Makerere-24h'!N74,'27.07 Bwaise-Makerere-24h'!N62)</f>
        <v>0</v>
      </c>
      <c r="O74" s="15">
        <f t="shared" ref="O74:O105" si="35">SUM(C74:L74,N74)</f>
        <v>140</v>
      </c>
      <c r="P74" s="15">
        <f t="shared" ref="P74:P105" si="36">SUM(C74:N74)</f>
        <v>245</v>
      </c>
      <c r="R74" s="8"/>
      <c r="T74"/>
    </row>
    <row r="75" spans="2:20" ht="23.1" customHeight="1" x14ac:dyDescent="0.25">
      <c r="B75" s="23" t="s">
        <v>115</v>
      </c>
      <c r="C75" s="49">
        <f>AVERAGE('26.07 Bwaise-Makerere-24h'!C75,'27.07 Bwaise-Makerere-24h'!C63)</f>
        <v>54.5</v>
      </c>
      <c r="D75" s="49">
        <f>AVERAGE('26.07 Bwaise-Makerere-24h'!D75,'27.07 Bwaise-Makerere-24h'!D63)</f>
        <v>10.5</v>
      </c>
      <c r="E75" s="49">
        <f>AVERAGE('26.07 Bwaise-Makerere-24h'!E75,'27.07 Bwaise-Makerere-24h'!E63)</f>
        <v>7.5</v>
      </c>
      <c r="F75" s="49">
        <f>AVERAGE('26.07 Bwaise-Makerere-24h'!F75,'27.07 Bwaise-Makerere-24h'!F63)</f>
        <v>50</v>
      </c>
      <c r="G75" s="49">
        <f>AVERAGE('26.07 Bwaise-Makerere-24h'!G75,'27.07 Bwaise-Makerere-24h'!G63)</f>
        <v>0.5</v>
      </c>
      <c r="H75" s="49">
        <f>AVERAGE('26.07 Bwaise-Makerere-24h'!H75,'27.07 Bwaise-Makerere-24h'!H63)</f>
        <v>1</v>
      </c>
      <c r="I75" s="49">
        <f>AVERAGE('26.07 Bwaise-Makerere-24h'!I75,'27.07 Bwaise-Makerere-24h'!I63)</f>
        <v>5</v>
      </c>
      <c r="J75" s="49">
        <f>AVERAGE('26.07 Bwaise-Makerere-24h'!J75,'27.07 Bwaise-Makerere-24h'!J63)</f>
        <v>1</v>
      </c>
      <c r="K75" s="49">
        <f>AVERAGE('26.07 Bwaise-Makerere-24h'!K75,'27.07 Bwaise-Makerere-24h'!K63)</f>
        <v>1</v>
      </c>
      <c r="L75" s="49">
        <f>AVERAGE('26.07 Bwaise-Makerere-24h'!L75,'27.07 Bwaise-Makerere-24h'!L63)</f>
        <v>0</v>
      </c>
      <c r="M75" s="49">
        <f>AVERAGE('26.07 Bwaise-Makerere-24h'!M75,'27.07 Bwaise-Makerere-24h'!M63)</f>
        <v>112.5</v>
      </c>
      <c r="N75" s="49">
        <f>AVERAGE('26.07 Bwaise-Makerere-24h'!N75,'27.07 Bwaise-Makerere-24h'!N63)</f>
        <v>0</v>
      </c>
      <c r="O75" s="15">
        <f t="shared" si="35"/>
        <v>131</v>
      </c>
      <c r="P75" s="15">
        <f t="shared" si="36"/>
        <v>243.5</v>
      </c>
      <c r="R75" s="8"/>
      <c r="T75"/>
    </row>
    <row r="76" spans="2:20" ht="23.1" customHeight="1" x14ac:dyDescent="0.25">
      <c r="B76" s="23" t="s">
        <v>116</v>
      </c>
      <c r="C76" s="49">
        <f>AVERAGE('26.07 Bwaise-Makerere-24h'!C76,'27.07 Bwaise-Makerere-24h'!C64)</f>
        <v>42.5</v>
      </c>
      <c r="D76" s="49">
        <f>AVERAGE('26.07 Bwaise-Makerere-24h'!D76,'27.07 Bwaise-Makerere-24h'!D64)</f>
        <v>12.5</v>
      </c>
      <c r="E76" s="49">
        <f>AVERAGE('26.07 Bwaise-Makerere-24h'!E76,'27.07 Bwaise-Makerere-24h'!E64)</f>
        <v>2.5</v>
      </c>
      <c r="F76" s="49">
        <f>AVERAGE('26.07 Bwaise-Makerere-24h'!F76,'27.07 Bwaise-Makerere-24h'!F64)</f>
        <v>29.5</v>
      </c>
      <c r="G76" s="49">
        <f>AVERAGE('26.07 Bwaise-Makerere-24h'!G76,'27.07 Bwaise-Makerere-24h'!G64)</f>
        <v>0.5</v>
      </c>
      <c r="H76" s="49">
        <f>AVERAGE('26.07 Bwaise-Makerere-24h'!H76,'27.07 Bwaise-Makerere-24h'!H64)</f>
        <v>0.5</v>
      </c>
      <c r="I76" s="49">
        <f>AVERAGE('26.07 Bwaise-Makerere-24h'!I76,'27.07 Bwaise-Makerere-24h'!I64)</f>
        <v>4</v>
      </c>
      <c r="J76" s="49">
        <f>AVERAGE('26.07 Bwaise-Makerere-24h'!J76,'27.07 Bwaise-Makerere-24h'!J64)</f>
        <v>0</v>
      </c>
      <c r="K76" s="49">
        <f>AVERAGE('26.07 Bwaise-Makerere-24h'!K76,'27.07 Bwaise-Makerere-24h'!K64)</f>
        <v>2</v>
      </c>
      <c r="L76" s="49">
        <f>AVERAGE('26.07 Bwaise-Makerere-24h'!L76,'27.07 Bwaise-Makerere-24h'!L64)</f>
        <v>0</v>
      </c>
      <c r="M76" s="49">
        <f>AVERAGE('26.07 Bwaise-Makerere-24h'!M76,'27.07 Bwaise-Makerere-24h'!M64)</f>
        <v>112.5</v>
      </c>
      <c r="N76" s="49">
        <f>AVERAGE('26.07 Bwaise-Makerere-24h'!N76,'27.07 Bwaise-Makerere-24h'!N64)</f>
        <v>0</v>
      </c>
      <c r="O76" s="15">
        <f t="shared" si="35"/>
        <v>94</v>
      </c>
      <c r="P76" s="15">
        <f t="shared" si="36"/>
        <v>206.5</v>
      </c>
      <c r="R76" s="8"/>
      <c r="T76"/>
    </row>
    <row r="77" spans="2:20" ht="23.1" customHeight="1" x14ac:dyDescent="0.25">
      <c r="B77" s="23" t="s">
        <v>117</v>
      </c>
      <c r="C77" s="49">
        <f>AVERAGE('26.07 Bwaise-Makerere-24h'!C77,'27.07 Bwaise-Makerere-24h'!C65)</f>
        <v>66</v>
      </c>
      <c r="D77" s="49">
        <f>AVERAGE('26.07 Bwaise-Makerere-24h'!D77,'27.07 Bwaise-Makerere-24h'!D65)</f>
        <v>13.5</v>
      </c>
      <c r="E77" s="49">
        <f>AVERAGE('26.07 Bwaise-Makerere-24h'!E77,'27.07 Bwaise-Makerere-24h'!E65)</f>
        <v>9</v>
      </c>
      <c r="F77" s="49">
        <f>AVERAGE('26.07 Bwaise-Makerere-24h'!F77,'27.07 Bwaise-Makerere-24h'!F65)</f>
        <v>58.5</v>
      </c>
      <c r="G77" s="49">
        <f>AVERAGE('26.07 Bwaise-Makerere-24h'!G77,'27.07 Bwaise-Makerere-24h'!G65)</f>
        <v>0.5</v>
      </c>
      <c r="H77" s="49">
        <f>AVERAGE('26.07 Bwaise-Makerere-24h'!H77,'27.07 Bwaise-Makerere-24h'!H65)</f>
        <v>1.5</v>
      </c>
      <c r="I77" s="49">
        <f>AVERAGE('26.07 Bwaise-Makerere-24h'!I77,'27.07 Bwaise-Makerere-24h'!I65)</f>
        <v>5.5</v>
      </c>
      <c r="J77" s="49">
        <f>AVERAGE('26.07 Bwaise-Makerere-24h'!J77,'27.07 Bwaise-Makerere-24h'!J65)</f>
        <v>2</v>
      </c>
      <c r="K77" s="49">
        <f>AVERAGE('26.07 Bwaise-Makerere-24h'!K77,'27.07 Bwaise-Makerere-24h'!K65)</f>
        <v>0.5</v>
      </c>
      <c r="L77" s="49">
        <f>AVERAGE('26.07 Bwaise-Makerere-24h'!L77,'27.07 Bwaise-Makerere-24h'!L65)</f>
        <v>1</v>
      </c>
      <c r="M77" s="49">
        <f>AVERAGE('26.07 Bwaise-Makerere-24h'!M77,'27.07 Bwaise-Makerere-24h'!M65)</f>
        <v>137.5</v>
      </c>
      <c r="N77" s="49">
        <f>AVERAGE('26.07 Bwaise-Makerere-24h'!N77,'27.07 Bwaise-Makerere-24h'!N65)</f>
        <v>0</v>
      </c>
      <c r="O77" s="15">
        <f t="shared" si="35"/>
        <v>158</v>
      </c>
      <c r="P77" s="15">
        <f t="shared" si="36"/>
        <v>295.5</v>
      </c>
      <c r="R77" s="8"/>
      <c r="T77"/>
    </row>
    <row r="78" spans="2:20" ht="23.1" customHeight="1" x14ac:dyDescent="0.25">
      <c r="B78" s="24" t="s">
        <v>118</v>
      </c>
      <c r="C78" s="49">
        <f>AVERAGE('26.07 Bwaise-Makerere-24h'!C78,'27.07 Bwaise-Makerere-24h'!C66)</f>
        <v>73</v>
      </c>
      <c r="D78" s="49">
        <f>AVERAGE('26.07 Bwaise-Makerere-24h'!D78,'27.07 Bwaise-Makerere-24h'!D66)</f>
        <v>7</v>
      </c>
      <c r="E78" s="49">
        <f>AVERAGE('26.07 Bwaise-Makerere-24h'!E78,'27.07 Bwaise-Makerere-24h'!E66)</f>
        <v>8.5</v>
      </c>
      <c r="F78" s="49">
        <f>AVERAGE('26.07 Bwaise-Makerere-24h'!F78,'27.07 Bwaise-Makerere-24h'!F66)</f>
        <v>53</v>
      </c>
      <c r="G78" s="49">
        <f>AVERAGE('26.07 Bwaise-Makerere-24h'!G78,'27.07 Bwaise-Makerere-24h'!G66)</f>
        <v>0.5</v>
      </c>
      <c r="H78" s="49">
        <f>AVERAGE('26.07 Bwaise-Makerere-24h'!H78,'27.07 Bwaise-Makerere-24h'!H66)</f>
        <v>0.5</v>
      </c>
      <c r="I78" s="49">
        <f>AVERAGE('26.07 Bwaise-Makerere-24h'!I78,'27.07 Bwaise-Makerere-24h'!I66)</f>
        <v>10</v>
      </c>
      <c r="J78" s="49">
        <f>AVERAGE('26.07 Bwaise-Makerere-24h'!J78,'27.07 Bwaise-Makerere-24h'!J66)</f>
        <v>1.5</v>
      </c>
      <c r="K78" s="49">
        <f>AVERAGE('26.07 Bwaise-Makerere-24h'!K78,'27.07 Bwaise-Makerere-24h'!K66)</f>
        <v>1</v>
      </c>
      <c r="L78" s="49">
        <f>AVERAGE('26.07 Bwaise-Makerere-24h'!L78,'27.07 Bwaise-Makerere-24h'!L66)</f>
        <v>1</v>
      </c>
      <c r="M78" s="49">
        <f>AVERAGE('26.07 Bwaise-Makerere-24h'!M78,'27.07 Bwaise-Makerere-24h'!M66)</f>
        <v>108</v>
      </c>
      <c r="N78" s="49">
        <f>AVERAGE('26.07 Bwaise-Makerere-24h'!N78,'27.07 Bwaise-Makerere-24h'!N66)</f>
        <v>0</v>
      </c>
      <c r="O78" s="15">
        <f t="shared" si="35"/>
        <v>156</v>
      </c>
      <c r="P78" s="15">
        <f t="shared" si="36"/>
        <v>264</v>
      </c>
      <c r="R78" s="8"/>
      <c r="T78"/>
    </row>
    <row r="79" spans="2:20" ht="23.1" customHeight="1" x14ac:dyDescent="0.25">
      <c r="B79" s="23" t="s">
        <v>119</v>
      </c>
      <c r="C79" s="49">
        <f>AVERAGE('26.07 Bwaise-Makerere-24h'!C79,'27.07 Bwaise-Makerere-24h'!C67)</f>
        <v>40</v>
      </c>
      <c r="D79" s="49">
        <f>AVERAGE('26.07 Bwaise-Makerere-24h'!D79,'27.07 Bwaise-Makerere-24h'!D67)</f>
        <v>10</v>
      </c>
      <c r="E79" s="49">
        <f>AVERAGE('26.07 Bwaise-Makerere-24h'!E79,'27.07 Bwaise-Makerere-24h'!E67)</f>
        <v>11.5</v>
      </c>
      <c r="F79" s="49">
        <f>AVERAGE('26.07 Bwaise-Makerere-24h'!F79,'27.07 Bwaise-Makerere-24h'!F67)</f>
        <v>24.5</v>
      </c>
      <c r="G79" s="49">
        <f>AVERAGE('26.07 Bwaise-Makerere-24h'!G79,'27.07 Bwaise-Makerere-24h'!G67)</f>
        <v>0</v>
      </c>
      <c r="H79" s="49">
        <f>AVERAGE('26.07 Bwaise-Makerere-24h'!H79,'27.07 Bwaise-Makerere-24h'!H67)</f>
        <v>0</v>
      </c>
      <c r="I79" s="49">
        <f>AVERAGE('26.07 Bwaise-Makerere-24h'!I79,'27.07 Bwaise-Makerere-24h'!I67)</f>
        <v>7</v>
      </c>
      <c r="J79" s="49">
        <f>AVERAGE('26.07 Bwaise-Makerere-24h'!J79,'27.07 Bwaise-Makerere-24h'!J67)</f>
        <v>1.5</v>
      </c>
      <c r="K79" s="49">
        <f>AVERAGE('26.07 Bwaise-Makerere-24h'!K79,'27.07 Bwaise-Makerere-24h'!K67)</f>
        <v>0.5</v>
      </c>
      <c r="L79" s="49">
        <f>AVERAGE('26.07 Bwaise-Makerere-24h'!L79,'27.07 Bwaise-Makerere-24h'!L67)</f>
        <v>1</v>
      </c>
      <c r="M79" s="49">
        <f>AVERAGE('26.07 Bwaise-Makerere-24h'!M79,'27.07 Bwaise-Makerere-24h'!M67)</f>
        <v>135</v>
      </c>
      <c r="N79" s="49">
        <f>AVERAGE('26.07 Bwaise-Makerere-24h'!N79,'27.07 Bwaise-Makerere-24h'!N67)</f>
        <v>0</v>
      </c>
      <c r="O79" s="15">
        <f t="shared" si="35"/>
        <v>96</v>
      </c>
      <c r="P79" s="15">
        <f t="shared" si="36"/>
        <v>231</v>
      </c>
      <c r="R79" s="8"/>
      <c r="T79"/>
    </row>
    <row r="80" spans="2:20" ht="23.1" customHeight="1" x14ac:dyDescent="0.25">
      <c r="B80" s="25" t="s">
        <v>120</v>
      </c>
      <c r="C80" s="49">
        <f>AVERAGE('26.07 Bwaise-Makerere-24h'!C80,'27.07 Bwaise-Makerere-24h'!C68)</f>
        <v>49.5</v>
      </c>
      <c r="D80" s="49">
        <f>AVERAGE('26.07 Bwaise-Makerere-24h'!D80,'27.07 Bwaise-Makerere-24h'!D68)</f>
        <v>15.5</v>
      </c>
      <c r="E80" s="49">
        <f>AVERAGE('26.07 Bwaise-Makerere-24h'!E80,'27.07 Bwaise-Makerere-24h'!E68)</f>
        <v>11.5</v>
      </c>
      <c r="F80" s="49">
        <f>AVERAGE('26.07 Bwaise-Makerere-24h'!F80,'27.07 Bwaise-Makerere-24h'!F68)</f>
        <v>45.5</v>
      </c>
      <c r="G80" s="49">
        <f>AVERAGE('26.07 Bwaise-Makerere-24h'!G80,'27.07 Bwaise-Makerere-24h'!G68)</f>
        <v>1.5</v>
      </c>
      <c r="H80" s="49">
        <f>AVERAGE('26.07 Bwaise-Makerere-24h'!H80,'27.07 Bwaise-Makerere-24h'!H68)</f>
        <v>2</v>
      </c>
      <c r="I80" s="49">
        <f>AVERAGE('26.07 Bwaise-Makerere-24h'!I80,'27.07 Bwaise-Makerere-24h'!I68)</f>
        <v>5</v>
      </c>
      <c r="J80" s="49">
        <f>AVERAGE('26.07 Bwaise-Makerere-24h'!J80,'27.07 Bwaise-Makerere-24h'!J68)</f>
        <v>3</v>
      </c>
      <c r="K80" s="49">
        <f>AVERAGE('26.07 Bwaise-Makerere-24h'!K80,'27.07 Bwaise-Makerere-24h'!K68)</f>
        <v>0</v>
      </c>
      <c r="L80" s="49">
        <f>AVERAGE('26.07 Bwaise-Makerere-24h'!L80,'27.07 Bwaise-Makerere-24h'!L68)</f>
        <v>0.5</v>
      </c>
      <c r="M80" s="49">
        <f>AVERAGE('26.07 Bwaise-Makerere-24h'!M80,'27.07 Bwaise-Makerere-24h'!M68)</f>
        <v>148.5</v>
      </c>
      <c r="N80" s="49">
        <f>AVERAGE('26.07 Bwaise-Makerere-24h'!N80,'27.07 Bwaise-Makerere-24h'!N68)</f>
        <v>0</v>
      </c>
      <c r="O80" s="15">
        <f t="shared" si="35"/>
        <v>134</v>
      </c>
      <c r="P80" s="15">
        <f t="shared" si="36"/>
        <v>282.5</v>
      </c>
      <c r="R80" s="8"/>
      <c r="T80"/>
    </row>
    <row r="81" spans="2:20" ht="23.1" customHeight="1" x14ac:dyDescent="0.25">
      <c r="B81" s="23" t="s">
        <v>121</v>
      </c>
      <c r="C81" s="49">
        <f>AVERAGE('26.07 Bwaise-Makerere-24h'!C81,'27.07 Bwaise-Makerere-24h'!C69)</f>
        <v>50.5</v>
      </c>
      <c r="D81" s="49">
        <f>AVERAGE('26.07 Bwaise-Makerere-24h'!D81,'27.07 Bwaise-Makerere-24h'!D69)</f>
        <v>5</v>
      </c>
      <c r="E81" s="49">
        <f>AVERAGE('26.07 Bwaise-Makerere-24h'!E81,'27.07 Bwaise-Makerere-24h'!E69)</f>
        <v>8.5</v>
      </c>
      <c r="F81" s="49">
        <f>AVERAGE('26.07 Bwaise-Makerere-24h'!F81,'27.07 Bwaise-Makerere-24h'!F69)</f>
        <v>33</v>
      </c>
      <c r="G81" s="49">
        <f>AVERAGE('26.07 Bwaise-Makerere-24h'!G81,'27.07 Bwaise-Makerere-24h'!G69)</f>
        <v>0</v>
      </c>
      <c r="H81" s="49">
        <f>AVERAGE('26.07 Bwaise-Makerere-24h'!H81,'27.07 Bwaise-Makerere-24h'!H69)</f>
        <v>1</v>
      </c>
      <c r="I81" s="49">
        <f>AVERAGE('26.07 Bwaise-Makerere-24h'!I81,'27.07 Bwaise-Makerere-24h'!I69)</f>
        <v>2</v>
      </c>
      <c r="J81" s="49">
        <f>AVERAGE('26.07 Bwaise-Makerere-24h'!J81,'27.07 Bwaise-Makerere-24h'!J69)</f>
        <v>1.5</v>
      </c>
      <c r="K81" s="49">
        <f>AVERAGE('26.07 Bwaise-Makerere-24h'!K81,'27.07 Bwaise-Makerere-24h'!K69)</f>
        <v>0</v>
      </c>
      <c r="L81" s="49">
        <f>AVERAGE('26.07 Bwaise-Makerere-24h'!L81,'27.07 Bwaise-Makerere-24h'!L69)</f>
        <v>1</v>
      </c>
      <c r="M81" s="49">
        <f>AVERAGE('26.07 Bwaise-Makerere-24h'!M81,'27.07 Bwaise-Makerere-24h'!M69)</f>
        <v>162.5</v>
      </c>
      <c r="N81" s="49">
        <f>AVERAGE('26.07 Bwaise-Makerere-24h'!N81,'27.07 Bwaise-Makerere-24h'!N69)</f>
        <v>0</v>
      </c>
      <c r="O81" s="15">
        <f t="shared" si="35"/>
        <v>102.5</v>
      </c>
      <c r="P81" s="15">
        <f t="shared" si="36"/>
        <v>265</v>
      </c>
      <c r="R81" s="8"/>
      <c r="T81"/>
    </row>
    <row r="82" spans="2:20" ht="23.1" customHeight="1" x14ac:dyDescent="0.25">
      <c r="B82" s="24" t="s">
        <v>122</v>
      </c>
      <c r="C82" s="49">
        <f>AVERAGE('26.07 Bwaise-Makerere-24h'!C82,'27.07 Bwaise-Makerere-24h'!C70)</f>
        <v>50</v>
      </c>
      <c r="D82" s="49">
        <f>AVERAGE('26.07 Bwaise-Makerere-24h'!D82,'27.07 Bwaise-Makerere-24h'!D70)</f>
        <v>9.5</v>
      </c>
      <c r="E82" s="49">
        <f>AVERAGE('26.07 Bwaise-Makerere-24h'!E82,'27.07 Bwaise-Makerere-24h'!E70)</f>
        <v>8.5</v>
      </c>
      <c r="F82" s="49">
        <f>AVERAGE('26.07 Bwaise-Makerere-24h'!F82,'27.07 Bwaise-Makerere-24h'!F70)</f>
        <v>46.5</v>
      </c>
      <c r="G82" s="49">
        <f>AVERAGE('26.07 Bwaise-Makerere-24h'!G82,'27.07 Bwaise-Makerere-24h'!G70)</f>
        <v>2</v>
      </c>
      <c r="H82" s="49">
        <f>AVERAGE('26.07 Bwaise-Makerere-24h'!H82,'27.07 Bwaise-Makerere-24h'!H70)</f>
        <v>0</v>
      </c>
      <c r="I82" s="49">
        <f>AVERAGE('26.07 Bwaise-Makerere-24h'!I82,'27.07 Bwaise-Makerere-24h'!I70)</f>
        <v>5.5</v>
      </c>
      <c r="J82" s="49">
        <f>AVERAGE('26.07 Bwaise-Makerere-24h'!J82,'27.07 Bwaise-Makerere-24h'!J70)</f>
        <v>3</v>
      </c>
      <c r="K82" s="49">
        <f>AVERAGE('26.07 Bwaise-Makerere-24h'!K82,'27.07 Bwaise-Makerere-24h'!K70)</f>
        <v>1</v>
      </c>
      <c r="L82" s="49">
        <f>AVERAGE('26.07 Bwaise-Makerere-24h'!L82,'27.07 Bwaise-Makerere-24h'!L70)</f>
        <v>1</v>
      </c>
      <c r="M82" s="49">
        <f>AVERAGE('26.07 Bwaise-Makerere-24h'!M82,'27.07 Bwaise-Makerere-24h'!M70)</f>
        <v>115</v>
      </c>
      <c r="N82" s="49">
        <f>AVERAGE('26.07 Bwaise-Makerere-24h'!N82,'27.07 Bwaise-Makerere-24h'!N70)</f>
        <v>0</v>
      </c>
      <c r="O82" s="15">
        <f t="shared" si="35"/>
        <v>127</v>
      </c>
      <c r="P82" s="15">
        <f t="shared" si="36"/>
        <v>242</v>
      </c>
      <c r="R82" s="8"/>
      <c r="T82"/>
    </row>
    <row r="83" spans="2:20" ht="23.1" customHeight="1" x14ac:dyDescent="0.25">
      <c r="B83" s="23" t="s">
        <v>123</v>
      </c>
      <c r="C83" s="49">
        <f>AVERAGE('26.07 Bwaise-Makerere-24h'!C83,'27.07 Bwaise-Makerere-24h'!C71)</f>
        <v>50.5</v>
      </c>
      <c r="D83" s="49">
        <f>AVERAGE('26.07 Bwaise-Makerere-24h'!D83,'27.07 Bwaise-Makerere-24h'!D71)</f>
        <v>9</v>
      </c>
      <c r="E83" s="49">
        <f>AVERAGE('26.07 Bwaise-Makerere-24h'!E83,'27.07 Bwaise-Makerere-24h'!E71)</f>
        <v>10</v>
      </c>
      <c r="F83" s="49">
        <f>AVERAGE('26.07 Bwaise-Makerere-24h'!F83,'27.07 Bwaise-Makerere-24h'!F71)</f>
        <v>34</v>
      </c>
      <c r="G83" s="49">
        <f>AVERAGE('26.07 Bwaise-Makerere-24h'!G83,'27.07 Bwaise-Makerere-24h'!G71)</f>
        <v>1</v>
      </c>
      <c r="H83" s="49">
        <f>AVERAGE('26.07 Bwaise-Makerere-24h'!H83,'27.07 Bwaise-Makerere-24h'!H71)</f>
        <v>0.5</v>
      </c>
      <c r="I83" s="49">
        <f>AVERAGE('26.07 Bwaise-Makerere-24h'!I83,'27.07 Bwaise-Makerere-24h'!I71)</f>
        <v>3.5</v>
      </c>
      <c r="J83" s="49">
        <f>AVERAGE('26.07 Bwaise-Makerere-24h'!J83,'27.07 Bwaise-Makerere-24h'!J71)</f>
        <v>1</v>
      </c>
      <c r="K83" s="49">
        <f>AVERAGE('26.07 Bwaise-Makerere-24h'!K83,'27.07 Bwaise-Makerere-24h'!K71)</f>
        <v>1</v>
      </c>
      <c r="L83" s="49">
        <f>AVERAGE('26.07 Bwaise-Makerere-24h'!L83,'27.07 Bwaise-Makerere-24h'!L71)</f>
        <v>1</v>
      </c>
      <c r="M83" s="49">
        <f>AVERAGE('26.07 Bwaise-Makerere-24h'!M83,'27.07 Bwaise-Makerere-24h'!M71)</f>
        <v>141.5</v>
      </c>
      <c r="N83" s="49">
        <f>AVERAGE('26.07 Bwaise-Makerere-24h'!N83,'27.07 Bwaise-Makerere-24h'!N71)</f>
        <v>0</v>
      </c>
      <c r="O83" s="15">
        <f t="shared" si="35"/>
        <v>111.5</v>
      </c>
      <c r="P83" s="15">
        <f t="shared" si="36"/>
        <v>253</v>
      </c>
      <c r="R83" s="8"/>
      <c r="T83"/>
    </row>
    <row r="84" spans="2:20" ht="23.1" customHeight="1" x14ac:dyDescent="0.25">
      <c r="B84" s="25" t="s">
        <v>124</v>
      </c>
      <c r="C84" s="49">
        <f>AVERAGE('26.07 Bwaise-Makerere-24h'!C84,'27.07 Bwaise-Makerere-24h'!C72)</f>
        <v>49</v>
      </c>
      <c r="D84" s="49">
        <f>AVERAGE('26.07 Bwaise-Makerere-24h'!D84,'27.07 Bwaise-Makerere-24h'!D72)</f>
        <v>10.5</v>
      </c>
      <c r="E84" s="49">
        <f>AVERAGE('26.07 Bwaise-Makerere-24h'!E84,'27.07 Bwaise-Makerere-24h'!E72)</f>
        <v>14</v>
      </c>
      <c r="F84" s="49">
        <f>AVERAGE('26.07 Bwaise-Makerere-24h'!F84,'27.07 Bwaise-Makerere-24h'!F72)</f>
        <v>28.5</v>
      </c>
      <c r="G84" s="49">
        <f>AVERAGE('26.07 Bwaise-Makerere-24h'!G84,'27.07 Bwaise-Makerere-24h'!G72)</f>
        <v>0.5</v>
      </c>
      <c r="H84" s="49">
        <f>AVERAGE('26.07 Bwaise-Makerere-24h'!H84,'27.07 Bwaise-Makerere-24h'!H72)</f>
        <v>1.5</v>
      </c>
      <c r="I84" s="49">
        <f>AVERAGE('26.07 Bwaise-Makerere-24h'!I84,'27.07 Bwaise-Makerere-24h'!I72)</f>
        <v>6.5</v>
      </c>
      <c r="J84" s="49">
        <f>AVERAGE('26.07 Bwaise-Makerere-24h'!J84,'27.07 Bwaise-Makerere-24h'!J72)</f>
        <v>2</v>
      </c>
      <c r="K84" s="49">
        <f>AVERAGE('26.07 Bwaise-Makerere-24h'!K84,'27.07 Bwaise-Makerere-24h'!K72)</f>
        <v>0.5</v>
      </c>
      <c r="L84" s="49">
        <f>AVERAGE('26.07 Bwaise-Makerere-24h'!L84,'27.07 Bwaise-Makerere-24h'!L72)</f>
        <v>2</v>
      </c>
      <c r="M84" s="49">
        <f>AVERAGE('26.07 Bwaise-Makerere-24h'!M84,'27.07 Bwaise-Makerere-24h'!M72)</f>
        <v>133.5</v>
      </c>
      <c r="N84" s="49">
        <f>AVERAGE('26.07 Bwaise-Makerere-24h'!N84,'27.07 Bwaise-Makerere-24h'!N72)</f>
        <v>0</v>
      </c>
      <c r="O84" s="15">
        <f t="shared" si="35"/>
        <v>115</v>
      </c>
      <c r="P84" s="15">
        <f t="shared" si="36"/>
        <v>248.5</v>
      </c>
      <c r="R84" s="8"/>
      <c r="T84"/>
    </row>
    <row r="85" spans="2:20" ht="23.1" customHeight="1" x14ac:dyDescent="0.25">
      <c r="B85" s="23" t="s">
        <v>125</v>
      </c>
      <c r="C85" s="49">
        <f>AVERAGE('26.07 Bwaise-Makerere-24h'!C85,'27.07 Bwaise-Makerere-24h'!C73)</f>
        <v>60.5</v>
      </c>
      <c r="D85" s="49">
        <f>AVERAGE('26.07 Bwaise-Makerere-24h'!D85,'27.07 Bwaise-Makerere-24h'!D73)</f>
        <v>11.5</v>
      </c>
      <c r="E85" s="49">
        <f>AVERAGE('26.07 Bwaise-Makerere-24h'!E85,'27.07 Bwaise-Makerere-24h'!E73)</f>
        <v>6.5</v>
      </c>
      <c r="F85" s="49">
        <f>AVERAGE('26.07 Bwaise-Makerere-24h'!F85,'27.07 Bwaise-Makerere-24h'!F73)</f>
        <v>42.5</v>
      </c>
      <c r="G85" s="49">
        <f>AVERAGE('26.07 Bwaise-Makerere-24h'!G85,'27.07 Bwaise-Makerere-24h'!G73)</f>
        <v>0</v>
      </c>
      <c r="H85" s="49">
        <f>AVERAGE('26.07 Bwaise-Makerere-24h'!H85,'27.07 Bwaise-Makerere-24h'!H73)</f>
        <v>2.5</v>
      </c>
      <c r="I85" s="49">
        <f>AVERAGE('26.07 Bwaise-Makerere-24h'!I85,'27.07 Bwaise-Makerere-24h'!I73)</f>
        <v>2.5</v>
      </c>
      <c r="J85" s="49">
        <f>AVERAGE('26.07 Bwaise-Makerere-24h'!J85,'27.07 Bwaise-Makerere-24h'!J73)</f>
        <v>2</v>
      </c>
      <c r="K85" s="49">
        <f>AVERAGE('26.07 Bwaise-Makerere-24h'!K85,'27.07 Bwaise-Makerere-24h'!K73)</f>
        <v>3</v>
      </c>
      <c r="L85" s="49">
        <f>AVERAGE('26.07 Bwaise-Makerere-24h'!L85,'27.07 Bwaise-Makerere-24h'!L73)</f>
        <v>0</v>
      </c>
      <c r="M85" s="49">
        <f>AVERAGE('26.07 Bwaise-Makerere-24h'!M85,'27.07 Bwaise-Makerere-24h'!M73)</f>
        <v>125</v>
      </c>
      <c r="N85" s="49">
        <f>AVERAGE('26.07 Bwaise-Makerere-24h'!N85,'27.07 Bwaise-Makerere-24h'!N73)</f>
        <v>0</v>
      </c>
      <c r="O85" s="15">
        <f t="shared" si="35"/>
        <v>131</v>
      </c>
      <c r="P85" s="15">
        <f t="shared" si="36"/>
        <v>256</v>
      </c>
      <c r="R85" s="8"/>
      <c r="T85"/>
    </row>
    <row r="86" spans="2:20" ht="23.1" customHeight="1" x14ac:dyDescent="0.25">
      <c r="B86" s="24" t="s">
        <v>126</v>
      </c>
      <c r="C86" s="49">
        <f>AVERAGE('26.07 Bwaise-Makerere-24h'!C86,'27.07 Bwaise-Makerere-24h'!C74)</f>
        <v>59</v>
      </c>
      <c r="D86" s="49">
        <f>AVERAGE('26.07 Bwaise-Makerere-24h'!D86,'27.07 Bwaise-Makerere-24h'!D74)</f>
        <v>15.5</v>
      </c>
      <c r="E86" s="49">
        <f>AVERAGE('26.07 Bwaise-Makerere-24h'!E86,'27.07 Bwaise-Makerere-24h'!E74)</f>
        <v>8.5</v>
      </c>
      <c r="F86" s="49">
        <f>AVERAGE('26.07 Bwaise-Makerere-24h'!F86,'27.07 Bwaise-Makerere-24h'!F74)</f>
        <v>34</v>
      </c>
      <c r="G86" s="49">
        <f>AVERAGE('26.07 Bwaise-Makerere-24h'!G86,'27.07 Bwaise-Makerere-24h'!G74)</f>
        <v>0.5</v>
      </c>
      <c r="H86" s="49">
        <f>AVERAGE('26.07 Bwaise-Makerere-24h'!H86,'27.07 Bwaise-Makerere-24h'!H74)</f>
        <v>0.5</v>
      </c>
      <c r="I86" s="49">
        <f>AVERAGE('26.07 Bwaise-Makerere-24h'!I86,'27.07 Bwaise-Makerere-24h'!I74)</f>
        <v>3.5</v>
      </c>
      <c r="J86" s="49">
        <f>AVERAGE('26.07 Bwaise-Makerere-24h'!J86,'27.07 Bwaise-Makerere-24h'!J74)</f>
        <v>2.5</v>
      </c>
      <c r="K86" s="49">
        <f>AVERAGE('26.07 Bwaise-Makerere-24h'!K86,'27.07 Bwaise-Makerere-24h'!K74)</f>
        <v>0.5</v>
      </c>
      <c r="L86" s="49">
        <f>AVERAGE('26.07 Bwaise-Makerere-24h'!L86,'27.07 Bwaise-Makerere-24h'!L74)</f>
        <v>0</v>
      </c>
      <c r="M86" s="49">
        <f>AVERAGE('26.07 Bwaise-Makerere-24h'!M86,'27.07 Bwaise-Makerere-24h'!M74)</f>
        <v>127.5</v>
      </c>
      <c r="N86" s="49">
        <f>AVERAGE('26.07 Bwaise-Makerere-24h'!N86,'27.07 Bwaise-Makerere-24h'!N74)</f>
        <v>0</v>
      </c>
      <c r="O86" s="15">
        <f t="shared" si="35"/>
        <v>124.5</v>
      </c>
      <c r="P86" s="15">
        <f t="shared" si="36"/>
        <v>252</v>
      </c>
      <c r="R86" s="8"/>
      <c r="T86"/>
    </row>
    <row r="87" spans="2:20" ht="23.1" customHeight="1" x14ac:dyDescent="0.25">
      <c r="B87" s="23" t="s">
        <v>127</v>
      </c>
      <c r="C87" s="49">
        <f>AVERAGE('26.07 Bwaise-Makerere-24h'!C87,'27.07 Bwaise-Makerere-24h'!C75)</f>
        <v>53</v>
      </c>
      <c r="D87" s="49">
        <f>AVERAGE('26.07 Bwaise-Makerere-24h'!D87,'27.07 Bwaise-Makerere-24h'!D75)</f>
        <v>9.5</v>
      </c>
      <c r="E87" s="49">
        <f>AVERAGE('26.07 Bwaise-Makerere-24h'!E87,'27.07 Bwaise-Makerere-24h'!E75)</f>
        <v>7.5</v>
      </c>
      <c r="F87" s="49">
        <f>AVERAGE('26.07 Bwaise-Makerere-24h'!F87,'27.07 Bwaise-Makerere-24h'!F75)</f>
        <v>25.5</v>
      </c>
      <c r="G87" s="49">
        <f>AVERAGE('26.07 Bwaise-Makerere-24h'!G87,'27.07 Bwaise-Makerere-24h'!G75)</f>
        <v>1</v>
      </c>
      <c r="H87" s="49">
        <f>AVERAGE('26.07 Bwaise-Makerere-24h'!H87,'27.07 Bwaise-Makerere-24h'!H75)</f>
        <v>0.5</v>
      </c>
      <c r="I87" s="49">
        <f>AVERAGE('26.07 Bwaise-Makerere-24h'!I87,'27.07 Bwaise-Makerere-24h'!I75)</f>
        <v>5.5</v>
      </c>
      <c r="J87" s="49">
        <f>AVERAGE('26.07 Bwaise-Makerere-24h'!J87,'27.07 Bwaise-Makerere-24h'!J75)</f>
        <v>0.5</v>
      </c>
      <c r="K87" s="49">
        <f>AVERAGE('26.07 Bwaise-Makerere-24h'!K87,'27.07 Bwaise-Makerere-24h'!K75)</f>
        <v>2.5</v>
      </c>
      <c r="L87" s="49">
        <f>AVERAGE('26.07 Bwaise-Makerere-24h'!L87,'27.07 Bwaise-Makerere-24h'!L75)</f>
        <v>0.5</v>
      </c>
      <c r="M87" s="49">
        <f>AVERAGE('26.07 Bwaise-Makerere-24h'!M87,'27.07 Bwaise-Makerere-24h'!M75)</f>
        <v>142.5</v>
      </c>
      <c r="N87" s="49">
        <f>AVERAGE('26.07 Bwaise-Makerere-24h'!N87,'27.07 Bwaise-Makerere-24h'!N75)</f>
        <v>0</v>
      </c>
      <c r="O87" s="15">
        <f t="shared" si="35"/>
        <v>106</v>
      </c>
      <c r="P87" s="15">
        <f t="shared" si="36"/>
        <v>248.5</v>
      </c>
      <c r="R87" s="8"/>
      <c r="T87"/>
    </row>
    <row r="88" spans="2:20" ht="23.1" customHeight="1" x14ac:dyDescent="0.25">
      <c r="B88" s="25" t="s">
        <v>128</v>
      </c>
      <c r="C88" s="49">
        <f>AVERAGE('26.07 Bwaise-Makerere-24h'!C88,'27.07 Bwaise-Makerere-24h'!C76)</f>
        <v>44</v>
      </c>
      <c r="D88" s="49">
        <f>AVERAGE('26.07 Bwaise-Makerere-24h'!D88,'27.07 Bwaise-Makerere-24h'!D76)</f>
        <v>8.5</v>
      </c>
      <c r="E88" s="49">
        <f>AVERAGE('26.07 Bwaise-Makerere-24h'!E88,'27.07 Bwaise-Makerere-24h'!E76)</f>
        <v>8</v>
      </c>
      <c r="F88" s="49">
        <f>AVERAGE('26.07 Bwaise-Makerere-24h'!F88,'27.07 Bwaise-Makerere-24h'!F76)</f>
        <v>24.5</v>
      </c>
      <c r="G88" s="49">
        <f>AVERAGE('26.07 Bwaise-Makerere-24h'!G88,'27.07 Bwaise-Makerere-24h'!G76)</f>
        <v>1</v>
      </c>
      <c r="H88" s="49">
        <f>AVERAGE('26.07 Bwaise-Makerere-24h'!H88,'27.07 Bwaise-Makerere-24h'!H76)</f>
        <v>0.5</v>
      </c>
      <c r="I88" s="49">
        <f>AVERAGE('26.07 Bwaise-Makerere-24h'!I88,'27.07 Bwaise-Makerere-24h'!I76)</f>
        <v>3.5</v>
      </c>
      <c r="J88" s="49">
        <f>AVERAGE('26.07 Bwaise-Makerere-24h'!J88,'27.07 Bwaise-Makerere-24h'!J76)</f>
        <v>0</v>
      </c>
      <c r="K88" s="49">
        <f>AVERAGE('26.07 Bwaise-Makerere-24h'!K88,'27.07 Bwaise-Makerere-24h'!K76)</f>
        <v>2.5</v>
      </c>
      <c r="L88" s="49">
        <f>AVERAGE('26.07 Bwaise-Makerere-24h'!L88,'27.07 Bwaise-Makerere-24h'!L76)</f>
        <v>0</v>
      </c>
      <c r="M88" s="49">
        <f>AVERAGE('26.07 Bwaise-Makerere-24h'!M88,'27.07 Bwaise-Makerere-24h'!M76)</f>
        <v>133.5</v>
      </c>
      <c r="N88" s="49">
        <f>AVERAGE('26.07 Bwaise-Makerere-24h'!N88,'27.07 Bwaise-Makerere-24h'!N76)</f>
        <v>0</v>
      </c>
      <c r="O88" s="15">
        <f t="shared" si="35"/>
        <v>92.5</v>
      </c>
      <c r="P88" s="15">
        <f t="shared" si="36"/>
        <v>226</v>
      </c>
      <c r="R88" s="8"/>
      <c r="T88"/>
    </row>
    <row r="89" spans="2:20" ht="23.1" customHeight="1" x14ac:dyDescent="0.25">
      <c r="B89" s="23" t="s">
        <v>129</v>
      </c>
      <c r="C89" s="49">
        <f>AVERAGE('26.07 Bwaise-Makerere-24h'!C89,'27.07 Bwaise-Makerere-24h'!C77)</f>
        <v>37.5</v>
      </c>
      <c r="D89" s="49">
        <f>AVERAGE('26.07 Bwaise-Makerere-24h'!D89,'27.07 Bwaise-Makerere-24h'!D77)</f>
        <v>11</v>
      </c>
      <c r="E89" s="49">
        <f>AVERAGE('26.07 Bwaise-Makerere-24h'!E89,'27.07 Bwaise-Makerere-24h'!E77)</f>
        <v>5</v>
      </c>
      <c r="F89" s="49">
        <f>AVERAGE('26.07 Bwaise-Makerere-24h'!F89,'27.07 Bwaise-Makerere-24h'!F77)</f>
        <v>16.5</v>
      </c>
      <c r="G89" s="49">
        <f>AVERAGE('26.07 Bwaise-Makerere-24h'!G89,'27.07 Bwaise-Makerere-24h'!G77)</f>
        <v>1</v>
      </c>
      <c r="H89" s="49">
        <f>AVERAGE('26.07 Bwaise-Makerere-24h'!H89,'27.07 Bwaise-Makerere-24h'!H77)</f>
        <v>0</v>
      </c>
      <c r="I89" s="49">
        <f>AVERAGE('26.07 Bwaise-Makerere-24h'!I89,'27.07 Bwaise-Makerere-24h'!I77)</f>
        <v>3.5</v>
      </c>
      <c r="J89" s="49">
        <f>AVERAGE('26.07 Bwaise-Makerere-24h'!J89,'27.07 Bwaise-Makerere-24h'!J77)</f>
        <v>1</v>
      </c>
      <c r="K89" s="49">
        <f>AVERAGE('26.07 Bwaise-Makerere-24h'!K89,'27.07 Bwaise-Makerere-24h'!K77)</f>
        <v>1</v>
      </c>
      <c r="L89" s="49">
        <f>AVERAGE('26.07 Bwaise-Makerere-24h'!L89,'27.07 Bwaise-Makerere-24h'!L77)</f>
        <v>0</v>
      </c>
      <c r="M89" s="49">
        <f>AVERAGE('26.07 Bwaise-Makerere-24h'!M89,'27.07 Bwaise-Makerere-24h'!M77)</f>
        <v>85</v>
      </c>
      <c r="N89" s="49">
        <f>AVERAGE('26.07 Bwaise-Makerere-24h'!N89,'27.07 Bwaise-Makerere-24h'!N77)</f>
        <v>0</v>
      </c>
      <c r="O89" s="15">
        <f t="shared" si="35"/>
        <v>76.5</v>
      </c>
      <c r="P89" s="15">
        <f t="shared" si="36"/>
        <v>161.5</v>
      </c>
      <c r="R89" s="8"/>
      <c r="T89"/>
    </row>
    <row r="90" spans="2:20" ht="23.1" customHeight="1" x14ac:dyDescent="0.25">
      <c r="B90" s="24" t="s">
        <v>130</v>
      </c>
      <c r="C90" s="49">
        <f>AVERAGE('26.07 Bwaise-Makerere-24h'!C90,'27.07 Bwaise-Makerere-24h'!C78)</f>
        <v>50.5</v>
      </c>
      <c r="D90" s="49">
        <f>AVERAGE('26.07 Bwaise-Makerere-24h'!D90,'27.07 Bwaise-Makerere-24h'!D78)</f>
        <v>13</v>
      </c>
      <c r="E90" s="49">
        <f>AVERAGE('26.07 Bwaise-Makerere-24h'!E90,'27.07 Bwaise-Makerere-24h'!E78)</f>
        <v>3.5</v>
      </c>
      <c r="F90" s="49">
        <f>AVERAGE('26.07 Bwaise-Makerere-24h'!F90,'27.07 Bwaise-Makerere-24h'!F78)</f>
        <v>34</v>
      </c>
      <c r="G90" s="49">
        <f>AVERAGE('26.07 Bwaise-Makerere-24h'!G90,'27.07 Bwaise-Makerere-24h'!G78)</f>
        <v>1</v>
      </c>
      <c r="H90" s="49">
        <f>AVERAGE('26.07 Bwaise-Makerere-24h'!H90,'27.07 Bwaise-Makerere-24h'!H78)</f>
        <v>1.5</v>
      </c>
      <c r="I90" s="49">
        <f>AVERAGE('26.07 Bwaise-Makerere-24h'!I90,'27.07 Bwaise-Makerere-24h'!I78)</f>
        <v>2.5</v>
      </c>
      <c r="J90" s="49">
        <f>AVERAGE('26.07 Bwaise-Makerere-24h'!J90,'27.07 Bwaise-Makerere-24h'!J78)</f>
        <v>0.5</v>
      </c>
      <c r="K90" s="49">
        <f>AVERAGE('26.07 Bwaise-Makerere-24h'!K90,'27.07 Bwaise-Makerere-24h'!K78)</f>
        <v>0.5</v>
      </c>
      <c r="L90" s="49">
        <f>AVERAGE('26.07 Bwaise-Makerere-24h'!L90,'27.07 Bwaise-Makerere-24h'!L78)</f>
        <v>0</v>
      </c>
      <c r="M90" s="49">
        <f>AVERAGE('26.07 Bwaise-Makerere-24h'!M90,'27.07 Bwaise-Makerere-24h'!M78)</f>
        <v>82.5</v>
      </c>
      <c r="N90" s="49">
        <f>AVERAGE('26.07 Bwaise-Makerere-24h'!N90,'27.07 Bwaise-Makerere-24h'!N78)</f>
        <v>0</v>
      </c>
      <c r="O90" s="15">
        <f t="shared" si="35"/>
        <v>107</v>
      </c>
      <c r="P90" s="15">
        <f t="shared" si="36"/>
        <v>189.5</v>
      </c>
      <c r="R90" s="8"/>
      <c r="T90"/>
    </row>
    <row r="91" spans="2:20" ht="23.1" customHeight="1" x14ac:dyDescent="0.25">
      <c r="B91" s="23" t="s">
        <v>131</v>
      </c>
      <c r="C91" s="49">
        <f>AVERAGE('26.07 Bwaise-Makerere-24h'!C91,'27.07 Bwaise-Makerere-24h'!C79)</f>
        <v>45</v>
      </c>
      <c r="D91" s="49">
        <f>AVERAGE('26.07 Bwaise-Makerere-24h'!D91,'27.07 Bwaise-Makerere-24h'!D79)</f>
        <v>7.5</v>
      </c>
      <c r="E91" s="49">
        <f>AVERAGE('26.07 Bwaise-Makerere-24h'!E91,'27.07 Bwaise-Makerere-24h'!E79)</f>
        <v>6.5</v>
      </c>
      <c r="F91" s="49">
        <f>AVERAGE('26.07 Bwaise-Makerere-24h'!F91,'27.07 Bwaise-Makerere-24h'!F79)</f>
        <v>30.5</v>
      </c>
      <c r="G91" s="49">
        <f>AVERAGE('26.07 Bwaise-Makerere-24h'!G91,'27.07 Bwaise-Makerere-24h'!G79)</f>
        <v>0.5</v>
      </c>
      <c r="H91" s="49">
        <f>AVERAGE('26.07 Bwaise-Makerere-24h'!H91,'27.07 Bwaise-Makerere-24h'!H79)</f>
        <v>0</v>
      </c>
      <c r="I91" s="49">
        <f>AVERAGE('26.07 Bwaise-Makerere-24h'!I91,'27.07 Bwaise-Makerere-24h'!I79)</f>
        <v>2</v>
      </c>
      <c r="J91" s="49">
        <f>AVERAGE('26.07 Bwaise-Makerere-24h'!J91,'27.07 Bwaise-Makerere-24h'!J79)</f>
        <v>1</v>
      </c>
      <c r="K91" s="49">
        <f>AVERAGE('26.07 Bwaise-Makerere-24h'!K91,'27.07 Bwaise-Makerere-24h'!K79)</f>
        <v>0.5</v>
      </c>
      <c r="L91" s="49">
        <f>AVERAGE('26.07 Bwaise-Makerere-24h'!L91,'27.07 Bwaise-Makerere-24h'!L79)</f>
        <v>0</v>
      </c>
      <c r="M91" s="49">
        <f>AVERAGE('26.07 Bwaise-Makerere-24h'!M91,'27.07 Bwaise-Makerere-24h'!M79)</f>
        <v>109</v>
      </c>
      <c r="N91" s="49">
        <f>AVERAGE('26.07 Bwaise-Makerere-24h'!N91,'27.07 Bwaise-Makerere-24h'!N79)</f>
        <v>0</v>
      </c>
      <c r="O91" s="15">
        <f t="shared" si="35"/>
        <v>93.5</v>
      </c>
      <c r="P91" s="15">
        <f t="shared" si="36"/>
        <v>202.5</v>
      </c>
      <c r="R91" s="8"/>
      <c r="T91"/>
    </row>
    <row r="92" spans="2:20" ht="23.1" customHeight="1" x14ac:dyDescent="0.25">
      <c r="B92" s="25" t="s">
        <v>132</v>
      </c>
      <c r="C92" s="49">
        <f>AVERAGE('26.07 Bwaise-Makerere-24h'!C92,'27.07 Bwaise-Makerere-24h'!C80)</f>
        <v>41.5</v>
      </c>
      <c r="D92" s="49">
        <f>AVERAGE('26.07 Bwaise-Makerere-24h'!D92,'27.07 Bwaise-Makerere-24h'!D80)</f>
        <v>10.5</v>
      </c>
      <c r="E92" s="49">
        <f>AVERAGE('26.07 Bwaise-Makerere-24h'!E92,'27.07 Bwaise-Makerere-24h'!E80)</f>
        <v>6.5</v>
      </c>
      <c r="F92" s="49">
        <f>AVERAGE('26.07 Bwaise-Makerere-24h'!F92,'27.07 Bwaise-Makerere-24h'!F80)</f>
        <v>24.5</v>
      </c>
      <c r="G92" s="49">
        <f>AVERAGE('26.07 Bwaise-Makerere-24h'!G92,'27.07 Bwaise-Makerere-24h'!G80)</f>
        <v>0.5</v>
      </c>
      <c r="H92" s="49">
        <f>AVERAGE('26.07 Bwaise-Makerere-24h'!H92,'27.07 Bwaise-Makerere-24h'!H80)</f>
        <v>0.5</v>
      </c>
      <c r="I92" s="49">
        <f>AVERAGE('26.07 Bwaise-Makerere-24h'!I92,'27.07 Bwaise-Makerere-24h'!I80)</f>
        <v>2.5</v>
      </c>
      <c r="J92" s="49">
        <f>AVERAGE('26.07 Bwaise-Makerere-24h'!J92,'27.07 Bwaise-Makerere-24h'!J80)</f>
        <v>0</v>
      </c>
      <c r="K92" s="49">
        <f>AVERAGE('26.07 Bwaise-Makerere-24h'!K92,'27.07 Bwaise-Makerere-24h'!K80)</f>
        <v>2.5</v>
      </c>
      <c r="L92" s="49">
        <f>AVERAGE('26.07 Bwaise-Makerere-24h'!L92,'27.07 Bwaise-Makerere-24h'!L80)</f>
        <v>0</v>
      </c>
      <c r="M92" s="49">
        <f>AVERAGE('26.07 Bwaise-Makerere-24h'!M92,'27.07 Bwaise-Makerere-24h'!M80)</f>
        <v>86</v>
      </c>
      <c r="N92" s="49">
        <f>AVERAGE('26.07 Bwaise-Makerere-24h'!N92,'27.07 Bwaise-Makerere-24h'!N80)</f>
        <v>0</v>
      </c>
      <c r="O92" s="15">
        <f t="shared" si="35"/>
        <v>89</v>
      </c>
      <c r="P92" s="15">
        <f t="shared" si="36"/>
        <v>175</v>
      </c>
      <c r="R92" s="8"/>
      <c r="T92"/>
    </row>
    <row r="93" spans="2:20" ht="23.1" customHeight="1" x14ac:dyDescent="0.25">
      <c r="B93" s="23" t="s">
        <v>133</v>
      </c>
      <c r="C93" s="49">
        <f>AVERAGE('26.07 Bwaise-Makerere-24h'!C93,'27.07 Bwaise-Makerere-24h'!C81)</f>
        <v>45</v>
      </c>
      <c r="D93" s="49">
        <f>AVERAGE('26.07 Bwaise-Makerere-24h'!D93,'27.07 Bwaise-Makerere-24h'!D81)</f>
        <v>13.5</v>
      </c>
      <c r="E93" s="49">
        <f>AVERAGE('26.07 Bwaise-Makerere-24h'!E93,'27.07 Bwaise-Makerere-24h'!E81)</f>
        <v>5.5</v>
      </c>
      <c r="F93" s="49">
        <f>AVERAGE('26.07 Bwaise-Makerere-24h'!F93,'27.07 Bwaise-Makerere-24h'!F81)</f>
        <v>29.5</v>
      </c>
      <c r="G93" s="49">
        <f>AVERAGE('26.07 Bwaise-Makerere-24h'!G93,'27.07 Bwaise-Makerere-24h'!G81)</f>
        <v>1.5</v>
      </c>
      <c r="H93" s="49">
        <f>AVERAGE('26.07 Bwaise-Makerere-24h'!H93,'27.07 Bwaise-Makerere-24h'!H81)</f>
        <v>0.5</v>
      </c>
      <c r="I93" s="49">
        <f>AVERAGE('26.07 Bwaise-Makerere-24h'!I93,'27.07 Bwaise-Makerere-24h'!I81)</f>
        <v>5</v>
      </c>
      <c r="J93" s="49">
        <f>AVERAGE('26.07 Bwaise-Makerere-24h'!J93,'27.07 Bwaise-Makerere-24h'!J81)</f>
        <v>0.5</v>
      </c>
      <c r="K93" s="49">
        <f>AVERAGE('26.07 Bwaise-Makerere-24h'!K93,'27.07 Bwaise-Makerere-24h'!K81)</f>
        <v>1.5</v>
      </c>
      <c r="L93" s="49">
        <f>AVERAGE('26.07 Bwaise-Makerere-24h'!L93,'27.07 Bwaise-Makerere-24h'!L81)</f>
        <v>1</v>
      </c>
      <c r="M93" s="49">
        <f>AVERAGE('26.07 Bwaise-Makerere-24h'!M93,'27.07 Bwaise-Makerere-24h'!M81)</f>
        <v>109</v>
      </c>
      <c r="N93" s="49">
        <f>AVERAGE('26.07 Bwaise-Makerere-24h'!N93,'27.07 Bwaise-Makerere-24h'!N81)</f>
        <v>0</v>
      </c>
      <c r="O93" s="15">
        <f t="shared" si="35"/>
        <v>103.5</v>
      </c>
      <c r="P93" s="15">
        <f t="shared" si="36"/>
        <v>212.5</v>
      </c>
      <c r="R93" s="8"/>
      <c r="T93"/>
    </row>
    <row r="94" spans="2:20" ht="23.1" customHeight="1" x14ac:dyDescent="0.25">
      <c r="B94" s="24" t="s">
        <v>134</v>
      </c>
      <c r="C94" s="49">
        <f>AVERAGE('26.07 Bwaise-Makerere-24h'!C94,'27.07 Bwaise-Makerere-24h'!C82)</f>
        <v>35.5</v>
      </c>
      <c r="D94" s="49">
        <f>AVERAGE('26.07 Bwaise-Makerere-24h'!D94,'27.07 Bwaise-Makerere-24h'!D82)</f>
        <v>7</v>
      </c>
      <c r="E94" s="49">
        <f>AVERAGE('26.07 Bwaise-Makerere-24h'!E94,'27.07 Bwaise-Makerere-24h'!E82)</f>
        <v>5.5</v>
      </c>
      <c r="F94" s="49">
        <f>AVERAGE('26.07 Bwaise-Makerere-24h'!F94,'27.07 Bwaise-Makerere-24h'!F82)</f>
        <v>32.5</v>
      </c>
      <c r="G94" s="49">
        <f>AVERAGE('26.07 Bwaise-Makerere-24h'!G94,'27.07 Bwaise-Makerere-24h'!G82)</f>
        <v>0</v>
      </c>
      <c r="H94" s="49">
        <f>AVERAGE('26.07 Bwaise-Makerere-24h'!H94,'27.07 Bwaise-Makerere-24h'!H82)</f>
        <v>0.5</v>
      </c>
      <c r="I94" s="49">
        <f>AVERAGE('26.07 Bwaise-Makerere-24h'!I94,'27.07 Bwaise-Makerere-24h'!I82)</f>
        <v>3</v>
      </c>
      <c r="J94" s="49">
        <f>AVERAGE('26.07 Bwaise-Makerere-24h'!J94,'27.07 Bwaise-Makerere-24h'!J82)</f>
        <v>0</v>
      </c>
      <c r="K94" s="49">
        <f>AVERAGE('26.07 Bwaise-Makerere-24h'!K94,'27.07 Bwaise-Makerere-24h'!K82)</f>
        <v>1</v>
      </c>
      <c r="L94" s="49">
        <f>AVERAGE('26.07 Bwaise-Makerere-24h'!L94,'27.07 Bwaise-Makerere-24h'!L82)</f>
        <v>0</v>
      </c>
      <c r="M94" s="49">
        <f>AVERAGE('26.07 Bwaise-Makerere-24h'!M94,'27.07 Bwaise-Makerere-24h'!M82)</f>
        <v>126.5</v>
      </c>
      <c r="N94" s="49">
        <f>AVERAGE('26.07 Bwaise-Makerere-24h'!N94,'27.07 Bwaise-Makerere-24h'!N82)</f>
        <v>0</v>
      </c>
      <c r="O94" s="15">
        <f t="shared" si="35"/>
        <v>85</v>
      </c>
      <c r="P94" s="15">
        <f t="shared" si="36"/>
        <v>211.5</v>
      </c>
      <c r="R94" s="8"/>
      <c r="T94"/>
    </row>
    <row r="95" spans="2:20" ht="23.1" customHeight="1" x14ac:dyDescent="0.25">
      <c r="B95" s="23" t="s">
        <v>135</v>
      </c>
      <c r="C95" s="49">
        <f>AVERAGE('26.07 Bwaise-Makerere-24h'!C95,'27.07 Bwaise-Makerere-24h'!C83)</f>
        <v>27.5</v>
      </c>
      <c r="D95" s="49">
        <f>AVERAGE('26.07 Bwaise-Makerere-24h'!D95,'27.07 Bwaise-Makerere-24h'!D83)</f>
        <v>14.5</v>
      </c>
      <c r="E95" s="49">
        <f>AVERAGE('26.07 Bwaise-Makerere-24h'!E95,'27.07 Bwaise-Makerere-24h'!E83)</f>
        <v>7.5</v>
      </c>
      <c r="F95" s="49">
        <f>AVERAGE('26.07 Bwaise-Makerere-24h'!F95,'27.07 Bwaise-Makerere-24h'!F83)</f>
        <v>51.5</v>
      </c>
      <c r="G95" s="49">
        <f>AVERAGE('26.07 Bwaise-Makerere-24h'!G95,'27.07 Bwaise-Makerere-24h'!G83)</f>
        <v>0</v>
      </c>
      <c r="H95" s="49">
        <f>AVERAGE('26.07 Bwaise-Makerere-24h'!H95,'27.07 Bwaise-Makerere-24h'!H83)</f>
        <v>1</v>
      </c>
      <c r="I95" s="49">
        <f>AVERAGE('26.07 Bwaise-Makerere-24h'!I95,'27.07 Bwaise-Makerere-24h'!I83)</f>
        <v>5.5</v>
      </c>
      <c r="J95" s="49">
        <f>AVERAGE('26.07 Bwaise-Makerere-24h'!J95,'27.07 Bwaise-Makerere-24h'!J83)</f>
        <v>0.5</v>
      </c>
      <c r="K95" s="49">
        <f>AVERAGE('26.07 Bwaise-Makerere-24h'!K95,'27.07 Bwaise-Makerere-24h'!K83)</f>
        <v>1.5</v>
      </c>
      <c r="L95" s="49">
        <f>AVERAGE('26.07 Bwaise-Makerere-24h'!L95,'27.07 Bwaise-Makerere-24h'!L83)</f>
        <v>0</v>
      </c>
      <c r="M95" s="49">
        <f>AVERAGE('26.07 Bwaise-Makerere-24h'!M95,'27.07 Bwaise-Makerere-24h'!M83)</f>
        <v>127</v>
      </c>
      <c r="N95" s="49">
        <f>AVERAGE('26.07 Bwaise-Makerere-24h'!N95,'27.07 Bwaise-Makerere-24h'!N83)</f>
        <v>0</v>
      </c>
      <c r="O95" s="15">
        <f t="shared" si="35"/>
        <v>109.5</v>
      </c>
      <c r="P95" s="15">
        <f t="shared" si="36"/>
        <v>236.5</v>
      </c>
      <c r="R95" s="8"/>
      <c r="T95"/>
    </row>
    <row r="96" spans="2:20" ht="23.1" customHeight="1" x14ac:dyDescent="0.25">
      <c r="B96" s="25" t="s">
        <v>136</v>
      </c>
      <c r="C96" s="49">
        <f>AVERAGE('26.07 Bwaise-Makerere-24h'!C96,'27.07 Bwaise-Makerere-24h'!C84)</f>
        <v>26</v>
      </c>
      <c r="D96" s="49">
        <f>AVERAGE('26.07 Bwaise-Makerere-24h'!D96,'27.07 Bwaise-Makerere-24h'!D84)</f>
        <v>6.5</v>
      </c>
      <c r="E96" s="49">
        <f>AVERAGE('26.07 Bwaise-Makerere-24h'!E96,'27.07 Bwaise-Makerere-24h'!E84)</f>
        <v>5.5</v>
      </c>
      <c r="F96" s="49">
        <f>AVERAGE('26.07 Bwaise-Makerere-24h'!F96,'27.07 Bwaise-Makerere-24h'!F84)</f>
        <v>17</v>
      </c>
      <c r="G96" s="49">
        <f>AVERAGE('26.07 Bwaise-Makerere-24h'!G96,'27.07 Bwaise-Makerere-24h'!G84)</f>
        <v>0.5</v>
      </c>
      <c r="H96" s="49">
        <f>AVERAGE('26.07 Bwaise-Makerere-24h'!H96,'27.07 Bwaise-Makerere-24h'!H84)</f>
        <v>0.5</v>
      </c>
      <c r="I96" s="49">
        <f>AVERAGE('26.07 Bwaise-Makerere-24h'!I96,'27.07 Bwaise-Makerere-24h'!I84)</f>
        <v>2.5</v>
      </c>
      <c r="J96" s="49">
        <f>AVERAGE('26.07 Bwaise-Makerere-24h'!J96,'27.07 Bwaise-Makerere-24h'!J84)</f>
        <v>0.5</v>
      </c>
      <c r="K96" s="49">
        <f>AVERAGE('26.07 Bwaise-Makerere-24h'!K96,'27.07 Bwaise-Makerere-24h'!K84)</f>
        <v>0.5</v>
      </c>
      <c r="L96" s="49">
        <f>AVERAGE('26.07 Bwaise-Makerere-24h'!L96,'27.07 Bwaise-Makerere-24h'!L84)</f>
        <v>1</v>
      </c>
      <c r="M96" s="49">
        <f>AVERAGE('26.07 Bwaise-Makerere-24h'!M96,'27.07 Bwaise-Makerere-24h'!M84)</f>
        <v>118.5</v>
      </c>
      <c r="N96" s="49">
        <f>AVERAGE('26.07 Bwaise-Makerere-24h'!N96,'27.07 Bwaise-Makerere-24h'!N84)</f>
        <v>0</v>
      </c>
      <c r="O96" s="15">
        <f t="shared" si="35"/>
        <v>60.5</v>
      </c>
      <c r="P96" s="15">
        <f t="shared" si="36"/>
        <v>179</v>
      </c>
      <c r="R96" s="8"/>
      <c r="T96"/>
    </row>
    <row r="97" spans="2:20" ht="23.1" customHeight="1" x14ac:dyDescent="0.25">
      <c r="B97" s="23" t="s">
        <v>137</v>
      </c>
      <c r="C97" s="49">
        <f>AVERAGE('26.07 Bwaise-Makerere-24h'!C97,'27.07 Bwaise-Makerere-24h'!C85)</f>
        <v>32.5</v>
      </c>
      <c r="D97" s="49">
        <f>AVERAGE('26.07 Bwaise-Makerere-24h'!D97,'27.07 Bwaise-Makerere-24h'!D85)</f>
        <v>10.5</v>
      </c>
      <c r="E97" s="49">
        <f>AVERAGE('26.07 Bwaise-Makerere-24h'!E97,'27.07 Bwaise-Makerere-24h'!E85)</f>
        <v>6.5</v>
      </c>
      <c r="F97" s="49">
        <f>AVERAGE('26.07 Bwaise-Makerere-24h'!F97,'27.07 Bwaise-Makerere-24h'!F85)</f>
        <v>28.5</v>
      </c>
      <c r="G97" s="49">
        <f>AVERAGE('26.07 Bwaise-Makerere-24h'!G97,'27.07 Bwaise-Makerere-24h'!G85)</f>
        <v>0.5</v>
      </c>
      <c r="H97" s="49">
        <f>AVERAGE('26.07 Bwaise-Makerere-24h'!H97,'27.07 Bwaise-Makerere-24h'!H85)</f>
        <v>0.5</v>
      </c>
      <c r="I97" s="49">
        <f>AVERAGE('26.07 Bwaise-Makerere-24h'!I97,'27.07 Bwaise-Makerere-24h'!I85)</f>
        <v>4</v>
      </c>
      <c r="J97" s="49">
        <f>AVERAGE('26.07 Bwaise-Makerere-24h'!J97,'27.07 Bwaise-Makerere-24h'!J85)</f>
        <v>3</v>
      </c>
      <c r="K97" s="49">
        <f>AVERAGE('26.07 Bwaise-Makerere-24h'!K97,'27.07 Bwaise-Makerere-24h'!K85)</f>
        <v>0.5</v>
      </c>
      <c r="L97" s="49">
        <f>AVERAGE('26.07 Bwaise-Makerere-24h'!L97,'27.07 Bwaise-Makerere-24h'!L85)</f>
        <v>0</v>
      </c>
      <c r="M97" s="49">
        <f>AVERAGE('26.07 Bwaise-Makerere-24h'!M97,'27.07 Bwaise-Makerere-24h'!M85)</f>
        <v>5</v>
      </c>
      <c r="N97" s="49">
        <f>AVERAGE('26.07 Bwaise-Makerere-24h'!N97,'27.07 Bwaise-Makerere-24h'!N85)</f>
        <v>0</v>
      </c>
      <c r="O97" s="15">
        <f t="shared" si="35"/>
        <v>86.5</v>
      </c>
      <c r="P97" s="15">
        <f t="shared" si="36"/>
        <v>91.5</v>
      </c>
      <c r="R97" s="8"/>
      <c r="T97"/>
    </row>
    <row r="98" spans="2:20" ht="23.1" customHeight="1" x14ac:dyDescent="0.25">
      <c r="B98" s="24" t="s">
        <v>138</v>
      </c>
      <c r="C98" s="49">
        <f>AVERAGE('26.07 Bwaise-Makerere-24h'!C98,'27.07 Bwaise-Makerere-24h'!C86)</f>
        <v>41</v>
      </c>
      <c r="D98" s="49">
        <f>AVERAGE('26.07 Bwaise-Makerere-24h'!D98,'27.07 Bwaise-Makerere-24h'!D86)</f>
        <v>10</v>
      </c>
      <c r="E98" s="49">
        <f>AVERAGE('26.07 Bwaise-Makerere-24h'!E98,'27.07 Bwaise-Makerere-24h'!E86)</f>
        <v>4.5</v>
      </c>
      <c r="F98" s="49">
        <f>AVERAGE('26.07 Bwaise-Makerere-24h'!F98,'27.07 Bwaise-Makerere-24h'!F86)</f>
        <v>42</v>
      </c>
      <c r="G98" s="49">
        <f>AVERAGE('26.07 Bwaise-Makerere-24h'!G98,'27.07 Bwaise-Makerere-24h'!G86)</f>
        <v>0.5</v>
      </c>
      <c r="H98" s="49">
        <f>AVERAGE('26.07 Bwaise-Makerere-24h'!H98,'27.07 Bwaise-Makerere-24h'!H86)</f>
        <v>0.5</v>
      </c>
      <c r="I98" s="49">
        <f>AVERAGE('26.07 Bwaise-Makerere-24h'!I98,'27.07 Bwaise-Makerere-24h'!I86)</f>
        <v>4</v>
      </c>
      <c r="J98" s="49">
        <f>AVERAGE('26.07 Bwaise-Makerere-24h'!J98,'27.07 Bwaise-Makerere-24h'!J86)</f>
        <v>0</v>
      </c>
      <c r="K98" s="49">
        <f>AVERAGE('26.07 Bwaise-Makerere-24h'!K98,'27.07 Bwaise-Makerere-24h'!K86)</f>
        <v>0</v>
      </c>
      <c r="L98" s="49">
        <f>AVERAGE('26.07 Bwaise-Makerere-24h'!L98,'27.07 Bwaise-Makerere-24h'!L86)</f>
        <v>0</v>
      </c>
      <c r="M98" s="49">
        <f>AVERAGE('26.07 Bwaise-Makerere-24h'!M98,'27.07 Bwaise-Makerere-24h'!M86)</f>
        <v>105.5</v>
      </c>
      <c r="N98" s="49">
        <f>AVERAGE('26.07 Bwaise-Makerere-24h'!N98,'27.07 Bwaise-Makerere-24h'!N86)</f>
        <v>0</v>
      </c>
      <c r="O98" s="15">
        <f t="shared" si="35"/>
        <v>102.5</v>
      </c>
      <c r="P98" s="15">
        <f t="shared" si="36"/>
        <v>208</v>
      </c>
      <c r="R98" s="8"/>
      <c r="T98"/>
    </row>
    <row r="99" spans="2:20" ht="23.1" customHeight="1" x14ac:dyDescent="0.25">
      <c r="B99" s="23" t="s">
        <v>139</v>
      </c>
      <c r="C99" s="49">
        <f>AVERAGE('26.07 Bwaise-Makerere-24h'!C99,'27.07 Bwaise-Makerere-24h'!C87)</f>
        <v>54.5</v>
      </c>
      <c r="D99" s="49">
        <f>AVERAGE('26.07 Bwaise-Makerere-24h'!D99,'27.07 Bwaise-Makerere-24h'!D87)</f>
        <v>13.5</v>
      </c>
      <c r="E99" s="49">
        <f>AVERAGE('26.07 Bwaise-Makerere-24h'!E99,'27.07 Bwaise-Makerere-24h'!E87)</f>
        <v>5</v>
      </c>
      <c r="F99" s="49">
        <f>AVERAGE('26.07 Bwaise-Makerere-24h'!F99,'27.07 Bwaise-Makerere-24h'!F87)</f>
        <v>35</v>
      </c>
      <c r="G99" s="49">
        <f>AVERAGE('26.07 Bwaise-Makerere-24h'!G99,'27.07 Bwaise-Makerere-24h'!G87)</f>
        <v>0</v>
      </c>
      <c r="H99" s="49">
        <f>AVERAGE('26.07 Bwaise-Makerere-24h'!H99,'27.07 Bwaise-Makerere-24h'!H87)</f>
        <v>0.5</v>
      </c>
      <c r="I99" s="49">
        <f>AVERAGE('26.07 Bwaise-Makerere-24h'!I99,'27.07 Bwaise-Makerere-24h'!I87)</f>
        <v>4</v>
      </c>
      <c r="J99" s="49">
        <f>AVERAGE('26.07 Bwaise-Makerere-24h'!J99,'27.07 Bwaise-Makerere-24h'!J87)</f>
        <v>0</v>
      </c>
      <c r="K99" s="49">
        <f>AVERAGE('26.07 Bwaise-Makerere-24h'!K99,'27.07 Bwaise-Makerere-24h'!K87)</f>
        <v>1</v>
      </c>
      <c r="L99" s="49">
        <f>AVERAGE('26.07 Bwaise-Makerere-24h'!L99,'27.07 Bwaise-Makerere-24h'!L87)</f>
        <v>0.5</v>
      </c>
      <c r="M99" s="49">
        <f>AVERAGE('26.07 Bwaise-Makerere-24h'!M99,'27.07 Bwaise-Makerere-24h'!M87)</f>
        <v>103</v>
      </c>
      <c r="N99" s="49">
        <f>AVERAGE('26.07 Bwaise-Makerere-24h'!N99,'27.07 Bwaise-Makerere-24h'!N87)</f>
        <v>0</v>
      </c>
      <c r="O99" s="15">
        <f t="shared" si="35"/>
        <v>114</v>
      </c>
      <c r="P99" s="15">
        <f t="shared" si="36"/>
        <v>217</v>
      </c>
      <c r="R99" s="8"/>
      <c r="T99"/>
    </row>
    <row r="100" spans="2:20" ht="23.1" customHeight="1" x14ac:dyDescent="0.25">
      <c r="B100" s="25" t="s">
        <v>140</v>
      </c>
      <c r="C100" s="49">
        <f>AVERAGE('26.07 Bwaise-Makerere-24h'!C100,'27.07 Bwaise-Makerere-24h'!C88)</f>
        <v>47</v>
      </c>
      <c r="D100" s="49">
        <f>AVERAGE('26.07 Bwaise-Makerere-24h'!D100,'27.07 Bwaise-Makerere-24h'!D88)</f>
        <v>9</v>
      </c>
      <c r="E100" s="49">
        <f>AVERAGE('26.07 Bwaise-Makerere-24h'!E100,'27.07 Bwaise-Makerere-24h'!E88)</f>
        <v>4.5</v>
      </c>
      <c r="F100" s="49">
        <f>AVERAGE('26.07 Bwaise-Makerere-24h'!F100,'27.07 Bwaise-Makerere-24h'!F88)</f>
        <v>40.5</v>
      </c>
      <c r="G100" s="49">
        <f>AVERAGE('26.07 Bwaise-Makerere-24h'!G100,'27.07 Bwaise-Makerere-24h'!G88)</f>
        <v>0.5</v>
      </c>
      <c r="H100" s="49">
        <f>AVERAGE('26.07 Bwaise-Makerere-24h'!H100,'27.07 Bwaise-Makerere-24h'!H88)</f>
        <v>1.5</v>
      </c>
      <c r="I100" s="49">
        <f>AVERAGE('26.07 Bwaise-Makerere-24h'!I100,'27.07 Bwaise-Makerere-24h'!I88)</f>
        <v>3</v>
      </c>
      <c r="J100" s="49">
        <f>AVERAGE('26.07 Bwaise-Makerere-24h'!J100,'27.07 Bwaise-Makerere-24h'!J88)</f>
        <v>1</v>
      </c>
      <c r="K100" s="49">
        <f>AVERAGE('26.07 Bwaise-Makerere-24h'!K100,'27.07 Bwaise-Makerere-24h'!K88)</f>
        <v>0</v>
      </c>
      <c r="L100" s="49">
        <f>AVERAGE('26.07 Bwaise-Makerere-24h'!L100,'27.07 Bwaise-Makerere-24h'!L88)</f>
        <v>0</v>
      </c>
      <c r="M100" s="49">
        <f>AVERAGE('26.07 Bwaise-Makerere-24h'!M100,'27.07 Bwaise-Makerere-24h'!M88)</f>
        <v>155.5</v>
      </c>
      <c r="N100" s="49">
        <f>AVERAGE('26.07 Bwaise-Makerere-24h'!N100,'27.07 Bwaise-Makerere-24h'!N88)</f>
        <v>0</v>
      </c>
      <c r="O100" s="15">
        <f t="shared" si="35"/>
        <v>107</v>
      </c>
      <c r="P100" s="15">
        <f t="shared" si="36"/>
        <v>262.5</v>
      </c>
      <c r="R100" s="8"/>
      <c r="T100"/>
    </row>
    <row r="101" spans="2:20" ht="23.1" customHeight="1" x14ac:dyDescent="0.25">
      <c r="B101" s="23" t="s">
        <v>141</v>
      </c>
      <c r="C101" s="49">
        <f>AVERAGE('26.07 Bwaise-Makerere-24h'!C101,'27.07 Bwaise-Makerere-24h'!C89)</f>
        <v>21</v>
      </c>
      <c r="D101" s="49">
        <f>AVERAGE('26.07 Bwaise-Makerere-24h'!D101,'27.07 Bwaise-Makerere-24h'!D89)</f>
        <v>3.5</v>
      </c>
      <c r="E101" s="49">
        <f>AVERAGE('26.07 Bwaise-Makerere-24h'!E101,'27.07 Bwaise-Makerere-24h'!E89)</f>
        <v>4.5</v>
      </c>
      <c r="F101" s="49">
        <f>AVERAGE('26.07 Bwaise-Makerere-24h'!F101,'27.07 Bwaise-Makerere-24h'!F89)</f>
        <v>37.5</v>
      </c>
      <c r="G101" s="49">
        <f>AVERAGE('26.07 Bwaise-Makerere-24h'!G101,'27.07 Bwaise-Makerere-24h'!G89)</f>
        <v>0.5</v>
      </c>
      <c r="H101" s="49">
        <f>AVERAGE('26.07 Bwaise-Makerere-24h'!H101,'27.07 Bwaise-Makerere-24h'!H89)</f>
        <v>0.5</v>
      </c>
      <c r="I101" s="49">
        <f>AVERAGE('26.07 Bwaise-Makerere-24h'!I101,'27.07 Bwaise-Makerere-24h'!I89)</f>
        <v>4</v>
      </c>
      <c r="J101" s="49">
        <f>AVERAGE('26.07 Bwaise-Makerere-24h'!J101,'27.07 Bwaise-Makerere-24h'!J89)</f>
        <v>1</v>
      </c>
      <c r="K101" s="49">
        <f>AVERAGE('26.07 Bwaise-Makerere-24h'!K101,'27.07 Bwaise-Makerere-24h'!K89)</f>
        <v>0</v>
      </c>
      <c r="L101" s="49">
        <f>AVERAGE('26.07 Bwaise-Makerere-24h'!L101,'27.07 Bwaise-Makerere-24h'!L89)</f>
        <v>0</v>
      </c>
      <c r="M101" s="49">
        <f>AVERAGE('26.07 Bwaise-Makerere-24h'!M101,'27.07 Bwaise-Makerere-24h'!M89)</f>
        <v>115.5</v>
      </c>
      <c r="N101" s="49">
        <f>AVERAGE('26.07 Bwaise-Makerere-24h'!N101,'27.07 Bwaise-Makerere-24h'!N89)</f>
        <v>0</v>
      </c>
      <c r="O101" s="15">
        <f t="shared" si="35"/>
        <v>72.5</v>
      </c>
      <c r="P101" s="15">
        <f t="shared" si="36"/>
        <v>188</v>
      </c>
      <c r="R101" s="8"/>
      <c r="T101"/>
    </row>
    <row r="102" spans="2:20" ht="23.1" customHeight="1" x14ac:dyDescent="0.25">
      <c r="B102" s="24" t="s">
        <v>142</v>
      </c>
      <c r="C102" s="49">
        <f>AVERAGE('26.07 Bwaise-Makerere-24h'!C102,'27.07 Bwaise-Makerere-24h'!C90)</f>
        <v>59</v>
      </c>
      <c r="D102" s="49">
        <f>AVERAGE('26.07 Bwaise-Makerere-24h'!D102,'27.07 Bwaise-Makerere-24h'!D90)</f>
        <v>8</v>
      </c>
      <c r="E102" s="49">
        <f>AVERAGE('26.07 Bwaise-Makerere-24h'!E102,'27.07 Bwaise-Makerere-24h'!E90)</f>
        <v>6</v>
      </c>
      <c r="F102" s="49">
        <f>AVERAGE('26.07 Bwaise-Makerere-24h'!F102,'27.07 Bwaise-Makerere-24h'!F90)</f>
        <v>45</v>
      </c>
      <c r="G102" s="49">
        <f>AVERAGE('26.07 Bwaise-Makerere-24h'!G102,'27.07 Bwaise-Makerere-24h'!G90)</f>
        <v>1.5</v>
      </c>
      <c r="H102" s="49">
        <f>AVERAGE('26.07 Bwaise-Makerere-24h'!H102,'27.07 Bwaise-Makerere-24h'!H90)</f>
        <v>0.5</v>
      </c>
      <c r="I102" s="49">
        <f>AVERAGE('26.07 Bwaise-Makerere-24h'!I102,'27.07 Bwaise-Makerere-24h'!I90)</f>
        <v>2.5</v>
      </c>
      <c r="J102" s="49">
        <f>AVERAGE('26.07 Bwaise-Makerere-24h'!J102,'27.07 Bwaise-Makerere-24h'!J90)</f>
        <v>0</v>
      </c>
      <c r="K102" s="49">
        <f>AVERAGE('26.07 Bwaise-Makerere-24h'!K102,'27.07 Bwaise-Makerere-24h'!K90)</f>
        <v>0.5</v>
      </c>
      <c r="L102" s="49">
        <f>AVERAGE('26.07 Bwaise-Makerere-24h'!L102,'27.07 Bwaise-Makerere-24h'!L90)</f>
        <v>0</v>
      </c>
      <c r="M102" s="49">
        <f>AVERAGE('26.07 Bwaise-Makerere-24h'!M102,'27.07 Bwaise-Makerere-24h'!M90)</f>
        <v>76</v>
      </c>
      <c r="N102" s="49">
        <f>AVERAGE('26.07 Bwaise-Makerere-24h'!N102,'27.07 Bwaise-Makerere-24h'!N90)</f>
        <v>0</v>
      </c>
      <c r="O102" s="15">
        <f t="shared" si="35"/>
        <v>123</v>
      </c>
      <c r="P102" s="15">
        <f t="shared" si="36"/>
        <v>199</v>
      </c>
      <c r="R102" s="8"/>
      <c r="T102"/>
    </row>
    <row r="103" spans="2:20" ht="23.1" customHeight="1" x14ac:dyDescent="0.25">
      <c r="B103" s="23" t="s">
        <v>143</v>
      </c>
      <c r="C103" s="49">
        <f>AVERAGE('26.07 Bwaise-Makerere-24h'!C103,'27.07 Bwaise-Makerere-24h'!C91)</f>
        <v>50.5</v>
      </c>
      <c r="D103" s="49">
        <f>AVERAGE('26.07 Bwaise-Makerere-24h'!D103,'27.07 Bwaise-Makerere-24h'!D91)</f>
        <v>11</v>
      </c>
      <c r="E103" s="49">
        <f>AVERAGE('26.07 Bwaise-Makerere-24h'!E103,'27.07 Bwaise-Makerere-24h'!E91)</f>
        <v>4</v>
      </c>
      <c r="F103" s="49">
        <f>AVERAGE('26.07 Bwaise-Makerere-24h'!F103,'27.07 Bwaise-Makerere-24h'!F91)</f>
        <v>33</v>
      </c>
      <c r="G103" s="49">
        <f>AVERAGE('26.07 Bwaise-Makerere-24h'!G103,'27.07 Bwaise-Makerere-24h'!G91)</f>
        <v>1.5</v>
      </c>
      <c r="H103" s="49">
        <f>AVERAGE('26.07 Bwaise-Makerere-24h'!H103,'27.07 Bwaise-Makerere-24h'!H91)</f>
        <v>0.5</v>
      </c>
      <c r="I103" s="49">
        <f>AVERAGE('26.07 Bwaise-Makerere-24h'!I103,'27.07 Bwaise-Makerere-24h'!I91)</f>
        <v>1.5</v>
      </c>
      <c r="J103" s="49">
        <f>AVERAGE('26.07 Bwaise-Makerere-24h'!J103,'27.07 Bwaise-Makerere-24h'!J91)</f>
        <v>0.5</v>
      </c>
      <c r="K103" s="49">
        <f>AVERAGE('26.07 Bwaise-Makerere-24h'!K103,'27.07 Bwaise-Makerere-24h'!K91)</f>
        <v>0.5</v>
      </c>
      <c r="L103" s="49">
        <f>AVERAGE('26.07 Bwaise-Makerere-24h'!L103,'27.07 Bwaise-Makerere-24h'!L91)</f>
        <v>0.5</v>
      </c>
      <c r="M103" s="49">
        <f>AVERAGE('26.07 Bwaise-Makerere-24h'!M103,'27.07 Bwaise-Makerere-24h'!M91)</f>
        <v>101.5</v>
      </c>
      <c r="N103" s="49">
        <f>AVERAGE('26.07 Bwaise-Makerere-24h'!N103,'27.07 Bwaise-Makerere-24h'!N91)</f>
        <v>0</v>
      </c>
      <c r="O103" s="15">
        <f t="shared" si="35"/>
        <v>103.5</v>
      </c>
      <c r="P103" s="15">
        <f t="shared" si="36"/>
        <v>205</v>
      </c>
      <c r="R103" s="8"/>
      <c r="T103"/>
    </row>
    <row r="104" spans="2:20" ht="23.1" customHeight="1" x14ac:dyDescent="0.25">
      <c r="B104" s="25" t="s">
        <v>144</v>
      </c>
      <c r="C104" s="49">
        <f>AVERAGE('26.07 Bwaise-Makerere-24h'!C104,'27.07 Bwaise-Makerere-24h'!C92)</f>
        <v>40</v>
      </c>
      <c r="D104" s="49">
        <f>AVERAGE('26.07 Bwaise-Makerere-24h'!D104,'27.07 Bwaise-Makerere-24h'!D92)</f>
        <v>13</v>
      </c>
      <c r="E104" s="49">
        <f>AVERAGE('26.07 Bwaise-Makerere-24h'!E104,'27.07 Bwaise-Makerere-24h'!E92)</f>
        <v>7.5</v>
      </c>
      <c r="F104" s="49">
        <f>AVERAGE('26.07 Bwaise-Makerere-24h'!F104,'27.07 Bwaise-Makerere-24h'!F92)</f>
        <v>30.5</v>
      </c>
      <c r="G104" s="49">
        <f>AVERAGE('26.07 Bwaise-Makerere-24h'!G104,'27.07 Bwaise-Makerere-24h'!G92)</f>
        <v>2.5</v>
      </c>
      <c r="H104" s="49">
        <f>AVERAGE('26.07 Bwaise-Makerere-24h'!H104,'27.07 Bwaise-Makerere-24h'!H92)</f>
        <v>0</v>
      </c>
      <c r="I104" s="49">
        <f>AVERAGE('26.07 Bwaise-Makerere-24h'!I104,'27.07 Bwaise-Makerere-24h'!I92)</f>
        <v>1</v>
      </c>
      <c r="J104" s="49">
        <f>AVERAGE('26.07 Bwaise-Makerere-24h'!J104,'27.07 Bwaise-Makerere-24h'!J92)</f>
        <v>0</v>
      </c>
      <c r="K104" s="49">
        <f>AVERAGE('26.07 Bwaise-Makerere-24h'!K104,'27.07 Bwaise-Makerere-24h'!K92)</f>
        <v>5.5</v>
      </c>
      <c r="L104" s="49">
        <f>AVERAGE('26.07 Bwaise-Makerere-24h'!L104,'27.07 Bwaise-Makerere-24h'!L92)</f>
        <v>0</v>
      </c>
      <c r="M104" s="49">
        <f>AVERAGE('26.07 Bwaise-Makerere-24h'!M104,'27.07 Bwaise-Makerere-24h'!M92)</f>
        <v>105.5</v>
      </c>
      <c r="N104" s="49">
        <f>AVERAGE('26.07 Bwaise-Makerere-24h'!N104,'27.07 Bwaise-Makerere-24h'!N92)</f>
        <v>0</v>
      </c>
      <c r="O104" s="15">
        <f t="shared" si="35"/>
        <v>100</v>
      </c>
      <c r="P104" s="15">
        <f t="shared" si="36"/>
        <v>205.5</v>
      </c>
      <c r="R104" s="8"/>
      <c r="T104"/>
    </row>
    <row r="105" spans="2:20" ht="23.1" customHeight="1" x14ac:dyDescent="0.25">
      <c r="B105" s="23" t="s">
        <v>145</v>
      </c>
      <c r="C105" s="49">
        <f>AVERAGE('26.07 Bwaise-Makerere-24h'!C105,'27.07 Bwaise-Makerere-24h'!C93)</f>
        <v>52</v>
      </c>
      <c r="D105" s="49">
        <f>AVERAGE('26.07 Bwaise-Makerere-24h'!D105,'27.07 Bwaise-Makerere-24h'!D93)</f>
        <v>10</v>
      </c>
      <c r="E105" s="49">
        <f>AVERAGE('26.07 Bwaise-Makerere-24h'!E105,'27.07 Bwaise-Makerere-24h'!E93)</f>
        <v>4</v>
      </c>
      <c r="F105" s="49">
        <f>AVERAGE('26.07 Bwaise-Makerere-24h'!F105,'27.07 Bwaise-Makerere-24h'!F93)</f>
        <v>54.5</v>
      </c>
      <c r="G105" s="49">
        <f>AVERAGE('26.07 Bwaise-Makerere-24h'!G105,'27.07 Bwaise-Makerere-24h'!G93)</f>
        <v>1.5</v>
      </c>
      <c r="H105" s="49">
        <f>AVERAGE('26.07 Bwaise-Makerere-24h'!H105,'27.07 Bwaise-Makerere-24h'!H93)</f>
        <v>0.5</v>
      </c>
      <c r="I105" s="49">
        <f>AVERAGE('26.07 Bwaise-Makerere-24h'!I105,'27.07 Bwaise-Makerere-24h'!I93)</f>
        <v>1</v>
      </c>
      <c r="J105" s="49">
        <f>AVERAGE('26.07 Bwaise-Makerere-24h'!J105,'27.07 Bwaise-Makerere-24h'!J93)</f>
        <v>0.5</v>
      </c>
      <c r="K105" s="49">
        <f>AVERAGE('26.07 Bwaise-Makerere-24h'!K105,'27.07 Bwaise-Makerere-24h'!K93)</f>
        <v>0.5</v>
      </c>
      <c r="L105" s="49">
        <f>AVERAGE('26.07 Bwaise-Makerere-24h'!L105,'27.07 Bwaise-Makerere-24h'!L93)</f>
        <v>0</v>
      </c>
      <c r="M105" s="49">
        <f>AVERAGE('26.07 Bwaise-Makerere-24h'!M105,'27.07 Bwaise-Makerere-24h'!M93)</f>
        <v>96.5</v>
      </c>
      <c r="N105" s="49">
        <f>AVERAGE('26.07 Bwaise-Makerere-24h'!N105,'27.07 Bwaise-Makerere-24h'!N93)</f>
        <v>0</v>
      </c>
      <c r="O105" s="15">
        <f t="shared" si="35"/>
        <v>124.5</v>
      </c>
      <c r="P105" s="15">
        <f t="shared" si="36"/>
        <v>221</v>
      </c>
      <c r="R105" s="8"/>
      <c r="T105"/>
    </row>
    <row r="106" spans="2:20" ht="23.1" customHeight="1" x14ac:dyDescent="0.25">
      <c r="B106" s="52" t="s">
        <v>18</v>
      </c>
      <c r="C106" s="16">
        <f>SUM(C10:C105)</f>
        <v>4665.5714285714275</v>
      </c>
      <c r="D106" s="16">
        <f t="shared" ref="D106:P106" si="37">SUM(D10:D105)</f>
        <v>1301.2857142857144</v>
      </c>
      <c r="E106" s="16">
        <f t="shared" si="37"/>
        <v>789.85714285714289</v>
      </c>
      <c r="F106" s="16">
        <f t="shared" si="37"/>
        <v>3728.7142857142853</v>
      </c>
      <c r="G106" s="16">
        <f t="shared" si="37"/>
        <v>111.35714285714286</v>
      </c>
      <c r="H106" s="16">
        <f t="shared" si="37"/>
        <v>91.071428571428555</v>
      </c>
      <c r="I106" s="16">
        <f t="shared" si="37"/>
        <v>504.49999999999994</v>
      </c>
      <c r="J106" s="16">
        <f t="shared" si="37"/>
        <v>153.28571428571428</v>
      </c>
      <c r="K106" s="16">
        <f t="shared" si="37"/>
        <v>102.02380952380952</v>
      </c>
      <c r="L106" s="16">
        <f t="shared" si="37"/>
        <v>47.904761904761912</v>
      </c>
      <c r="M106" s="16">
        <f t="shared" si="37"/>
        <v>12482.5</v>
      </c>
      <c r="N106" s="16">
        <f t="shared" si="37"/>
        <v>0.2857142857142857</v>
      </c>
      <c r="O106" s="16">
        <f t="shared" si="37"/>
        <v>11495.857142857145</v>
      </c>
      <c r="P106" s="16">
        <f t="shared" si="37"/>
        <v>23978.357142857145</v>
      </c>
      <c r="R106" s="19"/>
      <c r="S106" s="19"/>
      <c r="T106"/>
    </row>
    <row r="107" spans="2:20" ht="23.1" customHeight="1" x14ac:dyDescent="0.25">
      <c r="B107" s="26" t="s">
        <v>93</v>
      </c>
      <c r="C107" s="43">
        <f t="shared" ref="C107:N107" si="38">C106/$P$106</f>
        <v>0.19457427382431175</v>
      </c>
      <c r="D107" s="43">
        <f t="shared" si="38"/>
        <v>5.4269177264020828E-2</v>
      </c>
      <c r="E107" s="43">
        <f t="shared" si="38"/>
        <v>3.2940419485428821E-2</v>
      </c>
      <c r="F107" s="43">
        <f t="shared" si="38"/>
        <v>0.15550332591593011</v>
      </c>
      <c r="G107" s="43">
        <f t="shared" si="38"/>
        <v>4.6440689073777835E-3</v>
      </c>
      <c r="H107" s="43">
        <f t="shared" si="38"/>
        <v>3.7980679005174297E-3</v>
      </c>
      <c r="I107" s="43">
        <f t="shared" si="38"/>
        <v>2.1039806730474203E-2</v>
      </c>
      <c r="J107" s="43">
        <f t="shared" si="38"/>
        <v>6.3926695800081614E-3</v>
      </c>
      <c r="K107" s="43">
        <f t="shared" si="38"/>
        <v>4.2548290075077617E-3</v>
      </c>
      <c r="L107" s="43">
        <f t="shared" si="38"/>
        <v>1.9978333636185806E-3</v>
      </c>
      <c r="M107" s="43">
        <f t="shared" si="38"/>
        <v>0.52057361251366552</v>
      </c>
      <c r="N107" s="43">
        <f t="shared" si="38"/>
        <v>1.1915507138878213E-5</v>
      </c>
      <c r="R107" s="8"/>
      <c r="T107"/>
    </row>
    <row r="108" spans="2:20" ht="23.1" customHeight="1" x14ac:dyDescent="0.25">
      <c r="B108" s="42" t="s">
        <v>94</v>
      </c>
      <c r="C108" s="44">
        <f>C106/$O$106</f>
        <v>0.40584806949087232</v>
      </c>
      <c r="D108" s="44">
        <f t="shared" ref="D108:N108" si="39">D106/$O$106</f>
        <v>0.1131960582073045</v>
      </c>
      <c r="E108" s="44">
        <f t="shared" si="39"/>
        <v>6.870798175740328E-2</v>
      </c>
      <c r="F108" s="44">
        <f t="shared" si="39"/>
        <v>0.3243528724633718</v>
      </c>
      <c r="G108" s="44">
        <f t="shared" si="39"/>
        <v>9.6867194393011127E-3</v>
      </c>
      <c r="H108" s="44">
        <f t="shared" si="39"/>
        <v>7.9221085857016788E-3</v>
      </c>
      <c r="I108" s="44">
        <f t="shared" si="39"/>
        <v>4.3885374855538006E-2</v>
      </c>
      <c r="J108" s="44">
        <f t="shared" si="39"/>
        <v>1.3333996097973179E-2</v>
      </c>
      <c r="K108" s="44">
        <f t="shared" si="39"/>
        <v>8.8748327554854112E-3</v>
      </c>
      <c r="L108" s="44">
        <f t="shared" si="39"/>
        <v>4.1671326730540609E-3</v>
      </c>
      <c r="M108" s="44"/>
      <c r="N108" s="44">
        <f t="shared" si="39"/>
        <v>2.4853673994358209E-5</v>
      </c>
      <c r="Q108" s="7"/>
      <c r="R108" s="8"/>
      <c r="T108"/>
    </row>
    <row r="109" spans="2:20" ht="20.100000000000001" customHeight="1" x14ac:dyDescent="0.25">
      <c r="B109" s="3"/>
      <c r="C109" s="18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Q109" s="7"/>
      <c r="R109" s="8"/>
      <c r="T109"/>
    </row>
    <row r="110" spans="2:20" ht="20.100000000000001" customHeight="1" x14ac:dyDescent="0.25">
      <c r="B110" s="3"/>
      <c r="C110" s="18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Q110" s="7"/>
      <c r="R110" s="8"/>
      <c r="T110"/>
    </row>
    <row r="111" spans="2:20" ht="20.100000000000001" customHeight="1" x14ac:dyDescent="0.25">
      <c r="B111" s="3"/>
      <c r="C111" s="18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Q111" s="7"/>
    </row>
    <row r="112" spans="2:20" ht="20.100000000000001" customHeight="1" x14ac:dyDescent="0.25">
      <c r="B112" s="3"/>
      <c r="C112" s="18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Q112" s="7"/>
    </row>
    <row r="113" spans="2:20" s="7" customFormat="1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/>
      <c r="P113"/>
      <c r="S113" s="8"/>
      <c r="T113" s="8"/>
    </row>
    <row r="114" spans="2:20" s="7" customFormat="1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/>
      <c r="P114"/>
      <c r="S114" s="8"/>
      <c r="T114" s="8"/>
    </row>
    <row r="115" spans="2:20" s="7" customFormat="1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/>
      <c r="P115"/>
      <c r="S115" s="8"/>
      <c r="T115" s="8"/>
    </row>
    <row r="116" spans="2:20" s="7" customFormat="1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/>
      <c r="P116"/>
      <c r="S116" s="8"/>
      <c r="T116" s="8"/>
    </row>
    <row r="117" spans="2:20" s="7" customFormat="1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/>
      <c r="P117"/>
      <c r="S117" s="8"/>
      <c r="T117" s="8"/>
    </row>
    <row r="118" spans="2:20" s="7" customFormat="1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/>
      <c r="P118"/>
      <c r="S118" s="8"/>
      <c r="T118" s="8"/>
    </row>
    <row r="119" spans="2:20" s="7" customFormat="1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/>
      <c r="P119"/>
      <c r="S119" s="8"/>
      <c r="T119" s="8"/>
    </row>
    <row r="120" spans="2:20" s="7" customFormat="1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/>
      <c r="P120"/>
      <c r="S120" s="8"/>
      <c r="T120" s="8"/>
    </row>
    <row r="121" spans="2:20" s="7" customFormat="1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/>
      <c r="P121"/>
      <c r="S121" s="8"/>
      <c r="T121" s="8"/>
    </row>
    <row r="122" spans="2:20" s="7" customFormat="1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/>
      <c r="P122"/>
      <c r="S122" s="8"/>
      <c r="T122" s="8"/>
    </row>
    <row r="123" spans="2:20" s="7" customFormat="1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/>
      <c r="P123"/>
      <c r="S123" s="8"/>
      <c r="T123" s="8"/>
    </row>
    <row r="124" spans="2:20" s="7" customFormat="1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/>
      <c r="P124"/>
      <c r="S124" s="8"/>
      <c r="T124" s="8"/>
    </row>
    <row r="125" spans="2:20" s="7" customFormat="1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/>
      <c r="P125"/>
      <c r="Q125"/>
      <c r="S125" s="8"/>
      <c r="T125" s="8"/>
    </row>
    <row r="126" spans="2:20" s="7" customFormat="1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/>
      <c r="P126"/>
      <c r="Q126"/>
      <c r="S126" s="8"/>
      <c r="T126" s="8"/>
    </row>
    <row r="127" spans="2:20" s="7" customFormat="1" ht="20.100000000000001" customHeight="1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/>
      <c r="P127"/>
      <c r="Q127"/>
      <c r="S127" s="8"/>
      <c r="T127" s="8"/>
    </row>
    <row r="128" spans="2:20" s="7" customFormat="1" ht="20.100000000000001" customHeight="1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/>
      <c r="P128"/>
      <c r="Q128"/>
      <c r="S128" s="8"/>
      <c r="T128" s="8"/>
    </row>
    <row r="129" spans="2:14" ht="20.100000000000001" customHeight="1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spans="2:14" ht="20.100000000000001" customHeight="1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2:14" ht="20.100000000000001" customHeight="1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2:14" ht="20.100000000000001" customHeight="1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2:14" ht="20.100000000000001" customHeight="1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2:14" ht="20.100000000000001" customHeight="1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2:14" ht="20.100000000000001" customHeight="1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2:14" ht="20.100000000000001" customHeight="1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2:14" ht="20.100000000000001" customHeight="1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2:14" ht="20.100000000000001" customHeight="1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2:14" ht="20.100000000000001" customHeight="1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2:14" ht="20.100000000000001" customHeight="1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2:14" ht="20.100000000000001" customHeight="1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2:14" ht="20.100000000000001" customHeight="1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2:14" ht="20.100000000000001" customHeight="1" x14ac:dyDescent="0.25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2:14" ht="20.100000000000001" customHeight="1" x14ac:dyDescent="0.25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2:14" ht="20.100000000000001" customHeight="1" x14ac:dyDescent="0.25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2:14" ht="20.100000000000001" customHeight="1" x14ac:dyDescent="0.25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2:14" ht="20.100000000000001" customHeight="1" x14ac:dyDescent="0.25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2:14" ht="20.100000000000001" customHeight="1" x14ac:dyDescent="0.25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2:14" ht="20.100000000000001" customHeight="1" x14ac:dyDescent="0.25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2:14" ht="20.100000000000001" customHeight="1" x14ac:dyDescent="0.25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2:14" ht="20.100000000000001" customHeight="1" x14ac:dyDescent="0.25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2:14" ht="22.5" customHeight="1" x14ac:dyDescent="0.25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2:14" ht="20.100000000000001" customHeight="1" x14ac:dyDescent="0.25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2:14" ht="20.100000000000001" customHeight="1" x14ac:dyDescent="0.25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2:14" ht="20.100000000000001" customHeight="1" x14ac:dyDescent="0.25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2:14" ht="20.100000000000001" customHeight="1" x14ac:dyDescent="0.25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2:14" ht="20.100000000000001" customHeight="1" x14ac:dyDescent="0.25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2:14" ht="20.100000000000001" customHeight="1" x14ac:dyDescent="0.25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2:14" ht="20.100000000000001" customHeight="1" x14ac:dyDescent="0.25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2:14" ht="20.100000000000001" customHeight="1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2:14" ht="20.100000000000001" customHeight="1" x14ac:dyDescent="0.2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2:14" ht="20.100000000000001" customHeight="1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2:14" ht="20.100000000000001" customHeight="1" x14ac:dyDescent="0.2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2:14" ht="20.100000000000001" customHeight="1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2:14" ht="20.100000000000001" customHeight="1" x14ac:dyDescent="0.2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2:14" ht="20.100000000000001" customHeight="1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2:14" ht="20.100000000000001" customHeight="1" x14ac:dyDescent="0.2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2:14" ht="20.100000000000001" customHeight="1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2:14" ht="20.100000000000001" customHeight="1" x14ac:dyDescent="0.2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2:14" ht="20.100000000000001" customHeight="1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2:14" ht="20.100000000000001" customHeight="1" x14ac:dyDescent="0.2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2:14" ht="20.100000000000001" customHeight="1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2:14" ht="20.100000000000001" customHeight="1" x14ac:dyDescent="0.2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2:14" ht="20.100000000000001" customHeight="1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</sheetData>
  <mergeCells count="10">
    <mergeCell ref="R8:AF8"/>
    <mergeCell ref="D6:E6"/>
    <mergeCell ref="K5:L5"/>
    <mergeCell ref="K6:L6"/>
    <mergeCell ref="D5:E5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21" orientation="landscape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</sheetPr>
  <dimension ref="B1:AF174"/>
  <sheetViews>
    <sheetView view="pageBreakPreview" topLeftCell="G55" zoomScale="60" workbookViewId="0">
      <selection activeCell="Y59" sqref="Y59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64" t="s">
        <v>23</v>
      </c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  <c r="S1" s="64"/>
      <c r="T1" s="64"/>
      <c r="U1" s="64"/>
      <c r="V1" s="64"/>
      <c r="W1" s="64"/>
      <c r="X1" s="64"/>
      <c r="Y1" s="64"/>
      <c r="Z1" s="64"/>
      <c r="AA1" s="64"/>
      <c r="AB1" s="64"/>
      <c r="AC1" s="64"/>
      <c r="AD1" s="64"/>
      <c r="AE1" s="64"/>
    </row>
    <row r="2" spans="2:32" ht="20.100000000000001" customHeight="1" x14ac:dyDescent="0.25">
      <c r="B2" s="65" t="s">
        <v>95</v>
      </c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  <c r="AA2" s="65"/>
      <c r="AB2" s="65"/>
      <c r="AC2" s="65"/>
      <c r="AD2" s="65"/>
      <c r="AE2" s="65"/>
    </row>
    <row r="3" spans="2:32" ht="20.100000000000001" customHeight="1" x14ac:dyDescent="0.25">
      <c r="B3" s="22" t="s">
        <v>96</v>
      </c>
      <c r="C3" s="71" t="str">
        <f>'28.07 Makerere-Bwaise'!C3:G3</f>
        <v>MCC - C1 - STN021- SIR APOLLO ROAD</v>
      </c>
      <c r="D3" s="71"/>
      <c r="E3" s="71"/>
      <c r="F3" s="71"/>
      <c r="G3" s="71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72" t="s">
        <v>168</v>
      </c>
      <c r="E5" s="73"/>
      <c r="F5" s="41" t="s">
        <v>1</v>
      </c>
      <c r="G5" s="69" t="str">
        <f>'28.07 Makerere-Bwaise'!G5:H5</f>
        <v>PREMIUM DESIGN LTD</v>
      </c>
      <c r="H5" s="70"/>
      <c r="I5" s="14"/>
      <c r="J5" s="2" t="s">
        <v>5</v>
      </c>
      <c r="K5" s="69" t="str">
        <f>'28.07 Makerere-Bwaise'!K5:L5</f>
        <v>OKELLO PETER</v>
      </c>
      <c r="L5" s="70"/>
      <c r="M5" s="10"/>
      <c r="N5" s="10"/>
      <c r="O5" s="3"/>
      <c r="P5" s="3"/>
    </row>
    <row r="6" spans="2:32" ht="23.25" customHeight="1" x14ac:dyDescent="0.25">
      <c r="C6" s="2" t="s">
        <v>4</v>
      </c>
      <c r="D6" s="69" t="str">
        <f>'28.07 Makerere-Bwaise'!D6:E6</f>
        <v>MAKARERE</v>
      </c>
      <c r="E6" s="70"/>
      <c r="F6" s="2" t="s">
        <v>2</v>
      </c>
      <c r="G6" s="69" t="str">
        <f>'28.07 Makerere-Bwaise'!G6:H6</f>
        <v>BWAISE</v>
      </c>
      <c r="H6" s="70"/>
      <c r="J6" s="2" t="s">
        <v>21</v>
      </c>
      <c r="K6" s="69" t="str">
        <f>'28.07 Makerere-Bwaise'!K6:L6</f>
        <v>SALIMAH</v>
      </c>
      <c r="L6" s="70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63" t="s">
        <v>88</v>
      </c>
      <c r="S8" s="63"/>
      <c r="T8" s="63"/>
      <c r="U8" s="63"/>
      <c r="V8" s="63"/>
      <c r="W8" s="63"/>
      <c r="X8" s="63"/>
      <c r="Y8" s="63"/>
      <c r="Z8" s="63"/>
      <c r="AA8" s="63"/>
      <c r="AB8" s="63"/>
      <c r="AC8" s="63"/>
      <c r="AD8" s="63"/>
      <c r="AE8" s="63"/>
      <c r="AF8" s="63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49">
        <f>AVERAGE('22.07 MAKERERE-BWAISE'!C10,'23.07 Makerere-Bwaise'!C10,'24.07 Makerere-Bwaise'!C10,'25.07 Makerere-Bwaise'!C10,'26.07 Makerere-Bwaise-24h'!C10,'27.07 Makerere-Bwaise-24h'!C10,'28.07 Makerere-Bwaise'!C10)</f>
        <v>32.428571428571431</v>
      </c>
      <c r="D10" s="49">
        <f>AVERAGE('22.07 MAKERERE-BWAISE'!D10,'23.07 Makerere-Bwaise'!D10,'24.07 Makerere-Bwaise'!D10,'25.07 Makerere-Bwaise'!D10,'26.07 Makerere-Bwaise-24h'!D10,'27.07 Makerere-Bwaise-24h'!D10,'28.07 Makerere-Bwaise'!D10)</f>
        <v>5.2857142857142856</v>
      </c>
      <c r="E10" s="49">
        <f>AVERAGE('22.07 MAKERERE-BWAISE'!E10,'23.07 Makerere-Bwaise'!E10,'24.07 Makerere-Bwaise'!E10,'25.07 Makerere-Bwaise'!E10,'26.07 Makerere-Bwaise-24h'!E10,'27.07 Makerere-Bwaise-24h'!E10,'28.07 Makerere-Bwaise'!E10)</f>
        <v>3.5714285714285716</v>
      </c>
      <c r="F10" s="49">
        <f>AVERAGE('22.07 MAKERERE-BWAISE'!F10,'23.07 Makerere-Bwaise'!F10,'24.07 Makerere-Bwaise'!F10,'25.07 Makerere-Bwaise'!F10,'26.07 Makerere-Bwaise-24h'!F10,'27.07 Makerere-Bwaise-24h'!F10,'28.07 Makerere-Bwaise'!F10)</f>
        <v>41</v>
      </c>
      <c r="G10" s="49">
        <f>AVERAGE('22.07 MAKERERE-BWAISE'!G10,'23.07 Makerere-Bwaise'!G10,'24.07 Makerere-Bwaise'!G10,'25.07 Makerere-Bwaise'!G10,'26.07 Makerere-Bwaise-24h'!G10,'27.07 Makerere-Bwaise-24h'!G10,'28.07 Makerere-Bwaise'!G10)</f>
        <v>1.1428571428571428</v>
      </c>
      <c r="H10" s="49">
        <f>AVERAGE('22.07 MAKERERE-BWAISE'!H10,'23.07 Makerere-Bwaise'!H10,'24.07 Makerere-Bwaise'!H10,'25.07 Makerere-Bwaise'!H10,'26.07 Makerere-Bwaise-24h'!H10,'27.07 Makerere-Bwaise-24h'!H10,'28.07 Makerere-Bwaise'!H10)</f>
        <v>0.8571428571428571</v>
      </c>
      <c r="I10" s="49">
        <f>AVERAGE('22.07 MAKERERE-BWAISE'!I10,'23.07 Makerere-Bwaise'!I10,'24.07 Makerere-Bwaise'!I10,'25.07 Makerere-Bwaise'!I10,'26.07 Makerere-Bwaise-24h'!I10,'27.07 Makerere-Bwaise-24h'!I10,'28.07 Makerere-Bwaise'!I10)</f>
        <v>4.4285714285714288</v>
      </c>
      <c r="J10" s="49">
        <f>AVERAGE('22.07 MAKERERE-BWAISE'!J10,'23.07 Makerere-Bwaise'!J10,'24.07 Makerere-Bwaise'!J10,'25.07 Makerere-Bwaise'!J10,'26.07 Makerere-Bwaise-24h'!J10,'27.07 Makerere-Bwaise-24h'!J10,'28.07 Makerere-Bwaise'!J10)</f>
        <v>1.7142857142857142</v>
      </c>
      <c r="K10" s="49">
        <f>AVERAGE('22.07 MAKERERE-BWAISE'!K10,'23.07 Makerere-Bwaise'!K10,'24.07 Makerere-Bwaise'!K10,'25.07 Makerere-Bwaise'!K10,'26.07 Makerere-Bwaise-24h'!K10,'27.07 Makerere-Bwaise-24h'!K10,'28.07 Makerere-Bwaise'!K10)</f>
        <v>0.7142857142857143</v>
      </c>
      <c r="L10" s="49">
        <f>AVERAGE('22.07 MAKERERE-BWAISE'!L10,'23.07 Makerere-Bwaise'!L10,'24.07 Makerere-Bwaise'!L10,'25.07 Makerere-Bwaise'!L10,'26.07 Makerere-Bwaise-24h'!L10,'27.07 Makerere-Bwaise-24h'!L10,'28.07 Makerere-Bwaise'!L10)</f>
        <v>0.2857142857142857</v>
      </c>
      <c r="M10" s="49">
        <f>AVERAGE('22.07 MAKERERE-BWAISE'!M10,'23.07 Makerere-Bwaise'!M10,'24.07 Makerere-Bwaise'!M10,'25.07 Makerere-Bwaise'!M10,'26.07 Makerere-Bwaise-24h'!M10,'27.07 Makerere-Bwaise-24h'!M10,'28.07 Makerere-Bwaise'!M10)</f>
        <v>104.57142857142857</v>
      </c>
      <c r="N10" s="49">
        <f>AVERAGE('22.07 MAKERERE-BWAISE'!N10,'23.07 Makerere-Bwaise'!N10,'24.07 Makerere-Bwaise'!N10,'25.07 Makerere-Bwaise'!N10,'26.07 Makerere-Bwaise-24h'!N10,'27.07 Makerere-Bwaise-24h'!N10,'28.07 Makerere-Bwaise'!N10)</f>
        <v>0</v>
      </c>
      <c r="O10" s="15">
        <f t="shared" ref="O10:O73" si="0">SUM(C10:L10,N10)</f>
        <v>91.428571428571416</v>
      </c>
      <c r="P10" s="15">
        <f t="shared" ref="P10:P73" si="1">SUM(C10:N10)</f>
        <v>196</v>
      </c>
      <c r="R10" s="1" t="s">
        <v>6</v>
      </c>
      <c r="S10" s="17">
        <f t="shared" ref="S10:AF10" si="2">SUM(C10:C13)</f>
        <v>119</v>
      </c>
      <c r="T10" s="17">
        <f t="shared" si="2"/>
        <v>24.285714285714285</v>
      </c>
      <c r="U10" s="17">
        <f t="shared" si="2"/>
        <v>10.571428571428573</v>
      </c>
      <c r="V10" s="17">
        <f t="shared" si="2"/>
        <v>156.28571428571428</v>
      </c>
      <c r="W10" s="17">
        <f t="shared" si="2"/>
        <v>4.9047619047619042</v>
      </c>
      <c r="X10" s="17">
        <f t="shared" si="2"/>
        <v>3.8571428571428568</v>
      </c>
      <c r="Y10" s="17">
        <f t="shared" si="2"/>
        <v>17.285714285714285</v>
      </c>
      <c r="Z10" s="17">
        <f t="shared" si="2"/>
        <v>7.1428571428571423</v>
      </c>
      <c r="AA10" s="17">
        <f t="shared" si="2"/>
        <v>3.2857142857142851</v>
      </c>
      <c r="AB10" s="17">
        <f t="shared" si="2"/>
        <v>1.5714285714285712</v>
      </c>
      <c r="AC10" s="17">
        <f t="shared" si="2"/>
        <v>548.71428571428578</v>
      </c>
      <c r="AD10" s="17">
        <f t="shared" si="2"/>
        <v>0.14285714285714285</v>
      </c>
      <c r="AE10" s="31">
        <f t="shared" si="2"/>
        <v>348.33333333333331</v>
      </c>
      <c r="AF10" s="31">
        <f t="shared" si="2"/>
        <v>897.04761904761904</v>
      </c>
    </row>
    <row r="11" spans="2:32" s="6" customFormat="1" ht="23.1" customHeight="1" x14ac:dyDescent="0.25">
      <c r="B11" s="23" t="s">
        <v>38</v>
      </c>
      <c r="C11" s="49">
        <f>AVERAGE('22.07 MAKERERE-BWAISE'!C11,'23.07 Makerere-Bwaise'!C11,'24.07 Makerere-Bwaise'!C11,'25.07 Makerere-Bwaise'!C11,'26.07 Makerere-Bwaise-24h'!C11,'27.07 Makerere-Bwaise-24h'!C11,'28.07 Makerere-Bwaise'!C11)</f>
        <v>29.142857142857142</v>
      </c>
      <c r="D11" s="49">
        <f>AVERAGE('22.07 MAKERERE-BWAISE'!D11,'23.07 Makerere-Bwaise'!D11,'24.07 Makerere-Bwaise'!D11,'25.07 Makerere-Bwaise'!D11,'26.07 Makerere-Bwaise-24h'!D11,'27.07 Makerere-Bwaise-24h'!D11,'28.07 Makerere-Bwaise'!D11)</f>
        <v>6.5714285714285712</v>
      </c>
      <c r="E11" s="49">
        <f>AVERAGE('22.07 MAKERERE-BWAISE'!E11,'23.07 Makerere-Bwaise'!E11,'24.07 Makerere-Bwaise'!E11,'25.07 Makerere-Bwaise'!E11,'26.07 Makerere-Bwaise-24h'!E11,'27.07 Makerere-Bwaise-24h'!E11,'28.07 Makerere-Bwaise'!E11)</f>
        <v>2.1428571428571428</v>
      </c>
      <c r="F11" s="49">
        <f>AVERAGE('22.07 MAKERERE-BWAISE'!F11,'23.07 Makerere-Bwaise'!F11,'24.07 Makerere-Bwaise'!F11,'25.07 Makerere-Bwaise'!F11,'26.07 Makerere-Bwaise-24h'!F11,'27.07 Makerere-Bwaise-24h'!F11,'28.07 Makerere-Bwaise'!F11)</f>
        <v>29.285714285714285</v>
      </c>
      <c r="G11" s="49">
        <f>AVERAGE('22.07 MAKERERE-BWAISE'!G11,'23.07 Makerere-Bwaise'!G11,'24.07 Makerere-Bwaise'!G11,'25.07 Makerere-Bwaise'!G11,'26.07 Makerere-Bwaise-24h'!G11,'27.07 Makerere-Bwaise-24h'!G11,'28.07 Makerere-Bwaise'!G11)</f>
        <v>1.8571428571428572</v>
      </c>
      <c r="H11" s="49">
        <f>AVERAGE('22.07 MAKERERE-BWAISE'!H11,'23.07 Makerere-Bwaise'!H11,'24.07 Makerere-Bwaise'!H11,'25.07 Makerere-Bwaise'!H11,'26.07 Makerere-Bwaise-24h'!H11,'27.07 Makerere-Bwaise-24h'!H11,'28.07 Makerere-Bwaise'!H11)</f>
        <v>2.1428571428571428</v>
      </c>
      <c r="I11" s="49">
        <f>AVERAGE('22.07 MAKERERE-BWAISE'!I11,'23.07 Makerere-Bwaise'!I11,'24.07 Makerere-Bwaise'!I11,'25.07 Makerere-Bwaise'!I11,'26.07 Makerere-Bwaise-24h'!I11,'27.07 Makerere-Bwaise-24h'!I11,'28.07 Makerere-Bwaise'!I11)</f>
        <v>2.2857142857142856</v>
      </c>
      <c r="J11" s="49">
        <f>AVERAGE('22.07 MAKERERE-BWAISE'!J11,'23.07 Makerere-Bwaise'!J11,'24.07 Makerere-Bwaise'!J11,'25.07 Makerere-Bwaise'!J11,'26.07 Makerere-Bwaise-24h'!J11,'27.07 Makerere-Bwaise-24h'!J11,'28.07 Makerere-Bwaise'!J11)</f>
        <v>1.8571428571428572</v>
      </c>
      <c r="K11" s="49">
        <f>AVERAGE('22.07 MAKERERE-BWAISE'!K11,'23.07 Makerere-Bwaise'!K11,'24.07 Makerere-Bwaise'!K11,'25.07 Makerere-Bwaise'!K11,'26.07 Makerere-Bwaise-24h'!K11,'27.07 Makerere-Bwaise-24h'!K11,'28.07 Makerere-Bwaise'!K11)</f>
        <v>0.5714285714285714</v>
      </c>
      <c r="L11" s="49">
        <f>AVERAGE('22.07 MAKERERE-BWAISE'!L11,'23.07 Makerere-Bwaise'!L11,'24.07 Makerere-Bwaise'!L11,'25.07 Makerere-Bwaise'!L11,'26.07 Makerere-Bwaise-24h'!L11,'27.07 Makerere-Bwaise-24h'!L11,'28.07 Makerere-Bwaise'!L11)</f>
        <v>0.5714285714285714</v>
      </c>
      <c r="M11" s="49">
        <f>AVERAGE('22.07 MAKERERE-BWAISE'!M11,'23.07 Makerere-Bwaise'!M11,'24.07 Makerere-Bwaise'!M11,'25.07 Makerere-Bwaise'!M11,'26.07 Makerere-Bwaise-24h'!M11,'27.07 Makerere-Bwaise-24h'!M11,'28.07 Makerere-Bwaise'!M11)</f>
        <v>125.71428571428571</v>
      </c>
      <c r="N11" s="49">
        <f>AVERAGE('22.07 MAKERERE-BWAISE'!N11,'23.07 Makerere-Bwaise'!N11,'24.07 Makerere-Bwaise'!N11,'25.07 Makerere-Bwaise'!N11,'26.07 Makerere-Bwaise-24h'!N11,'27.07 Makerere-Bwaise-24h'!N11,'28.07 Makerere-Bwaise'!N11)</f>
        <v>0.14285714285714285</v>
      </c>
      <c r="O11" s="15">
        <f t="shared" si="0"/>
        <v>76.571428571428569</v>
      </c>
      <c r="P11" s="15">
        <f t="shared" si="1"/>
        <v>202.28571428571428</v>
      </c>
      <c r="R11" s="1" t="s">
        <v>7</v>
      </c>
      <c r="S11" s="17">
        <f t="shared" ref="S11:AF11" si="3">SUM(C14:C17)</f>
        <v>103.14285714285715</v>
      </c>
      <c r="T11" s="17">
        <f t="shared" si="3"/>
        <v>55.857142857142854</v>
      </c>
      <c r="U11" s="17">
        <f t="shared" si="3"/>
        <v>15.428571428571431</v>
      </c>
      <c r="V11" s="17">
        <f t="shared" si="3"/>
        <v>177.57142857142856</v>
      </c>
      <c r="W11" s="17">
        <f t="shared" si="3"/>
        <v>5.7142857142857144</v>
      </c>
      <c r="X11" s="17">
        <f t="shared" si="3"/>
        <v>11.714285714285714</v>
      </c>
      <c r="Y11" s="17">
        <f t="shared" si="3"/>
        <v>9.7142857142857153</v>
      </c>
      <c r="Z11" s="17">
        <f t="shared" si="3"/>
        <v>5.2857142857142856</v>
      </c>
      <c r="AA11" s="17">
        <f t="shared" si="3"/>
        <v>3.7142857142857144</v>
      </c>
      <c r="AB11" s="17">
        <f t="shared" si="3"/>
        <v>2.714285714285714</v>
      </c>
      <c r="AC11" s="17">
        <f t="shared" si="3"/>
        <v>950.85714285714289</v>
      </c>
      <c r="AD11" s="17">
        <f t="shared" si="3"/>
        <v>0</v>
      </c>
      <c r="AE11" s="31">
        <f t="shared" si="3"/>
        <v>390.85714285714289</v>
      </c>
      <c r="AF11" s="31">
        <f t="shared" si="3"/>
        <v>1341.7142857142858</v>
      </c>
    </row>
    <row r="12" spans="2:32" ht="23.1" customHeight="1" x14ac:dyDescent="0.25">
      <c r="B12" s="23" t="s">
        <v>39</v>
      </c>
      <c r="C12" s="49">
        <f>AVERAGE('22.07 MAKERERE-BWAISE'!C12,'23.07 Makerere-Bwaise'!C12,'24.07 Makerere-Bwaise'!C12,'25.07 Makerere-Bwaise'!C12,'26.07 Makerere-Bwaise-24h'!C12,'27.07 Makerere-Bwaise-24h'!C12,'28.07 Makerere-Bwaise'!C12)</f>
        <v>30.571428571428573</v>
      </c>
      <c r="D12" s="49">
        <f>AVERAGE('22.07 MAKERERE-BWAISE'!D12,'23.07 Makerere-Bwaise'!D12,'24.07 Makerere-Bwaise'!D12,'25.07 Makerere-Bwaise'!D12,'26.07 Makerere-Bwaise-24h'!D12,'27.07 Makerere-Bwaise-24h'!D12,'28.07 Makerere-Bwaise'!D12)</f>
        <v>6.4285714285714288</v>
      </c>
      <c r="E12" s="49">
        <f>AVERAGE('22.07 MAKERERE-BWAISE'!E12,'23.07 Makerere-Bwaise'!E12,'24.07 Makerere-Bwaise'!E12,'25.07 Makerere-Bwaise'!E12,'26.07 Makerere-Bwaise-24h'!E12,'27.07 Makerere-Bwaise-24h'!E12,'28.07 Makerere-Bwaise'!E12)</f>
        <v>2.1428571428571428</v>
      </c>
      <c r="F12" s="49">
        <f>AVERAGE('22.07 MAKERERE-BWAISE'!F12,'23.07 Makerere-Bwaise'!F12,'24.07 Makerere-Bwaise'!F12,'25.07 Makerere-Bwaise'!F12,'26.07 Makerere-Bwaise-24h'!F12,'27.07 Makerere-Bwaise-24h'!F12,'28.07 Makerere-Bwaise'!F12)</f>
        <v>46</v>
      </c>
      <c r="G12" s="49">
        <f>AVERAGE('22.07 MAKERERE-BWAISE'!G12,'23.07 Makerere-Bwaise'!G12,'24.07 Makerere-Bwaise'!G12,'25.07 Makerere-Bwaise'!G12,'26.07 Makerere-Bwaise-24h'!G12,'27.07 Makerere-Bwaise-24h'!G12,'28.07 Makerere-Bwaise'!G12)</f>
        <v>1.5714285714285714</v>
      </c>
      <c r="H12" s="49">
        <f>AVERAGE('22.07 MAKERERE-BWAISE'!H12,'23.07 Makerere-Bwaise'!H12,'24.07 Makerere-Bwaise'!H12,'25.07 Makerere-Bwaise'!H12,'26.07 Makerere-Bwaise-24h'!H12,'27.07 Makerere-Bwaise-24h'!H12,'28.07 Makerere-Bwaise'!H12)</f>
        <v>0.42857142857142855</v>
      </c>
      <c r="I12" s="49">
        <f>AVERAGE('22.07 MAKERERE-BWAISE'!I12,'23.07 Makerere-Bwaise'!I12,'24.07 Makerere-Bwaise'!I12,'25.07 Makerere-Bwaise'!I12,'26.07 Makerere-Bwaise-24h'!I12,'27.07 Makerere-Bwaise-24h'!I12,'28.07 Makerere-Bwaise'!I12)</f>
        <v>8.2857142857142865</v>
      </c>
      <c r="J12" s="49">
        <f>AVERAGE('22.07 MAKERERE-BWAISE'!J12,'23.07 Makerere-Bwaise'!J12,'24.07 Makerere-Bwaise'!J12,'25.07 Makerere-Bwaise'!J12,'26.07 Makerere-Bwaise-24h'!J12,'27.07 Makerere-Bwaise-24h'!J12,'28.07 Makerere-Bwaise'!J12)</f>
        <v>1.7142857142857142</v>
      </c>
      <c r="K12" s="49">
        <f>AVERAGE('22.07 MAKERERE-BWAISE'!K12,'23.07 Makerere-Bwaise'!K12,'24.07 Makerere-Bwaise'!K12,'25.07 Makerere-Bwaise'!K12,'26.07 Makerere-Bwaise-24h'!K12,'27.07 Makerere-Bwaise-24h'!K12,'28.07 Makerere-Bwaise'!K12)</f>
        <v>1.5714285714285714</v>
      </c>
      <c r="L12" s="49">
        <f>AVERAGE('22.07 MAKERERE-BWAISE'!L12,'23.07 Makerere-Bwaise'!L12,'24.07 Makerere-Bwaise'!L12,'25.07 Makerere-Bwaise'!L12,'26.07 Makerere-Bwaise-24h'!L12,'27.07 Makerere-Bwaise-24h'!L12,'28.07 Makerere-Bwaise'!L12)</f>
        <v>0.42857142857142855</v>
      </c>
      <c r="M12" s="49">
        <f>AVERAGE('22.07 MAKERERE-BWAISE'!M12,'23.07 Makerere-Bwaise'!M12,'24.07 Makerere-Bwaise'!M12,'25.07 Makerere-Bwaise'!M12,'26.07 Makerere-Bwaise-24h'!M12,'27.07 Makerere-Bwaise-24h'!M12,'28.07 Makerere-Bwaise'!M12)</f>
        <v>148.57142857142858</v>
      </c>
      <c r="N12" s="49">
        <f>AVERAGE('22.07 MAKERERE-BWAISE'!N12,'23.07 Makerere-Bwaise'!N12,'24.07 Makerere-Bwaise'!N12,'25.07 Makerere-Bwaise'!N12,'26.07 Makerere-Bwaise-24h'!N12,'27.07 Makerere-Bwaise-24h'!N12,'28.07 Makerere-Bwaise'!N12)</f>
        <v>0</v>
      </c>
      <c r="O12" s="15">
        <f t="shared" si="0"/>
        <v>99.142857142857139</v>
      </c>
      <c r="P12" s="15">
        <f t="shared" si="1"/>
        <v>247.71428571428572</v>
      </c>
      <c r="R12" s="1" t="s">
        <v>8</v>
      </c>
      <c r="S12" s="17">
        <f t="shared" ref="S12:AF12" si="4">SUM(C18:C21)</f>
        <v>114.85714285714286</v>
      </c>
      <c r="T12" s="17">
        <f t="shared" si="4"/>
        <v>31.428571428571431</v>
      </c>
      <c r="U12" s="17">
        <f t="shared" si="4"/>
        <v>14</v>
      </c>
      <c r="V12" s="17">
        <f t="shared" si="4"/>
        <v>264</v>
      </c>
      <c r="W12" s="17">
        <f t="shared" si="4"/>
        <v>9.4285714285714288</v>
      </c>
      <c r="X12" s="17">
        <f t="shared" si="4"/>
        <v>2.4285714285714284</v>
      </c>
      <c r="Y12" s="17">
        <f t="shared" si="4"/>
        <v>13.142857142857142</v>
      </c>
      <c r="Z12" s="17">
        <f t="shared" si="4"/>
        <v>9</v>
      </c>
      <c r="AA12" s="17">
        <f t="shared" si="4"/>
        <v>2.2857142857142856</v>
      </c>
      <c r="AB12" s="17">
        <f t="shared" si="4"/>
        <v>2.1428571428571423</v>
      </c>
      <c r="AC12" s="17">
        <f t="shared" si="4"/>
        <v>713.85714285714289</v>
      </c>
      <c r="AD12" s="17">
        <f t="shared" si="4"/>
        <v>0</v>
      </c>
      <c r="AE12" s="31">
        <f t="shared" si="4"/>
        <v>462.71428571428567</v>
      </c>
      <c r="AF12" s="31">
        <f t="shared" si="4"/>
        <v>1176.5714285714284</v>
      </c>
    </row>
    <row r="13" spans="2:32" ht="23.1" customHeight="1" x14ac:dyDescent="0.25">
      <c r="B13" s="23" t="s">
        <v>40</v>
      </c>
      <c r="C13" s="49">
        <f>AVERAGE('22.07 MAKERERE-BWAISE'!C13,'23.07 Makerere-Bwaise'!C13,'24.07 Makerere-Bwaise'!C13,'25.07 Makerere-Bwaise'!C13,'26.07 Makerere-Bwaise-24h'!C13,'27.07 Makerere-Bwaise-24h'!C13,'28.07 Makerere-Bwaise'!C13)</f>
        <v>26.857142857142858</v>
      </c>
      <c r="D13" s="49">
        <f>AVERAGE('22.07 MAKERERE-BWAISE'!D13,'23.07 Makerere-Bwaise'!D13,'24.07 Makerere-Bwaise'!D13,'25.07 Makerere-Bwaise'!D13,'26.07 Makerere-Bwaise-24h'!D13,'27.07 Makerere-Bwaise-24h'!D13,'28.07 Makerere-Bwaise'!D13)</f>
        <v>6</v>
      </c>
      <c r="E13" s="49">
        <f>AVERAGE('22.07 MAKERERE-BWAISE'!E13,'23.07 Makerere-Bwaise'!E13,'24.07 Makerere-Bwaise'!E13,'25.07 Makerere-Bwaise'!E13,'26.07 Makerere-Bwaise-24h'!E13,'27.07 Makerere-Bwaise-24h'!E13,'28.07 Makerere-Bwaise'!E13)</f>
        <v>2.7142857142857144</v>
      </c>
      <c r="F13" s="49">
        <f>AVERAGE('22.07 MAKERERE-BWAISE'!F13,'23.07 Makerere-Bwaise'!F13,'24.07 Makerere-Bwaise'!F13,'25.07 Makerere-Bwaise'!F13,'26.07 Makerere-Bwaise-24h'!F13,'27.07 Makerere-Bwaise-24h'!F13,'28.07 Makerere-Bwaise'!F13)</f>
        <v>40</v>
      </c>
      <c r="G13" s="49">
        <f>AVERAGE('22.07 MAKERERE-BWAISE'!G13,'23.07 Makerere-Bwaise'!G13,'24.07 Makerere-Bwaise'!G13,'25.07 Makerere-Bwaise'!G13,'26.07 Makerere-Bwaise-24h'!G13,'27.07 Makerere-Bwaise-24h'!G13,'28.07 Makerere-Bwaise'!G13)</f>
        <v>0.33333333333333331</v>
      </c>
      <c r="H13" s="49">
        <f>AVERAGE('22.07 MAKERERE-BWAISE'!H13,'23.07 Makerere-Bwaise'!H13,'24.07 Makerere-Bwaise'!H13,'25.07 Makerere-Bwaise'!H13,'26.07 Makerere-Bwaise-24h'!H13,'27.07 Makerere-Bwaise-24h'!H13,'28.07 Makerere-Bwaise'!H13)</f>
        <v>0.42857142857142855</v>
      </c>
      <c r="I13" s="49">
        <f>AVERAGE('22.07 MAKERERE-BWAISE'!I13,'23.07 Makerere-Bwaise'!I13,'24.07 Makerere-Bwaise'!I13,'25.07 Makerere-Bwaise'!I13,'26.07 Makerere-Bwaise-24h'!I13,'27.07 Makerere-Bwaise-24h'!I13,'28.07 Makerere-Bwaise'!I13)</f>
        <v>2.2857142857142856</v>
      </c>
      <c r="J13" s="49">
        <f>AVERAGE('22.07 MAKERERE-BWAISE'!J13,'23.07 Makerere-Bwaise'!J13,'24.07 Makerere-Bwaise'!J13,'25.07 Makerere-Bwaise'!J13,'26.07 Makerere-Bwaise-24h'!J13,'27.07 Makerere-Bwaise-24h'!J13,'28.07 Makerere-Bwaise'!J13)</f>
        <v>1.8571428571428572</v>
      </c>
      <c r="K13" s="49">
        <f>AVERAGE('22.07 MAKERERE-BWAISE'!K13,'23.07 Makerere-Bwaise'!K13,'24.07 Makerere-Bwaise'!K13,'25.07 Makerere-Bwaise'!K13,'26.07 Makerere-Bwaise-24h'!K13,'27.07 Makerere-Bwaise-24h'!K13,'28.07 Makerere-Bwaise'!K13)</f>
        <v>0.42857142857142855</v>
      </c>
      <c r="L13" s="49">
        <f>AVERAGE('22.07 MAKERERE-BWAISE'!L13,'23.07 Makerere-Bwaise'!L13,'24.07 Makerere-Bwaise'!L13,'25.07 Makerere-Bwaise'!L13,'26.07 Makerere-Bwaise-24h'!L13,'27.07 Makerere-Bwaise-24h'!L13,'28.07 Makerere-Bwaise'!L13)</f>
        <v>0.2857142857142857</v>
      </c>
      <c r="M13" s="49">
        <f>AVERAGE('22.07 MAKERERE-BWAISE'!M13,'23.07 Makerere-Bwaise'!M13,'24.07 Makerere-Bwaise'!M13,'25.07 Makerere-Bwaise'!M13,'26.07 Makerere-Bwaise-24h'!M13,'27.07 Makerere-Bwaise-24h'!M13,'28.07 Makerere-Bwaise'!M13)</f>
        <v>169.85714285714286</v>
      </c>
      <c r="N13" s="49">
        <f>AVERAGE('22.07 MAKERERE-BWAISE'!N13,'23.07 Makerere-Bwaise'!N13,'24.07 Makerere-Bwaise'!N13,'25.07 Makerere-Bwaise'!N13,'26.07 Makerere-Bwaise-24h'!N13,'27.07 Makerere-Bwaise-24h'!N13,'28.07 Makerere-Bwaise'!N13)</f>
        <v>0</v>
      </c>
      <c r="O13" s="15">
        <f t="shared" si="0"/>
        <v>81.190476190476218</v>
      </c>
      <c r="P13" s="15">
        <f t="shared" si="1"/>
        <v>251.04761904761909</v>
      </c>
      <c r="R13" s="1" t="s">
        <v>9</v>
      </c>
      <c r="S13" s="17">
        <f t="shared" ref="S13:AF13" si="5">SUM(C22:C25)</f>
        <v>133.71428571428569</v>
      </c>
      <c r="T13" s="17">
        <f t="shared" si="5"/>
        <v>39.428571428571431</v>
      </c>
      <c r="U13" s="17">
        <f t="shared" si="5"/>
        <v>16</v>
      </c>
      <c r="V13" s="17">
        <f t="shared" si="5"/>
        <v>181.99999999999997</v>
      </c>
      <c r="W13" s="17">
        <f t="shared" si="5"/>
        <v>3.4285714285714284</v>
      </c>
      <c r="X13" s="17">
        <f t="shared" si="5"/>
        <v>2.5714285714285712</v>
      </c>
      <c r="Y13" s="17">
        <f t="shared" si="5"/>
        <v>12.714285714285715</v>
      </c>
      <c r="Z13" s="17">
        <f t="shared" si="5"/>
        <v>15</v>
      </c>
      <c r="AA13" s="17">
        <f t="shared" si="5"/>
        <v>3.4285714285714288</v>
      </c>
      <c r="AB13" s="17">
        <f t="shared" si="5"/>
        <v>3.2857142857142856</v>
      </c>
      <c r="AC13" s="17">
        <f t="shared" si="5"/>
        <v>729.14285714285711</v>
      </c>
      <c r="AD13" s="17">
        <f t="shared" si="5"/>
        <v>0.16666666666666666</v>
      </c>
      <c r="AE13" s="31">
        <f t="shared" si="5"/>
        <v>411.73809523809524</v>
      </c>
      <c r="AF13" s="31">
        <f t="shared" si="5"/>
        <v>1140.8809523809525</v>
      </c>
    </row>
    <row r="14" spans="2:32" ht="23.1" customHeight="1" x14ac:dyDescent="0.25">
      <c r="B14" s="23" t="s">
        <v>41</v>
      </c>
      <c r="C14" s="49">
        <f>AVERAGE('22.07 MAKERERE-BWAISE'!C14,'23.07 Makerere-Bwaise'!C14,'24.07 Makerere-Bwaise'!C14,'25.07 Makerere-Bwaise'!C14,'26.07 Makerere-Bwaise-24h'!C14,'27.07 Makerere-Bwaise-24h'!C14,'28.07 Makerere-Bwaise'!C14)</f>
        <v>27.714285714285715</v>
      </c>
      <c r="D14" s="49">
        <f>AVERAGE('22.07 MAKERERE-BWAISE'!D14,'23.07 Makerere-Bwaise'!D14,'24.07 Makerere-Bwaise'!D14,'25.07 Makerere-Bwaise'!D14,'26.07 Makerere-Bwaise-24h'!D14,'27.07 Makerere-Bwaise-24h'!D14,'28.07 Makerere-Bwaise'!D14)</f>
        <v>7.1428571428571432</v>
      </c>
      <c r="E14" s="49">
        <f>AVERAGE('22.07 MAKERERE-BWAISE'!E14,'23.07 Makerere-Bwaise'!E14,'24.07 Makerere-Bwaise'!E14,'25.07 Makerere-Bwaise'!E14,'26.07 Makerere-Bwaise-24h'!E14,'27.07 Makerere-Bwaise-24h'!E14,'28.07 Makerere-Bwaise'!E14)</f>
        <v>2.1428571428571428</v>
      </c>
      <c r="F14" s="49">
        <f>AVERAGE('22.07 MAKERERE-BWAISE'!F14,'23.07 Makerere-Bwaise'!F14,'24.07 Makerere-Bwaise'!F14,'25.07 Makerere-Bwaise'!F14,'26.07 Makerere-Bwaise-24h'!F14,'27.07 Makerere-Bwaise-24h'!F14,'28.07 Makerere-Bwaise'!F14)</f>
        <v>44.857142857142854</v>
      </c>
      <c r="G14" s="49">
        <f>AVERAGE('22.07 MAKERERE-BWAISE'!G14,'23.07 Makerere-Bwaise'!G14,'24.07 Makerere-Bwaise'!G14,'25.07 Makerere-Bwaise'!G14,'26.07 Makerere-Bwaise-24h'!G14,'27.07 Makerere-Bwaise-24h'!G14,'28.07 Makerere-Bwaise'!G14)</f>
        <v>1.5714285714285714</v>
      </c>
      <c r="H14" s="49">
        <f>AVERAGE('22.07 MAKERERE-BWAISE'!H14,'23.07 Makerere-Bwaise'!H14,'24.07 Makerere-Bwaise'!H14,'25.07 Makerere-Bwaise'!H14,'26.07 Makerere-Bwaise-24h'!H14,'27.07 Makerere-Bwaise-24h'!H14,'28.07 Makerere-Bwaise'!H14)</f>
        <v>0.8571428571428571</v>
      </c>
      <c r="I14" s="49">
        <f>AVERAGE('22.07 MAKERERE-BWAISE'!I14,'23.07 Makerere-Bwaise'!I14,'24.07 Makerere-Bwaise'!I14,'25.07 Makerere-Bwaise'!I14,'26.07 Makerere-Bwaise-24h'!I14,'27.07 Makerere-Bwaise-24h'!I14,'28.07 Makerere-Bwaise'!I14)</f>
        <v>1.8571428571428572</v>
      </c>
      <c r="J14" s="49">
        <f>AVERAGE('22.07 MAKERERE-BWAISE'!J14,'23.07 Makerere-Bwaise'!J14,'24.07 Makerere-Bwaise'!J14,'25.07 Makerere-Bwaise'!J14,'26.07 Makerere-Bwaise-24h'!J14,'27.07 Makerere-Bwaise-24h'!J14,'28.07 Makerere-Bwaise'!J14)</f>
        <v>1.4285714285714286</v>
      </c>
      <c r="K14" s="49">
        <f>AVERAGE('22.07 MAKERERE-BWAISE'!K14,'23.07 Makerere-Bwaise'!K14,'24.07 Makerere-Bwaise'!K14,'25.07 Makerere-Bwaise'!K14,'26.07 Makerere-Bwaise-24h'!K14,'27.07 Makerere-Bwaise-24h'!K14,'28.07 Makerere-Bwaise'!K14)</f>
        <v>1</v>
      </c>
      <c r="L14" s="49">
        <f>AVERAGE('22.07 MAKERERE-BWAISE'!L14,'23.07 Makerere-Bwaise'!L14,'24.07 Makerere-Bwaise'!L14,'25.07 Makerere-Bwaise'!L14,'26.07 Makerere-Bwaise-24h'!L14,'27.07 Makerere-Bwaise-24h'!L14,'28.07 Makerere-Bwaise'!L14)</f>
        <v>0.42857142857142855</v>
      </c>
      <c r="M14" s="49">
        <f>AVERAGE('22.07 MAKERERE-BWAISE'!M14,'23.07 Makerere-Bwaise'!M14,'24.07 Makerere-Bwaise'!M14,'25.07 Makerere-Bwaise'!M14,'26.07 Makerere-Bwaise-24h'!M14,'27.07 Makerere-Bwaise-24h'!M14,'28.07 Makerere-Bwaise'!M14)</f>
        <v>196.14285714285714</v>
      </c>
      <c r="N14" s="49">
        <f>AVERAGE('22.07 MAKERERE-BWAISE'!N14,'23.07 Makerere-Bwaise'!N14,'24.07 Makerere-Bwaise'!N14,'25.07 Makerere-Bwaise'!N14,'26.07 Makerere-Bwaise-24h'!N14,'27.07 Makerere-Bwaise-24h'!N14,'28.07 Makerere-Bwaise'!N14)</f>
        <v>0</v>
      </c>
      <c r="O14" s="15">
        <f t="shared" si="0"/>
        <v>89.000000000000014</v>
      </c>
      <c r="P14" s="15">
        <f t="shared" si="1"/>
        <v>285.14285714285717</v>
      </c>
      <c r="R14" s="1" t="s">
        <v>10</v>
      </c>
      <c r="S14" s="17">
        <f t="shared" ref="S14:AF14" si="6">SUM(C26:C29)</f>
        <v>156.85714285714286</v>
      </c>
      <c r="T14" s="17">
        <f t="shared" si="6"/>
        <v>42.142857142857139</v>
      </c>
      <c r="U14" s="17">
        <f t="shared" si="6"/>
        <v>32.142857142857146</v>
      </c>
      <c r="V14" s="17">
        <f t="shared" si="6"/>
        <v>165.14285714285714</v>
      </c>
      <c r="W14" s="17">
        <f t="shared" si="6"/>
        <v>11.880952380952381</v>
      </c>
      <c r="X14" s="17">
        <f t="shared" si="6"/>
        <v>5.8571428571428568</v>
      </c>
      <c r="Y14" s="17">
        <f t="shared" si="6"/>
        <v>14.714285714285714</v>
      </c>
      <c r="Z14" s="17">
        <f t="shared" si="6"/>
        <v>14.428571428571429</v>
      </c>
      <c r="AA14" s="17">
        <f t="shared" si="6"/>
        <v>4.8571428571428568</v>
      </c>
      <c r="AB14" s="17">
        <f t="shared" si="6"/>
        <v>2.7142857142857144</v>
      </c>
      <c r="AC14" s="17">
        <f t="shared" si="6"/>
        <v>629.57142857142856</v>
      </c>
      <c r="AD14" s="17">
        <f t="shared" si="6"/>
        <v>0.16666666666666666</v>
      </c>
      <c r="AE14" s="31">
        <f t="shared" si="6"/>
        <v>450.90476190476193</v>
      </c>
      <c r="AF14" s="31">
        <f t="shared" si="6"/>
        <v>1080.4761904761904</v>
      </c>
    </row>
    <row r="15" spans="2:32" ht="23.1" customHeight="1" x14ac:dyDescent="0.25">
      <c r="B15" s="23" t="s">
        <v>42</v>
      </c>
      <c r="C15" s="49">
        <f>AVERAGE('22.07 MAKERERE-BWAISE'!C15,'23.07 Makerere-Bwaise'!C15,'24.07 Makerere-Bwaise'!C15,'25.07 Makerere-Bwaise'!C15,'26.07 Makerere-Bwaise-24h'!C15,'27.07 Makerere-Bwaise-24h'!C15,'28.07 Makerere-Bwaise'!C15)</f>
        <v>27.571428571428573</v>
      </c>
      <c r="D15" s="49">
        <f>AVERAGE('22.07 MAKERERE-BWAISE'!D15,'23.07 Makerere-Bwaise'!D15,'24.07 Makerere-Bwaise'!D15,'25.07 Makerere-Bwaise'!D15,'26.07 Makerere-Bwaise-24h'!D15,'27.07 Makerere-Bwaise-24h'!D15,'28.07 Makerere-Bwaise'!D15)</f>
        <v>7.4285714285714288</v>
      </c>
      <c r="E15" s="49">
        <f>AVERAGE('22.07 MAKERERE-BWAISE'!E15,'23.07 Makerere-Bwaise'!E15,'24.07 Makerere-Bwaise'!E15,'25.07 Makerere-Bwaise'!E15,'26.07 Makerere-Bwaise-24h'!E15,'27.07 Makerere-Bwaise-24h'!E15,'28.07 Makerere-Bwaise'!E15)</f>
        <v>7.7142857142857144</v>
      </c>
      <c r="F15" s="49">
        <f>AVERAGE('22.07 MAKERERE-BWAISE'!F15,'23.07 Makerere-Bwaise'!F15,'24.07 Makerere-Bwaise'!F15,'25.07 Makerere-Bwaise'!F15,'26.07 Makerere-Bwaise-24h'!F15,'27.07 Makerere-Bwaise-24h'!F15,'28.07 Makerere-Bwaise'!F15)</f>
        <v>40.857142857142854</v>
      </c>
      <c r="G15" s="49">
        <f>AVERAGE('22.07 MAKERERE-BWAISE'!G15,'23.07 Makerere-Bwaise'!G15,'24.07 Makerere-Bwaise'!G15,'25.07 Makerere-Bwaise'!G15,'26.07 Makerere-Bwaise-24h'!G15,'27.07 Makerere-Bwaise-24h'!G15,'28.07 Makerere-Bwaise'!G15)</f>
        <v>1.1428571428571428</v>
      </c>
      <c r="H15" s="49">
        <f>AVERAGE('22.07 MAKERERE-BWAISE'!H15,'23.07 Makerere-Bwaise'!H15,'24.07 Makerere-Bwaise'!H15,'25.07 Makerere-Bwaise'!H15,'26.07 Makerere-Bwaise-24h'!H15,'27.07 Makerere-Bwaise-24h'!H15,'28.07 Makerere-Bwaise'!H15)</f>
        <v>1.2857142857142858</v>
      </c>
      <c r="I15" s="49">
        <f>AVERAGE('22.07 MAKERERE-BWAISE'!I15,'23.07 Makerere-Bwaise'!I15,'24.07 Makerere-Bwaise'!I15,'25.07 Makerere-Bwaise'!I15,'26.07 Makerere-Bwaise-24h'!I15,'27.07 Makerere-Bwaise-24h'!I15,'28.07 Makerere-Bwaise'!I15)</f>
        <v>2.2857142857142856</v>
      </c>
      <c r="J15" s="49">
        <f>AVERAGE('22.07 MAKERERE-BWAISE'!J15,'23.07 Makerere-Bwaise'!J15,'24.07 Makerere-Bwaise'!J15,'25.07 Makerere-Bwaise'!J15,'26.07 Makerere-Bwaise-24h'!J15,'27.07 Makerere-Bwaise-24h'!J15,'28.07 Makerere-Bwaise'!J15)</f>
        <v>0.8571428571428571</v>
      </c>
      <c r="K15" s="49">
        <f>AVERAGE('22.07 MAKERERE-BWAISE'!K15,'23.07 Makerere-Bwaise'!K15,'24.07 Makerere-Bwaise'!K15,'25.07 Makerere-Bwaise'!K15,'26.07 Makerere-Bwaise-24h'!K15,'27.07 Makerere-Bwaise-24h'!K15,'28.07 Makerere-Bwaise'!K15)</f>
        <v>0.8571428571428571</v>
      </c>
      <c r="L15" s="49">
        <f>AVERAGE('22.07 MAKERERE-BWAISE'!L15,'23.07 Makerere-Bwaise'!L15,'24.07 Makerere-Bwaise'!L15,'25.07 Makerere-Bwaise'!L15,'26.07 Makerere-Bwaise-24h'!L15,'27.07 Makerere-Bwaise-24h'!L15,'28.07 Makerere-Bwaise'!L15)</f>
        <v>0.2857142857142857</v>
      </c>
      <c r="M15" s="49">
        <f>AVERAGE('22.07 MAKERERE-BWAISE'!M15,'23.07 Makerere-Bwaise'!M15,'24.07 Makerere-Bwaise'!M15,'25.07 Makerere-Bwaise'!M15,'26.07 Makerere-Bwaise-24h'!M15,'27.07 Makerere-Bwaise-24h'!M15,'28.07 Makerere-Bwaise'!M15)</f>
        <v>188</v>
      </c>
      <c r="N15" s="49">
        <f>AVERAGE('22.07 MAKERERE-BWAISE'!N15,'23.07 Makerere-Bwaise'!N15,'24.07 Makerere-Bwaise'!N15,'25.07 Makerere-Bwaise'!N15,'26.07 Makerere-Bwaise-24h'!N15,'27.07 Makerere-Bwaise-24h'!N15,'28.07 Makerere-Bwaise'!N15)</f>
        <v>0</v>
      </c>
      <c r="O15" s="15">
        <f t="shared" si="0"/>
        <v>90.285714285714306</v>
      </c>
      <c r="P15" s="15">
        <f t="shared" si="1"/>
        <v>278.28571428571433</v>
      </c>
      <c r="R15" s="1" t="s">
        <v>11</v>
      </c>
      <c r="S15" s="17">
        <f t="shared" ref="S15:AF15" si="7">SUM(C30:C33)</f>
        <v>173.85714285714286</v>
      </c>
      <c r="T15" s="17">
        <f t="shared" si="7"/>
        <v>53.714285714285708</v>
      </c>
      <c r="U15" s="17">
        <f t="shared" si="7"/>
        <v>21.285714285714285</v>
      </c>
      <c r="V15" s="17">
        <f t="shared" si="7"/>
        <v>173.71428571428569</v>
      </c>
      <c r="W15" s="17">
        <f t="shared" si="7"/>
        <v>4.2857142857142856</v>
      </c>
      <c r="X15" s="17">
        <f t="shared" si="7"/>
        <v>4.8571428571428577</v>
      </c>
      <c r="Y15" s="17">
        <f t="shared" si="7"/>
        <v>15.857142857142859</v>
      </c>
      <c r="Z15" s="17">
        <f t="shared" si="7"/>
        <v>13.142857142857142</v>
      </c>
      <c r="AA15" s="17">
        <f t="shared" si="7"/>
        <v>7.1428571428571423</v>
      </c>
      <c r="AB15" s="17">
        <f t="shared" si="7"/>
        <v>1.8571428571428572</v>
      </c>
      <c r="AC15" s="17">
        <f t="shared" si="7"/>
        <v>572.28571428571422</v>
      </c>
      <c r="AD15" s="17">
        <f t="shared" si="7"/>
        <v>0</v>
      </c>
      <c r="AE15" s="31">
        <f t="shared" si="7"/>
        <v>469.71428571428578</v>
      </c>
      <c r="AF15" s="31">
        <f t="shared" si="7"/>
        <v>1042</v>
      </c>
    </row>
    <row r="16" spans="2:32" ht="23.1" customHeight="1" x14ac:dyDescent="0.25">
      <c r="B16" s="23" t="s">
        <v>43</v>
      </c>
      <c r="C16" s="49">
        <f>AVERAGE('22.07 MAKERERE-BWAISE'!C16,'23.07 Makerere-Bwaise'!C16,'24.07 Makerere-Bwaise'!C16,'25.07 Makerere-Bwaise'!C16,'26.07 Makerere-Bwaise-24h'!C16,'27.07 Makerere-Bwaise-24h'!C16,'28.07 Makerere-Bwaise'!C16)</f>
        <v>27.285714285714285</v>
      </c>
      <c r="D16" s="49">
        <f>AVERAGE('22.07 MAKERERE-BWAISE'!D16,'23.07 Makerere-Bwaise'!D16,'24.07 Makerere-Bwaise'!D16,'25.07 Makerere-Bwaise'!D16,'26.07 Makerere-Bwaise-24h'!D16,'27.07 Makerere-Bwaise-24h'!D16,'28.07 Makerere-Bwaise'!D16)</f>
        <v>5.4285714285714288</v>
      </c>
      <c r="E16" s="49">
        <f>AVERAGE('22.07 MAKERERE-BWAISE'!E16,'23.07 Makerere-Bwaise'!E16,'24.07 Makerere-Bwaise'!E16,'25.07 Makerere-Bwaise'!E16,'26.07 Makerere-Bwaise-24h'!E16,'27.07 Makerere-Bwaise-24h'!E16,'28.07 Makerere-Bwaise'!E16)</f>
        <v>2.8571428571428572</v>
      </c>
      <c r="F16" s="49">
        <f>AVERAGE('22.07 MAKERERE-BWAISE'!F16,'23.07 Makerere-Bwaise'!F16,'24.07 Makerere-Bwaise'!F16,'25.07 Makerere-Bwaise'!F16,'26.07 Makerere-Bwaise-24h'!F16,'27.07 Makerere-Bwaise-24h'!F16,'28.07 Makerere-Bwaise'!F16)</f>
        <v>44.285714285714285</v>
      </c>
      <c r="G16" s="49">
        <f>AVERAGE('22.07 MAKERERE-BWAISE'!G16,'23.07 Makerere-Bwaise'!G16,'24.07 Makerere-Bwaise'!G16,'25.07 Makerere-Bwaise'!G16,'26.07 Makerere-Bwaise-24h'!G16,'27.07 Makerere-Bwaise-24h'!G16,'28.07 Makerere-Bwaise'!G16)</f>
        <v>2</v>
      </c>
      <c r="H16" s="49">
        <f>AVERAGE('22.07 MAKERERE-BWAISE'!H16,'23.07 Makerere-Bwaise'!H16,'24.07 Makerere-Bwaise'!H16,'25.07 Makerere-Bwaise'!H16,'26.07 Makerere-Bwaise-24h'!H16,'27.07 Makerere-Bwaise-24h'!H16,'28.07 Makerere-Bwaise'!H16)</f>
        <v>8.4285714285714288</v>
      </c>
      <c r="I16" s="49">
        <f>AVERAGE('22.07 MAKERERE-BWAISE'!I16,'23.07 Makerere-Bwaise'!I16,'24.07 Makerere-Bwaise'!I16,'25.07 Makerere-Bwaise'!I16,'26.07 Makerere-Bwaise-24h'!I16,'27.07 Makerere-Bwaise-24h'!I16,'28.07 Makerere-Bwaise'!I16)</f>
        <v>2.8571428571428572</v>
      </c>
      <c r="J16" s="49">
        <f>AVERAGE('22.07 MAKERERE-BWAISE'!J16,'23.07 Makerere-Bwaise'!J16,'24.07 Makerere-Bwaise'!J16,'25.07 Makerere-Bwaise'!J16,'26.07 Makerere-Bwaise-24h'!J16,'27.07 Makerere-Bwaise-24h'!J16,'28.07 Makerere-Bwaise'!J16)</f>
        <v>2</v>
      </c>
      <c r="K16" s="49">
        <f>AVERAGE('22.07 MAKERERE-BWAISE'!K16,'23.07 Makerere-Bwaise'!K16,'24.07 Makerere-Bwaise'!K16,'25.07 Makerere-Bwaise'!K16,'26.07 Makerere-Bwaise-24h'!K16,'27.07 Makerere-Bwaise-24h'!K16,'28.07 Makerere-Bwaise'!K16)</f>
        <v>1.2857142857142858</v>
      </c>
      <c r="L16" s="49">
        <f>AVERAGE('22.07 MAKERERE-BWAISE'!L16,'23.07 Makerere-Bwaise'!L16,'24.07 Makerere-Bwaise'!L16,'25.07 Makerere-Bwaise'!L16,'26.07 Makerere-Bwaise-24h'!L16,'27.07 Makerere-Bwaise-24h'!L16,'28.07 Makerere-Bwaise'!L16)</f>
        <v>1.1428571428571428</v>
      </c>
      <c r="M16" s="49">
        <f>AVERAGE('22.07 MAKERERE-BWAISE'!M16,'23.07 Makerere-Bwaise'!M16,'24.07 Makerere-Bwaise'!M16,'25.07 Makerere-Bwaise'!M16,'26.07 Makerere-Bwaise-24h'!M16,'27.07 Makerere-Bwaise-24h'!M16,'28.07 Makerere-Bwaise'!M16)</f>
        <v>207.71428571428572</v>
      </c>
      <c r="N16" s="49">
        <f>AVERAGE('22.07 MAKERERE-BWAISE'!N16,'23.07 Makerere-Bwaise'!N16,'24.07 Makerere-Bwaise'!N16,'25.07 Makerere-Bwaise'!N16,'26.07 Makerere-Bwaise-24h'!N16,'27.07 Makerere-Bwaise-24h'!N16,'28.07 Makerere-Bwaise'!N16)</f>
        <v>0</v>
      </c>
      <c r="O16" s="15">
        <f t="shared" si="0"/>
        <v>97.571428571428584</v>
      </c>
      <c r="P16" s="15">
        <f t="shared" si="1"/>
        <v>305.28571428571433</v>
      </c>
      <c r="R16" s="1" t="s">
        <v>12</v>
      </c>
      <c r="S16" s="17">
        <f t="shared" ref="S16:AF16" si="8">SUM(C34:C37)</f>
        <v>156.42857142857142</v>
      </c>
      <c r="T16" s="17">
        <f t="shared" si="8"/>
        <v>48</v>
      </c>
      <c r="U16" s="17">
        <f t="shared" si="8"/>
        <v>32.999999999999993</v>
      </c>
      <c r="V16" s="17">
        <f t="shared" si="8"/>
        <v>164.57142857142858</v>
      </c>
      <c r="W16" s="17">
        <f t="shared" si="8"/>
        <v>2.1428571428571428</v>
      </c>
      <c r="X16" s="17">
        <f t="shared" si="8"/>
        <v>2.8571428571428572</v>
      </c>
      <c r="Y16" s="17">
        <f t="shared" si="8"/>
        <v>24.571428571428569</v>
      </c>
      <c r="Z16" s="17">
        <f t="shared" si="8"/>
        <v>16</v>
      </c>
      <c r="AA16" s="17">
        <f t="shared" si="8"/>
        <v>6</v>
      </c>
      <c r="AB16" s="17">
        <f t="shared" si="8"/>
        <v>0.71428571428571419</v>
      </c>
      <c r="AC16" s="17">
        <f t="shared" si="8"/>
        <v>534.14285714285711</v>
      </c>
      <c r="AD16" s="17">
        <f t="shared" si="8"/>
        <v>0</v>
      </c>
      <c r="AE16" s="31">
        <f t="shared" si="8"/>
        <v>454.28571428571422</v>
      </c>
      <c r="AF16" s="31">
        <f t="shared" si="8"/>
        <v>988.42857142857144</v>
      </c>
    </row>
    <row r="17" spans="2:32" ht="23.1" customHeight="1" x14ac:dyDescent="0.25">
      <c r="B17" s="23" t="s">
        <v>44</v>
      </c>
      <c r="C17" s="49">
        <f>AVERAGE('22.07 MAKERERE-BWAISE'!C17,'23.07 Makerere-Bwaise'!C17,'24.07 Makerere-Bwaise'!C17,'25.07 Makerere-Bwaise'!C17,'26.07 Makerere-Bwaise-24h'!C17,'27.07 Makerere-Bwaise-24h'!C17,'28.07 Makerere-Bwaise'!C17)</f>
        <v>20.571428571428573</v>
      </c>
      <c r="D17" s="49">
        <f>AVERAGE('22.07 MAKERERE-BWAISE'!D17,'23.07 Makerere-Bwaise'!D17,'24.07 Makerere-Bwaise'!D17,'25.07 Makerere-Bwaise'!D17,'26.07 Makerere-Bwaise-24h'!D17,'27.07 Makerere-Bwaise-24h'!D17,'28.07 Makerere-Bwaise'!D17)</f>
        <v>35.857142857142854</v>
      </c>
      <c r="E17" s="49">
        <f>AVERAGE('22.07 MAKERERE-BWAISE'!E17,'23.07 Makerere-Bwaise'!E17,'24.07 Makerere-Bwaise'!E17,'25.07 Makerere-Bwaise'!E17,'26.07 Makerere-Bwaise-24h'!E17,'27.07 Makerere-Bwaise-24h'!E17,'28.07 Makerere-Bwaise'!E17)</f>
        <v>2.7142857142857144</v>
      </c>
      <c r="F17" s="49">
        <f>AVERAGE('22.07 MAKERERE-BWAISE'!F17,'23.07 Makerere-Bwaise'!F17,'24.07 Makerere-Bwaise'!F17,'25.07 Makerere-Bwaise'!F17,'26.07 Makerere-Bwaise-24h'!F17,'27.07 Makerere-Bwaise-24h'!F17,'28.07 Makerere-Bwaise'!F17)</f>
        <v>47.571428571428569</v>
      </c>
      <c r="G17" s="49">
        <f>AVERAGE('22.07 MAKERERE-BWAISE'!G17,'23.07 Makerere-Bwaise'!G17,'24.07 Makerere-Bwaise'!G17,'25.07 Makerere-Bwaise'!G17,'26.07 Makerere-Bwaise-24h'!G17,'27.07 Makerere-Bwaise-24h'!G17,'28.07 Makerere-Bwaise'!G17)</f>
        <v>1</v>
      </c>
      <c r="H17" s="49">
        <f>AVERAGE('22.07 MAKERERE-BWAISE'!H17,'23.07 Makerere-Bwaise'!H17,'24.07 Makerere-Bwaise'!H17,'25.07 Makerere-Bwaise'!H17,'26.07 Makerere-Bwaise-24h'!H17,'27.07 Makerere-Bwaise-24h'!H17,'28.07 Makerere-Bwaise'!H17)</f>
        <v>1.1428571428571428</v>
      </c>
      <c r="I17" s="49">
        <f>AVERAGE('22.07 MAKERERE-BWAISE'!I17,'23.07 Makerere-Bwaise'!I17,'24.07 Makerere-Bwaise'!I17,'25.07 Makerere-Bwaise'!I17,'26.07 Makerere-Bwaise-24h'!I17,'27.07 Makerere-Bwaise-24h'!I17,'28.07 Makerere-Bwaise'!I17)</f>
        <v>2.7142857142857144</v>
      </c>
      <c r="J17" s="49">
        <f>AVERAGE('22.07 MAKERERE-BWAISE'!J17,'23.07 Makerere-Bwaise'!J17,'24.07 Makerere-Bwaise'!J17,'25.07 Makerere-Bwaise'!J17,'26.07 Makerere-Bwaise-24h'!J17,'27.07 Makerere-Bwaise-24h'!J17,'28.07 Makerere-Bwaise'!J17)</f>
        <v>1</v>
      </c>
      <c r="K17" s="49">
        <f>AVERAGE('22.07 MAKERERE-BWAISE'!K17,'23.07 Makerere-Bwaise'!K17,'24.07 Makerere-Bwaise'!K17,'25.07 Makerere-Bwaise'!K17,'26.07 Makerere-Bwaise-24h'!K17,'27.07 Makerere-Bwaise-24h'!K17,'28.07 Makerere-Bwaise'!K17)</f>
        <v>0.5714285714285714</v>
      </c>
      <c r="L17" s="49">
        <f>AVERAGE('22.07 MAKERERE-BWAISE'!L17,'23.07 Makerere-Bwaise'!L17,'24.07 Makerere-Bwaise'!L17,'25.07 Makerere-Bwaise'!L17,'26.07 Makerere-Bwaise-24h'!L17,'27.07 Makerere-Bwaise-24h'!L17,'28.07 Makerere-Bwaise'!L17)</f>
        <v>0.8571428571428571</v>
      </c>
      <c r="M17" s="49">
        <f>AVERAGE('22.07 MAKERERE-BWAISE'!M17,'23.07 Makerere-Bwaise'!M17,'24.07 Makerere-Bwaise'!M17,'25.07 Makerere-Bwaise'!M17,'26.07 Makerere-Bwaise-24h'!M17,'27.07 Makerere-Bwaise-24h'!M17,'28.07 Makerere-Bwaise'!M17)</f>
        <v>359</v>
      </c>
      <c r="N17" s="49">
        <f>AVERAGE('22.07 MAKERERE-BWAISE'!N17,'23.07 Makerere-Bwaise'!N17,'24.07 Makerere-Bwaise'!N17,'25.07 Makerere-Bwaise'!N17,'26.07 Makerere-Bwaise-24h'!N17,'27.07 Makerere-Bwaise-24h'!N17,'28.07 Makerere-Bwaise'!N17)</f>
        <v>0</v>
      </c>
      <c r="O17" s="15">
        <f t="shared" si="0"/>
        <v>114</v>
      </c>
      <c r="P17" s="15">
        <f t="shared" si="1"/>
        <v>473</v>
      </c>
      <c r="R17" s="1" t="s">
        <v>13</v>
      </c>
      <c r="S17" s="17">
        <f t="shared" ref="S17:AF17" si="9">SUM(C38:C41)</f>
        <v>172.85714285714286</v>
      </c>
      <c r="T17" s="17">
        <f t="shared" si="9"/>
        <v>50.142857142857153</v>
      </c>
      <c r="U17" s="17">
        <f t="shared" si="9"/>
        <v>22.142857142857142</v>
      </c>
      <c r="V17" s="17">
        <f t="shared" si="9"/>
        <v>164.14285714285714</v>
      </c>
      <c r="W17" s="17">
        <f t="shared" si="9"/>
        <v>15.000000000000002</v>
      </c>
      <c r="X17" s="17">
        <f t="shared" si="9"/>
        <v>4.7142857142857135</v>
      </c>
      <c r="Y17" s="17">
        <f t="shared" si="9"/>
        <v>16.857142857142858</v>
      </c>
      <c r="Z17" s="17">
        <f t="shared" si="9"/>
        <v>15.428571428571429</v>
      </c>
      <c r="AA17" s="17">
        <f t="shared" si="9"/>
        <v>7.2857142857142856</v>
      </c>
      <c r="AB17" s="17">
        <f t="shared" si="9"/>
        <v>2.3095238095238093</v>
      </c>
      <c r="AC17" s="17">
        <f t="shared" si="9"/>
        <v>495.28571428571433</v>
      </c>
      <c r="AD17" s="17">
        <f t="shared" si="9"/>
        <v>0.14285714285714285</v>
      </c>
      <c r="AE17" s="31">
        <f t="shared" si="9"/>
        <v>471.02380952380952</v>
      </c>
      <c r="AF17" s="31">
        <f t="shared" si="9"/>
        <v>966.30952380952385</v>
      </c>
    </row>
    <row r="18" spans="2:32" ht="23.1" customHeight="1" x14ac:dyDescent="0.25">
      <c r="B18" s="23" t="s">
        <v>45</v>
      </c>
      <c r="C18" s="49">
        <f>AVERAGE('22.07 MAKERERE-BWAISE'!C18,'23.07 Makerere-Bwaise'!C18,'24.07 Makerere-Bwaise'!C18,'25.07 Makerere-Bwaise'!C18,'26.07 Makerere-Bwaise-24h'!C18,'27.07 Makerere-Bwaise-24h'!C18,'28.07 Makerere-Bwaise'!C18)</f>
        <v>34.142857142857146</v>
      </c>
      <c r="D18" s="49">
        <f>AVERAGE('22.07 MAKERERE-BWAISE'!D18,'23.07 Makerere-Bwaise'!D18,'24.07 Makerere-Bwaise'!D18,'25.07 Makerere-Bwaise'!D18,'26.07 Makerere-Bwaise-24h'!D18,'27.07 Makerere-Bwaise-24h'!D18,'28.07 Makerere-Bwaise'!D18)</f>
        <v>7.4285714285714288</v>
      </c>
      <c r="E18" s="49">
        <f>AVERAGE('22.07 MAKERERE-BWAISE'!E18,'23.07 Makerere-Bwaise'!E18,'24.07 Makerere-Bwaise'!E18,'25.07 Makerere-Bwaise'!E18,'26.07 Makerere-Bwaise-24h'!E18,'27.07 Makerere-Bwaise-24h'!E18,'28.07 Makerere-Bwaise'!E18)</f>
        <v>3.5714285714285716</v>
      </c>
      <c r="F18" s="49">
        <f>AVERAGE('22.07 MAKERERE-BWAISE'!F18,'23.07 Makerere-Bwaise'!F18,'24.07 Makerere-Bwaise'!F18,'25.07 Makerere-Bwaise'!F18,'26.07 Makerere-Bwaise-24h'!F18,'27.07 Makerere-Bwaise-24h'!F18,'28.07 Makerere-Bwaise'!F18)</f>
        <v>58</v>
      </c>
      <c r="G18" s="49">
        <f>AVERAGE('22.07 MAKERERE-BWAISE'!G18,'23.07 Makerere-Bwaise'!G18,'24.07 Makerere-Bwaise'!G18,'25.07 Makerere-Bwaise'!G18,'26.07 Makerere-Bwaise-24h'!G18,'27.07 Makerere-Bwaise-24h'!G18,'28.07 Makerere-Bwaise'!G18)</f>
        <v>1.2857142857142858</v>
      </c>
      <c r="H18" s="49">
        <f>AVERAGE('22.07 MAKERERE-BWAISE'!H18,'23.07 Makerere-Bwaise'!H18,'24.07 Makerere-Bwaise'!H18,'25.07 Makerere-Bwaise'!H18,'26.07 Makerere-Bwaise-24h'!H18,'27.07 Makerere-Bwaise-24h'!H18,'28.07 Makerere-Bwaise'!H18)</f>
        <v>1.2857142857142858</v>
      </c>
      <c r="I18" s="49">
        <f>AVERAGE('22.07 MAKERERE-BWAISE'!I18,'23.07 Makerere-Bwaise'!I18,'24.07 Makerere-Bwaise'!I18,'25.07 Makerere-Bwaise'!I18,'26.07 Makerere-Bwaise-24h'!I18,'27.07 Makerere-Bwaise-24h'!I18,'28.07 Makerere-Bwaise'!I18)</f>
        <v>2.5714285714285716</v>
      </c>
      <c r="J18" s="49">
        <f>AVERAGE('22.07 MAKERERE-BWAISE'!J18,'23.07 Makerere-Bwaise'!J18,'24.07 Makerere-Bwaise'!J18,'25.07 Makerere-Bwaise'!J18,'26.07 Makerere-Bwaise-24h'!J18,'27.07 Makerere-Bwaise-24h'!J18,'28.07 Makerere-Bwaise'!J18)</f>
        <v>2.4285714285714284</v>
      </c>
      <c r="K18" s="49">
        <f>AVERAGE('22.07 MAKERERE-BWAISE'!K18,'23.07 Makerere-Bwaise'!K18,'24.07 Makerere-Bwaise'!K18,'25.07 Makerere-Bwaise'!K18,'26.07 Makerere-Bwaise-24h'!K18,'27.07 Makerere-Bwaise-24h'!K18,'28.07 Makerere-Bwaise'!K18)</f>
        <v>0.5714285714285714</v>
      </c>
      <c r="L18" s="49">
        <f>AVERAGE('22.07 MAKERERE-BWAISE'!L18,'23.07 Makerere-Bwaise'!L18,'24.07 Makerere-Bwaise'!L18,'25.07 Makerere-Bwaise'!L18,'26.07 Makerere-Bwaise-24h'!L18,'27.07 Makerere-Bwaise-24h'!L18,'28.07 Makerere-Bwaise'!L18)</f>
        <v>1.1428571428571428</v>
      </c>
      <c r="M18" s="49">
        <f>AVERAGE('22.07 MAKERERE-BWAISE'!M18,'23.07 Makerere-Bwaise'!M18,'24.07 Makerere-Bwaise'!M18,'25.07 Makerere-Bwaise'!M18,'26.07 Makerere-Bwaise-24h'!M18,'27.07 Makerere-Bwaise-24h'!M18,'28.07 Makerere-Bwaise'!M18)</f>
        <v>206.85714285714286</v>
      </c>
      <c r="N18" s="49">
        <f>AVERAGE('22.07 MAKERERE-BWAISE'!N18,'23.07 Makerere-Bwaise'!N18,'24.07 Makerere-Bwaise'!N18,'25.07 Makerere-Bwaise'!N18,'26.07 Makerere-Bwaise-24h'!N18,'27.07 Makerere-Bwaise-24h'!N18,'28.07 Makerere-Bwaise'!N18)</f>
        <v>0</v>
      </c>
      <c r="O18" s="15">
        <f t="shared" si="0"/>
        <v>112.42857142857143</v>
      </c>
      <c r="P18" s="15">
        <f t="shared" si="1"/>
        <v>319.28571428571428</v>
      </c>
      <c r="R18" s="1" t="s">
        <v>14</v>
      </c>
      <c r="S18" s="17">
        <f t="shared" ref="S18:AF18" si="10">SUM(C42:C45)</f>
        <v>201.14285714285717</v>
      </c>
      <c r="T18" s="17">
        <f t="shared" si="10"/>
        <v>54.714285714285715</v>
      </c>
      <c r="U18" s="17">
        <f t="shared" si="10"/>
        <v>24.571428571428569</v>
      </c>
      <c r="V18" s="17">
        <f t="shared" si="10"/>
        <v>146.57142857142856</v>
      </c>
      <c r="W18" s="17">
        <f t="shared" si="10"/>
        <v>1.2857142857142856</v>
      </c>
      <c r="X18" s="17">
        <f t="shared" si="10"/>
        <v>3.4285714285714284</v>
      </c>
      <c r="Y18" s="17">
        <f t="shared" si="10"/>
        <v>14</v>
      </c>
      <c r="Z18" s="17">
        <f t="shared" si="10"/>
        <v>16.285714285714285</v>
      </c>
      <c r="AA18" s="17">
        <f t="shared" si="10"/>
        <v>5.5714285714285712</v>
      </c>
      <c r="AB18" s="17">
        <f t="shared" si="10"/>
        <v>1.5714285714285714</v>
      </c>
      <c r="AC18" s="17">
        <f t="shared" si="10"/>
        <v>464.71428571428578</v>
      </c>
      <c r="AD18" s="17">
        <f t="shared" si="10"/>
        <v>0</v>
      </c>
      <c r="AE18" s="31">
        <f t="shared" si="10"/>
        <v>469.14285714285717</v>
      </c>
      <c r="AF18" s="31">
        <f t="shared" si="10"/>
        <v>933.85714285714289</v>
      </c>
    </row>
    <row r="19" spans="2:32" ht="23.1" customHeight="1" x14ac:dyDescent="0.25">
      <c r="B19" s="23" t="s">
        <v>46</v>
      </c>
      <c r="C19" s="49">
        <f>AVERAGE('22.07 MAKERERE-BWAISE'!C19,'23.07 Makerere-Bwaise'!C19,'24.07 Makerere-Bwaise'!C19,'25.07 Makerere-Bwaise'!C19,'26.07 Makerere-Bwaise-24h'!C19,'27.07 Makerere-Bwaise-24h'!C19,'28.07 Makerere-Bwaise'!C19)</f>
        <v>26</v>
      </c>
      <c r="D19" s="49">
        <f>AVERAGE('22.07 MAKERERE-BWAISE'!D19,'23.07 Makerere-Bwaise'!D19,'24.07 Makerere-Bwaise'!D19,'25.07 Makerere-Bwaise'!D19,'26.07 Makerere-Bwaise-24h'!D19,'27.07 Makerere-Bwaise-24h'!D19,'28.07 Makerere-Bwaise'!D19)</f>
        <v>6.4285714285714288</v>
      </c>
      <c r="E19" s="49">
        <f>AVERAGE('22.07 MAKERERE-BWAISE'!E19,'23.07 Makerere-Bwaise'!E19,'24.07 Makerere-Bwaise'!E19,'25.07 Makerere-Bwaise'!E19,'26.07 Makerere-Bwaise-24h'!E19,'27.07 Makerere-Bwaise-24h'!E19,'28.07 Makerere-Bwaise'!E19)</f>
        <v>3.5714285714285716</v>
      </c>
      <c r="F19" s="49">
        <f>AVERAGE('22.07 MAKERERE-BWAISE'!F19,'23.07 Makerere-Bwaise'!F19,'24.07 Makerere-Bwaise'!F19,'25.07 Makerere-Bwaise'!F19,'26.07 Makerere-Bwaise-24h'!F19,'27.07 Makerere-Bwaise-24h'!F19,'28.07 Makerere-Bwaise'!F19)</f>
        <v>122.85714285714286</v>
      </c>
      <c r="G19" s="49">
        <f>AVERAGE('22.07 MAKERERE-BWAISE'!G19,'23.07 Makerere-Bwaise'!G19,'24.07 Makerere-Bwaise'!G19,'25.07 Makerere-Bwaise'!G19,'26.07 Makerere-Bwaise-24h'!G19,'27.07 Makerere-Bwaise-24h'!G19,'28.07 Makerere-Bwaise'!G19)</f>
        <v>1.4285714285714286</v>
      </c>
      <c r="H19" s="49">
        <f>AVERAGE('22.07 MAKERERE-BWAISE'!H19,'23.07 Makerere-Bwaise'!H19,'24.07 Makerere-Bwaise'!H19,'25.07 Makerere-Bwaise'!H19,'26.07 Makerere-Bwaise-24h'!H19,'27.07 Makerere-Bwaise-24h'!H19,'28.07 Makerere-Bwaise'!H19)</f>
        <v>0.8571428571428571</v>
      </c>
      <c r="I19" s="49">
        <f>AVERAGE('22.07 MAKERERE-BWAISE'!I19,'23.07 Makerere-Bwaise'!I19,'24.07 Makerere-Bwaise'!I19,'25.07 Makerere-Bwaise'!I19,'26.07 Makerere-Bwaise-24h'!I19,'27.07 Makerere-Bwaise-24h'!I19,'28.07 Makerere-Bwaise'!I19)</f>
        <v>4.5714285714285712</v>
      </c>
      <c r="J19" s="49">
        <f>AVERAGE('22.07 MAKERERE-BWAISE'!J19,'23.07 Makerere-Bwaise'!J19,'24.07 Makerere-Bwaise'!J19,'25.07 Makerere-Bwaise'!J19,'26.07 Makerere-Bwaise-24h'!J19,'27.07 Makerere-Bwaise-24h'!J19,'28.07 Makerere-Bwaise'!J19)</f>
        <v>1.8571428571428572</v>
      </c>
      <c r="K19" s="49">
        <f>AVERAGE('22.07 MAKERERE-BWAISE'!K19,'23.07 Makerere-Bwaise'!K19,'24.07 Makerere-Bwaise'!K19,'25.07 Makerere-Bwaise'!K19,'26.07 Makerere-Bwaise-24h'!K19,'27.07 Makerere-Bwaise-24h'!K19,'28.07 Makerere-Bwaise'!K19)</f>
        <v>0.2857142857142857</v>
      </c>
      <c r="L19" s="49">
        <f>AVERAGE('22.07 MAKERERE-BWAISE'!L19,'23.07 Makerere-Bwaise'!L19,'24.07 Makerere-Bwaise'!L19,'25.07 Makerere-Bwaise'!L19,'26.07 Makerere-Bwaise-24h'!L19,'27.07 Makerere-Bwaise-24h'!L19,'28.07 Makerere-Bwaise'!L19)</f>
        <v>0.14285714285714285</v>
      </c>
      <c r="M19" s="49">
        <f>AVERAGE('22.07 MAKERERE-BWAISE'!M19,'23.07 Makerere-Bwaise'!M19,'24.07 Makerere-Bwaise'!M19,'25.07 Makerere-Bwaise'!M19,'26.07 Makerere-Bwaise-24h'!M19,'27.07 Makerere-Bwaise-24h'!M19,'28.07 Makerere-Bwaise'!M19)</f>
        <v>164.85714285714286</v>
      </c>
      <c r="N19" s="49">
        <f>AVERAGE('22.07 MAKERERE-BWAISE'!N19,'23.07 Makerere-Bwaise'!N19,'24.07 Makerere-Bwaise'!N19,'25.07 Makerere-Bwaise'!N19,'26.07 Makerere-Bwaise-24h'!N19,'27.07 Makerere-Bwaise-24h'!N19,'28.07 Makerere-Bwaise'!N19)</f>
        <v>0</v>
      </c>
      <c r="O19" s="15">
        <f t="shared" si="0"/>
        <v>168</v>
      </c>
      <c r="P19" s="15">
        <f t="shared" si="1"/>
        <v>332.85714285714289</v>
      </c>
      <c r="R19" s="1" t="s">
        <v>15</v>
      </c>
      <c r="S19" s="17">
        <f t="shared" ref="S19:AF19" si="11">SUM(C46:C49)</f>
        <v>231.85714285714283</v>
      </c>
      <c r="T19" s="17">
        <f t="shared" si="11"/>
        <v>64.857142857142861</v>
      </c>
      <c r="U19" s="17">
        <f t="shared" si="11"/>
        <v>23.142857142857139</v>
      </c>
      <c r="V19" s="17">
        <f t="shared" si="11"/>
        <v>174.28571428571428</v>
      </c>
      <c r="W19" s="17">
        <f t="shared" si="11"/>
        <v>2.714285714285714</v>
      </c>
      <c r="X19" s="17">
        <f t="shared" si="11"/>
        <v>4.5714285714285712</v>
      </c>
      <c r="Y19" s="17">
        <f t="shared" si="11"/>
        <v>19.714285714285715</v>
      </c>
      <c r="Z19" s="17">
        <f t="shared" si="11"/>
        <v>14.785714285714285</v>
      </c>
      <c r="AA19" s="17">
        <f t="shared" si="11"/>
        <v>5.9999999999999991</v>
      </c>
      <c r="AB19" s="17">
        <f t="shared" si="11"/>
        <v>2.1428571428571428</v>
      </c>
      <c r="AC19" s="17">
        <f t="shared" si="11"/>
        <v>549.57142857142856</v>
      </c>
      <c r="AD19" s="17">
        <f t="shared" si="11"/>
        <v>0</v>
      </c>
      <c r="AE19" s="31">
        <f t="shared" si="11"/>
        <v>544.07142857142856</v>
      </c>
      <c r="AF19" s="31">
        <f t="shared" si="11"/>
        <v>1093.6428571428571</v>
      </c>
    </row>
    <row r="20" spans="2:32" ht="23.1" customHeight="1" x14ac:dyDescent="0.25">
      <c r="B20" s="23" t="s">
        <v>47</v>
      </c>
      <c r="C20" s="49">
        <f>AVERAGE('22.07 MAKERERE-BWAISE'!C20,'23.07 Makerere-Bwaise'!C20,'24.07 Makerere-Bwaise'!C20,'25.07 Makerere-Bwaise'!C20,'26.07 Makerere-Bwaise-24h'!C20,'27.07 Makerere-Bwaise-24h'!C20,'28.07 Makerere-Bwaise'!C20)</f>
        <v>27.142857142857142</v>
      </c>
      <c r="D20" s="49">
        <f>AVERAGE('22.07 MAKERERE-BWAISE'!D20,'23.07 Makerere-Bwaise'!D20,'24.07 Makerere-Bwaise'!D20,'25.07 Makerere-Bwaise'!D20,'26.07 Makerere-Bwaise-24h'!D20,'27.07 Makerere-Bwaise-24h'!D20,'28.07 Makerere-Bwaise'!D20)</f>
        <v>10</v>
      </c>
      <c r="E20" s="49">
        <f>AVERAGE('22.07 MAKERERE-BWAISE'!E20,'23.07 Makerere-Bwaise'!E20,'24.07 Makerere-Bwaise'!E20,'25.07 Makerere-Bwaise'!E20,'26.07 Makerere-Bwaise-24h'!E20,'27.07 Makerere-Bwaise-24h'!E20,'28.07 Makerere-Bwaise'!E20)</f>
        <v>3.8571428571428572</v>
      </c>
      <c r="F20" s="49">
        <f>AVERAGE('22.07 MAKERERE-BWAISE'!F20,'23.07 Makerere-Bwaise'!F20,'24.07 Makerere-Bwaise'!F20,'25.07 Makerere-Bwaise'!F20,'26.07 Makerere-Bwaise-24h'!F20,'27.07 Makerere-Bwaise-24h'!F20,'28.07 Makerere-Bwaise'!F20)</f>
        <v>48.571428571428569</v>
      </c>
      <c r="G20" s="49">
        <f>AVERAGE('22.07 MAKERERE-BWAISE'!G20,'23.07 Makerere-Bwaise'!G20,'24.07 Makerere-Bwaise'!G20,'25.07 Makerere-Bwaise'!G20,'26.07 Makerere-Bwaise-24h'!G20,'27.07 Makerere-Bwaise-24h'!G20,'28.07 Makerere-Bwaise'!G20)</f>
        <v>0.42857142857142855</v>
      </c>
      <c r="H20" s="49">
        <f>AVERAGE('22.07 MAKERERE-BWAISE'!H20,'23.07 Makerere-Bwaise'!H20,'24.07 Makerere-Bwaise'!H20,'25.07 Makerere-Bwaise'!H20,'26.07 Makerere-Bwaise-24h'!H20,'27.07 Makerere-Bwaise-24h'!H20,'28.07 Makerere-Bwaise'!H20)</f>
        <v>0.14285714285714285</v>
      </c>
      <c r="I20" s="49">
        <f>AVERAGE('22.07 MAKERERE-BWAISE'!I20,'23.07 Makerere-Bwaise'!I20,'24.07 Makerere-Bwaise'!I20,'25.07 Makerere-Bwaise'!I20,'26.07 Makerere-Bwaise-24h'!I20,'27.07 Makerere-Bwaise-24h'!I20,'28.07 Makerere-Bwaise'!I20)</f>
        <v>4</v>
      </c>
      <c r="J20" s="49">
        <f>AVERAGE('22.07 MAKERERE-BWAISE'!J20,'23.07 Makerere-Bwaise'!J20,'24.07 Makerere-Bwaise'!J20,'25.07 Makerere-Bwaise'!J20,'26.07 Makerere-Bwaise-24h'!J20,'27.07 Makerere-Bwaise-24h'!J20,'28.07 Makerere-Bwaise'!J20)</f>
        <v>3</v>
      </c>
      <c r="K20" s="49">
        <f>AVERAGE('22.07 MAKERERE-BWAISE'!K20,'23.07 Makerere-Bwaise'!K20,'24.07 Makerere-Bwaise'!K20,'25.07 Makerere-Bwaise'!K20,'26.07 Makerere-Bwaise-24h'!K20,'27.07 Makerere-Bwaise-24h'!K20,'28.07 Makerere-Bwaise'!K20)</f>
        <v>0.7142857142857143</v>
      </c>
      <c r="L20" s="49">
        <f>AVERAGE('22.07 MAKERERE-BWAISE'!L20,'23.07 Makerere-Bwaise'!L20,'24.07 Makerere-Bwaise'!L20,'25.07 Makerere-Bwaise'!L20,'26.07 Makerere-Bwaise-24h'!L20,'27.07 Makerere-Bwaise-24h'!L20,'28.07 Makerere-Bwaise'!L20)</f>
        <v>0.2857142857142857</v>
      </c>
      <c r="M20" s="49">
        <f>AVERAGE('22.07 MAKERERE-BWAISE'!M20,'23.07 Makerere-Bwaise'!M20,'24.07 Makerere-Bwaise'!M20,'25.07 Makerere-Bwaise'!M20,'26.07 Makerere-Bwaise-24h'!M20,'27.07 Makerere-Bwaise-24h'!M20,'28.07 Makerere-Bwaise'!M20)</f>
        <v>181.85714285714286</v>
      </c>
      <c r="N20" s="49">
        <f>AVERAGE('22.07 MAKERERE-BWAISE'!N20,'23.07 Makerere-Bwaise'!N20,'24.07 Makerere-Bwaise'!N20,'25.07 Makerere-Bwaise'!N20,'26.07 Makerere-Bwaise-24h'!N20,'27.07 Makerere-Bwaise-24h'!N20,'28.07 Makerere-Bwaise'!N20)</f>
        <v>0</v>
      </c>
      <c r="O20" s="15">
        <f t="shared" si="0"/>
        <v>98.142857142857125</v>
      </c>
      <c r="P20" s="15">
        <f t="shared" si="1"/>
        <v>280</v>
      </c>
      <c r="R20" s="1" t="s">
        <v>16</v>
      </c>
      <c r="S20" s="17">
        <f t="shared" ref="S20:AF20" si="12">SUM(C50:C53)</f>
        <v>240.28571428571431</v>
      </c>
      <c r="T20" s="17">
        <f t="shared" si="12"/>
        <v>59.571428571428577</v>
      </c>
      <c r="U20" s="17">
        <f t="shared" si="12"/>
        <v>24.285714285714285</v>
      </c>
      <c r="V20" s="17">
        <f t="shared" si="12"/>
        <v>172.42857142857142</v>
      </c>
      <c r="W20" s="17">
        <f t="shared" si="12"/>
        <v>3.2857142857142856</v>
      </c>
      <c r="X20" s="17">
        <f t="shared" si="12"/>
        <v>1.2857142857142856</v>
      </c>
      <c r="Y20" s="17">
        <f t="shared" si="12"/>
        <v>16.142857142857142</v>
      </c>
      <c r="Z20" s="17">
        <f t="shared" si="12"/>
        <v>12.142857142857142</v>
      </c>
      <c r="AA20" s="17">
        <f t="shared" si="12"/>
        <v>3.7142857142857144</v>
      </c>
      <c r="AB20" s="17">
        <f t="shared" si="12"/>
        <v>1.4285714285714284</v>
      </c>
      <c r="AC20" s="17">
        <f t="shared" si="12"/>
        <v>526</v>
      </c>
      <c r="AD20" s="17">
        <f t="shared" si="12"/>
        <v>0.14285714285714285</v>
      </c>
      <c r="AE20" s="31">
        <f t="shared" si="12"/>
        <v>534.71428571428578</v>
      </c>
      <c r="AF20" s="31">
        <f t="shared" si="12"/>
        <v>1060.7142857142858</v>
      </c>
    </row>
    <row r="21" spans="2:32" ht="23.1" customHeight="1" x14ac:dyDescent="0.25">
      <c r="B21" s="23" t="s">
        <v>48</v>
      </c>
      <c r="C21" s="49">
        <f>AVERAGE('22.07 MAKERERE-BWAISE'!C21,'23.07 Makerere-Bwaise'!C21,'24.07 Makerere-Bwaise'!C21,'25.07 Makerere-Bwaise'!C21,'26.07 Makerere-Bwaise-24h'!C21,'27.07 Makerere-Bwaise-24h'!C21,'28.07 Makerere-Bwaise'!C21)</f>
        <v>27.571428571428573</v>
      </c>
      <c r="D21" s="49">
        <f>AVERAGE('22.07 MAKERERE-BWAISE'!D21,'23.07 Makerere-Bwaise'!D21,'24.07 Makerere-Bwaise'!D21,'25.07 Makerere-Bwaise'!D21,'26.07 Makerere-Bwaise-24h'!D21,'27.07 Makerere-Bwaise-24h'!D21,'28.07 Makerere-Bwaise'!D21)</f>
        <v>7.5714285714285712</v>
      </c>
      <c r="E21" s="49">
        <f>AVERAGE('22.07 MAKERERE-BWAISE'!E21,'23.07 Makerere-Bwaise'!E21,'24.07 Makerere-Bwaise'!E21,'25.07 Makerere-Bwaise'!E21,'26.07 Makerere-Bwaise-24h'!E21,'27.07 Makerere-Bwaise-24h'!E21,'28.07 Makerere-Bwaise'!E21)</f>
        <v>3</v>
      </c>
      <c r="F21" s="49">
        <f>AVERAGE('22.07 MAKERERE-BWAISE'!F21,'23.07 Makerere-Bwaise'!F21,'24.07 Makerere-Bwaise'!F21,'25.07 Makerere-Bwaise'!F21,'26.07 Makerere-Bwaise-24h'!F21,'27.07 Makerere-Bwaise-24h'!F21,'28.07 Makerere-Bwaise'!F21)</f>
        <v>34.571428571428569</v>
      </c>
      <c r="G21" s="49">
        <f>AVERAGE('22.07 MAKERERE-BWAISE'!G21,'23.07 Makerere-Bwaise'!G21,'24.07 Makerere-Bwaise'!G21,'25.07 Makerere-Bwaise'!G21,'26.07 Makerere-Bwaise-24h'!G21,'27.07 Makerere-Bwaise-24h'!G21,'28.07 Makerere-Bwaise'!G21)</f>
        <v>6.2857142857142856</v>
      </c>
      <c r="H21" s="49">
        <f>AVERAGE('22.07 MAKERERE-BWAISE'!H21,'23.07 Makerere-Bwaise'!H21,'24.07 Makerere-Bwaise'!H21,'25.07 Makerere-Bwaise'!H21,'26.07 Makerere-Bwaise-24h'!H21,'27.07 Makerere-Bwaise-24h'!H21,'28.07 Makerere-Bwaise'!H21)</f>
        <v>0.14285714285714285</v>
      </c>
      <c r="I21" s="49">
        <f>AVERAGE('22.07 MAKERERE-BWAISE'!I21,'23.07 Makerere-Bwaise'!I21,'24.07 Makerere-Bwaise'!I21,'25.07 Makerere-Bwaise'!I21,'26.07 Makerere-Bwaise-24h'!I21,'27.07 Makerere-Bwaise-24h'!I21,'28.07 Makerere-Bwaise'!I21)</f>
        <v>2</v>
      </c>
      <c r="J21" s="49">
        <f>AVERAGE('22.07 MAKERERE-BWAISE'!J21,'23.07 Makerere-Bwaise'!J21,'24.07 Makerere-Bwaise'!J21,'25.07 Makerere-Bwaise'!J21,'26.07 Makerere-Bwaise-24h'!J21,'27.07 Makerere-Bwaise-24h'!J21,'28.07 Makerere-Bwaise'!J21)</f>
        <v>1.7142857142857142</v>
      </c>
      <c r="K21" s="49">
        <f>AVERAGE('22.07 MAKERERE-BWAISE'!K21,'23.07 Makerere-Bwaise'!K21,'24.07 Makerere-Bwaise'!K21,'25.07 Makerere-Bwaise'!K21,'26.07 Makerere-Bwaise-24h'!K21,'27.07 Makerere-Bwaise-24h'!K21,'28.07 Makerere-Bwaise'!K21)</f>
        <v>0.7142857142857143</v>
      </c>
      <c r="L21" s="49">
        <f>AVERAGE('22.07 MAKERERE-BWAISE'!L21,'23.07 Makerere-Bwaise'!L21,'24.07 Makerere-Bwaise'!L21,'25.07 Makerere-Bwaise'!L21,'26.07 Makerere-Bwaise-24h'!L21,'27.07 Makerere-Bwaise-24h'!L21,'28.07 Makerere-Bwaise'!L21)</f>
        <v>0.5714285714285714</v>
      </c>
      <c r="M21" s="49">
        <f>AVERAGE('22.07 MAKERERE-BWAISE'!M21,'23.07 Makerere-Bwaise'!M21,'24.07 Makerere-Bwaise'!M21,'25.07 Makerere-Bwaise'!M21,'26.07 Makerere-Bwaise-24h'!M21,'27.07 Makerere-Bwaise-24h'!M21,'28.07 Makerere-Bwaise'!M21)</f>
        <v>160.28571428571428</v>
      </c>
      <c r="N21" s="49">
        <f>AVERAGE('22.07 MAKERERE-BWAISE'!N21,'23.07 Makerere-Bwaise'!N21,'24.07 Makerere-Bwaise'!N21,'25.07 Makerere-Bwaise'!N21,'26.07 Makerere-Bwaise-24h'!N21,'27.07 Makerere-Bwaise-24h'!N21,'28.07 Makerere-Bwaise'!N21)</f>
        <v>0</v>
      </c>
      <c r="O21" s="15">
        <f t="shared" si="0"/>
        <v>84.142857142857139</v>
      </c>
      <c r="P21" s="15">
        <f t="shared" si="1"/>
        <v>244.42857142857142</v>
      </c>
      <c r="R21" s="36" t="s">
        <v>20</v>
      </c>
      <c r="S21" s="34">
        <f t="shared" ref="S21:AF21" si="13">SUM(C54:C57)</f>
        <v>216.71428571428569</v>
      </c>
      <c r="T21" s="17">
        <f t="shared" si="13"/>
        <v>52.285714285714285</v>
      </c>
      <c r="U21" s="17">
        <f t="shared" si="13"/>
        <v>32.142857142857146</v>
      </c>
      <c r="V21" s="17">
        <f t="shared" si="13"/>
        <v>176.57142857142856</v>
      </c>
      <c r="W21" s="17">
        <f t="shared" si="13"/>
        <v>7.7142857142857144</v>
      </c>
      <c r="X21" s="17">
        <f t="shared" si="13"/>
        <v>3.5714285714285716</v>
      </c>
      <c r="Y21" s="17">
        <f t="shared" si="13"/>
        <v>11.285714285714286</v>
      </c>
      <c r="Z21" s="17">
        <f t="shared" si="13"/>
        <v>6.5714285714285712</v>
      </c>
      <c r="AA21" s="17">
        <f t="shared" si="13"/>
        <v>1.857142857142857</v>
      </c>
      <c r="AB21" s="17">
        <f t="shared" si="13"/>
        <v>1.4285714285714286</v>
      </c>
      <c r="AC21" s="17">
        <f t="shared" si="13"/>
        <v>545.57142857142856</v>
      </c>
      <c r="AD21" s="17">
        <f t="shared" si="13"/>
        <v>0</v>
      </c>
      <c r="AE21" s="31">
        <f t="shared" si="13"/>
        <v>510.14285714285717</v>
      </c>
      <c r="AF21" s="31">
        <f t="shared" si="13"/>
        <v>1055.7142857142858</v>
      </c>
    </row>
    <row r="22" spans="2:32" ht="23.1" customHeight="1" x14ac:dyDescent="0.25">
      <c r="B22" s="23" t="s">
        <v>49</v>
      </c>
      <c r="C22" s="49">
        <f>AVERAGE('22.07 MAKERERE-BWAISE'!C22,'23.07 Makerere-Bwaise'!C22,'24.07 Makerere-Bwaise'!C22,'25.07 Makerere-Bwaise'!C22,'26.07 Makerere-Bwaise-24h'!C22,'27.07 Makerere-Bwaise-24h'!C22,'28.07 Makerere-Bwaise'!C22)</f>
        <v>31.142857142857142</v>
      </c>
      <c r="D22" s="49">
        <f>AVERAGE('22.07 MAKERERE-BWAISE'!D22,'23.07 Makerere-Bwaise'!D22,'24.07 Makerere-Bwaise'!D22,'25.07 Makerere-Bwaise'!D22,'26.07 Makerere-Bwaise-24h'!D22,'27.07 Makerere-Bwaise-24h'!D22,'28.07 Makerere-Bwaise'!D22)</f>
        <v>8</v>
      </c>
      <c r="E22" s="49">
        <f>AVERAGE('22.07 MAKERERE-BWAISE'!E22,'23.07 Makerere-Bwaise'!E22,'24.07 Makerere-Bwaise'!E22,'25.07 Makerere-Bwaise'!E22,'26.07 Makerere-Bwaise-24h'!E22,'27.07 Makerere-Bwaise-24h'!E22,'28.07 Makerere-Bwaise'!E22)</f>
        <v>4.7142857142857144</v>
      </c>
      <c r="F22" s="49">
        <f>AVERAGE('22.07 MAKERERE-BWAISE'!F22,'23.07 Makerere-Bwaise'!F22,'24.07 Makerere-Bwaise'!F22,'25.07 Makerere-Bwaise'!F22,'26.07 Makerere-Bwaise-24h'!F22,'27.07 Makerere-Bwaise-24h'!F22,'28.07 Makerere-Bwaise'!F22)</f>
        <v>44.857142857142854</v>
      </c>
      <c r="G22" s="49">
        <f>AVERAGE('22.07 MAKERERE-BWAISE'!G22,'23.07 Makerere-Bwaise'!G22,'24.07 Makerere-Bwaise'!G22,'25.07 Makerere-Bwaise'!G22,'26.07 Makerere-Bwaise-24h'!G22,'27.07 Makerere-Bwaise-24h'!G22,'28.07 Makerere-Bwaise'!G22)</f>
        <v>0.8571428571428571</v>
      </c>
      <c r="H22" s="49">
        <f>AVERAGE('22.07 MAKERERE-BWAISE'!H22,'23.07 Makerere-Bwaise'!H22,'24.07 Makerere-Bwaise'!H22,'25.07 Makerere-Bwaise'!H22,'26.07 Makerere-Bwaise-24h'!H22,'27.07 Makerere-Bwaise-24h'!H22,'28.07 Makerere-Bwaise'!H22)</f>
        <v>1.1428571428571428</v>
      </c>
      <c r="I22" s="49">
        <f>AVERAGE('22.07 MAKERERE-BWAISE'!I22,'23.07 Makerere-Bwaise'!I22,'24.07 Makerere-Bwaise'!I22,'25.07 Makerere-Bwaise'!I22,'26.07 Makerere-Bwaise-24h'!I22,'27.07 Makerere-Bwaise-24h'!I22,'28.07 Makerere-Bwaise'!I22)</f>
        <v>1.8571428571428572</v>
      </c>
      <c r="J22" s="49">
        <f>AVERAGE('22.07 MAKERERE-BWAISE'!J22,'23.07 Makerere-Bwaise'!J22,'24.07 Makerere-Bwaise'!J22,'25.07 Makerere-Bwaise'!J22,'26.07 Makerere-Bwaise-24h'!J22,'27.07 Makerere-Bwaise-24h'!J22,'28.07 Makerere-Bwaise'!J22)</f>
        <v>4</v>
      </c>
      <c r="K22" s="49">
        <f>AVERAGE('22.07 MAKERERE-BWAISE'!K22,'23.07 Makerere-Bwaise'!K22,'24.07 Makerere-Bwaise'!K22,'25.07 Makerere-Bwaise'!K22,'26.07 Makerere-Bwaise-24h'!K22,'27.07 Makerere-Bwaise-24h'!K22,'28.07 Makerere-Bwaise'!K22)</f>
        <v>0.7142857142857143</v>
      </c>
      <c r="L22" s="49">
        <f>AVERAGE('22.07 MAKERERE-BWAISE'!L22,'23.07 Makerere-Bwaise'!L22,'24.07 Makerere-Bwaise'!L22,'25.07 Makerere-Bwaise'!L22,'26.07 Makerere-Bwaise-24h'!L22,'27.07 Makerere-Bwaise-24h'!L22,'28.07 Makerere-Bwaise'!L22)</f>
        <v>1.1428571428571428</v>
      </c>
      <c r="M22" s="49">
        <f>AVERAGE('22.07 MAKERERE-BWAISE'!M22,'23.07 Makerere-Bwaise'!M22,'24.07 Makerere-Bwaise'!M22,'25.07 Makerere-Bwaise'!M22,'26.07 Makerere-Bwaise-24h'!M22,'27.07 Makerere-Bwaise-24h'!M22,'28.07 Makerere-Bwaise'!M22)</f>
        <v>209.28571428571428</v>
      </c>
      <c r="N22" s="49">
        <f>AVERAGE('22.07 MAKERERE-BWAISE'!N22,'23.07 Makerere-Bwaise'!N22,'24.07 Makerere-Bwaise'!N22,'25.07 Makerere-Bwaise'!N22,'26.07 Makerere-Bwaise-24h'!N22,'27.07 Makerere-Bwaise-24h'!N22,'28.07 Makerere-Bwaise'!N22)</f>
        <v>0</v>
      </c>
      <c r="O22" s="15">
        <f t="shared" si="0"/>
        <v>98.428571428571416</v>
      </c>
      <c r="P22" s="15">
        <f t="shared" si="1"/>
        <v>307.71428571428567</v>
      </c>
      <c r="R22" s="1" t="s">
        <v>146</v>
      </c>
      <c r="S22" s="34">
        <f>SUM(C58:C61)</f>
        <v>192.5</v>
      </c>
      <c r="T22" s="34">
        <f t="shared" ref="T22:AF22" si="14">SUM(D58:D61)</f>
        <v>43.5</v>
      </c>
      <c r="U22" s="34">
        <f t="shared" si="14"/>
        <v>68</v>
      </c>
      <c r="V22" s="34">
        <f t="shared" si="14"/>
        <v>150.5</v>
      </c>
      <c r="W22" s="34">
        <f t="shared" si="14"/>
        <v>2.5</v>
      </c>
      <c r="X22" s="34">
        <f t="shared" si="14"/>
        <v>10.5</v>
      </c>
      <c r="Y22" s="34">
        <f t="shared" si="14"/>
        <v>15.5</v>
      </c>
      <c r="Z22" s="34">
        <f t="shared" si="14"/>
        <v>4</v>
      </c>
      <c r="AA22" s="34">
        <f t="shared" si="14"/>
        <v>1.5</v>
      </c>
      <c r="AB22" s="34">
        <f t="shared" si="14"/>
        <v>1</v>
      </c>
      <c r="AC22" s="34">
        <f t="shared" si="14"/>
        <v>374</v>
      </c>
      <c r="AD22" s="34">
        <f t="shared" si="14"/>
        <v>0</v>
      </c>
      <c r="AE22" s="31">
        <f t="shared" si="14"/>
        <v>489.5</v>
      </c>
      <c r="AF22" s="31">
        <f t="shared" si="14"/>
        <v>863.5</v>
      </c>
    </row>
    <row r="23" spans="2:32" ht="23.1" customHeight="1" x14ac:dyDescent="0.25">
      <c r="B23" s="23" t="s">
        <v>50</v>
      </c>
      <c r="C23" s="49">
        <f>AVERAGE('22.07 MAKERERE-BWAISE'!C23,'23.07 Makerere-Bwaise'!C23,'24.07 Makerere-Bwaise'!C23,'25.07 Makerere-Bwaise'!C23,'26.07 Makerere-Bwaise-24h'!C23,'27.07 Makerere-Bwaise-24h'!C23,'28.07 Makerere-Bwaise'!C23)</f>
        <v>39</v>
      </c>
      <c r="D23" s="49">
        <f>AVERAGE('22.07 MAKERERE-BWAISE'!D23,'23.07 Makerere-Bwaise'!D23,'24.07 Makerere-Bwaise'!D23,'25.07 Makerere-Bwaise'!D23,'26.07 Makerere-Bwaise-24h'!D23,'27.07 Makerere-Bwaise-24h'!D23,'28.07 Makerere-Bwaise'!D23)</f>
        <v>9.8571428571428577</v>
      </c>
      <c r="E23" s="49">
        <f>AVERAGE('22.07 MAKERERE-BWAISE'!E23,'23.07 Makerere-Bwaise'!E23,'24.07 Makerere-Bwaise'!E23,'25.07 Makerere-Bwaise'!E23,'26.07 Makerere-Bwaise-24h'!E23,'27.07 Makerere-Bwaise-24h'!E23,'28.07 Makerere-Bwaise'!E23)</f>
        <v>6.1428571428571432</v>
      </c>
      <c r="F23" s="49">
        <f>AVERAGE('22.07 MAKERERE-BWAISE'!F23,'23.07 Makerere-Bwaise'!F23,'24.07 Makerere-Bwaise'!F23,'25.07 Makerere-Bwaise'!F23,'26.07 Makerere-Bwaise-24h'!F23,'27.07 Makerere-Bwaise-24h'!F23,'28.07 Makerere-Bwaise'!F23)</f>
        <v>46.571428571428569</v>
      </c>
      <c r="G23" s="49">
        <f>AVERAGE('22.07 MAKERERE-BWAISE'!G23,'23.07 Makerere-Bwaise'!G23,'24.07 Makerere-Bwaise'!G23,'25.07 Makerere-Bwaise'!G23,'26.07 Makerere-Bwaise-24h'!G23,'27.07 Makerere-Bwaise-24h'!G23,'28.07 Makerere-Bwaise'!G23)</f>
        <v>0.5714285714285714</v>
      </c>
      <c r="H23" s="49">
        <f>AVERAGE('22.07 MAKERERE-BWAISE'!H23,'23.07 Makerere-Bwaise'!H23,'24.07 Makerere-Bwaise'!H23,'25.07 Makerere-Bwaise'!H23,'26.07 Makerere-Bwaise-24h'!H23,'27.07 Makerere-Bwaise-24h'!H23,'28.07 Makerere-Bwaise'!H23)</f>
        <v>0.8571428571428571</v>
      </c>
      <c r="I23" s="49">
        <f>AVERAGE('22.07 MAKERERE-BWAISE'!I23,'23.07 Makerere-Bwaise'!I23,'24.07 Makerere-Bwaise'!I23,'25.07 Makerere-Bwaise'!I23,'26.07 Makerere-Bwaise-24h'!I23,'27.07 Makerere-Bwaise-24h'!I23,'28.07 Makerere-Bwaise'!I23)</f>
        <v>3</v>
      </c>
      <c r="J23" s="49">
        <f>AVERAGE('22.07 MAKERERE-BWAISE'!J23,'23.07 Makerere-Bwaise'!J23,'24.07 Makerere-Bwaise'!J23,'25.07 Makerere-Bwaise'!J23,'26.07 Makerere-Bwaise-24h'!J23,'27.07 Makerere-Bwaise-24h'!J23,'28.07 Makerere-Bwaise'!J23)</f>
        <v>3.5714285714285716</v>
      </c>
      <c r="K23" s="49">
        <f>AVERAGE('22.07 MAKERERE-BWAISE'!K23,'23.07 Makerere-Bwaise'!K23,'24.07 Makerere-Bwaise'!K23,'25.07 Makerere-Bwaise'!K23,'26.07 Makerere-Bwaise-24h'!K23,'27.07 Makerere-Bwaise-24h'!K23,'28.07 Makerere-Bwaise'!K23)</f>
        <v>0.8571428571428571</v>
      </c>
      <c r="L23" s="49">
        <f>AVERAGE('22.07 MAKERERE-BWAISE'!L23,'23.07 Makerere-Bwaise'!L23,'24.07 Makerere-Bwaise'!L23,'25.07 Makerere-Bwaise'!L23,'26.07 Makerere-Bwaise-24h'!L23,'27.07 Makerere-Bwaise-24h'!L23,'28.07 Makerere-Bwaise'!L23)</f>
        <v>1</v>
      </c>
      <c r="M23" s="49">
        <f>AVERAGE('22.07 MAKERERE-BWAISE'!M23,'23.07 Makerere-Bwaise'!M23,'24.07 Makerere-Bwaise'!M23,'25.07 Makerere-Bwaise'!M23,'26.07 Makerere-Bwaise-24h'!M23,'27.07 Makerere-Bwaise-24h'!M23,'28.07 Makerere-Bwaise'!M23)</f>
        <v>177.71428571428572</v>
      </c>
      <c r="N23" s="49">
        <f>AVERAGE('22.07 MAKERERE-BWAISE'!N23,'23.07 Makerere-Bwaise'!N23,'24.07 Makerere-Bwaise'!N23,'25.07 Makerere-Bwaise'!N23,'26.07 Makerere-Bwaise-24h'!N23,'27.07 Makerere-Bwaise-24h'!N23,'28.07 Makerere-Bwaise'!N23)</f>
        <v>0</v>
      </c>
      <c r="O23" s="15">
        <f t="shared" si="0"/>
        <v>111.42857142857144</v>
      </c>
      <c r="P23" s="15">
        <f t="shared" si="1"/>
        <v>289.14285714285717</v>
      </c>
      <c r="R23" s="1" t="s">
        <v>147</v>
      </c>
      <c r="S23" s="34">
        <f>SUM(C62:C65)</f>
        <v>219.5</v>
      </c>
      <c r="T23" s="34">
        <f t="shared" ref="T23:AF23" si="15">SUM(D62:D65)</f>
        <v>50.5</v>
      </c>
      <c r="U23" s="34">
        <f t="shared" si="15"/>
        <v>21.5</v>
      </c>
      <c r="V23" s="34">
        <f t="shared" si="15"/>
        <v>185.5</v>
      </c>
      <c r="W23" s="34">
        <f t="shared" si="15"/>
        <v>28</v>
      </c>
      <c r="X23" s="34">
        <f t="shared" si="15"/>
        <v>7</v>
      </c>
      <c r="Y23" s="34">
        <f t="shared" si="15"/>
        <v>18.5</v>
      </c>
      <c r="Z23" s="34">
        <f t="shared" si="15"/>
        <v>9.5</v>
      </c>
      <c r="AA23" s="34">
        <f t="shared" si="15"/>
        <v>1.5</v>
      </c>
      <c r="AB23" s="34">
        <f t="shared" si="15"/>
        <v>0</v>
      </c>
      <c r="AC23" s="34">
        <f t="shared" si="15"/>
        <v>458</v>
      </c>
      <c r="AD23" s="34">
        <f t="shared" si="15"/>
        <v>0</v>
      </c>
      <c r="AE23" s="31">
        <f t="shared" si="15"/>
        <v>541.5</v>
      </c>
      <c r="AF23" s="31">
        <f t="shared" si="15"/>
        <v>999.5</v>
      </c>
    </row>
    <row r="24" spans="2:32" ht="23.1" customHeight="1" x14ac:dyDescent="0.25">
      <c r="B24" s="23" t="s">
        <v>51</v>
      </c>
      <c r="C24" s="49">
        <f>AVERAGE('22.07 MAKERERE-BWAISE'!C24,'23.07 Makerere-Bwaise'!C24,'24.07 Makerere-Bwaise'!C24,'25.07 Makerere-Bwaise'!C24,'26.07 Makerere-Bwaise-24h'!C24,'27.07 Makerere-Bwaise-24h'!C24,'28.07 Makerere-Bwaise'!C24)</f>
        <v>35.142857142857146</v>
      </c>
      <c r="D24" s="49">
        <f>AVERAGE('22.07 MAKERERE-BWAISE'!D24,'23.07 Makerere-Bwaise'!D24,'24.07 Makerere-Bwaise'!D24,'25.07 Makerere-Bwaise'!D24,'26.07 Makerere-Bwaise-24h'!D24,'27.07 Makerere-Bwaise-24h'!D24,'28.07 Makerere-Bwaise'!D24)</f>
        <v>9.4285714285714288</v>
      </c>
      <c r="E24" s="49">
        <f>AVERAGE('22.07 MAKERERE-BWAISE'!E24,'23.07 Makerere-Bwaise'!E24,'24.07 Makerere-Bwaise'!E24,'25.07 Makerere-Bwaise'!E24,'26.07 Makerere-Bwaise-24h'!E24,'27.07 Makerere-Bwaise-24h'!E24,'28.07 Makerere-Bwaise'!E24)</f>
        <v>2.4285714285714284</v>
      </c>
      <c r="F24" s="49">
        <f>AVERAGE('22.07 MAKERERE-BWAISE'!F24,'23.07 Makerere-Bwaise'!F24,'24.07 Makerere-Bwaise'!F24,'25.07 Makerere-Bwaise'!F24,'26.07 Makerere-Bwaise-24h'!F24,'27.07 Makerere-Bwaise-24h'!F24,'28.07 Makerere-Bwaise'!F24)</f>
        <v>47.285714285714285</v>
      </c>
      <c r="G24" s="49">
        <f>AVERAGE('22.07 MAKERERE-BWAISE'!G24,'23.07 Makerere-Bwaise'!G24,'24.07 Makerere-Bwaise'!G24,'25.07 Makerere-Bwaise'!G24,'26.07 Makerere-Bwaise-24h'!G24,'27.07 Makerere-Bwaise-24h'!G24,'28.07 Makerere-Bwaise'!G24)</f>
        <v>0.8571428571428571</v>
      </c>
      <c r="H24" s="49">
        <f>AVERAGE('22.07 MAKERERE-BWAISE'!H24,'23.07 Makerere-Bwaise'!H24,'24.07 Makerere-Bwaise'!H24,'25.07 Makerere-Bwaise'!H24,'26.07 Makerere-Bwaise-24h'!H24,'27.07 Makerere-Bwaise-24h'!H24,'28.07 Makerere-Bwaise'!H24)</f>
        <v>0.42857142857142855</v>
      </c>
      <c r="I24" s="49">
        <f>AVERAGE('22.07 MAKERERE-BWAISE'!I24,'23.07 Makerere-Bwaise'!I24,'24.07 Makerere-Bwaise'!I24,'25.07 Makerere-Bwaise'!I24,'26.07 Makerere-Bwaise-24h'!I24,'27.07 Makerere-Bwaise-24h'!I24,'28.07 Makerere-Bwaise'!I24)</f>
        <v>4</v>
      </c>
      <c r="J24" s="49">
        <f>AVERAGE('22.07 MAKERERE-BWAISE'!J24,'23.07 Makerere-Bwaise'!J24,'24.07 Makerere-Bwaise'!J24,'25.07 Makerere-Bwaise'!J24,'26.07 Makerere-Bwaise-24h'!J24,'27.07 Makerere-Bwaise-24h'!J24,'28.07 Makerere-Bwaise'!J24)</f>
        <v>4.7142857142857144</v>
      </c>
      <c r="K24" s="49">
        <f>AVERAGE('22.07 MAKERERE-BWAISE'!K24,'23.07 Makerere-Bwaise'!K24,'24.07 Makerere-Bwaise'!K24,'25.07 Makerere-Bwaise'!K24,'26.07 Makerere-Bwaise-24h'!K24,'27.07 Makerere-Bwaise-24h'!K24,'28.07 Makerere-Bwaise'!K24)</f>
        <v>1.2857142857142858</v>
      </c>
      <c r="L24" s="49">
        <f>AVERAGE('22.07 MAKERERE-BWAISE'!L24,'23.07 Makerere-Bwaise'!L24,'24.07 Makerere-Bwaise'!L24,'25.07 Makerere-Bwaise'!L24,'26.07 Makerere-Bwaise-24h'!L24,'27.07 Makerere-Bwaise-24h'!L24,'28.07 Makerere-Bwaise'!L24)</f>
        <v>0.5714285714285714</v>
      </c>
      <c r="M24" s="49">
        <f>AVERAGE('22.07 MAKERERE-BWAISE'!M24,'23.07 Makerere-Bwaise'!M24,'24.07 Makerere-Bwaise'!M24,'25.07 Makerere-Bwaise'!M24,'26.07 Makerere-Bwaise-24h'!M24,'27.07 Makerere-Bwaise-24h'!M24,'28.07 Makerere-Bwaise'!M24)</f>
        <v>186.85714285714286</v>
      </c>
      <c r="N24" s="49">
        <f>AVERAGE('22.07 MAKERERE-BWAISE'!N24,'23.07 Makerere-Bwaise'!N24,'24.07 Makerere-Bwaise'!N24,'25.07 Makerere-Bwaise'!N24,'26.07 Makerere-Bwaise-24h'!N24,'27.07 Makerere-Bwaise-24h'!N24,'28.07 Makerere-Bwaise'!N24)</f>
        <v>0.16666666666666666</v>
      </c>
      <c r="O24" s="15">
        <f t="shared" si="0"/>
        <v>106.30952380952382</v>
      </c>
      <c r="P24" s="15">
        <f t="shared" si="1"/>
        <v>293.16666666666669</v>
      </c>
      <c r="R24" s="1" t="s">
        <v>148</v>
      </c>
      <c r="S24" s="34">
        <f>SUM(C66:C69)</f>
        <v>229</v>
      </c>
      <c r="T24" s="34">
        <f t="shared" ref="T24:AF24" si="16">SUM(D66:D69)</f>
        <v>26.5</v>
      </c>
      <c r="U24" s="34">
        <f t="shared" si="16"/>
        <v>16.5</v>
      </c>
      <c r="V24" s="34">
        <f t="shared" si="16"/>
        <v>160.5</v>
      </c>
      <c r="W24" s="34">
        <f t="shared" si="16"/>
        <v>4.5</v>
      </c>
      <c r="X24" s="34">
        <f t="shared" si="16"/>
        <v>1.5</v>
      </c>
      <c r="Y24" s="34">
        <f t="shared" si="16"/>
        <v>18</v>
      </c>
      <c r="Z24" s="34">
        <f t="shared" si="16"/>
        <v>4.5</v>
      </c>
      <c r="AA24" s="34">
        <f t="shared" si="16"/>
        <v>1.5</v>
      </c>
      <c r="AB24" s="34">
        <f t="shared" si="16"/>
        <v>0</v>
      </c>
      <c r="AC24" s="34">
        <f t="shared" si="16"/>
        <v>389</v>
      </c>
      <c r="AD24" s="34">
        <f t="shared" si="16"/>
        <v>0.5</v>
      </c>
      <c r="AE24" s="31">
        <f t="shared" si="16"/>
        <v>463</v>
      </c>
      <c r="AF24" s="31">
        <f t="shared" si="16"/>
        <v>852</v>
      </c>
    </row>
    <row r="25" spans="2:32" ht="23.1" customHeight="1" x14ac:dyDescent="0.25">
      <c r="B25" s="23" t="s">
        <v>52</v>
      </c>
      <c r="C25" s="49">
        <f>AVERAGE('22.07 MAKERERE-BWAISE'!C25,'23.07 Makerere-Bwaise'!C25,'24.07 Makerere-Bwaise'!C25,'25.07 Makerere-Bwaise'!C25,'26.07 Makerere-Bwaise-24h'!C25,'27.07 Makerere-Bwaise-24h'!C25,'28.07 Makerere-Bwaise'!C25)</f>
        <v>28.428571428571427</v>
      </c>
      <c r="D25" s="49">
        <f>AVERAGE('22.07 MAKERERE-BWAISE'!D25,'23.07 Makerere-Bwaise'!D25,'24.07 Makerere-Bwaise'!D25,'25.07 Makerere-Bwaise'!D25,'26.07 Makerere-Bwaise-24h'!D25,'27.07 Makerere-Bwaise-24h'!D25,'28.07 Makerere-Bwaise'!D25)</f>
        <v>12.142857142857142</v>
      </c>
      <c r="E25" s="49">
        <f>AVERAGE('22.07 MAKERERE-BWAISE'!E25,'23.07 Makerere-Bwaise'!E25,'24.07 Makerere-Bwaise'!E25,'25.07 Makerere-Bwaise'!E25,'26.07 Makerere-Bwaise-24h'!E25,'27.07 Makerere-Bwaise-24h'!E25,'28.07 Makerere-Bwaise'!E25)</f>
        <v>2.7142857142857144</v>
      </c>
      <c r="F25" s="49">
        <f>AVERAGE('22.07 MAKERERE-BWAISE'!F25,'23.07 Makerere-Bwaise'!F25,'24.07 Makerere-Bwaise'!F25,'25.07 Makerere-Bwaise'!F25,'26.07 Makerere-Bwaise-24h'!F25,'27.07 Makerere-Bwaise-24h'!F25,'28.07 Makerere-Bwaise'!F25)</f>
        <v>43.285714285714285</v>
      </c>
      <c r="G25" s="49">
        <f>AVERAGE('22.07 MAKERERE-BWAISE'!G25,'23.07 Makerere-Bwaise'!G25,'24.07 Makerere-Bwaise'!G25,'25.07 Makerere-Bwaise'!G25,'26.07 Makerere-Bwaise-24h'!G25,'27.07 Makerere-Bwaise-24h'!G25,'28.07 Makerere-Bwaise'!G25)</f>
        <v>1.1428571428571428</v>
      </c>
      <c r="H25" s="49">
        <f>AVERAGE('22.07 MAKERERE-BWAISE'!H25,'23.07 Makerere-Bwaise'!H25,'24.07 Makerere-Bwaise'!H25,'25.07 Makerere-Bwaise'!H25,'26.07 Makerere-Bwaise-24h'!H25,'27.07 Makerere-Bwaise-24h'!H25,'28.07 Makerere-Bwaise'!H25)</f>
        <v>0.14285714285714285</v>
      </c>
      <c r="I25" s="49">
        <f>AVERAGE('22.07 MAKERERE-BWAISE'!I25,'23.07 Makerere-Bwaise'!I25,'24.07 Makerere-Bwaise'!I25,'25.07 Makerere-Bwaise'!I25,'26.07 Makerere-Bwaise-24h'!I25,'27.07 Makerere-Bwaise-24h'!I25,'28.07 Makerere-Bwaise'!I25)</f>
        <v>3.8571428571428572</v>
      </c>
      <c r="J25" s="49">
        <f>AVERAGE('22.07 MAKERERE-BWAISE'!J25,'23.07 Makerere-Bwaise'!J25,'24.07 Makerere-Bwaise'!J25,'25.07 Makerere-Bwaise'!J25,'26.07 Makerere-Bwaise-24h'!J25,'27.07 Makerere-Bwaise-24h'!J25,'28.07 Makerere-Bwaise'!J25)</f>
        <v>2.7142857142857144</v>
      </c>
      <c r="K25" s="49">
        <f>AVERAGE('22.07 MAKERERE-BWAISE'!K25,'23.07 Makerere-Bwaise'!K25,'24.07 Makerere-Bwaise'!K25,'25.07 Makerere-Bwaise'!K25,'26.07 Makerere-Bwaise-24h'!K25,'27.07 Makerere-Bwaise-24h'!K25,'28.07 Makerere-Bwaise'!K25)</f>
        <v>0.5714285714285714</v>
      </c>
      <c r="L25" s="49">
        <f>AVERAGE('22.07 MAKERERE-BWAISE'!L25,'23.07 Makerere-Bwaise'!L25,'24.07 Makerere-Bwaise'!L25,'25.07 Makerere-Bwaise'!L25,'26.07 Makerere-Bwaise-24h'!L25,'27.07 Makerere-Bwaise-24h'!L25,'28.07 Makerere-Bwaise'!L25)</f>
        <v>0.5714285714285714</v>
      </c>
      <c r="M25" s="49">
        <f>AVERAGE('22.07 MAKERERE-BWAISE'!M25,'23.07 Makerere-Bwaise'!M25,'24.07 Makerere-Bwaise'!M25,'25.07 Makerere-Bwaise'!M25,'26.07 Makerere-Bwaise-24h'!M25,'27.07 Makerere-Bwaise-24h'!M25,'28.07 Makerere-Bwaise'!M25)</f>
        <v>155.28571428571428</v>
      </c>
      <c r="N25" s="49">
        <f>AVERAGE('22.07 MAKERERE-BWAISE'!N25,'23.07 Makerere-Bwaise'!N25,'24.07 Makerere-Bwaise'!N25,'25.07 Makerere-Bwaise'!N25,'26.07 Makerere-Bwaise-24h'!N25,'27.07 Makerere-Bwaise-24h'!N25,'28.07 Makerere-Bwaise'!N25)</f>
        <v>0</v>
      </c>
      <c r="O25" s="15">
        <f t="shared" si="0"/>
        <v>95.571428571428555</v>
      </c>
      <c r="P25" s="15">
        <f t="shared" si="1"/>
        <v>250.85714285714283</v>
      </c>
      <c r="R25" s="1" t="s">
        <v>149</v>
      </c>
      <c r="S25" s="34">
        <f>SUM(C70:C73)</f>
        <v>164.5</v>
      </c>
      <c r="T25" s="34">
        <f t="shared" ref="T25:AF25" si="17">SUM(D70:D73)</f>
        <v>28.5</v>
      </c>
      <c r="U25" s="34">
        <f t="shared" si="17"/>
        <v>22</v>
      </c>
      <c r="V25" s="34">
        <f t="shared" si="17"/>
        <v>70.5</v>
      </c>
      <c r="W25" s="34">
        <f t="shared" si="17"/>
        <v>3</v>
      </c>
      <c r="X25" s="34">
        <f t="shared" si="17"/>
        <v>1</v>
      </c>
      <c r="Y25" s="34">
        <f t="shared" si="17"/>
        <v>8</v>
      </c>
      <c r="Z25" s="34">
        <f t="shared" si="17"/>
        <v>0.5</v>
      </c>
      <c r="AA25" s="34">
        <f t="shared" si="17"/>
        <v>1</v>
      </c>
      <c r="AB25" s="34">
        <f t="shared" si="17"/>
        <v>1.5</v>
      </c>
      <c r="AC25" s="34">
        <f t="shared" si="17"/>
        <v>306.5</v>
      </c>
      <c r="AD25" s="34">
        <f t="shared" si="17"/>
        <v>0</v>
      </c>
      <c r="AE25" s="31">
        <f t="shared" si="17"/>
        <v>300.5</v>
      </c>
      <c r="AF25" s="31">
        <f t="shared" si="17"/>
        <v>607</v>
      </c>
    </row>
    <row r="26" spans="2:32" ht="23.1" customHeight="1" x14ac:dyDescent="0.25">
      <c r="B26" s="23" t="s">
        <v>53</v>
      </c>
      <c r="C26" s="49">
        <f>AVERAGE('22.07 MAKERERE-BWAISE'!C26,'23.07 Makerere-Bwaise'!C26,'24.07 Makerere-Bwaise'!C26,'25.07 Makerere-Bwaise'!C26,'26.07 Makerere-Bwaise-24h'!C26,'27.07 Makerere-Bwaise-24h'!C26,'28.07 Makerere-Bwaise'!C26)</f>
        <v>36.285714285714285</v>
      </c>
      <c r="D26" s="49">
        <f>AVERAGE('22.07 MAKERERE-BWAISE'!D26,'23.07 Makerere-Bwaise'!D26,'24.07 Makerere-Bwaise'!D26,'25.07 Makerere-Bwaise'!D26,'26.07 Makerere-Bwaise-24h'!D26,'27.07 Makerere-Bwaise-24h'!D26,'28.07 Makerere-Bwaise'!D26)</f>
        <v>12.142857142857142</v>
      </c>
      <c r="E26" s="49">
        <f>AVERAGE('22.07 MAKERERE-BWAISE'!E26,'23.07 Makerere-Bwaise'!E26,'24.07 Makerere-Bwaise'!E26,'25.07 Makerere-Bwaise'!E26,'26.07 Makerere-Bwaise-24h'!E26,'27.07 Makerere-Bwaise-24h'!E26,'28.07 Makerere-Bwaise'!E26)</f>
        <v>12.857142857142858</v>
      </c>
      <c r="F26" s="49">
        <f>AVERAGE('22.07 MAKERERE-BWAISE'!F26,'23.07 Makerere-Bwaise'!F26,'24.07 Makerere-Bwaise'!F26,'25.07 Makerere-Bwaise'!F26,'26.07 Makerere-Bwaise-24h'!F26,'27.07 Makerere-Bwaise-24h'!F26,'28.07 Makerere-Bwaise'!F26)</f>
        <v>40</v>
      </c>
      <c r="G26" s="49">
        <f>AVERAGE('22.07 MAKERERE-BWAISE'!G26,'23.07 Makerere-Bwaise'!G26,'24.07 Makerere-Bwaise'!G26,'25.07 Makerere-Bwaise'!G26,'26.07 Makerere-Bwaise-24h'!G26,'27.07 Makerere-Bwaise-24h'!G26,'28.07 Makerere-Bwaise'!G26)</f>
        <v>10.428571428571429</v>
      </c>
      <c r="H26" s="49">
        <f>AVERAGE('22.07 MAKERERE-BWAISE'!H26,'23.07 Makerere-Bwaise'!H26,'24.07 Makerere-Bwaise'!H26,'25.07 Makerere-Bwaise'!H26,'26.07 Makerere-Bwaise-24h'!H26,'27.07 Makerere-Bwaise-24h'!H26,'28.07 Makerere-Bwaise'!H26)</f>
        <v>1.7142857142857142</v>
      </c>
      <c r="I26" s="49">
        <f>AVERAGE('22.07 MAKERERE-BWAISE'!I26,'23.07 Makerere-Bwaise'!I26,'24.07 Makerere-Bwaise'!I26,'25.07 Makerere-Bwaise'!I26,'26.07 Makerere-Bwaise-24h'!I26,'27.07 Makerere-Bwaise-24h'!I26,'28.07 Makerere-Bwaise'!I26)</f>
        <v>4.2857142857142856</v>
      </c>
      <c r="J26" s="49">
        <f>AVERAGE('22.07 MAKERERE-BWAISE'!J26,'23.07 Makerere-Bwaise'!J26,'24.07 Makerere-Bwaise'!J26,'25.07 Makerere-Bwaise'!J26,'26.07 Makerere-Bwaise-24h'!J26,'27.07 Makerere-Bwaise-24h'!J26,'28.07 Makerere-Bwaise'!J26)</f>
        <v>3.1428571428571428</v>
      </c>
      <c r="K26" s="49">
        <f>AVERAGE('22.07 MAKERERE-BWAISE'!K26,'23.07 Makerere-Bwaise'!K26,'24.07 Makerere-Bwaise'!K26,'25.07 Makerere-Bwaise'!K26,'26.07 Makerere-Bwaise-24h'!K26,'27.07 Makerere-Bwaise-24h'!K26,'28.07 Makerere-Bwaise'!K26)</f>
        <v>1</v>
      </c>
      <c r="L26" s="49">
        <f>AVERAGE('22.07 MAKERERE-BWAISE'!L26,'23.07 Makerere-Bwaise'!L26,'24.07 Makerere-Bwaise'!L26,'25.07 Makerere-Bwaise'!L26,'26.07 Makerere-Bwaise-24h'!L26,'27.07 Makerere-Bwaise-24h'!L26,'28.07 Makerere-Bwaise'!L26)</f>
        <v>0.8571428571428571</v>
      </c>
      <c r="M26" s="49">
        <f>AVERAGE('22.07 MAKERERE-BWAISE'!M26,'23.07 Makerere-Bwaise'!M26,'24.07 Makerere-Bwaise'!M26,'25.07 Makerere-Bwaise'!M26,'26.07 Makerere-Bwaise-24h'!M26,'27.07 Makerere-Bwaise-24h'!M26,'28.07 Makerere-Bwaise'!M26)</f>
        <v>168.28571428571428</v>
      </c>
      <c r="N26" s="49">
        <f>AVERAGE('22.07 MAKERERE-BWAISE'!N26,'23.07 Makerere-Bwaise'!N26,'24.07 Makerere-Bwaise'!N26,'25.07 Makerere-Bwaise'!N26,'26.07 Makerere-Bwaise-24h'!N26,'27.07 Makerere-Bwaise-24h'!N26,'28.07 Makerere-Bwaise'!N26)</f>
        <v>0.16666666666666666</v>
      </c>
      <c r="O26" s="15">
        <f t="shared" si="0"/>
        <v>122.88095238095239</v>
      </c>
      <c r="P26" s="15">
        <f t="shared" si="1"/>
        <v>291.16666666666669</v>
      </c>
      <c r="R26" s="1" t="s">
        <v>150</v>
      </c>
      <c r="S26" s="34">
        <f>SUM(C74:C77)</f>
        <v>122</v>
      </c>
      <c r="T26" s="34">
        <f t="shared" ref="T26:AF26" si="18">SUM(D74:D77)</f>
        <v>16</v>
      </c>
      <c r="U26" s="34">
        <f t="shared" si="18"/>
        <v>7</v>
      </c>
      <c r="V26" s="34">
        <f t="shared" si="18"/>
        <v>38.5</v>
      </c>
      <c r="W26" s="34">
        <f t="shared" si="18"/>
        <v>1</v>
      </c>
      <c r="X26" s="34">
        <f t="shared" si="18"/>
        <v>3</v>
      </c>
      <c r="Y26" s="34">
        <f t="shared" si="18"/>
        <v>7</v>
      </c>
      <c r="Z26" s="34">
        <f t="shared" si="18"/>
        <v>0</v>
      </c>
      <c r="AA26" s="34">
        <f t="shared" si="18"/>
        <v>2</v>
      </c>
      <c r="AB26" s="34">
        <f t="shared" si="18"/>
        <v>0</v>
      </c>
      <c r="AC26" s="34">
        <f t="shared" si="18"/>
        <v>271</v>
      </c>
      <c r="AD26" s="34">
        <f t="shared" si="18"/>
        <v>0</v>
      </c>
      <c r="AE26" s="31">
        <f t="shared" si="18"/>
        <v>196.5</v>
      </c>
      <c r="AF26" s="31">
        <f t="shared" si="18"/>
        <v>467.5</v>
      </c>
    </row>
    <row r="27" spans="2:32" ht="23.1" customHeight="1" x14ac:dyDescent="0.25">
      <c r="B27" s="23" t="s">
        <v>54</v>
      </c>
      <c r="C27" s="49">
        <f>AVERAGE('22.07 MAKERERE-BWAISE'!C27,'23.07 Makerere-Bwaise'!C27,'24.07 Makerere-Bwaise'!C27,'25.07 Makerere-Bwaise'!C27,'26.07 Makerere-Bwaise-24h'!C27,'27.07 Makerere-Bwaise-24h'!C27,'28.07 Makerere-Bwaise'!C27)</f>
        <v>36.571428571428569</v>
      </c>
      <c r="D27" s="49">
        <f>AVERAGE('22.07 MAKERERE-BWAISE'!D27,'23.07 Makerere-Bwaise'!D27,'24.07 Makerere-Bwaise'!D27,'25.07 Makerere-Bwaise'!D27,'26.07 Makerere-Bwaise-24h'!D27,'27.07 Makerere-Bwaise-24h'!D27,'28.07 Makerere-Bwaise'!D27)</f>
        <v>10.857142857142858</v>
      </c>
      <c r="E27" s="49">
        <f>AVERAGE('22.07 MAKERERE-BWAISE'!E27,'23.07 Makerere-Bwaise'!E27,'24.07 Makerere-Bwaise'!E27,'25.07 Makerere-Bwaise'!E27,'26.07 Makerere-Bwaise-24h'!E27,'27.07 Makerere-Bwaise-24h'!E27,'28.07 Makerere-Bwaise'!E27)</f>
        <v>5.4285714285714288</v>
      </c>
      <c r="F27" s="49">
        <f>AVERAGE('22.07 MAKERERE-BWAISE'!F27,'23.07 Makerere-Bwaise'!F27,'24.07 Makerere-Bwaise'!F27,'25.07 Makerere-Bwaise'!F27,'26.07 Makerere-Bwaise-24h'!F27,'27.07 Makerere-Bwaise-24h'!F27,'28.07 Makerere-Bwaise'!F27)</f>
        <v>35.714285714285715</v>
      </c>
      <c r="G27" s="49">
        <f>AVERAGE('22.07 MAKERERE-BWAISE'!G27,'23.07 Makerere-Bwaise'!G27,'24.07 Makerere-Bwaise'!G27,'25.07 Makerere-Bwaise'!G27,'26.07 Makerere-Bwaise-24h'!G27,'27.07 Makerere-Bwaise-24h'!G27,'28.07 Makerere-Bwaise'!G27)</f>
        <v>0.16666666666666666</v>
      </c>
      <c r="H27" s="49">
        <f>AVERAGE('22.07 MAKERERE-BWAISE'!H27,'23.07 Makerere-Bwaise'!H27,'24.07 Makerere-Bwaise'!H27,'25.07 Makerere-Bwaise'!H27,'26.07 Makerere-Bwaise-24h'!H27,'27.07 Makerere-Bwaise-24h'!H27,'28.07 Makerere-Bwaise'!H27)</f>
        <v>0.42857142857142855</v>
      </c>
      <c r="I27" s="49">
        <f>AVERAGE('22.07 MAKERERE-BWAISE'!I27,'23.07 Makerere-Bwaise'!I27,'24.07 Makerere-Bwaise'!I27,'25.07 Makerere-Bwaise'!I27,'26.07 Makerere-Bwaise-24h'!I27,'27.07 Makerere-Bwaise-24h'!I27,'28.07 Makerere-Bwaise'!I27)</f>
        <v>2.7142857142857144</v>
      </c>
      <c r="J27" s="49">
        <f>AVERAGE('22.07 MAKERERE-BWAISE'!J27,'23.07 Makerere-Bwaise'!J27,'24.07 Makerere-Bwaise'!J27,'25.07 Makerere-Bwaise'!J27,'26.07 Makerere-Bwaise-24h'!J27,'27.07 Makerere-Bwaise-24h'!J27,'28.07 Makerere-Bwaise'!J27)</f>
        <v>4.5714285714285712</v>
      </c>
      <c r="K27" s="49">
        <f>AVERAGE('22.07 MAKERERE-BWAISE'!K27,'23.07 Makerere-Bwaise'!K27,'24.07 Makerere-Bwaise'!K27,'25.07 Makerere-Bwaise'!K27,'26.07 Makerere-Bwaise-24h'!K27,'27.07 Makerere-Bwaise-24h'!K27,'28.07 Makerere-Bwaise'!K27)</f>
        <v>1.5714285714285714</v>
      </c>
      <c r="L27" s="49">
        <f>AVERAGE('22.07 MAKERERE-BWAISE'!L27,'23.07 Makerere-Bwaise'!L27,'24.07 Makerere-Bwaise'!L27,'25.07 Makerere-Bwaise'!L27,'26.07 Makerere-Bwaise-24h'!L27,'27.07 Makerere-Bwaise-24h'!L27,'28.07 Makerere-Bwaise'!L27)</f>
        <v>1</v>
      </c>
      <c r="M27" s="49">
        <f>AVERAGE('22.07 MAKERERE-BWAISE'!M27,'23.07 Makerere-Bwaise'!M27,'24.07 Makerere-Bwaise'!M27,'25.07 Makerere-Bwaise'!M27,'26.07 Makerere-Bwaise-24h'!M27,'27.07 Makerere-Bwaise-24h'!M27,'28.07 Makerere-Bwaise'!M27)</f>
        <v>156.57142857142858</v>
      </c>
      <c r="N27" s="49">
        <f>AVERAGE('22.07 MAKERERE-BWAISE'!N27,'23.07 Makerere-Bwaise'!N27,'24.07 Makerere-Bwaise'!N27,'25.07 Makerere-Bwaise'!N27,'26.07 Makerere-Bwaise-24h'!N27,'27.07 Makerere-Bwaise-24h'!N27,'28.07 Makerere-Bwaise'!N27)</f>
        <v>0</v>
      </c>
      <c r="O27" s="15">
        <f t="shared" si="0"/>
        <v>99.023809523809533</v>
      </c>
      <c r="P27" s="15">
        <f t="shared" si="1"/>
        <v>255.59523809523813</v>
      </c>
      <c r="R27" s="1" t="s">
        <v>151</v>
      </c>
      <c r="S27" s="34">
        <f>SUM(C78:C81)</f>
        <v>72</v>
      </c>
      <c r="T27" s="34">
        <f t="shared" ref="T27:AF27" si="19">SUM(D78:D81)</f>
        <v>6.5</v>
      </c>
      <c r="U27" s="34">
        <f t="shared" si="19"/>
        <v>8.5</v>
      </c>
      <c r="V27" s="34">
        <f t="shared" si="19"/>
        <v>14</v>
      </c>
      <c r="W27" s="34">
        <f t="shared" si="19"/>
        <v>2</v>
      </c>
      <c r="X27" s="34">
        <f t="shared" si="19"/>
        <v>3</v>
      </c>
      <c r="Y27" s="34">
        <f t="shared" si="19"/>
        <v>4.5</v>
      </c>
      <c r="Z27" s="34">
        <f t="shared" si="19"/>
        <v>4</v>
      </c>
      <c r="AA27" s="34">
        <f t="shared" si="19"/>
        <v>1</v>
      </c>
      <c r="AB27" s="34">
        <f t="shared" si="19"/>
        <v>0</v>
      </c>
      <c r="AC27" s="34">
        <f t="shared" si="19"/>
        <v>186</v>
      </c>
      <c r="AD27" s="34">
        <f t="shared" si="19"/>
        <v>0</v>
      </c>
      <c r="AE27" s="31">
        <f t="shared" si="19"/>
        <v>115.5</v>
      </c>
      <c r="AF27" s="31">
        <f t="shared" si="19"/>
        <v>301.5</v>
      </c>
    </row>
    <row r="28" spans="2:32" ht="23.1" customHeight="1" x14ac:dyDescent="0.25">
      <c r="B28" s="23" t="s">
        <v>55</v>
      </c>
      <c r="C28" s="49">
        <f>AVERAGE('22.07 MAKERERE-BWAISE'!C28,'23.07 Makerere-Bwaise'!C28,'24.07 Makerere-Bwaise'!C28,'25.07 Makerere-Bwaise'!C28,'26.07 Makerere-Bwaise-24h'!C28,'27.07 Makerere-Bwaise-24h'!C28,'28.07 Makerere-Bwaise'!C28)</f>
        <v>46.857142857142854</v>
      </c>
      <c r="D28" s="49">
        <f>AVERAGE('22.07 MAKERERE-BWAISE'!D28,'23.07 Makerere-Bwaise'!D28,'24.07 Makerere-Bwaise'!D28,'25.07 Makerere-Bwaise'!D28,'26.07 Makerere-Bwaise-24h'!D28,'27.07 Makerere-Bwaise-24h'!D28,'28.07 Makerere-Bwaise'!D28)</f>
        <v>11.571428571428571</v>
      </c>
      <c r="E28" s="49">
        <f>AVERAGE('22.07 MAKERERE-BWAISE'!E28,'23.07 Makerere-Bwaise'!E28,'24.07 Makerere-Bwaise'!E28,'25.07 Makerere-Bwaise'!E28,'26.07 Makerere-Bwaise-24h'!E28,'27.07 Makerere-Bwaise-24h'!E28,'28.07 Makerere-Bwaise'!E28)</f>
        <v>8.7142857142857135</v>
      </c>
      <c r="F28" s="49">
        <f>AVERAGE('22.07 MAKERERE-BWAISE'!F28,'23.07 Makerere-Bwaise'!F28,'24.07 Makerere-Bwaise'!F28,'25.07 Makerere-Bwaise'!F28,'26.07 Makerere-Bwaise-24h'!F28,'27.07 Makerere-Bwaise-24h'!F28,'28.07 Makerere-Bwaise'!F28)</f>
        <v>46.285714285714285</v>
      </c>
      <c r="G28" s="49">
        <f>AVERAGE('22.07 MAKERERE-BWAISE'!G28,'23.07 Makerere-Bwaise'!G28,'24.07 Makerere-Bwaise'!G28,'25.07 Makerere-Bwaise'!G28,'26.07 Makerere-Bwaise-24h'!G28,'27.07 Makerere-Bwaise-24h'!G28,'28.07 Makerere-Bwaise'!G28)</f>
        <v>1</v>
      </c>
      <c r="H28" s="49">
        <f>AVERAGE('22.07 MAKERERE-BWAISE'!H28,'23.07 Makerere-Bwaise'!H28,'24.07 Makerere-Bwaise'!H28,'25.07 Makerere-Bwaise'!H28,'26.07 Makerere-Bwaise-24h'!H28,'27.07 Makerere-Bwaise-24h'!H28,'28.07 Makerere-Bwaise'!H28)</f>
        <v>2.1428571428571428</v>
      </c>
      <c r="I28" s="49">
        <f>AVERAGE('22.07 MAKERERE-BWAISE'!I28,'23.07 Makerere-Bwaise'!I28,'24.07 Makerere-Bwaise'!I28,'25.07 Makerere-Bwaise'!I28,'26.07 Makerere-Bwaise-24h'!I28,'27.07 Makerere-Bwaise-24h'!I28,'28.07 Makerere-Bwaise'!I28)</f>
        <v>3.1428571428571428</v>
      </c>
      <c r="J28" s="49">
        <f>AVERAGE('22.07 MAKERERE-BWAISE'!J28,'23.07 Makerere-Bwaise'!J28,'24.07 Makerere-Bwaise'!J28,'25.07 Makerere-Bwaise'!J28,'26.07 Makerere-Bwaise-24h'!J28,'27.07 Makerere-Bwaise-24h'!J28,'28.07 Makerere-Bwaise'!J28)</f>
        <v>3.8571428571428572</v>
      </c>
      <c r="K28" s="49">
        <f>AVERAGE('22.07 MAKERERE-BWAISE'!K28,'23.07 Makerere-Bwaise'!K28,'24.07 Makerere-Bwaise'!K28,'25.07 Makerere-Bwaise'!K28,'26.07 Makerere-Bwaise-24h'!K28,'27.07 Makerere-Bwaise-24h'!K28,'28.07 Makerere-Bwaise'!K28)</f>
        <v>0.8571428571428571</v>
      </c>
      <c r="L28" s="49">
        <f>AVERAGE('22.07 MAKERERE-BWAISE'!L28,'23.07 Makerere-Bwaise'!L28,'24.07 Makerere-Bwaise'!L28,'25.07 Makerere-Bwaise'!L28,'26.07 Makerere-Bwaise-24h'!L28,'27.07 Makerere-Bwaise-24h'!L28,'28.07 Makerere-Bwaise'!L28)</f>
        <v>0.5714285714285714</v>
      </c>
      <c r="M28" s="49">
        <f>AVERAGE('22.07 MAKERERE-BWAISE'!M28,'23.07 Makerere-Bwaise'!M28,'24.07 Makerere-Bwaise'!M28,'25.07 Makerere-Bwaise'!M28,'26.07 Makerere-Bwaise-24h'!M28,'27.07 Makerere-Bwaise-24h'!M28,'28.07 Makerere-Bwaise'!M28)</f>
        <v>169.28571428571428</v>
      </c>
      <c r="N28" s="49">
        <f>AVERAGE('22.07 MAKERERE-BWAISE'!N28,'23.07 Makerere-Bwaise'!N28,'24.07 Makerere-Bwaise'!N28,'25.07 Makerere-Bwaise'!N28,'26.07 Makerere-Bwaise-24h'!N28,'27.07 Makerere-Bwaise-24h'!N28,'28.07 Makerere-Bwaise'!N28)</f>
        <v>0</v>
      </c>
      <c r="O28" s="15">
        <f t="shared" si="0"/>
        <v>124.99999999999999</v>
      </c>
      <c r="P28" s="15">
        <f t="shared" si="1"/>
        <v>294.28571428571428</v>
      </c>
      <c r="R28" s="1" t="s">
        <v>152</v>
      </c>
      <c r="S28" s="34">
        <f>SUM(C82:C85)</f>
        <v>43.5</v>
      </c>
      <c r="T28" s="34">
        <f t="shared" ref="T28:AF28" si="20">SUM(D82:D85)</f>
        <v>1.5</v>
      </c>
      <c r="U28" s="34">
        <f t="shared" si="20"/>
        <v>2.5</v>
      </c>
      <c r="V28" s="34">
        <f t="shared" si="20"/>
        <v>5.5</v>
      </c>
      <c r="W28" s="34">
        <f t="shared" si="20"/>
        <v>0.5</v>
      </c>
      <c r="X28" s="34">
        <f t="shared" si="20"/>
        <v>1.5</v>
      </c>
      <c r="Y28" s="34">
        <f t="shared" si="20"/>
        <v>2.5</v>
      </c>
      <c r="Z28" s="34">
        <f t="shared" si="20"/>
        <v>2.5</v>
      </c>
      <c r="AA28" s="34">
        <f t="shared" si="20"/>
        <v>2.5</v>
      </c>
      <c r="AB28" s="34">
        <f t="shared" si="20"/>
        <v>0</v>
      </c>
      <c r="AC28" s="34">
        <f t="shared" si="20"/>
        <v>79.5</v>
      </c>
      <c r="AD28" s="34">
        <f t="shared" si="20"/>
        <v>0</v>
      </c>
      <c r="AE28" s="31">
        <f t="shared" si="20"/>
        <v>62.5</v>
      </c>
      <c r="AF28" s="31">
        <f t="shared" si="20"/>
        <v>142</v>
      </c>
    </row>
    <row r="29" spans="2:32" ht="23.1" customHeight="1" x14ac:dyDescent="0.25">
      <c r="B29" s="23" t="s">
        <v>56</v>
      </c>
      <c r="C29" s="49">
        <f>AVERAGE('22.07 MAKERERE-BWAISE'!C29,'23.07 Makerere-Bwaise'!C29,'24.07 Makerere-Bwaise'!C29,'25.07 Makerere-Bwaise'!C29,'26.07 Makerere-Bwaise-24h'!C29,'27.07 Makerere-Bwaise-24h'!C29,'28.07 Makerere-Bwaise'!C29)</f>
        <v>37.142857142857146</v>
      </c>
      <c r="D29" s="49">
        <f>AVERAGE('22.07 MAKERERE-BWAISE'!D29,'23.07 Makerere-Bwaise'!D29,'24.07 Makerere-Bwaise'!D29,'25.07 Makerere-Bwaise'!D29,'26.07 Makerere-Bwaise-24h'!D29,'27.07 Makerere-Bwaise-24h'!D29,'28.07 Makerere-Bwaise'!D29)</f>
        <v>7.5714285714285712</v>
      </c>
      <c r="E29" s="49">
        <f>AVERAGE('22.07 MAKERERE-BWAISE'!E29,'23.07 Makerere-Bwaise'!E29,'24.07 Makerere-Bwaise'!E29,'25.07 Makerere-Bwaise'!E29,'26.07 Makerere-Bwaise-24h'!E29,'27.07 Makerere-Bwaise-24h'!E29,'28.07 Makerere-Bwaise'!E29)</f>
        <v>5.1428571428571432</v>
      </c>
      <c r="F29" s="49">
        <f>AVERAGE('22.07 MAKERERE-BWAISE'!F29,'23.07 Makerere-Bwaise'!F29,'24.07 Makerere-Bwaise'!F29,'25.07 Makerere-Bwaise'!F29,'26.07 Makerere-Bwaise-24h'!F29,'27.07 Makerere-Bwaise-24h'!F29,'28.07 Makerere-Bwaise'!F29)</f>
        <v>43.142857142857146</v>
      </c>
      <c r="G29" s="49">
        <f>AVERAGE('22.07 MAKERERE-BWAISE'!G29,'23.07 Makerere-Bwaise'!G29,'24.07 Makerere-Bwaise'!G29,'25.07 Makerere-Bwaise'!G29,'26.07 Makerere-Bwaise-24h'!G29,'27.07 Makerere-Bwaise-24h'!G29,'28.07 Makerere-Bwaise'!G29)</f>
        <v>0.2857142857142857</v>
      </c>
      <c r="H29" s="49">
        <f>AVERAGE('22.07 MAKERERE-BWAISE'!H29,'23.07 Makerere-Bwaise'!H29,'24.07 Makerere-Bwaise'!H29,'25.07 Makerere-Bwaise'!H29,'26.07 Makerere-Bwaise-24h'!H29,'27.07 Makerere-Bwaise-24h'!H29,'28.07 Makerere-Bwaise'!H29)</f>
        <v>1.5714285714285714</v>
      </c>
      <c r="I29" s="49">
        <f>AVERAGE('22.07 MAKERERE-BWAISE'!I29,'23.07 Makerere-Bwaise'!I29,'24.07 Makerere-Bwaise'!I29,'25.07 Makerere-Bwaise'!I29,'26.07 Makerere-Bwaise-24h'!I29,'27.07 Makerere-Bwaise-24h'!I29,'28.07 Makerere-Bwaise'!I29)</f>
        <v>4.5714285714285712</v>
      </c>
      <c r="J29" s="49">
        <f>AVERAGE('22.07 MAKERERE-BWAISE'!J29,'23.07 Makerere-Bwaise'!J29,'24.07 Makerere-Bwaise'!J29,'25.07 Makerere-Bwaise'!J29,'26.07 Makerere-Bwaise-24h'!J29,'27.07 Makerere-Bwaise-24h'!J29,'28.07 Makerere-Bwaise'!J29)</f>
        <v>2.8571428571428572</v>
      </c>
      <c r="K29" s="49">
        <f>AVERAGE('22.07 MAKERERE-BWAISE'!K29,'23.07 Makerere-Bwaise'!K29,'24.07 Makerere-Bwaise'!K29,'25.07 Makerere-Bwaise'!K29,'26.07 Makerere-Bwaise-24h'!K29,'27.07 Makerere-Bwaise-24h'!K29,'28.07 Makerere-Bwaise'!K29)</f>
        <v>1.4285714285714286</v>
      </c>
      <c r="L29" s="49">
        <f>AVERAGE('22.07 MAKERERE-BWAISE'!L29,'23.07 Makerere-Bwaise'!L29,'24.07 Makerere-Bwaise'!L29,'25.07 Makerere-Bwaise'!L29,'26.07 Makerere-Bwaise-24h'!L29,'27.07 Makerere-Bwaise-24h'!L29,'28.07 Makerere-Bwaise'!L29)</f>
        <v>0.2857142857142857</v>
      </c>
      <c r="M29" s="49">
        <f>AVERAGE('22.07 MAKERERE-BWAISE'!M29,'23.07 Makerere-Bwaise'!M29,'24.07 Makerere-Bwaise'!M29,'25.07 Makerere-Bwaise'!M29,'26.07 Makerere-Bwaise-24h'!M29,'27.07 Makerere-Bwaise-24h'!M29,'28.07 Makerere-Bwaise'!M29)</f>
        <v>135.42857142857142</v>
      </c>
      <c r="N29" s="49">
        <f>AVERAGE('22.07 MAKERERE-BWAISE'!N29,'23.07 Makerere-Bwaise'!N29,'24.07 Makerere-Bwaise'!N29,'25.07 Makerere-Bwaise'!N29,'26.07 Makerere-Bwaise-24h'!N29,'27.07 Makerere-Bwaise-24h'!N29,'28.07 Makerere-Bwaise'!N29)</f>
        <v>0</v>
      </c>
      <c r="O29" s="15">
        <f t="shared" si="0"/>
        <v>104.00000000000001</v>
      </c>
      <c r="P29" s="15">
        <f t="shared" si="1"/>
        <v>239.42857142857144</v>
      </c>
      <c r="R29" s="1" t="s">
        <v>153</v>
      </c>
      <c r="S29" s="34">
        <f>SUM(C86:C89)</f>
        <v>27.5</v>
      </c>
      <c r="T29" s="34">
        <f t="shared" ref="T29:AF29" si="21">SUM(D86:D89)</f>
        <v>4</v>
      </c>
      <c r="U29" s="34">
        <f t="shared" si="21"/>
        <v>3.5</v>
      </c>
      <c r="V29" s="34">
        <f t="shared" si="21"/>
        <v>2.5</v>
      </c>
      <c r="W29" s="34">
        <f t="shared" si="21"/>
        <v>0</v>
      </c>
      <c r="X29" s="34">
        <f t="shared" si="21"/>
        <v>0.5</v>
      </c>
      <c r="Y29" s="34">
        <f t="shared" si="21"/>
        <v>2</v>
      </c>
      <c r="Z29" s="34">
        <f t="shared" si="21"/>
        <v>0.5</v>
      </c>
      <c r="AA29" s="34">
        <f t="shared" si="21"/>
        <v>0.5</v>
      </c>
      <c r="AB29" s="34">
        <f t="shared" si="21"/>
        <v>0</v>
      </c>
      <c r="AC29" s="34">
        <f t="shared" si="21"/>
        <v>54.5</v>
      </c>
      <c r="AD29" s="34">
        <f t="shared" si="21"/>
        <v>0</v>
      </c>
      <c r="AE29" s="31">
        <f t="shared" si="21"/>
        <v>41</v>
      </c>
      <c r="AF29" s="31">
        <f t="shared" si="21"/>
        <v>95.5</v>
      </c>
    </row>
    <row r="30" spans="2:32" ht="23.1" customHeight="1" x14ac:dyDescent="0.25">
      <c r="B30" s="23" t="s">
        <v>57</v>
      </c>
      <c r="C30" s="49">
        <f>AVERAGE('22.07 MAKERERE-BWAISE'!C30,'23.07 Makerere-Bwaise'!C30,'24.07 Makerere-Bwaise'!C30,'25.07 Makerere-Bwaise'!C30,'26.07 Makerere-Bwaise-24h'!C30,'27.07 Makerere-Bwaise-24h'!C30,'28.07 Makerere-Bwaise'!C30)</f>
        <v>41.428571428571431</v>
      </c>
      <c r="D30" s="49">
        <f>AVERAGE('22.07 MAKERERE-BWAISE'!D30,'23.07 Makerere-Bwaise'!D30,'24.07 Makerere-Bwaise'!D30,'25.07 Makerere-Bwaise'!D30,'26.07 Makerere-Bwaise-24h'!D30,'27.07 Makerere-Bwaise-24h'!D30,'28.07 Makerere-Bwaise'!D30)</f>
        <v>12.142857142857142</v>
      </c>
      <c r="E30" s="49">
        <f>AVERAGE('22.07 MAKERERE-BWAISE'!E30,'23.07 Makerere-Bwaise'!E30,'24.07 Makerere-Bwaise'!E30,'25.07 Makerere-Bwaise'!E30,'26.07 Makerere-Bwaise-24h'!E30,'27.07 Makerere-Bwaise-24h'!E30,'28.07 Makerere-Bwaise'!E30)</f>
        <v>4.7142857142857144</v>
      </c>
      <c r="F30" s="49">
        <f>AVERAGE('22.07 MAKERERE-BWAISE'!F30,'23.07 Makerere-Bwaise'!F30,'24.07 Makerere-Bwaise'!F30,'25.07 Makerere-Bwaise'!F30,'26.07 Makerere-Bwaise-24h'!F30,'27.07 Makerere-Bwaise-24h'!F30,'28.07 Makerere-Bwaise'!F30)</f>
        <v>50.857142857142854</v>
      </c>
      <c r="G30" s="49">
        <f>AVERAGE('22.07 MAKERERE-BWAISE'!G30,'23.07 Makerere-Bwaise'!G30,'24.07 Makerere-Bwaise'!G30,'25.07 Makerere-Bwaise'!G30,'26.07 Makerere-Bwaise-24h'!G30,'27.07 Makerere-Bwaise-24h'!G30,'28.07 Makerere-Bwaise'!G30)</f>
        <v>0.5714285714285714</v>
      </c>
      <c r="H30" s="49">
        <f>AVERAGE('22.07 MAKERERE-BWAISE'!H30,'23.07 Makerere-Bwaise'!H30,'24.07 Makerere-Bwaise'!H30,'25.07 Makerere-Bwaise'!H30,'26.07 Makerere-Bwaise-24h'!H30,'27.07 Makerere-Bwaise-24h'!H30,'28.07 Makerere-Bwaise'!H30)</f>
        <v>1.5714285714285714</v>
      </c>
      <c r="I30" s="49">
        <f>AVERAGE('22.07 MAKERERE-BWAISE'!I30,'23.07 Makerere-Bwaise'!I30,'24.07 Makerere-Bwaise'!I30,'25.07 Makerere-Bwaise'!I30,'26.07 Makerere-Bwaise-24h'!I30,'27.07 Makerere-Bwaise-24h'!I30,'28.07 Makerere-Bwaise'!I30)</f>
        <v>2.8571428571428572</v>
      </c>
      <c r="J30" s="49">
        <f>AVERAGE('22.07 MAKERERE-BWAISE'!J30,'23.07 Makerere-Bwaise'!J30,'24.07 Makerere-Bwaise'!J30,'25.07 Makerere-Bwaise'!J30,'26.07 Makerere-Bwaise-24h'!J30,'27.07 Makerere-Bwaise-24h'!J30,'28.07 Makerere-Bwaise'!J30)</f>
        <v>3.2857142857142856</v>
      </c>
      <c r="K30" s="49">
        <f>AVERAGE('22.07 MAKERERE-BWAISE'!K30,'23.07 Makerere-Bwaise'!K30,'24.07 Makerere-Bwaise'!K30,'25.07 Makerere-Bwaise'!K30,'26.07 Makerere-Bwaise-24h'!K30,'27.07 Makerere-Bwaise-24h'!K30,'28.07 Makerere-Bwaise'!K30)</f>
        <v>0.8571428571428571</v>
      </c>
      <c r="L30" s="49">
        <f>AVERAGE('22.07 MAKERERE-BWAISE'!L30,'23.07 Makerere-Bwaise'!L30,'24.07 Makerere-Bwaise'!L30,'25.07 Makerere-Bwaise'!L30,'26.07 Makerere-Bwaise-24h'!L30,'27.07 Makerere-Bwaise-24h'!L30,'28.07 Makerere-Bwaise'!L30)</f>
        <v>0.7142857142857143</v>
      </c>
      <c r="M30" s="49">
        <f>AVERAGE('22.07 MAKERERE-BWAISE'!M30,'23.07 Makerere-Bwaise'!M30,'24.07 Makerere-Bwaise'!M30,'25.07 Makerere-Bwaise'!M30,'26.07 Makerere-Bwaise-24h'!M30,'27.07 Makerere-Bwaise-24h'!M30,'28.07 Makerere-Bwaise'!M30)</f>
        <v>165.71428571428572</v>
      </c>
      <c r="N30" s="49">
        <f>AVERAGE('22.07 MAKERERE-BWAISE'!N30,'23.07 Makerere-Bwaise'!N30,'24.07 Makerere-Bwaise'!N30,'25.07 Makerere-Bwaise'!N30,'26.07 Makerere-Bwaise-24h'!N30,'27.07 Makerere-Bwaise-24h'!N30,'28.07 Makerere-Bwaise'!N30)</f>
        <v>0</v>
      </c>
      <c r="O30" s="15">
        <f t="shared" si="0"/>
        <v>119</v>
      </c>
      <c r="P30" s="15">
        <f t="shared" si="1"/>
        <v>284.71428571428572</v>
      </c>
      <c r="R30" s="1" t="s">
        <v>154</v>
      </c>
      <c r="S30" s="34">
        <f>SUM(C90:C93)</f>
        <v>28.5</v>
      </c>
      <c r="T30" s="34">
        <f t="shared" ref="T30:AF30" si="22">SUM(D90:D93)</f>
        <v>2.5</v>
      </c>
      <c r="U30" s="34">
        <f t="shared" si="22"/>
        <v>2.5</v>
      </c>
      <c r="V30" s="34">
        <f t="shared" si="22"/>
        <v>6</v>
      </c>
      <c r="W30" s="34">
        <f t="shared" si="22"/>
        <v>0</v>
      </c>
      <c r="X30" s="34">
        <f t="shared" si="22"/>
        <v>0</v>
      </c>
      <c r="Y30" s="34">
        <f t="shared" si="22"/>
        <v>1.5</v>
      </c>
      <c r="Z30" s="34">
        <f t="shared" si="22"/>
        <v>0</v>
      </c>
      <c r="AA30" s="34">
        <f t="shared" si="22"/>
        <v>0</v>
      </c>
      <c r="AB30" s="34">
        <f t="shared" si="22"/>
        <v>0</v>
      </c>
      <c r="AC30" s="34">
        <f t="shared" si="22"/>
        <v>36</v>
      </c>
      <c r="AD30" s="34">
        <f t="shared" si="22"/>
        <v>0</v>
      </c>
      <c r="AE30" s="31">
        <f t="shared" si="22"/>
        <v>41</v>
      </c>
      <c r="AF30" s="31">
        <f t="shared" si="22"/>
        <v>77</v>
      </c>
    </row>
    <row r="31" spans="2:32" ht="23.1" customHeight="1" x14ac:dyDescent="0.25">
      <c r="B31" s="24" t="s">
        <v>58</v>
      </c>
      <c r="C31" s="49">
        <f>AVERAGE('22.07 MAKERERE-BWAISE'!C31,'23.07 Makerere-Bwaise'!C31,'24.07 Makerere-Bwaise'!C31,'25.07 Makerere-Bwaise'!C31,'26.07 Makerere-Bwaise-24h'!C31,'27.07 Makerere-Bwaise-24h'!C31,'28.07 Makerere-Bwaise'!C31)</f>
        <v>37.714285714285715</v>
      </c>
      <c r="D31" s="49">
        <f>AVERAGE('22.07 MAKERERE-BWAISE'!D31,'23.07 Makerere-Bwaise'!D31,'24.07 Makerere-Bwaise'!D31,'25.07 Makerere-Bwaise'!D31,'26.07 Makerere-Bwaise-24h'!D31,'27.07 Makerere-Bwaise-24h'!D31,'28.07 Makerere-Bwaise'!D31)</f>
        <v>13.142857142857142</v>
      </c>
      <c r="E31" s="49">
        <f>AVERAGE('22.07 MAKERERE-BWAISE'!E31,'23.07 Makerere-Bwaise'!E31,'24.07 Makerere-Bwaise'!E31,'25.07 Makerere-Bwaise'!E31,'26.07 Makerere-Bwaise-24h'!E31,'27.07 Makerere-Bwaise-24h'!E31,'28.07 Makerere-Bwaise'!E31)</f>
        <v>5.2857142857142856</v>
      </c>
      <c r="F31" s="49">
        <f>AVERAGE('22.07 MAKERERE-BWAISE'!F31,'23.07 Makerere-Bwaise'!F31,'24.07 Makerere-Bwaise'!F31,'25.07 Makerere-Bwaise'!F31,'26.07 Makerere-Bwaise-24h'!F31,'27.07 Makerere-Bwaise-24h'!F31,'28.07 Makerere-Bwaise'!F31)</f>
        <v>46.428571428571431</v>
      </c>
      <c r="G31" s="49">
        <f>AVERAGE('22.07 MAKERERE-BWAISE'!G31,'23.07 Makerere-Bwaise'!G31,'24.07 Makerere-Bwaise'!G31,'25.07 Makerere-Bwaise'!G31,'26.07 Makerere-Bwaise-24h'!G31,'27.07 Makerere-Bwaise-24h'!G31,'28.07 Makerere-Bwaise'!G31)</f>
        <v>0.14285714285714285</v>
      </c>
      <c r="H31" s="49">
        <f>AVERAGE('22.07 MAKERERE-BWAISE'!H31,'23.07 Makerere-Bwaise'!H31,'24.07 Makerere-Bwaise'!H31,'25.07 Makerere-Bwaise'!H31,'26.07 Makerere-Bwaise-24h'!H31,'27.07 Makerere-Bwaise-24h'!H31,'28.07 Makerere-Bwaise'!H31)</f>
        <v>1.1428571428571428</v>
      </c>
      <c r="I31" s="49">
        <f>AVERAGE('22.07 MAKERERE-BWAISE'!I31,'23.07 Makerere-Bwaise'!I31,'24.07 Makerere-Bwaise'!I31,'25.07 Makerere-Bwaise'!I31,'26.07 Makerere-Bwaise-24h'!I31,'27.07 Makerere-Bwaise-24h'!I31,'28.07 Makerere-Bwaise'!I31)</f>
        <v>4.4285714285714288</v>
      </c>
      <c r="J31" s="49">
        <f>AVERAGE('22.07 MAKERERE-BWAISE'!J31,'23.07 Makerere-Bwaise'!J31,'24.07 Makerere-Bwaise'!J31,'25.07 Makerere-Bwaise'!J31,'26.07 Makerere-Bwaise-24h'!J31,'27.07 Makerere-Bwaise-24h'!J31,'28.07 Makerere-Bwaise'!J31)</f>
        <v>3.4285714285714284</v>
      </c>
      <c r="K31" s="49">
        <f>AVERAGE('22.07 MAKERERE-BWAISE'!K31,'23.07 Makerere-Bwaise'!K31,'24.07 Makerere-Bwaise'!K31,'25.07 Makerere-Bwaise'!K31,'26.07 Makerere-Bwaise-24h'!K31,'27.07 Makerere-Bwaise-24h'!K31,'28.07 Makerere-Bwaise'!K31)</f>
        <v>1.2857142857142858</v>
      </c>
      <c r="L31" s="49">
        <f>AVERAGE('22.07 MAKERERE-BWAISE'!L31,'23.07 Makerere-Bwaise'!L31,'24.07 Makerere-Bwaise'!L31,'25.07 Makerere-Bwaise'!L31,'26.07 Makerere-Bwaise-24h'!L31,'27.07 Makerere-Bwaise-24h'!L31,'28.07 Makerere-Bwaise'!L31)</f>
        <v>0.14285714285714285</v>
      </c>
      <c r="M31" s="49">
        <f>AVERAGE('22.07 MAKERERE-BWAISE'!M31,'23.07 Makerere-Bwaise'!M31,'24.07 Makerere-Bwaise'!M31,'25.07 Makerere-Bwaise'!M31,'26.07 Makerere-Bwaise-24h'!M31,'27.07 Makerere-Bwaise-24h'!M31,'28.07 Makerere-Bwaise'!M31)</f>
        <v>137</v>
      </c>
      <c r="N31" s="49">
        <f>AVERAGE('22.07 MAKERERE-BWAISE'!N31,'23.07 Makerere-Bwaise'!N31,'24.07 Makerere-Bwaise'!N31,'25.07 Makerere-Bwaise'!N31,'26.07 Makerere-Bwaise-24h'!N31,'27.07 Makerere-Bwaise-24h'!N31,'28.07 Makerere-Bwaise'!N31)</f>
        <v>0</v>
      </c>
      <c r="O31" s="15">
        <f t="shared" si="0"/>
        <v>113.14285714285715</v>
      </c>
      <c r="P31" s="15">
        <f t="shared" si="1"/>
        <v>250.14285714285717</v>
      </c>
      <c r="R31" s="1" t="s">
        <v>155</v>
      </c>
      <c r="S31" s="34">
        <f>SUM(C94:C97)</f>
        <v>34.5</v>
      </c>
      <c r="T31" s="34">
        <f t="shared" ref="T31:AF31" si="23">SUM(D94:D97)</f>
        <v>3.5</v>
      </c>
      <c r="U31" s="34">
        <f t="shared" si="23"/>
        <v>1</v>
      </c>
      <c r="V31" s="34">
        <f t="shared" si="23"/>
        <v>8</v>
      </c>
      <c r="W31" s="34">
        <f t="shared" si="23"/>
        <v>0</v>
      </c>
      <c r="X31" s="34">
        <f t="shared" si="23"/>
        <v>0</v>
      </c>
      <c r="Y31" s="34">
        <f t="shared" si="23"/>
        <v>3.5</v>
      </c>
      <c r="Z31" s="34">
        <f t="shared" si="23"/>
        <v>0.5</v>
      </c>
      <c r="AA31" s="34">
        <f t="shared" si="23"/>
        <v>0.5</v>
      </c>
      <c r="AB31" s="34">
        <f t="shared" si="23"/>
        <v>0</v>
      </c>
      <c r="AC31" s="34">
        <f t="shared" si="23"/>
        <v>83.5</v>
      </c>
      <c r="AD31" s="34">
        <f t="shared" si="23"/>
        <v>0</v>
      </c>
      <c r="AE31" s="31">
        <f t="shared" si="23"/>
        <v>51.5</v>
      </c>
      <c r="AF31" s="31">
        <f t="shared" si="23"/>
        <v>135</v>
      </c>
    </row>
    <row r="32" spans="2:32" ht="23.1" customHeight="1" x14ac:dyDescent="0.25">
      <c r="B32" s="24" t="s">
        <v>59</v>
      </c>
      <c r="C32" s="49">
        <f>AVERAGE('22.07 MAKERERE-BWAISE'!C32,'23.07 Makerere-Bwaise'!C32,'24.07 Makerere-Bwaise'!C32,'25.07 Makerere-Bwaise'!C32,'26.07 Makerere-Bwaise-24h'!C32,'27.07 Makerere-Bwaise-24h'!C32,'28.07 Makerere-Bwaise'!C32)</f>
        <v>45.571428571428569</v>
      </c>
      <c r="D32" s="49">
        <f>AVERAGE('22.07 MAKERERE-BWAISE'!D32,'23.07 Makerere-Bwaise'!D32,'24.07 Makerere-Bwaise'!D32,'25.07 Makerere-Bwaise'!D32,'26.07 Makerere-Bwaise-24h'!D32,'27.07 Makerere-Bwaise-24h'!D32,'28.07 Makerere-Bwaise'!D32)</f>
        <v>14.571428571428571</v>
      </c>
      <c r="E32" s="49">
        <f>AVERAGE('22.07 MAKERERE-BWAISE'!E32,'23.07 Makerere-Bwaise'!E32,'24.07 Makerere-Bwaise'!E32,'25.07 Makerere-Bwaise'!E32,'26.07 Makerere-Bwaise-24h'!E32,'27.07 Makerere-Bwaise-24h'!E32,'28.07 Makerere-Bwaise'!E32)</f>
        <v>5.2857142857142856</v>
      </c>
      <c r="F32" s="49">
        <f>AVERAGE('22.07 MAKERERE-BWAISE'!F32,'23.07 Makerere-Bwaise'!F32,'24.07 Makerere-Bwaise'!F32,'25.07 Makerere-Bwaise'!F32,'26.07 Makerere-Bwaise-24h'!F32,'27.07 Makerere-Bwaise-24h'!F32,'28.07 Makerere-Bwaise'!F32)</f>
        <v>42.142857142857146</v>
      </c>
      <c r="G32" s="49">
        <f>AVERAGE('22.07 MAKERERE-BWAISE'!G32,'23.07 Makerere-Bwaise'!G32,'24.07 Makerere-Bwaise'!G32,'25.07 Makerere-Bwaise'!G32,'26.07 Makerere-Bwaise-24h'!G32,'27.07 Makerere-Bwaise-24h'!G32,'28.07 Makerere-Bwaise'!G32)</f>
        <v>1</v>
      </c>
      <c r="H32" s="49">
        <f>AVERAGE('22.07 MAKERERE-BWAISE'!H32,'23.07 Makerere-Bwaise'!H32,'24.07 Makerere-Bwaise'!H32,'25.07 Makerere-Bwaise'!H32,'26.07 Makerere-Bwaise-24h'!H32,'27.07 Makerere-Bwaise-24h'!H32,'28.07 Makerere-Bwaise'!H32)</f>
        <v>0.7142857142857143</v>
      </c>
      <c r="I32" s="49">
        <f>AVERAGE('22.07 MAKERERE-BWAISE'!I32,'23.07 Makerere-Bwaise'!I32,'24.07 Makerere-Bwaise'!I32,'25.07 Makerere-Bwaise'!I32,'26.07 Makerere-Bwaise-24h'!I32,'27.07 Makerere-Bwaise-24h'!I32,'28.07 Makerere-Bwaise'!I32)</f>
        <v>4.1428571428571432</v>
      </c>
      <c r="J32" s="49">
        <f>AVERAGE('22.07 MAKERERE-BWAISE'!J32,'23.07 Makerere-Bwaise'!J32,'24.07 Makerere-Bwaise'!J32,'25.07 Makerere-Bwaise'!J32,'26.07 Makerere-Bwaise-24h'!J32,'27.07 Makerere-Bwaise-24h'!J32,'28.07 Makerere-Bwaise'!J32)</f>
        <v>3.2857142857142856</v>
      </c>
      <c r="K32" s="49">
        <f>AVERAGE('22.07 MAKERERE-BWAISE'!K32,'23.07 Makerere-Bwaise'!K32,'24.07 Makerere-Bwaise'!K32,'25.07 Makerere-Bwaise'!K32,'26.07 Makerere-Bwaise-24h'!K32,'27.07 Makerere-Bwaise-24h'!K32,'28.07 Makerere-Bwaise'!K32)</f>
        <v>1.4285714285714286</v>
      </c>
      <c r="L32" s="49">
        <f>AVERAGE('22.07 MAKERERE-BWAISE'!L32,'23.07 Makerere-Bwaise'!L32,'24.07 Makerere-Bwaise'!L32,'25.07 Makerere-Bwaise'!L32,'26.07 Makerere-Bwaise-24h'!L32,'27.07 Makerere-Bwaise-24h'!L32,'28.07 Makerere-Bwaise'!L32)</f>
        <v>0.42857142857142855</v>
      </c>
      <c r="M32" s="49">
        <f>AVERAGE('22.07 MAKERERE-BWAISE'!M32,'23.07 Makerere-Bwaise'!M32,'24.07 Makerere-Bwaise'!M32,'25.07 Makerere-Bwaise'!M32,'26.07 Makerere-Bwaise-24h'!M32,'27.07 Makerere-Bwaise-24h'!M32,'28.07 Makerere-Bwaise'!M32)</f>
        <v>139.28571428571428</v>
      </c>
      <c r="N32" s="49">
        <f>AVERAGE('22.07 MAKERERE-BWAISE'!N32,'23.07 Makerere-Bwaise'!N32,'24.07 Makerere-Bwaise'!N32,'25.07 Makerere-Bwaise'!N32,'26.07 Makerere-Bwaise-24h'!N32,'27.07 Makerere-Bwaise-24h'!N32,'28.07 Makerere-Bwaise'!N32)</f>
        <v>0</v>
      </c>
      <c r="O32" s="15">
        <f t="shared" si="0"/>
        <v>118.57142857142858</v>
      </c>
      <c r="P32" s="15">
        <f t="shared" si="1"/>
        <v>257.85714285714289</v>
      </c>
      <c r="R32" s="1" t="s">
        <v>156</v>
      </c>
      <c r="S32" s="34">
        <f>SUM(C98:C101)</f>
        <v>43</v>
      </c>
      <c r="T32" s="34">
        <f t="shared" ref="T32:AF32" si="24">SUM(D98:D101)</f>
        <v>4.5</v>
      </c>
      <c r="U32" s="34">
        <f t="shared" si="24"/>
        <v>3</v>
      </c>
      <c r="V32" s="34">
        <f t="shared" si="24"/>
        <v>46.5</v>
      </c>
      <c r="W32" s="34">
        <f t="shared" si="24"/>
        <v>1.5</v>
      </c>
      <c r="X32" s="34">
        <f t="shared" si="24"/>
        <v>1</v>
      </c>
      <c r="Y32" s="34">
        <f t="shared" si="24"/>
        <v>10.5</v>
      </c>
      <c r="Z32" s="34">
        <f t="shared" si="24"/>
        <v>1</v>
      </c>
      <c r="AA32" s="34">
        <f t="shared" si="24"/>
        <v>0.5</v>
      </c>
      <c r="AB32" s="34">
        <f t="shared" si="24"/>
        <v>0</v>
      </c>
      <c r="AC32" s="34">
        <f t="shared" si="24"/>
        <v>141</v>
      </c>
      <c r="AD32" s="34">
        <f t="shared" si="24"/>
        <v>0</v>
      </c>
      <c r="AE32" s="31">
        <f t="shared" si="24"/>
        <v>111.5</v>
      </c>
      <c r="AF32" s="31">
        <f t="shared" si="24"/>
        <v>252.5</v>
      </c>
    </row>
    <row r="33" spans="2:32" ht="23.1" customHeight="1" x14ac:dyDescent="0.25">
      <c r="B33" s="23" t="s">
        <v>60</v>
      </c>
      <c r="C33" s="49">
        <f>AVERAGE('22.07 MAKERERE-BWAISE'!C33,'23.07 Makerere-Bwaise'!C33,'24.07 Makerere-Bwaise'!C33,'25.07 Makerere-Bwaise'!C33,'26.07 Makerere-Bwaise-24h'!C33,'27.07 Makerere-Bwaise-24h'!C33,'28.07 Makerere-Bwaise'!C33)</f>
        <v>49.142857142857146</v>
      </c>
      <c r="D33" s="49">
        <f>AVERAGE('22.07 MAKERERE-BWAISE'!D33,'23.07 Makerere-Bwaise'!D33,'24.07 Makerere-Bwaise'!D33,'25.07 Makerere-Bwaise'!D33,'26.07 Makerere-Bwaise-24h'!D33,'27.07 Makerere-Bwaise-24h'!D33,'28.07 Makerere-Bwaise'!D33)</f>
        <v>13.857142857142858</v>
      </c>
      <c r="E33" s="49">
        <f>AVERAGE('22.07 MAKERERE-BWAISE'!E33,'23.07 Makerere-Bwaise'!E33,'24.07 Makerere-Bwaise'!E33,'25.07 Makerere-Bwaise'!E33,'26.07 Makerere-Bwaise-24h'!E33,'27.07 Makerere-Bwaise-24h'!E33,'28.07 Makerere-Bwaise'!E33)</f>
        <v>6</v>
      </c>
      <c r="F33" s="49">
        <f>AVERAGE('22.07 MAKERERE-BWAISE'!F33,'23.07 Makerere-Bwaise'!F33,'24.07 Makerere-Bwaise'!F33,'25.07 Makerere-Bwaise'!F33,'26.07 Makerere-Bwaise-24h'!F33,'27.07 Makerere-Bwaise-24h'!F33,'28.07 Makerere-Bwaise'!F33)</f>
        <v>34.285714285714285</v>
      </c>
      <c r="G33" s="49">
        <f>AVERAGE('22.07 MAKERERE-BWAISE'!G33,'23.07 Makerere-Bwaise'!G33,'24.07 Makerere-Bwaise'!G33,'25.07 Makerere-Bwaise'!G33,'26.07 Makerere-Bwaise-24h'!G33,'27.07 Makerere-Bwaise-24h'!G33,'28.07 Makerere-Bwaise'!G33)</f>
        <v>2.5714285714285716</v>
      </c>
      <c r="H33" s="49">
        <f>AVERAGE('22.07 MAKERERE-BWAISE'!H33,'23.07 Makerere-Bwaise'!H33,'24.07 Makerere-Bwaise'!H33,'25.07 Makerere-Bwaise'!H33,'26.07 Makerere-Bwaise-24h'!H33,'27.07 Makerere-Bwaise-24h'!H33,'28.07 Makerere-Bwaise'!H33)</f>
        <v>1.4285714285714286</v>
      </c>
      <c r="I33" s="49">
        <f>AVERAGE('22.07 MAKERERE-BWAISE'!I33,'23.07 Makerere-Bwaise'!I33,'24.07 Makerere-Bwaise'!I33,'25.07 Makerere-Bwaise'!I33,'26.07 Makerere-Bwaise-24h'!I33,'27.07 Makerere-Bwaise-24h'!I33,'28.07 Makerere-Bwaise'!I33)</f>
        <v>4.4285714285714288</v>
      </c>
      <c r="J33" s="49">
        <f>AVERAGE('22.07 MAKERERE-BWAISE'!J33,'23.07 Makerere-Bwaise'!J33,'24.07 Makerere-Bwaise'!J33,'25.07 Makerere-Bwaise'!J33,'26.07 Makerere-Bwaise-24h'!J33,'27.07 Makerere-Bwaise-24h'!J33,'28.07 Makerere-Bwaise'!J33)</f>
        <v>3.1428571428571428</v>
      </c>
      <c r="K33" s="49">
        <f>AVERAGE('22.07 MAKERERE-BWAISE'!K33,'23.07 Makerere-Bwaise'!K33,'24.07 Makerere-Bwaise'!K33,'25.07 Makerere-Bwaise'!K33,'26.07 Makerere-Bwaise-24h'!K33,'27.07 Makerere-Bwaise-24h'!K33,'28.07 Makerere-Bwaise'!K33)</f>
        <v>3.5714285714285716</v>
      </c>
      <c r="L33" s="49">
        <f>AVERAGE('22.07 MAKERERE-BWAISE'!L33,'23.07 Makerere-Bwaise'!L33,'24.07 Makerere-Bwaise'!L33,'25.07 Makerere-Bwaise'!L33,'26.07 Makerere-Bwaise-24h'!L33,'27.07 Makerere-Bwaise-24h'!L33,'28.07 Makerere-Bwaise'!L33)</f>
        <v>0.5714285714285714</v>
      </c>
      <c r="M33" s="49">
        <f>AVERAGE('22.07 MAKERERE-BWAISE'!M33,'23.07 Makerere-Bwaise'!M33,'24.07 Makerere-Bwaise'!M33,'25.07 Makerere-Bwaise'!M33,'26.07 Makerere-Bwaise-24h'!M33,'27.07 Makerere-Bwaise-24h'!M33,'28.07 Makerere-Bwaise'!M33)</f>
        <v>130.28571428571428</v>
      </c>
      <c r="N33" s="49">
        <f>AVERAGE('22.07 MAKERERE-BWAISE'!N33,'23.07 Makerere-Bwaise'!N33,'24.07 Makerere-Bwaise'!N33,'25.07 Makerere-Bwaise'!N33,'26.07 Makerere-Bwaise-24h'!N33,'27.07 Makerere-Bwaise-24h'!N33,'28.07 Makerere-Bwaise'!N33)</f>
        <v>0</v>
      </c>
      <c r="O33" s="15">
        <f t="shared" si="0"/>
        <v>118.99999999999999</v>
      </c>
      <c r="P33" s="15">
        <f t="shared" si="1"/>
        <v>249.28571428571428</v>
      </c>
      <c r="R33" s="1" t="s">
        <v>157</v>
      </c>
      <c r="S33" s="34">
        <f>SUM(C102:C105)</f>
        <v>59.5</v>
      </c>
      <c r="T33" s="34">
        <f t="shared" ref="T33:AF33" si="25">SUM(D102:D105)</f>
        <v>10</v>
      </c>
      <c r="U33" s="34">
        <f t="shared" si="25"/>
        <v>7.5</v>
      </c>
      <c r="V33" s="34">
        <f t="shared" si="25"/>
        <v>76</v>
      </c>
      <c r="W33" s="34">
        <f t="shared" si="25"/>
        <v>2.5</v>
      </c>
      <c r="X33" s="34">
        <f t="shared" si="25"/>
        <v>4</v>
      </c>
      <c r="Y33" s="34">
        <f t="shared" si="25"/>
        <v>10.5</v>
      </c>
      <c r="Z33" s="34">
        <f t="shared" si="25"/>
        <v>3</v>
      </c>
      <c r="AA33" s="34">
        <f t="shared" si="25"/>
        <v>2.5</v>
      </c>
      <c r="AB33" s="34">
        <f t="shared" si="25"/>
        <v>1</v>
      </c>
      <c r="AC33" s="34">
        <f t="shared" si="25"/>
        <v>203.5</v>
      </c>
      <c r="AD33" s="34">
        <f t="shared" si="25"/>
        <v>0</v>
      </c>
      <c r="AE33" s="31">
        <f t="shared" si="25"/>
        <v>176.5</v>
      </c>
      <c r="AF33" s="31">
        <f t="shared" si="25"/>
        <v>380</v>
      </c>
    </row>
    <row r="34" spans="2:32" ht="23.1" customHeight="1" x14ac:dyDescent="0.25">
      <c r="B34" s="24" t="s">
        <v>61</v>
      </c>
      <c r="C34" s="49">
        <f>AVERAGE('22.07 MAKERERE-BWAISE'!C34,'23.07 Makerere-Bwaise'!C34,'24.07 Makerere-Bwaise'!C34,'25.07 Makerere-Bwaise'!C34,'26.07 Makerere-Bwaise-24h'!C34,'27.07 Makerere-Bwaise-24h'!C34,'28.07 Makerere-Bwaise'!C34)</f>
        <v>36.857142857142854</v>
      </c>
      <c r="D34" s="49">
        <f>AVERAGE('22.07 MAKERERE-BWAISE'!D34,'23.07 Makerere-Bwaise'!D34,'24.07 Makerere-Bwaise'!D34,'25.07 Makerere-Bwaise'!D34,'26.07 Makerere-Bwaise-24h'!D34,'27.07 Makerere-Bwaise-24h'!D34,'28.07 Makerere-Bwaise'!D34)</f>
        <v>13</v>
      </c>
      <c r="E34" s="49">
        <f>AVERAGE('22.07 MAKERERE-BWAISE'!E34,'23.07 Makerere-Bwaise'!E34,'24.07 Makerere-Bwaise'!E34,'25.07 Makerere-Bwaise'!E34,'26.07 Makerere-Bwaise-24h'!E34,'27.07 Makerere-Bwaise-24h'!E34,'28.07 Makerere-Bwaise'!E34)</f>
        <v>4</v>
      </c>
      <c r="F34" s="49">
        <f>AVERAGE('22.07 MAKERERE-BWAISE'!F34,'23.07 Makerere-Bwaise'!F34,'24.07 Makerere-Bwaise'!F34,'25.07 Makerere-Bwaise'!F34,'26.07 Makerere-Bwaise-24h'!F34,'27.07 Makerere-Bwaise-24h'!F34,'28.07 Makerere-Bwaise'!F34)</f>
        <v>40.285714285714285</v>
      </c>
      <c r="G34" s="49">
        <f>AVERAGE('22.07 MAKERERE-BWAISE'!G34,'23.07 Makerere-Bwaise'!G34,'24.07 Makerere-Bwaise'!G34,'25.07 Makerere-Bwaise'!G34,'26.07 Makerere-Bwaise-24h'!G34,'27.07 Makerere-Bwaise-24h'!G34,'28.07 Makerere-Bwaise'!G34)</f>
        <v>0.7142857142857143</v>
      </c>
      <c r="H34" s="49">
        <f>AVERAGE('22.07 MAKERERE-BWAISE'!H34,'23.07 Makerere-Bwaise'!H34,'24.07 Makerere-Bwaise'!H34,'25.07 Makerere-Bwaise'!H34,'26.07 Makerere-Bwaise-24h'!H34,'27.07 Makerere-Bwaise-24h'!H34,'28.07 Makerere-Bwaise'!H34)</f>
        <v>0.7142857142857143</v>
      </c>
      <c r="I34" s="49">
        <f>AVERAGE('22.07 MAKERERE-BWAISE'!I34,'23.07 Makerere-Bwaise'!I34,'24.07 Makerere-Bwaise'!I34,'25.07 Makerere-Bwaise'!I34,'26.07 Makerere-Bwaise-24h'!I34,'27.07 Makerere-Bwaise-24h'!I34,'28.07 Makerere-Bwaise'!I34)</f>
        <v>12.142857142857142</v>
      </c>
      <c r="J34" s="49">
        <f>AVERAGE('22.07 MAKERERE-BWAISE'!J34,'23.07 Makerere-Bwaise'!J34,'24.07 Makerere-Bwaise'!J34,'25.07 Makerere-Bwaise'!J34,'26.07 Makerere-Bwaise-24h'!J34,'27.07 Makerere-Bwaise-24h'!J34,'28.07 Makerere-Bwaise'!J34)</f>
        <v>2.8571428571428572</v>
      </c>
      <c r="K34" s="49">
        <f>AVERAGE('22.07 MAKERERE-BWAISE'!K34,'23.07 Makerere-Bwaise'!K34,'24.07 Makerere-Bwaise'!K34,'25.07 Makerere-Bwaise'!K34,'26.07 Makerere-Bwaise-24h'!K34,'27.07 Makerere-Bwaise-24h'!K34,'28.07 Makerere-Bwaise'!K34)</f>
        <v>2.2857142857142856</v>
      </c>
      <c r="L34" s="49">
        <f>AVERAGE('22.07 MAKERERE-BWAISE'!L34,'23.07 Makerere-Bwaise'!L34,'24.07 Makerere-Bwaise'!L34,'25.07 Makerere-Bwaise'!L34,'26.07 Makerere-Bwaise-24h'!L34,'27.07 Makerere-Bwaise-24h'!L34,'28.07 Makerere-Bwaise'!L34)</f>
        <v>0.14285714285714285</v>
      </c>
      <c r="M34" s="49">
        <f>AVERAGE('22.07 MAKERERE-BWAISE'!M34,'23.07 Makerere-Bwaise'!M34,'24.07 Makerere-Bwaise'!M34,'25.07 Makerere-Bwaise'!M34,'26.07 Makerere-Bwaise-24h'!M34,'27.07 Makerere-Bwaise-24h'!M34,'28.07 Makerere-Bwaise'!M34)</f>
        <v>136.42857142857142</v>
      </c>
      <c r="N34" s="49">
        <f>AVERAGE('22.07 MAKERERE-BWAISE'!N34,'23.07 Makerere-Bwaise'!N34,'24.07 Makerere-Bwaise'!N34,'25.07 Makerere-Bwaise'!N34,'26.07 Makerere-Bwaise-24h'!N34,'27.07 Makerere-Bwaise-24h'!N34,'28.07 Makerere-Bwaise'!N34)</f>
        <v>0</v>
      </c>
      <c r="O34" s="15">
        <f t="shared" si="0"/>
        <v>112.99999999999999</v>
      </c>
      <c r="P34" s="15">
        <f t="shared" si="1"/>
        <v>249.42857142857139</v>
      </c>
      <c r="R34" s="53" t="s">
        <v>90</v>
      </c>
      <c r="S34" s="54">
        <f t="shared" ref="S34:AF34" si="26">MAX(S10:S12)</f>
        <v>119</v>
      </c>
      <c r="T34" s="54">
        <f t="shared" si="26"/>
        <v>55.857142857142854</v>
      </c>
      <c r="U34" s="54">
        <f t="shared" si="26"/>
        <v>15.428571428571431</v>
      </c>
      <c r="V34" s="54">
        <f t="shared" si="26"/>
        <v>264</v>
      </c>
      <c r="W34" s="54">
        <f t="shared" si="26"/>
        <v>9.4285714285714288</v>
      </c>
      <c r="X34" s="54">
        <f t="shared" si="26"/>
        <v>11.714285714285714</v>
      </c>
      <c r="Y34" s="54">
        <f t="shared" si="26"/>
        <v>17.285714285714285</v>
      </c>
      <c r="Z34" s="54">
        <f t="shared" si="26"/>
        <v>9</v>
      </c>
      <c r="AA34" s="54">
        <f t="shared" si="26"/>
        <v>3.7142857142857144</v>
      </c>
      <c r="AB34" s="54">
        <f t="shared" si="26"/>
        <v>2.714285714285714</v>
      </c>
      <c r="AC34" s="54">
        <f t="shared" si="26"/>
        <v>950.85714285714289</v>
      </c>
      <c r="AD34" s="54">
        <f t="shared" si="26"/>
        <v>0.14285714285714285</v>
      </c>
      <c r="AE34" s="40">
        <f t="shared" si="26"/>
        <v>462.71428571428567</v>
      </c>
      <c r="AF34" s="40">
        <f t="shared" si="26"/>
        <v>1341.7142857142858</v>
      </c>
    </row>
    <row r="35" spans="2:32" ht="23.1" customHeight="1" x14ac:dyDescent="0.25">
      <c r="B35" s="24" t="s">
        <v>62</v>
      </c>
      <c r="C35" s="49">
        <f>AVERAGE('22.07 MAKERERE-BWAISE'!C35,'23.07 Makerere-Bwaise'!C35,'24.07 Makerere-Bwaise'!C35,'25.07 Makerere-Bwaise'!C35,'26.07 Makerere-Bwaise-24h'!C35,'27.07 Makerere-Bwaise-24h'!C35,'28.07 Makerere-Bwaise'!C35)</f>
        <v>44.142857142857146</v>
      </c>
      <c r="D35" s="49">
        <f>AVERAGE('22.07 MAKERERE-BWAISE'!D35,'23.07 Makerere-Bwaise'!D35,'24.07 Makerere-Bwaise'!D35,'25.07 Makerere-Bwaise'!D35,'26.07 Makerere-Bwaise-24h'!D35,'27.07 Makerere-Bwaise-24h'!D35,'28.07 Makerere-Bwaise'!D35)</f>
        <v>9.7142857142857135</v>
      </c>
      <c r="E35" s="49">
        <f>AVERAGE('22.07 MAKERERE-BWAISE'!E35,'23.07 Makerere-Bwaise'!E35,'24.07 Makerere-Bwaise'!E35,'25.07 Makerere-Bwaise'!E35,'26.07 Makerere-Bwaise-24h'!E35,'27.07 Makerere-Bwaise-24h'!E35,'28.07 Makerere-Bwaise'!E35)</f>
        <v>13.571428571428571</v>
      </c>
      <c r="F35" s="49">
        <f>AVERAGE('22.07 MAKERERE-BWAISE'!F35,'23.07 Makerere-Bwaise'!F35,'24.07 Makerere-Bwaise'!F35,'25.07 Makerere-Bwaise'!F35,'26.07 Makerere-Bwaise-24h'!F35,'27.07 Makerere-Bwaise-24h'!F35,'28.07 Makerere-Bwaise'!F35)</f>
        <v>42.428571428571431</v>
      </c>
      <c r="G35" s="49">
        <f>AVERAGE('22.07 MAKERERE-BWAISE'!G35,'23.07 Makerere-Bwaise'!G35,'24.07 Makerere-Bwaise'!G35,'25.07 Makerere-Bwaise'!G35,'26.07 Makerere-Bwaise-24h'!G35,'27.07 Makerere-Bwaise-24h'!G35,'28.07 Makerere-Bwaise'!G35)</f>
        <v>0.42857142857142855</v>
      </c>
      <c r="H35" s="49">
        <f>AVERAGE('22.07 MAKERERE-BWAISE'!H35,'23.07 Makerere-Bwaise'!H35,'24.07 Makerere-Bwaise'!H35,'25.07 Makerere-Bwaise'!H35,'26.07 Makerere-Bwaise-24h'!H35,'27.07 Makerere-Bwaise-24h'!H35,'28.07 Makerere-Bwaise'!H35)</f>
        <v>0.2857142857142857</v>
      </c>
      <c r="I35" s="49">
        <f>AVERAGE('22.07 MAKERERE-BWAISE'!I35,'23.07 Makerere-Bwaise'!I35,'24.07 Makerere-Bwaise'!I35,'25.07 Makerere-Bwaise'!I35,'26.07 Makerere-Bwaise-24h'!I35,'27.07 Makerere-Bwaise-24h'!I35,'28.07 Makerere-Bwaise'!I35)</f>
        <v>4</v>
      </c>
      <c r="J35" s="49">
        <f>AVERAGE('22.07 MAKERERE-BWAISE'!J35,'23.07 Makerere-Bwaise'!J35,'24.07 Makerere-Bwaise'!J35,'25.07 Makerere-Bwaise'!J35,'26.07 Makerere-Bwaise-24h'!J35,'27.07 Makerere-Bwaise-24h'!J35,'28.07 Makerere-Bwaise'!J35)</f>
        <v>3.4285714285714284</v>
      </c>
      <c r="K35" s="49">
        <f>AVERAGE('22.07 MAKERERE-BWAISE'!K35,'23.07 Makerere-Bwaise'!K35,'24.07 Makerere-Bwaise'!K35,'25.07 Makerere-Bwaise'!K35,'26.07 Makerere-Bwaise-24h'!K35,'27.07 Makerere-Bwaise-24h'!K35,'28.07 Makerere-Bwaise'!K35)</f>
        <v>1.2857142857142858</v>
      </c>
      <c r="L35" s="49">
        <f>AVERAGE('22.07 MAKERERE-BWAISE'!L35,'23.07 Makerere-Bwaise'!L35,'24.07 Makerere-Bwaise'!L35,'25.07 Makerere-Bwaise'!L35,'26.07 Makerere-Bwaise-24h'!L35,'27.07 Makerere-Bwaise-24h'!L35,'28.07 Makerere-Bwaise'!L35)</f>
        <v>0</v>
      </c>
      <c r="M35" s="49">
        <f>AVERAGE('22.07 MAKERERE-BWAISE'!M35,'23.07 Makerere-Bwaise'!M35,'24.07 Makerere-Bwaise'!M35,'25.07 Makerere-Bwaise'!M35,'26.07 Makerere-Bwaise-24h'!M35,'27.07 Makerere-Bwaise-24h'!M35,'28.07 Makerere-Bwaise'!M35)</f>
        <v>132.71428571428572</v>
      </c>
      <c r="N35" s="49">
        <f>AVERAGE('22.07 MAKERERE-BWAISE'!N35,'23.07 Makerere-Bwaise'!N35,'24.07 Makerere-Bwaise'!N35,'25.07 Makerere-Bwaise'!N35,'26.07 Makerere-Bwaise-24h'!N35,'27.07 Makerere-Bwaise-24h'!N35,'28.07 Makerere-Bwaise'!N35)</f>
        <v>0</v>
      </c>
      <c r="O35" s="15">
        <f t="shared" si="0"/>
        <v>119.28571428571431</v>
      </c>
      <c r="P35" s="15">
        <f t="shared" si="1"/>
        <v>252.00000000000003</v>
      </c>
      <c r="R35" s="53" t="s">
        <v>91</v>
      </c>
      <c r="S35" s="54">
        <f t="shared" ref="S35:AF35" si="27">MAX(S13:S18)</f>
        <v>201.14285714285717</v>
      </c>
      <c r="T35" s="54">
        <f t="shared" si="27"/>
        <v>54.714285714285715</v>
      </c>
      <c r="U35" s="54">
        <f t="shared" si="27"/>
        <v>32.999999999999993</v>
      </c>
      <c r="V35" s="54">
        <f t="shared" si="27"/>
        <v>181.99999999999997</v>
      </c>
      <c r="W35" s="54">
        <f t="shared" si="27"/>
        <v>15.000000000000002</v>
      </c>
      <c r="X35" s="54">
        <f t="shared" si="27"/>
        <v>5.8571428571428568</v>
      </c>
      <c r="Y35" s="54">
        <f t="shared" si="27"/>
        <v>24.571428571428569</v>
      </c>
      <c r="Z35" s="54">
        <f t="shared" si="27"/>
        <v>16.285714285714285</v>
      </c>
      <c r="AA35" s="54">
        <f t="shared" si="27"/>
        <v>7.2857142857142856</v>
      </c>
      <c r="AB35" s="54">
        <f t="shared" si="27"/>
        <v>3.2857142857142856</v>
      </c>
      <c r="AC35" s="54">
        <f t="shared" si="27"/>
        <v>729.14285714285711</v>
      </c>
      <c r="AD35" s="54">
        <f t="shared" si="27"/>
        <v>0.16666666666666666</v>
      </c>
      <c r="AE35" s="40">
        <f t="shared" si="27"/>
        <v>471.02380952380952</v>
      </c>
      <c r="AF35" s="40">
        <f t="shared" si="27"/>
        <v>1140.8809523809525</v>
      </c>
    </row>
    <row r="36" spans="2:32" ht="23.1" customHeight="1" x14ac:dyDescent="0.25">
      <c r="B36" s="24" t="s">
        <v>63</v>
      </c>
      <c r="C36" s="49">
        <f>AVERAGE('22.07 MAKERERE-BWAISE'!C36,'23.07 Makerere-Bwaise'!C36,'24.07 Makerere-Bwaise'!C36,'25.07 Makerere-Bwaise'!C36,'26.07 Makerere-Bwaise-24h'!C36,'27.07 Makerere-Bwaise-24h'!C36,'28.07 Makerere-Bwaise'!C36)</f>
        <v>40.571428571428569</v>
      </c>
      <c r="D36" s="49">
        <f>AVERAGE('22.07 MAKERERE-BWAISE'!D36,'23.07 Makerere-Bwaise'!D36,'24.07 Makerere-Bwaise'!D36,'25.07 Makerere-Bwaise'!D36,'26.07 Makerere-Bwaise-24h'!D36,'27.07 Makerere-Bwaise-24h'!D36,'28.07 Makerere-Bwaise'!D36)</f>
        <v>11.714285714285714</v>
      </c>
      <c r="E36" s="49">
        <f>AVERAGE('22.07 MAKERERE-BWAISE'!E36,'23.07 Makerere-Bwaise'!E36,'24.07 Makerere-Bwaise'!E36,'25.07 Makerere-Bwaise'!E36,'26.07 Makerere-Bwaise-24h'!E36,'27.07 Makerere-Bwaise-24h'!E36,'28.07 Makerere-Bwaise'!E36)</f>
        <v>10.571428571428571</v>
      </c>
      <c r="F36" s="49">
        <f>AVERAGE('22.07 MAKERERE-BWAISE'!F36,'23.07 Makerere-Bwaise'!F36,'24.07 Makerere-Bwaise'!F36,'25.07 Makerere-Bwaise'!F36,'26.07 Makerere-Bwaise-24h'!F36,'27.07 Makerere-Bwaise-24h'!F36,'28.07 Makerere-Bwaise'!F36)</f>
        <v>41.714285714285715</v>
      </c>
      <c r="G36" s="49">
        <f>AVERAGE('22.07 MAKERERE-BWAISE'!G36,'23.07 Makerere-Bwaise'!G36,'24.07 Makerere-Bwaise'!G36,'25.07 Makerere-Bwaise'!G36,'26.07 Makerere-Bwaise-24h'!G36,'27.07 Makerere-Bwaise-24h'!G36,'28.07 Makerere-Bwaise'!G36)</f>
        <v>0.7142857142857143</v>
      </c>
      <c r="H36" s="49">
        <f>AVERAGE('22.07 MAKERERE-BWAISE'!H36,'23.07 Makerere-Bwaise'!H36,'24.07 Makerere-Bwaise'!H36,'25.07 Makerere-Bwaise'!H36,'26.07 Makerere-Bwaise-24h'!H36,'27.07 Makerere-Bwaise-24h'!H36,'28.07 Makerere-Bwaise'!H36)</f>
        <v>0.7142857142857143</v>
      </c>
      <c r="I36" s="49">
        <f>AVERAGE('22.07 MAKERERE-BWAISE'!I36,'23.07 Makerere-Bwaise'!I36,'24.07 Makerere-Bwaise'!I36,'25.07 Makerere-Bwaise'!I36,'26.07 Makerere-Bwaise-24h'!I36,'27.07 Makerere-Bwaise-24h'!I36,'28.07 Makerere-Bwaise'!I36)</f>
        <v>4.4285714285714288</v>
      </c>
      <c r="J36" s="49">
        <f>AVERAGE('22.07 MAKERERE-BWAISE'!J36,'23.07 Makerere-Bwaise'!J36,'24.07 Makerere-Bwaise'!J36,'25.07 Makerere-Bwaise'!J36,'26.07 Makerere-Bwaise-24h'!J36,'27.07 Makerere-Bwaise-24h'!J36,'28.07 Makerere-Bwaise'!J36)</f>
        <v>5</v>
      </c>
      <c r="K36" s="49">
        <f>AVERAGE('22.07 MAKERERE-BWAISE'!K36,'23.07 Makerere-Bwaise'!K36,'24.07 Makerere-Bwaise'!K36,'25.07 Makerere-Bwaise'!K36,'26.07 Makerere-Bwaise-24h'!K36,'27.07 Makerere-Bwaise-24h'!K36,'28.07 Makerere-Bwaise'!K36)</f>
        <v>1.8571428571428572</v>
      </c>
      <c r="L36" s="49">
        <f>AVERAGE('22.07 MAKERERE-BWAISE'!L36,'23.07 Makerere-Bwaise'!L36,'24.07 Makerere-Bwaise'!L36,'25.07 Makerere-Bwaise'!L36,'26.07 Makerere-Bwaise-24h'!L36,'27.07 Makerere-Bwaise-24h'!L36,'28.07 Makerere-Bwaise'!L36)</f>
        <v>0.2857142857142857</v>
      </c>
      <c r="M36" s="49">
        <f>AVERAGE('22.07 MAKERERE-BWAISE'!M36,'23.07 Makerere-Bwaise'!M36,'24.07 Makerere-Bwaise'!M36,'25.07 Makerere-Bwaise'!M36,'26.07 Makerere-Bwaise-24h'!M36,'27.07 Makerere-Bwaise-24h'!M36,'28.07 Makerere-Bwaise'!M36)</f>
        <v>129.85714285714286</v>
      </c>
      <c r="N36" s="49">
        <f>AVERAGE('22.07 MAKERERE-BWAISE'!N36,'23.07 Makerere-Bwaise'!N36,'24.07 Makerere-Bwaise'!N36,'25.07 Makerere-Bwaise'!N36,'26.07 Makerere-Bwaise-24h'!N36,'27.07 Makerere-Bwaise-24h'!N36,'28.07 Makerere-Bwaise'!N36)</f>
        <v>0</v>
      </c>
      <c r="O36" s="15">
        <f t="shared" si="0"/>
        <v>117.57142857142857</v>
      </c>
      <c r="P36" s="15">
        <f t="shared" si="1"/>
        <v>247.42857142857144</v>
      </c>
      <c r="R36" s="53" t="s">
        <v>92</v>
      </c>
      <c r="S36" s="54">
        <f t="shared" ref="S36:AF36" si="28">MAX(S19:S21)</f>
        <v>240.28571428571431</v>
      </c>
      <c r="T36" s="54">
        <f t="shared" si="28"/>
        <v>64.857142857142861</v>
      </c>
      <c r="U36" s="54">
        <f t="shared" si="28"/>
        <v>32.142857142857146</v>
      </c>
      <c r="V36" s="54">
        <f t="shared" si="28"/>
        <v>176.57142857142856</v>
      </c>
      <c r="W36" s="54">
        <f t="shared" si="28"/>
        <v>7.7142857142857144</v>
      </c>
      <c r="X36" s="54">
        <f t="shared" si="28"/>
        <v>4.5714285714285712</v>
      </c>
      <c r="Y36" s="54">
        <f t="shared" si="28"/>
        <v>19.714285714285715</v>
      </c>
      <c r="Z36" s="54">
        <f t="shared" si="28"/>
        <v>14.785714285714285</v>
      </c>
      <c r="AA36" s="54">
        <f t="shared" si="28"/>
        <v>5.9999999999999991</v>
      </c>
      <c r="AB36" s="54">
        <f t="shared" si="28"/>
        <v>2.1428571428571428</v>
      </c>
      <c r="AC36" s="54">
        <f t="shared" si="28"/>
        <v>549.57142857142856</v>
      </c>
      <c r="AD36" s="54">
        <f t="shared" si="28"/>
        <v>0.14285714285714285</v>
      </c>
      <c r="AE36" s="40">
        <f t="shared" si="28"/>
        <v>544.07142857142856</v>
      </c>
      <c r="AF36" s="40">
        <f t="shared" si="28"/>
        <v>1093.6428571428571</v>
      </c>
    </row>
    <row r="37" spans="2:32" ht="23.1" customHeight="1" x14ac:dyDescent="0.25">
      <c r="B37" s="23" t="s">
        <v>64</v>
      </c>
      <c r="C37" s="49">
        <f>AVERAGE('22.07 MAKERERE-BWAISE'!C37,'23.07 Makerere-Bwaise'!C37,'24.07 Makerere-Bwaise'!C37,'25.07 Makerere-Bwaise'!C37,'26.07 Makerere-Bwaise-24h'!C37,'27.07 Makerere-Bwaise-24h'!C37,'28.07 Makerere-Bwaise'!C37)</f>
        <v>34.857142857142854</v>
      </c>
      <c r="D37" s="49">
        <f>AVERAGE('22.07 MAKERERE-BWAISE'!D37,'23.07 Makerere-Bwaise'!D37,'24.07 Makerere-Bwaise'!D37,'25.07 Makerere-Bwaise'!D37,'26.07 Makerere-Bwaise-24h'!D37,'27.07 Makerere-Bwaise-24h'!D37,'28.07 Makerere-Bwaise'!D37)</f>
        <v>13.571428571428571</v>
      </c>
      <c r="E37" s="49">
        <f>AVERAGE('22.07 MAKERERE-BWAISE'!E37,'23.07 Makerere-Bwaise'!E37,'24.07 Makerere-Bwaise'!E37,'25.07 Makerere-Bwaise'!E37,'26.07 Makerere-Bwaise-24h'!E37,'27.07 Makerere-Bwaise-24h'!E37,'28.07 Makerere-Bwaise'!E37)</f>
        <v>4.8571428571428568</v>
      </c>
      <c r="F37" s="49">
        <f>AVERAGE('22.07 MAKERERE-BWAISE'!F37,'23.07 Makerere-Bwaise'!F37,'24.07 Makerere-Bwaise'!F37,'25.07 Makerere-Bwaise'!F37,'26.07 Makerere-Bwaise-24h'!F37,'27.07 Makerere-Bwaise-24h'!F37,'28.07 Makerere-Bwaise'!F37)</f>
        <v>40.142857142857146</v>
      </c>
      <c r="G37" s="49">
        <f>AVERAGE('22.07 MAKERERE-BWAISE'!G37,'23.07 Makerere-Bwaise'!G37,'24.07 Makerere-Bwaise'!G37,'25.07 Makerere-Bwaise'!G37,'26.07 Makerere-Bwaise-24h'!G37,'27.07 Makerere-Bwaise-24h'!G37,'28.07 Makerere-Bwaise'!G37)</f>
        <v>0.2857142857142857</v>
      </c>
      <c r="H37" s="49">
        <f>AVERAGE('22.07 MAKERERE-BWAISE'!H37,'23.07 Makerere-Bwaise'!H37,'24.07 Makerere-Bwaise'!H37,'25.07 Makerere-Bwaise'!H37,'26.07 Makerere-Bwaise-24h'!H37,'27.07 Makerere-Bwaise-24h'!H37,'28.07 Makerere-Bwaise'!H37)</f>
        <v>1.1428571428571428</v>
      </c>
      <c r="I37" s="49">
        <f>AVERAGE('22.07 MAKERERE-BWAISE'!I37,'23.07 Makerere-Bwaise'!I37,'24.07 Makerere-Bwaise'!I37,'25.07 Makerere-Bwaise'!I37,'26.07 Makerere-Bwaise-24h'!I37,'27.07 Makerere-Bwaise-24h'!I37,'28.07 Makerere-Bwaise'!I37)</f>
        <v>4</v>
      </c>
      <c r="J37" s="49">
        <f>AVERAGE('22.07 MAKERERE-BWAISE'!J37,'23.07 Makerere-Bwaise'!J37,'24.07 Makerere-Bwaise'!J37,'25.07 Makerere-Bwaise'!J37,'26.07 Makerere-Bwaise-24h'!J37,'27.07 Makerere-Bwaise-24h'!J37,'28.07 Makerere-Bwaise'!J37)</f>
        <v>4.7142857142857144</v>
      </c>
      <c r="K37" s="49">
        <f>AVERAGE('22.07 MAKERERE-BWAISE'!K37,'23.07 Makerere-Bwaise'!K37,'24.07 Makerere-Bwaise'!K37,'25.07 Makerere-Bwaise'!K37,'26.07 Makerere-Bwaise-24h'!K37,'27.07 Makerere-Bwaise-24h'!K37,'28.07 Makerere-Bwaise'!K37)</f>
        <v>0.5714285714285714</v>
      </c>
      <c r="L37" s="49">
        <f>AVERAGE('22.07 MAKERERE-BWAISE'!L37,'23.07 Makerere-Bwaise'!L37,'24.07 Makerere-Bwaise'!L37,'25.07 Makerere-Bwaise'!L37,'26.07 Makerere-Bwaise-24h'!L37,'27.07 Makerere-Bwaise-24h'!L37,'28.07 Makerere-Bwaise'!L37)</f>
        <v>0.2857142857142857</v>
      </c>
      <c r="M37" s="49">
        <f>AVERAGE('22.07 MAKERERE-BWAISE'!M37,'23.07 Makerere-Bwaise'!M37,'24.07 Makerere-Bwaise'!M37,'25.07 Makerere-Bwaise'!M37,'26.07 Makerere-Bwaise-24h'!M37,'27.07 Makerere-Bwaise-24h'!M37,'28.07 Makerere-Bwaise'!M37)</f>
        <v>135.14285714285714</v>
      </c>
      <c r="N37" s="49">
        <f>AVERAGE('22.07 MAKERERE-BWAISE'!N37,'23.07 Makerere-Bwaise'!N37,'24.07 Makerere-Bwaise'!N37,'25.07 Makerere-Bwaise'!N37,'26.07 Makerere-Bwaise-24h'!N37,'27.07 Makerere-Bwaise-24h'!N37,'28.07 Makerere-Bwaise'!N37)</f>
        <v>0</v>
      </c>
      <c r="O37" s="15">
        <f t="shared" si="0"/>
        <v>104.42857142857142</v>
      </c>
      <c r="P37" s="15">
        <f t="shared" si="1"/>
        <v>239.57142857142856</v>
      </c>
      <c r="R37" s="37" t="s">
        <v>85</v>
      </c>
      <c r="S37" s="55">
        <f t="shared" ref="S37:AF37" si="29">SUM(S10:S12)</f>
        <v>337</v>
      </c>
      <c r="T37" s="56">
        <f t="shared" si="29"/>
        <v>111.57142857142857</v>
      </c>
      <c r="U37" s="56">
        <f t="shared" si="29"/>
        <v>40</v>
      </c>
      <c r="V37" s="56">
        <f t="shared" si="29"/>
        <v>597.85714285714289</v>
      </c>
      <c r="W37" s="56">
        <f t="shared" si="29"/>
        <v>20.047619047619047</v>
      </c>
      <c r="X37" s="56">
        <f t="shared" si="29"/>
        <v>17.999999999999996</v>
      </c>
      <c r="Y37" s="56">
        <f t="shared" si="29"/>
        <v>40.142857142857139</v>
      </c>
      <c r="Z37" s="56">
        <f t="shared" si="29"/>
        <v>21.428571428571427</v>
      </c>
      <c r="AA37" s="56">
        <f t="shared" si="29"/>
        <v>9.2857142857142847</v>
      </c>
      <c r="AB37" s="56">
        <f t="shared" si="29"/>
        <v>6.428571428571427</v>
      </c>
      <c r="AC37" s="56">
        <f t="shared" si="29"/>
        <v>2213.4285714285716</v>
      </c>
      <c r="AD37" s="56">
        <f t="shared" si="29"/>
        <v>0.14285714285714285</v>
      </c>
      <c r="AE37" s="57">
        <f t="shared" si="29"/>
        <v>1201.9047619047619</v>
      </c>
      <c r="AF37" s="57">
        <f t="shared" si="29"/>
        <v>3415.333333333333</v>
      </c>
    </row>
    <row r="38" spans="2:32" ht="23.1" customHeight="1" x14ac:dyDescent="0.25">
      <c r="B38" s="24" t="s">
        <v>65</v>
      </c>
      <c r="C38" s="49">
        <f>AVERAGE('22.07 MAKERERE-BWAISE'!C38,'23.07 Makerere-Bwaise'!C38,'24.07 Makerere-Bwaise'!C38,'25.07 Makerere-Bwaise'!C38,'26.07 Makerere-Bwaise-24h'!C38,'27.07 Makerere-Bwaise-24h'!C38,'28.07 Makerere-Bwaise'!C38)</f>
        <v>40.428571428571431</v>
      </c>
      <c r="D38" s="49">
        <f>AVERAGE('22.07 MAKERERE-BWAISE'!D38,'23.07 Makerere-Bwaise'!D38,'24.07 Makerere-Bwaise'!D38,'25.07 Makerere-Bwaise'!D38,'26.07 Makerere-Bwaise-24h'!D38,'27.07 Makerere-Bwaise-24h'!D38,'28.07 Makerere-Bwaise'!D38)</f>
        <v>12.857142857142858</v>
      </c>
      <c r="E38" s="49">
        <f>AVERAGE('22.07 MAKERERE-BWAISE'!E38,'23.07 Makerere-Bwaise'!E38,'24.07 Makerere-Bwaise'!E38,'25.07 Makerere-Bwaise'!E38,'26.07 Makerere-Bwaise-24h'!E38,'27.07 Makerere-Bwaise-24h'!E38,'28.07 Makerere-Bwaise'!E38)</f>
        <v>10.285714285714286</v>
      </c>
      <c r="F38" s="49">
        <f>AVERAGE('22.07 MAKERERE-BWAISE'!F38,'23.07 Makerere-Bwaise'!F38,'24.07 Makerere-Bwaise'!F38,'25.07 Makerere-Bwaise'!F38,'26.07 Makerere-Bwaise-24h'!F38,'27.07 Makerere-Bwaise-24h'!F38,'28.07 Makerere-Bwaise'!F38)</f>
        <v>39.714285714285715</v>
      </c>
      <c r="G38" s="49">
        <f>AVERAGE('22.07 MAKERERE-BWAISE'!G38,'23.07 Makerere-Bwaise'!G38,'24.07 Makerere-Bwaise'!G38,'25.07 Makerere-Bwaise'!G38,'26.07 Makerere-Bwaise-24h'!G38,'27.07 Makerere-Bwaise-24h'!G38,'28.07 Makerere-Bwaise'!G38)</f>
        <v>0.5714285714285714</v>
      </c>
      <c r="H38" s="49">
        <f>AVERAGE('22.07 MAKERERE-BWAISE'!H38,'23.07 Makerere-Bwaise'!H38,'24.07 Makerere-Bwaise'!H38,'25.07 Makerere-Bwaise'!H38,'26.07 Makerere-Bwaise-24h'!H38,'27.07 Makerere-Bwaise-24h'!H38,'28.07 Makerere-Bwaise'!H38)</f>
        <v>2.2857142857142856</v>
      </c>
      <c r="I38" s="49">
        <f>AVERAGE('22.07 MAKERERE-BWAISE'!I38,'23.07 Makerere-Bwaise'!I38,'24.07 Makerere-Bwaise'!I38,'25.07 Makerere-Bwaise'!I38,'26.07 Makerere-Bwaise-24h'!I38,'27.07 Makerere-Bwaise-24h'!I38,'28.07 Makerere-Bwaise'!I38)</f>
        <v>4.8571428571428568</v>
      </c>
      <c r="J38" s="49">
        <f>AVERAGE('22.07 MAKERERE-BWAISE'!J38,'23.07 Makerere-Bwaise'!J38,'24.07 Makerere-Bwaise'!J38,'25.07 Makerere-Bwaise'!J38,'26.07 Makerere-Bwaise-24h'!J38,'27.07 Makerere-Bwaise-24h'!J38,'28.07 Makerere-Bwaise'!J38)</f>
        <v>3.1428571428571428</v>
      </c>
      <c r="K38" s="49">
        <f>AVERAGE('22.07 MAKERERE-BWAISE'!K38,'23.07 Makerere-Bwaise'!K38,'24.07 Makerere-Bwaise'!K38,'25.07 Makerere-Bwaise'!K38,'26.07 Makerere-Bwaise-24h'!K38,'27.07 Makerere-Bwaise-24h'!K38,'28.07 Makerere-Bwaise'!K38)</f>
        <v>1.4285714285714286</v>
      </c>
      <c r="L38" s="49">
        <f>AVERAGE('22.07 MAKERERE-BWAISE'!L38,'23.07 Makerere-Bwaise'!L38,'24.07 Makerere-Bwaise'!L38,'25.07 Makerere-Bwaise'!L38,'26.07 Makerere-Bwaise-24h'!L38,'27.07 Makerere-Bwaise-24h'!L38,'28.07 Makerere-Bwaise'!L38)</f>
        <v>0.2857142857142857</v>
      </c>
      <c r="M38" s="49">
        <f>AVERAGE('22.07 MAKERERE-BWAISE'!M38,'23.07 Makerere-Bwaise'!M38,'24.07 Makerere-Bwaise'!M38,'25.07 Makerere-Bwaise'!M38,'26.07 Makerere-Bwaise-24h'!M38,'27.07 Makerere-Bwaise-24h'!M38,'28.07 Makerere-Bwaise'!M38)</f>
        <v>130</v>
      </c>
      <c r="N38" s="49">
        <f>AVERAGE('22.07 MAKERERE-BWAISE'!N38,'23.07 Makerere-Bwaise'!N38,'24.07 Makerere-Bwaise'!N38,'25.07 Makerere-Bwaise'!N38,'26.07 Makerere-Bwaise-24h'!N38,'27.07 Makerere-Bwaise-24h'!N38,'28.07 Makerere-Bwaise'!N38)</f>
        <v>0</v>
      </c>
      <c r="O38" s="15">
        <f t="shared" si="0"/>
        <v>115.85714285714288</v>
      </c>
      <c r="P38" s="15">
        <f t="shared" si="1"/>
        <v>245.85714285714289</v>
      </c>
      <c r="R38" s="28" t="s">
        <v>86</v>
      </c>
      <c r="S38" s="56">
        <f t="shared" ref="S38:AF38" si="30">SUM(S13:S18)</f>
        <v>994.85714285714289</v>
      </c>
      <c r="T38" s="56">
        <f t="shared" si="30"/>
        <v>288.14285714285717</v>
      </c>
      <c r="U38" s="56">
        <f t="shared" si="30"/>
        <v>149.14285714285711</v>
      </c>
      <c r="V38" s="56">
        <f t="shared" si="30"/>
        <v>996.142857142857</v>
      </c>
      <c r="W38" s="56">
        <f t="shared" si="30"/>
        <v>38.023809523809526</v>
      </c>
      <c r="X38" s="56">
        <f t="shared" si="30"/>
        <v>24.285714285714281</v>
      </c>
      <c r="Y38" s="56">
        <f t="shared" si="30"/>
        <v>98.714285714285722</v>
      </c>
      <c r="Z38" s="56">
        <f t="shared" si="30"/>
        <v>90.285714285714278</v>
      </c>
      <c r="AA38" s="56">
        <f t="shared" si="30"/>
        <v>34.285714285714285</v>
      </c>
      <c r="AB38" s="56">
        <f t="shared" si="30"/>
        <v>12.452380952380951</v>
      </c>
      <c r="AC38" s="56">
        <f t="shared" si="30"/>
        <v>3425.1428571428569</v>
      </c>
      <c r="AD38" s="56">
        <f t="shared" si="30"/>
        <v>0.47619047619047616</v>
      </c>
      <c r="AE38" s="57">
        <f t="shared" si="30"/>
        <v>2726.8095238095239</v>
      </c>
      <c r="AF38" s="57">
        <f t="shared" si="30"/>
        <v>6151.9523809523816</v>
      </c>
    </row>
    <row r="39" spans="2:32" ht="23.1" customHeight="1" x14ac:dyDescent="0.25">
      <c r="B39" s="24" t="s">
        <v>66</v>
      </c>
      <c r="C39" s="49">
        <f>AVERAGE('22.07 MAKERERE-BWAISE'!C39,'23.07 Makerere-Bwaise'!C39,'24.07 Makerere-Bwaise'!C39,'25.07 Makerere-Bwaise'!C39,'26.07 Makerere-Bwaise-24h'!C39,'27.07 Makerere-Bwaise-24h'!C39,'28.07 Makerere-Bwaise'!C39)</f>
        <v>49.142857142857146</v>
      </c>
      <c r="D39" s="49">
        <f>AVERAGE('22.07 MAKERERE-BWAISE'!D39,'23.07 Makerere-Bwaise'!D39,'24.07 Makerere-Bwaise'!D39,'25.07 Makerere-Bwaise'!D39,'26.07 Makerere-Bwaise-24h'!D39,'27.07 Makerere-Bwaise-24h'!D39,'28.07 Makerere-Bwaise'!D39)</f>
        <v>11.285714285714286</v>
      </c>
      <c r="E39" s="49">
        <f>AVERAGE('22.07 MAKERERE-BWAISE'!E39,'23.07 Makerere-Bwaise'!E39,'24.07 Makerere-Bwaise'!E39,'25.07 Makerere-Bwaise'!E39,'26.07 Makerere-Bwaise-24h'!E39,'27.07 Makerere-Bwaise-24h'!E39,'28.07 Makerere-Bwaise'!E39)</f>
        <v>4.4285714285714288</v>
      </c>
      <c r="F39" s="49">
        <f>AVERAGE('22.07 MAKERERE-BWAISE'!F39,'23.07 Makerere-Bwaise'!F39,'24.07 Makerere-Bwaise'!F39,'25.07 Makerere-Bwaise'!F39,'26.07 Makerere-Bwaise-24h'!F39,'27.07 Makerere-Bwaise-24h'!F39,'28.07 Makerere-Bwaise'!F39)</f>
        <v>46.571428571428569</v>
      </c>
      <c r="G39" s="49">
        <f>AVERAGE('22.07 MAKERERE-BWAISE'!G39,'23.07 Makerere-Bwaise'!G39,'24.07 Makerere-Bwaise'!G39,'25.07 Makerere-Bwaise'!G39,'26.07 Makerere-Bwaise-24h'!G39,'27.07 Makerere-Bwaise-24h'!G39,'28.07 Makerere-Bwaise'!G39)</f>
        <v>7.7142857142857144</v>
      </c>
      <c r="H39" s="49">
        <f>AVERAGE('22.07 MAKERERE-BWAISE'!H39,'23.07 Makerere-Bwaise'!H39,'24.07 Makerere-Bwaise'!H39,'25.07 Makerere-Bwaise'!H39,'26.07 Makerere-Bwaise-24h'!H39,'27.07 Makerere-Bwaise-24h'!H39,'28.07 Makerere-Bwaise'!H39)</f>
        <v>0.5714285714285714</v>
      </c>
      <c r="I39" s="49">
        <f>AVERAGE('22.07 MAKERERE-BWAISE'!I39,'23.07 Makerere-Bwaise'!I39,'24.07 Makerere-Bwaise'!I39,'25.07 Makerere-Bwaise'!I39,'26.07 Makerere-Bwaise-24h'!I39,'27.07 Makerere-Bwaise-24h'!I39,'28.07 Makerere-Bwaise'!I39)</f>
        <v>2.8571428571428572</v>
      </c>
      <c r="J39" s="49">
        <f>AVERAGE('22.07 MAKERERE-BWAISE'!J39,'23.07 Makerere-Bwaise'!J39,'24.07 Makerere-Bwaise'!J39,'25.07 Makerere-Bwaise'!J39,'26.07 Makerere-Bwaise-24h'!J39,'27.07 Makerere-Bwaise-24h'!J39,'28.07 Makerere-Bwaise'!J39)</f>
        <v>3.1428571428571428</v>
      </c>
      <c r="K39" s="49">
        <f>AVERAGE('22.07 MAKERERE-BWAISE'!K39,'23.07 Makerere-Bwaise'!K39,'24.07 Makerere-Bwaise'!K39,'25.07 Makerere-Bwaise'!K39,'26.07 Makerere-Bwaise-24h'!K39,'27.07 Makerere-Bwaise-24h'!K39,'28.07 Makerere-Bwaise'!K39)</f>
        <v>1.8571428571428572</v>
      </c>
      <c r="L39" s="49">
        <f>AVERAGE('22.07 MAKERERE-BWAISE'!L39,'23.07 Makerere-Bwaise'!L39,'24.07 Makerere-Bwaise'!L39,'25.07 Makerere-Bwaise'!L39,'26.07 Makerere-Bwaise-24h'!L39,'27.07 Makerere-Bwaise-24h'!L39,'28.07 Makerere-Bwaise'!L39)</f>
        <v>0.7142857142857143</v>
      </c>
      <c r="M39" s="49">
        <f>AVERAGE('22.07 MAKERERE-BWAISE'!M39,'23.07 Makerere-Bwaise'!M39,'24.07 Makerere-Bwaise'!M39,'25.07 Makerere-Bwaise'!M39,'26.07 Makerere-Bwaise-24h'!M39,'27.07 Makerere-Bwaise-24h'!M39,'28.07 Makerere-Bwaise'!M39)</f>
        <v>132.85714285714286</v>
      </c>
      <c r="N39" s="49">
        <f>AVERAGE('22.07 MAKERERE-BWAISE'!N39,'23.07 Makerere-Bwaise'!N39,'24.07 Makerere-Bwaise'!N39,'25.07 Makerere-Bwaise'!N39,'26.07 Makerere-Bwaise-24h'!N39,'27.07 Makerere-Bwaise-24h'!N39,'28.07 Makerere-Bwaise'!N39)</f>
        <v>0</v>
      </c>
      <c r="O39" s="15">
        <f t="shared" si="0"/>
        <v>128.28571428571428</v>
      </c>
      <c r="P39" s="15">
        <f t="shared" si="1"/>
        <v>261.14285714285711</v>
      </c>
      <c r="R39" s="29" t="s">
        <v>87</v>
      </c>
      <c r="S39" s="56">
        <f t="shared" ref="S39:AF39" si="31">SUM(S19:S21)</f>
        <v>688.85714285714278</v>
      </c>
      <c r="T39" s="56">
        <f t="shared" si="31"/>
        <v>176.71428571428572</v>
      </c>
      <c r="U39" s="56">
        <f t="shared" si="31"/>
        <v>79.571428571428569</v>
      </c>
      <c r="V39" s="56">
        <f t="shared" si="31"/>
        <v>523.28571428571422</v>
      </c>
      <c r="W39" s="56">
        <f t="shared" si="31"/>
        <v>13.714285714285715</v>
      </c>
      <c r="X39" s="56">
        <f t="shared" si="31"/>
        <v>9.4285714285714288</v>
      </c>
      <c r="Y39" s="56">
        <f t="shared" si="31"/>
        <v>47.142857142857146</v>
      </c>
      <c r="Z39" s="56">
        <f t="shared" si="31"/>
        <v>33.5</v>
      </c>
      <c r="AA39" s="56">
        <f t="shared" si="31"/>
        <v>11.571428571428571</v>
      </c>
      <c r="AB39" s="56">
        <f t="shared" si="31"/>
        <v>5</v>
      </c>
      <c r="AC39" s="56">
        <f t="shared" si="31"/>
        <v>1621.1428571428569</v>
      </c>
      <c r="AD39" s="56">
        <f t="shared" si="31"/>
        <v>0.14285714285714285</v>
      </c>
      <c r="AE39" s="57">
        <f t="shared" si="31"/>
        <v>1588.9285714285713</v>
      </c>
      <c r="AF39" s="57">
        <f t="shared" si="31"/>
        <v>3210.0714285714289</v>
      </c>
    </row>
    <row r="40" spans="2:32" ht="23.1" customHeight="1" x14ac:dyDescent="0.25">
      <c r="B40" s="24" t="s">
        <v>67</v>
      </c>
      <c r="C40" s="49">
        <f>AVERAGE('22.07 MAKERERE-BWAISE'!C40,'23.07 Makerere-Bwaise'!C40,'24.07 Makerere-Bwaise'!C40,'25.07 Makerere-Bwaise'!C40,'26.07 Makerere-Bwaise-24h'!C40,'27.07 Makerere-Bwaise-24h'!C40,'28.07 Makerere-Bwaise'!C40)</f>
        <v>47.285714285714285</v>
      </c>
      <c r="D40" s="49">
        <f>AVERAGE('22.07 MAKERERE-BWAISE'!D40,'23.07 Makerere-Bwaise'!D40,'24.07 Makerere-Bwaise'!D40,'25.07 Makerere-Bwaise'!D40,'26.07 Makerere-Bwaise-24h'!D40,'27.07 Makerere-Bwaise-24h'!D40,'28.07 Makerere-Bwaise'!D40)</f>
        <v>15.142857142857142</v>
      </c>
      <c r="E40" s="49">
        <f>AVERAGE('22.07 MAKERERE-BWAISE'!E40,'23.07 Makerere-Bwaise'!E40,'24.07 Makerere-Bwaise'!E40,'25.07 Makerere-Bwaise'!E40,'26.07 Makerere-Bwaise-24h'!E40,'27.07 Makerere-Bwaise-24h'!E40,'28.07 Makerere-Bwaise'!E40)</f>
        <v>4.5714285714285712</v>
      </c>
      <c r="F40" s="49">
        <f>AVERAGE('22.07 MAKERERE-BWAISE'!F40,'23.07 Makerere-Bwaise'!F40,'24.07 Makerere-Bwaise'!F40,'25.07 Makerere-Bwaise'!F40,'26.07 Makerere-Bwaise-24h'!F40,'27.07 Makerere-Bwaise-24h'!F40,'28.07 Makerere-Bwaise'!F40)</f>
        <v>42</v>
      </c>
      <c r="G40" s="49">
        <f>AVERAGE('22.07 MAKERERE-BWAISE'!G40,'23.07 Makerere-Bwaise'!G40,'24.07 Makerere-Bwaise'!G40,'25.07 Makerere-Bwaise'!G40,'26.07 Makerere-Bwaise-24h'!G40,'27.07 Makerere-Bwaise-24h'!G40,'28.07 Makerere-Bwaise'!G40)</f>
        <v>6.1428571428571432</v>
      </c>
      <c r="H40" s="49">
        <f>AVERAGE('22.07 MAKERERE-BWAISE'!H40,'23.07 Makerere-Bwaise'!H40,'24.07 Makerere-Bwaise'!H40,'25.07 Makerere-Bwaise'!H40,'26.07 Makerere-Bwaise-24h'!H40,'27.07 Makerere-Bwaise-24h'!H40,'28.07 Makerere-Bwaise'!H40)</f>
        <v>0.5714285714285714</v>
      </c>
      <c r="I40" s="49">
        <f>AVERAGE('22.07 MAKERERE-BWAISE'!I40,'23.07 Makerere-Bwaise'!I40,'24.07 Makerere-Bwaise'!I40,'25.07 Makerere-Bwaise'!I40,'26.07 Makerere-Bwaise-24h'!I40,'27.07 Makerere-Bwaise-24h'!I40,'28.07 Makerere-Bwaise'!I40)</f>
        <v>4</v>
      </c>
      <c r="J40" s="49">
        <f>AVERAGE('22.07 MAKERERE-BWAISE'!J40,'23.07 Makerere-Bwaise'!J40,'24.07 Makerere-Bwaise'!J40,'25.07 Makerere-Bwaise'!J40,'26.07 Makerere-Bwaise-24h'!J40,'27.07 Makerere-Bwaise-24h'!J40,'28.07 Makerere-Bwaise'!J40)</f>
        <v>4.7142857142857144</v>
      </c>
      <c r="K40" s="49">
        <f>AVERAGE('22.07 MAKERERE-BWAISE'!K40,'23.07 Makerere-Bwaise'!K40,'24.07 Makerere-Bwaise'!K40,'25.07 Makerere-Bwaise'!K40,'26.07 Makerere-Bwaise-24h'!K40,'27.07 Makerere-Bwaise-24h'!K40,'28.07 Makerere-Bwaise'!K40)</f>
        <v>3</v>
      </c>
      <c r="L40" s="49">
        <f>AVERAGE('22.07 MAKERERE-BWAISE'!L40,'23.07 Makerere-Bwaise'!L40,'24.07 Makerere-Bwaise'!L40,'25.07 Makerere-Bwaise'!L40,'26.07 Makerere-Bwaise-24h'!L40,'27.07 Makerere-Bwaise-24h'!L40,'28.07 Makerere-Bwaise'!L40)</f>
        <v>1.1428571428571428</v>
      </c>
      <c r="M40" s="49">
        <f>AVERAGE('22.07 MAKERERE-BWAISE'!M40,'23.07 Makerere-Bwaise'!M40,'24.07 Makerere-Bwaise'!M40,'25.07 Makerere-Bwaise'!M40,'26.07 Makerere-Bwaise-24h'!M40,'27.07 Makerere-Bwaise-24h'!M40,'28.07 Makerere-Bwaise'!M40)</f>
        <v>126.28571428571429</v>
      </c>
      <c r="N40" s="49">
        <f>AVERAGE('22.07 MAKERERE-BWAISE'!N40,'23.07 Makerere-Bwaise'!N40,'24.07 Makerere-Bwaise'!N40,'25.07 Makerere-Bwaise'!N40,'26.07 Makerere-Bwaise-24h'!N40,'27.07 Makerere-Bwaise-24h'!N40,'28.07 Makerere-Bwaise'!N40)</f>
        <v>0</v>
      </c>
      <c r="O40" s="15">
        <f t="shared" si="0"/>
        <v>128.57142857142856</v>
      </c>
      <c r="P40" s="15">
        <f t="shared" si="1"/>
        <v>254.85714285714283</v>
      </c>
      <c r="R40" s="5" t="s">
        <v>17</v>
      </c>
      <c r="S40" s="56">
        <f t="shared" ref="S40:AF40" si="32">SUM(S10:S21)</f>
        <v>2020.7142857142858</v>
      </c>
      <c r="T40" s="56">
        <f t="shared" si="32"/>
        <v>576.42857142857144</v>
      </c>
      <c r="U40" s="56">
        <f t="shared" si="32"/>
        <v>268.71428571428567</v>
      </c>
      <c r="V40" s="56">
        <f t="shared" si="32"/>
        <v>2117.2857142857142</v>
      </c>
      <c r="W40" s="56">
        <f t="shared" si="32"/>
        <v>71.785714285714278</v>
      </c>
      <c r="X40" s="56">
        <f t="shared" si="32"/>
        <v>51.714285714285708</v>
      </c>
      <c r="Y40" s="56">
        <f t="shared" si="32"/>
        <v>186</v>
      </c>
      <c r="Z40" s="56">
        <f t="shared" si="32"/>
        <v>145.21428571428572</v>
      </c>
      <c r="AA40" s="56">
        <f t="shared" si="32"/>
        <v>55.142857142857139</v>
      </c>
      <c r="AB40" s="56">
        <f t="shared" si="32"/>
        <v>23.880952380952376</v>
      </c>
      <c r="AC40" s="56">
        <f t="shared" si="32"/>
        <v>7259.7142857142844</v>
      </c>
      <c r="AD40" s="56">
        <f t="shared" si="32"/>
        <v>0.76190476190476186</v>
      </c>
      <c r="AE40" s="57">
        <f t="shared" si="32"/>
        <v>5517.6428571428569</v>
      </c>
      <c r="AF40" s="57">
        <f t="shared" si="32"/>
        <v>12777.357142857143</v>
      </c>
    </row>
    <row r="41" spans="2:32" ht="23.1" customHeight="1" x14ac:dyDescent="0.25">
      <c r="B41" s="23" t="s">
        <v>68</v>
      </c>
      <c r="C41" s="49">
        <f>AVERAGE('22.07 MAKERERE-BWAISE'!C41,'23.07 Makerere-Bwaise'!C41,'24.07 Makerere-Bwaise'!C41,'25.07 Makerere-Bwaise'!C41,'26.07 Makerere-Bwaise-24h'!C41,'27.07 Makerere-Bwaise-24h'!C41,'28.07 Makerere-Bwaise'!C41)</f>
        <v>36</v>
      </c>
      <c r="D41" s="49">
        <f>AVERAGE('22.07 MAKERERE-BWAISE'!D41,'23.07 Makerere-Bwaise'!D41,'24.07 Makerere-Bwaise'!D41,'25.07 Makerere-Bwaise'!D41,'26.07 Makerere-Bwaise-24h'!D41,'27.07 Makerere-Bwaise-24h'!D41,'28.07 Makerere-Bwaise'!D41)</f>
        <v>10.857142857142858</v>
      </c>
      <c r="E41" s="49">
        <f>AVERAGE('22.07 MAKERERE-BWAISE'!E41,'23.07 Makerere-Bwaise'!E41,'24.07 Makerere-Bwaise'!E41,'25.07 Makerere-Bwaise'!E41,'26.07 Makerere-Bwaise-24h'!E41,'27.07 Makerere-Bwaise-24h'!E41,'28.07 Makerere-Bwaise'!E41)</f>
        <v>2.8571428571428572</v>
      </c>
      <c r="F41" s="49">
        <f>AVERAGE('22.07 MAKERERE-BWAISE'!F41,'23.07 Makerere-Bwaise'!F41,'24.07 Makerere-Bwaise'!F41,'25.07 Makerere-Bwaise'!F41,'26.07 Makerere-Bwaise-24h'!F41,'27.07 Makerere-Bwaise-24h'!F41,'28.07 Makerere-Bwaise'!F41)</f>
        <v>35.857142857142854</v>
      </c>
      <c r="G41" s="49">
        <f>AVERAGE('22.07 MAKERERE-BWAISE'!G41,'23.07 Makerere-Bwaise'!G41,'24.07 Makerere-Bwaise'!G41,'25.07 Makerere-Bwaise'!G41,'26.07 Makerere-Bwaise-24h'!G41,'27.07 Makerere-Bwaise-24h'!G41,'28.07 Makerere-Bwaise'!G41)</f>
        <v>0.5714285714285714</v>
      </c>
      <c r="H41" s="49">
        <f>AVERAGE('22.07 MAKERERE-BWAISE'!H41,'23.07 Makerere-Bwaise'!H41,'24.07 Makerere-Bwaise'!H41,'25.07 Makerere-Bwaise'!H41,'26.07 Makerere-Bwaise-24h'!H41,'27.07 Makerere-Bwaise-24h'!H41,'28.07 Makerere-Bwaise'!H41)</f>
        <v>1.2857142857142858</v>
      </c>
      <c r="I41" s="49">
        <f>AVERAGE('22.07 MAKERERE-BWAISE'!I41,'23.07 Makerere-Bwaise'!I41,'24.07 Makerere-Bwaise'!I41,'25.07 Makerere-Bwaise'!I41,'26.07 Makerere-Bwaise-24h'!I41,'27.07 Makerere-Bwaise-24h'!I41,'28.07 Makerere-Bwaise'!I41)</f>
        <v>5.1428571428571432</v>
      </c>
      <c r="J41" s="49">
        <f>AVERAGE('22.07 MAKERERE-BWAISE'!J41,'23.07 Makerere-Bwaise'!J41,'24.07 Makerere-Bwaise'!J41,'25.07 Makerere-Bwaise'!J41,'26.07 Makerere-Bwaise-24h'!J41,'27.07 Makerere-Bwaise-24h'!J41,'28.07 Makerere-Bwaise'!J41)</f>
        <v>4.4285714285714288</v>
      </c>
      <c r="K41" s="49">
        <f>AVERAGE('22.07 MAKERERE-BWAISE'!K41,'23.07 Makerere-Bwaise'!K41,'24.07 Makerere-Bwaise'!K41,'25.07 Makerere-Bwaise'!K41,'26.07 Makerere-Bwaise-24h'!K41,'27.07 Makerere-Bwaise-24h'!K41,'28.07 Makerere-Bwaise'!K41)</f>
        <v>1</v>
      </c>
      <c r="L41" s="49">
        <f>AVERAGE('22.07 MAKERERE-BWAISE'!L41,'23.07 Makerere-Bwaise'!L41,'24.07 Makerere-Bwaise'!L41,'25.07 Makerere-Bwaise'!L41,'26.07 Makerere-Bwaise-24h'!L41,'27.07 Makerere-Bwaise-24h'!L41,'28.07 Makerere-Bwaise'!L41)</f>
        <v>0.16666666666666666</v>
      </c>
      <c r="M41" s="49">
        <f>AVERAGE('22.07 MAKERERE-BWAISE'!M41,'23.07 Makerere-Bwaise'!M41,'24.07 Makerere-Bwaise'!M41,'25.07 Makerere-Bwaise'!M41,'26.07 Makerere-Bwaise-24h'!M41,'27.07 Makerere-Bwaise-24h'!M41,'28.07 Makerere-Bwaise'!M41)</f>
        <v>106.14285714285714</v>
      </c>
      <c r="N41" s="49">
        <f>AVERAGE('22.07 MAKERERE-BWAISE'!N41,'23.07 Makerere-Bwaise'!N41,'24.07 Makerere-Bwaise'!N41,'25.07 Makerere-Bwaise'!N41,'26.07 Makerere-Bwaise-24h'!N41,'27.07 Makerere-Bwaise-24h'!N41,'28.07 Makerere-Bwaise'!N41)</f>
        <v>0.14285714285714285</v>
      </c>
      <c r="O41" s="15">
        <f t="shared" si="0"/>
        <v>98.30952380952381</v>
      </c>
      <c r="P41" s="15">
        <f t="shared" si="1"/>
        <v>204.45238095238093</v>
      </c>
      <c r="R41" s="5" t="s">
        <v>188</v>
      </c>
      <c r="S41" s="56">
        <f>SUM(S10:S33)</f>
        <v>3256.7142857142858</v>
      </c>
      <c r="T41" s="56">
        <f t="shared" ref="T41:AD41" si="33">SUM(T10:T33)</f>
        <v>773.92857142857144</v>
      </c>
      <c r="U41" s="56">
        <f t="shared" si="33"/>
        <v>432.21428571428567</v>
      </c>
      <c r="V41" s="56">
        <f t="shared" si="33"/>
        <v>2881.2857142857142</v>
      </c>
      <c r="W41" s="56">
        <f t="shared" si="33"/>
        <v>117.28571428571428</v>
      </c>
      <c r="X41" s="56">
        <f t="shared" si="33"/>
        <v>84.714285714285708</v>
      </c>
      <c r="Y41" s="56">
        <f t="shared" si="33"/>
        <v>288</v>
      </c>
      <c r="Z41" s="56">
        <f t="shared" si="33"/>
        <v>175.21428571428572</v>
      </c>
      <c r="AA41" s="56">
        <f t="shared" si="33"/>
        <v>70.142857142857139</v>
      </c>
      <c r="AB41" s="56">
        <f t="shared" si="33"/>
        <v>27.380952380952376</v>
      </c>
      <c r="AC41" s="56">
        <f t="shared" si="33"/>
        <v>9842.2142857142844</v>
      </c>
      <c r="AD41" s="56">
        <f t="shared" si="33"/>
        <v>1.2619047619047619</v>
      </c>
      <c r="AE41" s="57">
        <f>SUM(AE10:AE33)</f>
        <v>8108.1428571428569</v>
      </c>
      <c r="AF41" s="57">
        <f>SUM(AF10:AF33)</f>
        <v>17950.357142857145</v>
      </c>
    </row>
    <row r="42" spans="2:32" ht="23.1" customHeight="1" x14ac:dyDescent="0.25">
      <c r="B42" s="24" t="s">
        <v>69</v>
      </c>
      <c r="C42" s="49">
        <f>AVERAGE('22.07 MAKERERE-BWAISE'!C42,'23.07 Makerere-Bwaise'!C42,'24.07 Makerere-Bwaise'!C42,'25.07 Makerere-Bwaise'!C42,'26.07 Makerere-Bwaise-24h'!C42,'27.07 Makerere-Bwaise-24h'!C42,'28.07 Makerere-Bwaise'!C42)</f>
        <v>55.142857142857146</v>
      </c>
      <c r="D42" s="49">
        <f>AVERAGE('22.07 MAKERERE-BWAISE'!D42,'23.07 Makerere-Bwaise'!D42,'24.07 Makerere-Bwaise'!D42,'25.07 Makerere-Bwaise'!D42,'26.07 Makerere-Bwaise-24h'!D42,'27.07 Makerere-Bwaise-24h'!D42,'28.07 Makerere-Bwaise'!D42)</f>
        <v>15.428571428571429</v>
      </c>
      <c r="E42" s="49">
        <f>AVERAGE('22.07 MAKERERE-BWAISE'!E42,'23.07 Makerere-Bwaise'!E42,'24.07 Makerere-Bwaise'!E42,'25.07 Makerere-Bwaise'!E42,'26.07 Makerere-Bwaise-24h'!E42,'27.07 Makerere-Bwaise-24h'!E42,'28.07 Makerere-Bwaise'!E42)</f>
        <v>6.8571428571428568</v>
      </c>
      <c r="F42" s="49">
        <f>AVERAGE('22.07 MAKERERE-BWAISE'!F42,'23.07 Makerere-Bwaise'!F42,'24.07 Makerere-Bwaise'!F42,'25.07 Makerere-Bwaise'!F42,'26.07 Makerere-Bwaise-24h'!F42,'27.07 Makerere-Bwaise-24h'!F42,'28.07 Makerere-Bwaise'!F42)</f>
        <v>42.571428571428569</v>
      </c>
      <c r="G42" s="49">
        <f>AVERAGE('22.07 MAKERERE-BWAISE'!G42,'23.07 Makerere-Bwaise'!G42,'24.07 Makerere-Bwaise'!G42,'25.07 Makerere-Bwaise'!G42,'26.07 Makerere-Bwaise-24h'!G42,'27.07 Makerere-Bwaise-24h'!G42,'28.07 Makerere-Bwaise'!G42)</f>
        <v>0.14285714285714285</v>
      </c>
      <c r="H42" s="49">
        <f>AVERAGE('22.07 MAKERERE-BWAISE'!H42,'23.07 Makerere-Bwaise'!H42,'24.07 Makerere-Bwaise'!H42,'25.07 Makerere-Bwaise'!H42,'26.07 Makerere-Bwaise-24h'!H42,'27.07 Makerere-Bwaise-24h'!H42,'28.07 Makerere-Bwaise'!H42)</f>
        <v>0.5714285714285714</v>
      </c>
      <c r="I42" s="49">
        <f>AVERAGE('22.07 MAKERERE-BWAISE'!I42,'23.07 Makerere-Bwaise'!I42,'24.07 Makerere-Bwaise'!I42,'25.07 Makerere-Bwaise'!I42,'26.07 Makerere-Bwaise-24h'!I42,'27.07 Makerere-Bwaise-24h'!I42,'28.07 Makerere-Bwaise'!I42)</f>
        <v>4</v>
      </c>
      <c r="J42" s="49">
        <f>AVERAGE('22.07 MAKERERE-BWAISE'!J42,'23.07 Makerere-Bwaise'!J42,'24.07 Makerere-Bwaise'!J42,'25.07 Makerere-Bwaise'!J42,'26.07 Makerere-Bwaise-24h'!J42,'27.07 Makerere-Bwaise-24h'!J42,'28.07 Makerere-Bwaise'!J42)</f>
        <v>5</v>
      </c>
      <c r="K42" s="49">
        <f>AVERAGE('22.07 MAKERERE-BWAISE'!K42,'23.07 Makerere-Bwaise'!K42,'24.07 Makerere-Bwaise'!K42,'25.07 Makerere-Bwaise'!K42,'26.07 Makerere-Bwaise-24h'!K42,'27.07 Makerere-Bwaise-24h'!K42,'28.07 Makerere-Bwaise'!K42)</f>
        <v>1.2857142857142858</v>
      </c>
      <c r="L42" s="49">
        <f>AVERAGE('22.07 MAKERERE-BWAISE'!L42,'23.07 Makerere-Bwaise'!L42,'24.07 Makerere-Bwaise'!L42,'25.07 Makerere-Bwaise'!L42,'26.07 Makerere-Bwaise-24h'!L42,'27.07 Makerere-Bwaise-24h'!L42,'28.07 Makerere-Bwaise'!L42)</f>
        <v>0.42857142857142855</v>
      </c>
      <c r="M42" s="49">
        <f>AVERAGE('22.07 MAKERERE-BWAISE'!M42,'23.07 Makerere-Bwaise'!M42,'24.07 Makerere-Bwaise'!M42,'25.07 Makerere-Bwaise'!M42,'26.07 Makerere-Bwaise-24h'!M42,'27.07 Makerere-Bwaise-24h'!M42,'28.07 Makerere-Bwaise'!M42)</f>
        <v>109.85714285714286</v>
      </c>
      <c r="N42" s="49">
        <f>AVERAGE('22.07 MAKERERE-BWAISE'!N42,'23.07 Makerere-Bwaise'!N42,'24.07 Makerere-Bwaise'!N42,'25.07 Makerere-Bwaise'!N42,'26.07 Makerere-Bwaise-24h'!N42,'27.07 Makerere-Bwaise-24h'!N42,'28.07 Makerere-Bwaise'!N42)</f>
        <v>0</v>
      </c>
      <c r="O42" s="15">
        <f t="shared" si="0"/>
        <v>131.42857142857142</v>
      </c>
      <c r="P42" s="15">
        <f t="shared" si="1"/>
        <v>241.28571428571428</v>
      </c>
      <c r="R42" s="5" t="s">
        <v>160</v>
      </c>
      <c r="S42" s="48">
        <f>S41/S40</f>
        <v>1.6116648992576883</v>
      </c>
      <c r="T42" s="48">
        <f t="shared" ref="T42:AF42" si="34">T41/T40</f>
        <v>1.342627013630731</v>
      </c>
      <c r="U42" s="48">
        <f t="shared" si="34"/>
        <v>1.6084529505582139</v>
      </c>
      <c r="V42" s="48">
        <f t="shared" si="34"/>
        <v>1.3608393495715538</v>
      </c>
      <c r="W42" s="48">
        <f t="shared" si="34"/>
        <v>1.6338308457711443</v>
      </c>
      <c r="X42" s="48">
        <f t="shared" si="34"/>
        <v>1.6381215469613259</v>
      </c>
      <c r="Y42" s="48">
        <f t="shared" si="34"/>
        <v>1.5483870967741935</v>
      </c>
      <c r="Z42" s="48">
        <f t="shared" si="34"/>
        <v>1.2065912444663058</v>
      </c>
      <c r="AA42" s="48">
        <f t="shared" si="34"/>
        <v>1.2720207253886011</v>
      </c>
      <c r="AB42" s="48">
        <f t="shared" si="34"/>
        <v>1.1465603190428715</v>
      </c>
      <c r="AC42" s="48">
        <f t="shared" si="34"/>
        <v>1.3557302530599395</v>
      </c>
      <c r="AD42" s="48">
        <f t="shared" si="34"/>
        <v>1.65625</v>
      </c>
      <c r="AE42" s="58">
        <f t="shared" si="34"/>
        <v>1.4694939609305215</v>
      </c>
      <c r="AF42" s="58">
        <f t="shared" si="34"/>
        <v>1.4048568058451616</v>
      </c>
    </row>
    <row r="43" spans="2:32" ht="23.1" customHeight="1" x14ac:dyDescent="0.25">
      <c r="B43" s="23" t="s">
        <v>70</v>
      </c>
      <c r="C43" s="49">
        <f>AVERAGE('22.07 MAKERERE-BWAISE'!C43,'23.07 Makerere-Bwaise'!C43,'24.07 Makerere-Bwaise'!C43,'25.07 Makerere-Bwaise'!C43,'26.07 Makerere-Bwaise-24h'!C43,'27.07 Makerere-Bwaise-24h'!C43,'28.07 Makerere-Bwaise'!C43)</f>
        <v>46.857142857142854</v>
      </c>
      <c r="D43" s="49">
        <f>AVERAGE('22.07 MAKERERE-BWAISE'!D43,'23.07 Makerere-Bwaise'!D43,'24.07 Makerere-Bwaise'!D43,'25.07 Makerere-Bwaise'!D43,'26.07 Makerere-Bwaise-24h'!D43,'27.07 Makerere-Bwaise-24h'!D43,'28.07 Makerere-Bwaise'!D43)</f>
        <v>13.714285714285714</v>
      </c>
      <c r="E43" s="49">
        <f>AVERAGE('22.07 MAKERERE-BWAISE'!E43,'23.07 Makerere-Bwaise'!E43,'24.07 Makerere-Bwaise'!E43,'25.07 Makerere-Bwaise'!E43,'26.07 Makerere-Bwaise-24h'!E43,'27.07 Makerere-Bwaise-24h'!E43,'28.07 Makerere-Bwaise'!E43)</f>
        <v>6.5714285714285712</v>
      </c>
      <c r="F43" s="49">
        <f>AVERAGE('22.07 MAKERERE-BWAISE'!F43,'23.07 Makerere-Bwaise'!F43,'24.07 Makerere-Bwaise'!F43,'25.07 Makerere-Bwaise'!F43,'26.07 Makerere-Bwaise-24h'!F43,'27.07 Makerere-Bwaise-24h'!F43,'28.07 Makerere-Bwaise'!F43)</f>
        <v>42.857142857142854</v>
      </c>
      <c r="G43" s="49">
        <f>AVERAGE('22.07 MAKERERE-BWAISE'!G43,'23.07 Makerere-Bwaise'!G43,'24.07 Makerere-Bwaise'!G43,'25.07 Makerere-Bwaise'!G43,'26.07 Makerere-Bwaise-24h'!G43,'27.07 Makerere-Bwaise-24h'!G43,'28.07 Makerere-Bwaise'!G43)</f>
        <v>0.2857142857142857</v>
      </c>
      <c r="H43" s="49">
        <f>AVERAGE('22.07 MAKERERE-BWAISE'!H43,'23.07 Makerere-Bwaise'!H43,'24.07 Makerere-Bwaise'!H43,'25.07 Makerere-Bwaise'!H43,'26.07 Makerere-Bwaise-24h'!H43,'27.07 Makerere-Bwaise-24h'!H43,'28.07 Makerere-Bwaise'!H43)</f>
        <v>0.7142857142857143</v>
      </c>
      <c r="I43" s="49">
        <f>AVERAGE('22.07 MAKERERE-BWAISE'!I43,'23.07 Makerere-Bwaise'!I43,'24.07 Makerere-Bwaise'!I43,'25.07 Makerere-Bwaise'!I43,'26.07 Makerere-Bwaise-24h'!I43,'27.07 Makerere-Bwaise-24h'!I43,'28.07 Makerere-Bwaise'!I43)</f>
        <v>4.1428571428571432</v>
      </c>
      <c r="J43" s="49">
        <f>AVERAGE('22.07 MAKERERE-BWAISE'!J43,'23.07 Makerere-Bwaise'!J43,'24.07 Makerere-Bwaise'!J43,'25.07 Makerere-Bwaise'!J43,'26.07 Makerere-Bwaise-24h'!J43,'27.07 Makerere-Bwaise-24h'!J43,'28.07 Makerere-Bwaise'!J43)</f>
        <v>3.1428571428571428</v>
      </c>
      <c r="K43" s="49">
        <f>AVERAGE('22.07 MAKERERE-BWAISE'!K43,'23.07 Makerere-Bwaise'!K43,'24.07 Makerere-Bwaise'!K43,'25.07 Makerere-Bwaise'!K43,'26.07 Makerere-Bwaise-24h'!K43,'27.07 Makerere-Bwaise-24h'!K43,'28.07 Makerere-Bwaise'!K43)</f>
        <v>1.5714285714285714</v>
      </c>
      <c r="L43" s="49">
        <f>AVERAGE('22.07 MAKERERE-BWAISE'!L43,'23.07 Makerere-Bwaise'!L43,'24.07 Makerere-Bwaise'!L43,'25.07 Makerere-Bwaise'!L43,'26.07 Makerere-Bwaise-24h'!L43,'27.07 Makerere-Bwaise-24h'!L43,'28.07 Makerere-Bwaise'!L43)</f>
        <v>0.2857142857142857</v>
      </c>
      <c r="M43" s="49">
        <f>AVERAGE('22.07 MAKERERE-BWAISE'!M43,'23.07 Makerere-Bwaise'!M43,'24.07 Makerere-Bwaise'!M43,'25.07 Makerere-Bwaise'!M43,'26.07 Makerere-Bwaise-24h'!M43,'27.07 Makerere-Bwaise-24h'!M43,'28.07 Makerere-Bwaise'!M43)</f>
        <v>119.28571428571429</v>
      </c>
      <c r="N43" s="49">
        <f>AVERAGE('22.07 MAKERERE-BWAISE'!N43,'23.07 Makerere-Bwaise'!N43,'24.07 Makerere-Bwaise'!N43,'25.07 Makerere-Bwaise'!N43,'26.07 Makerere-Bwaise-24h'!N43,'27.07 Makerere-Bwaise-24h'!N43,'28.07 Makerere-Bwaise'!N43)</f>
        <v>0</v>
      </c>
      <c r="O43" s="15">
        <f t="shared" si="0"/>
        <v>120.14285714285714</v>
      </c>
      <c r="P43" s="15">
        <f t="shared" si="1"/>
        <v>239.42857142857144</v>
      </c>
    </row>
    <row r="44" spans="2:32" ht="23.1" customHeight="1" x14ac:dyDescent="0.25">
      <c r="B44" s="25" t="s">
        <v>71</v>
      </c>
      <c r="C44" s="49">
        <f>AVERAGE('22.07 MAKERERE-BWAISE'!C44,'23.07 Makerere-Bwaise'!C44,'24.07 Makerere-Bwaise'!C44,'25.07 Makerere-Bwaise'!C44,'26.07 Makerere-Bwaise-24h'!C44,'27.07 Makerere-Bwaise-24h'!C44,'28.07 Makerere-Bwaise'!C44)</f>
        <v>42.714285714285715</v>
      </c>
      <c r="D44" s="49">
        <f>AVERAGE('22.07 MAKERERE-BWAISE'!D44,'23.07 Makerere-Bwaise'!D44,'24.07 Makerere-Bwaise'!D44,'25.07 Makerere-Bwaise'!D44,'26.07 Makerere-Bwaise-24h'!D44,'27.07 Makerere-Bwaise-24h'!D44,'28.07 Makerere-Bwaise'!D44)</f>
        <v>12.142857142857142</v>
      </c>
      <c r="E44" s="49">
        <f>AVERAGE('22.07 MAKERERE-BWAISE'!E44,'23.07 Makerere-Bwaise'!E44,'24.07 Makerere-Bwaise'!E44,'25.07 Makerere-Bwaise'!E44,'26.07 Makerere-Bwaise-24h'!E44,'27.07 Makerere-Bwaise-24h'!E44,'28.07 Makerere-Bwaise'!E44)</f>
        <v>6.8571428571428568</v>
      </c>
      <c r="F44" s="49">
        <f>AVERAGE('22.07 MAKERERE-BWAISE'!F44,'23.07 Makerere-Bwaise'!F44,'24.07 Makerere-Bwaise'!F44,'25.07 Makerere-Bwaise'!F44,'26.07 Makerere-Bwaise-24h'!F44,'27.07 Makerere-Bwaise-24h'!F44,'28.07 Makerere-Bwaise'!F44)</f>
        <v>39.285714285714285</v>
      </c>
      <c r="G44" s="49">
        <f>AVERAGE('22.07 MAKERERE-BWAISE'!G44,'23.07 Makerere-Bwaise'!G44,'24.07 Makerere-Bwaise'!G44,'25.07 Makerere-Bwaise'!G44,'26.07 Makerere-Bwaise-24h'!G44,'27.07 Makerere-Bwaise-24h'!G44,'28.07 Makerere-Bwaise'!G44)</f>
        <v>0.14285714285714285</v>
      </c>
      <c r="H44" s="49">
        <f>AVERAGE('22.07 MAKERERE-BWAISE'!H44,'23.07 Makerere-Bwaise'!H44,'24.07 Makerere-Bwaise'!H44,'25.07 Makerere-Bwaise'!H44,'26.07 Makerere-Bwaise-24h'!H44,'27.07 Makerere-Bwaise-24h'!H44,'28.07 Makerere-Bwaise'!H44)</f>
        <v>1</v>
      </c>
      <c r="I44" s="49">
        <f>AVERAGE('22.07 MAKERERE-BWAISE'!I44,'23.07 Makerere-Bwaise'!I44,'24.07 Makerere-Bwaise'!I44,'25.07 Makerere-Bwaise'!I44,'26.07 Makerere-Bwaise-24h'!I44,'27.07 Makerere-Bwaise-24h'!I44,'28.07 Makerere-Bwaise'!I44)</f>
        <v>2.5714285714285716</v>
      </c>
      <c r="J44" s="49">
        <f>AVERAGE('22.07 MAKERERE-BWAISE'!J44,'23.07 Makerere-Bwaise'!J44,'24.07 Makerere-Bwaise'!J44,'25.07 Makerere-Bwaise'!J44,'26.07 Makerere-Bwaise-24h'!J44,'27.07 Makerere-Bwaise-24h'!J44,'28.07 Makerere-Bwaise'!J44)</f>
        <v>4.1428571428571432</v>
      </c>
      <c r="K44" s="49">
        <f>AVERAGE('22.07 MAKERERE-BWAISE'!K44,'23.07 Makerere-Bwaise'!K44,'24.07 Makerere-Bwaise'!K44,'25.07 Makerere-Bwaise'!K44,'26.07 Makerere-Bwaise-24h'!K44,'27.07 Makerere-Bwaise-24h'!K44,'28.07 Makerere-Bwaise'!K44)</f>
        <v>1.4285714285714286</v>
      </c>
      <c r="L44" s="49">
        <f>AVERAGE('22.07 MAKERERE-BWAISE'!L44,'23.07 Makerere-Bwaise'!L44,'24.07 Makerere-Bwaise'!L44,'25.07 Makerere-Bwaise'!L44,'26.07 Makerere-Bwaise-24h'!L44,'27.07 Makerere-Bwaise-24h'!L44,'28.07 Makerere-Bwaise'!L44)</f>
        <v>0.42857142857142855</v>
      </c>
      <c r="M44" s="49">
        <f>AVERAGE('22.07 MAKERERE-BWAISE'!M44,'23.07 Makerere-Bwaise'!M44,'24.07 Makerere-Bwaise'!M44,'25.07 Makerere-Bwaise'!M44,'26.07 Makerere-Bwaise-24h'!M44,'27.07 Makerere-Bwaise-24h'!M44,'28.07 Makerere-Bwaise'!M44)</f>
        <v>117.71428571428571</v>
      </c>
      <c r="N44" s="49">
        <f>AVERAGE('22.07 MAKERERE-BWAISE'!N44,'23.07 Makerere-Bwaise'!N44,'24.07 Makerere-Bwaise'!N44,'25.07 Makerere-Bwaise'!N44,'26.07 Makerere-Bwaise-24h'!N44,'27.07 Makerere-Bwaise-24h'!N44,'28.07 Makerere-Bwaise'!N44)</f>
        <v>0</v>
      </c>
      <c r="O44" s="15">
        <f t="shared" si="0"/>
        <v>110.71428571428571</v>
      </c>
      <c r="P44" s="15">
        <f t="shared" si="1"/>
        <v>228.42857142857142</v>
      </c>
    </row>
    <row r="45" spans="2:32" ht="23.1" customHeight="1" x14ac:dyDescent="0.25">
      <c r="B45" s="23" t="s">
        <v>72</v>
      </c>
      <c r="C45" s="49">
        <f>AVERAGE('22.07 MAKERERE-BWAISE'!C45,'23.07 Makerere-Bwaise'!C45,'24.07 Makerere-Bwaise'!C45,'25.07 Makerere-Bwaise'!C45,'26.07 Makerere-Bwaise-24h'!C45,'27.07 Makerere-Bwaise-24h'!C45,'28.07 Makerere-Bwaise'!C45)</f>
        <v>56.428571428571431</v>
      </c>
      <c r="D45" s="49">
        <f>AVERAGE('22.07 MAKERERE-BWAISE'!D45,'23.07 Makerere-Bwaise'!D45,'24.07 Makerere-Bwaise'!D45,'25.07 Makerere-Bwaise'!D45,'26.07 Makerere-Bwaise-24h'!D45,'27.07 Makerere-Bwaise-24h'!D45,'28.07 Makerere-Bwaise'!D45)</f>
        <v>13.428571428571429</v>
      </c>
      <c r="E45" s="49">
        <f>AVERAGE('22.07 MAKERERE-BWAISE'!E45,'23.07 Makerere-Bwaise'!E45,'24.07 Makerere-Bwaise'!E45,'25.07 Makerere-Bwaise'!E45,'26.07 Makerere-Bwaise-24h'!E45,'27.07 Makerere-Bwaise-24h'!E45,'28.07 Makerere-Bwaise'!E45)</f>
        <v>4.2857142857142856</v>
      </c>
      <c r="F45" s="49">
        <f>AVERAGE('22.07 MAKERERE-BWAISE'!F45,'23.07 Makerere-Bwaise'!F45,'24.07 Makerere-Bwaise'!F45,'25.07 Makerere-Bwaise'!F45,'26.07 Makerere-Bwaise-24h'!F45,'27.07 Makerere-Bwaise-24h'!F45,'28.07 Makerere-Bwaise'!F45)</f>
        <v>21.857142857142858</v>
      </c>
      <c r="G45" s="49">
        <f>AVERAGE('22.07 MAKERERE-BWAISE'!G45,'23.07 Makerere-Bwaise'!G45,'24.07 Makerere-Bwaise'!G45,'25.07 Makerere-Bwaise'!G45,'26.07 Makerere-Bwaise-24h'!G45,'27.07 Makerere-Bwaise-24h'!G45,'28.07 Makerere-Bwaise'!G45)</f>
        <v>0.7142857142857143</v>
      </c>
      <c r="H45" s="49">
        <f>AVERAGE('22.07 MAKERERE-BWAISE'!H45,'23.07 Makerere-Bwaise'!H45,'24.07 Makerere-Bwaise'!H45,'25.07 Makerere-Bwaise'!H45,'26.07 Makerere-Bwaise-24h'!H45,'27.07 Makerere-Bwaise-24h'!H45,'28.07 Makerere-Bwaise'!H45)</f>
        <v>1.1428571428571428</v>
      </c>
      <c r="I45" s="49">
        <f>AVERAGE('22.07 MAKERERE-BWAISE'!I45,'23.07 Makerere-Bwaise'!I45,'24.07 Makerere-Bwaise'!I45,'25.07 Makerere-Bwaise'!I45,'26.07 Makerere-Bwaise-24h'!I45,'27.07 Makerere-Bwaise-24h'!I45,'28.07 Makerere-Bwaise'!I45)</f>
        <v>3.2857142857142856</v>
      </c>
      <c r="J45" s="49">
        <f>AVERAGE('22.07 MAKERERE-BWAISE'!J45,'23.07 Makerere-Bwaise'!J45,'24.07 Makerere-Bwaise'!J45,'25.07 Makerere-Bwaise'!J45,'26.07 Makerere-Bwaise-24h'!J45,'27.07 Makerere-Bwaise-24h'!J45,'28.07 Makerere-Bwaise'!J45)</f>
        <v>4</v>
      </c>
      <c r="K45" s="49">
        <f>AVERAGE('22.07 MAKERERE-BWAISE'!K45,'23.07 Makerere-Bwaise'!K45,'24.07 Makerere-Bwaise'!K45,'25.07 Makerere-Bwaise'!K45,'26.07 Makerere-Bwaise-24h'!K45,'27.07 Makerere-Bwaise-24h'!K45,'28.07 Makerere-Bwaise'!K45)</f>
        <v>1.2857142857142858</v>
      </c>
      <c r="L45" s="49">
        <f>AVERAGE('22.07 MAKERERE-BWAISE'!L45,'23.07 Makerere-Bwaise'!L45,'24.07 Makerere-Bwaise'!L45,'25.07 Makerere-Bwaise'!L45,'26.07 Makerere-Bwaise-24h'!L45,'27.07 Makerere-Bwaise-24h'!L45,'28.07 Makerere-Bwaise'!L45)</f>
        <v>0.42857142857142855</v>
      </c>
      <c r="M45" s="49">
        <f>AVERAGE('22.07 MAKERERE-BWAISE'!M45,'23.07 Makerere-Bwaise'!M45,'24.07 Makerere-Bwaise'!M45,'25.07 Makerere-Bwaise'!M45,'26.07 Makerere-Bwaise-24h'!M45,'27.07 Makerere-Bwaise-24h'!M45,'28.07 Makerere-Bwaise'!M45)</f>
        <v>117.85714285714286</v>
      </c>
      <c r="N45" s="49">
        <f>AVERAGE('22.07 MAKERERE-BWAISE'!N45,'23.07 Makerere-Bwaise'!N45,'24.07 Makerere-Bwaise'!N45,'25.07 Makerere-Bwaise'!N45,'26.07 Makerere-Bwaise-24h'!N45,'27.07 Makerere-Bwaise-24h'!N45,'28.07 Makerere-Bwaise'!N45)</f>
        <v>0</v>
      </c>
      <c r="O45" s="15">
        <f t="shared" si="0"/>
        <v>106.85714285714288</v>
      </c>
      <c r="P45" s="15">
        <f t="shared" si="1"/>
        <v>224.71428571428572</v>
      </c>
    </row>
    <row r="46" spans="2:32" ht="23.1" customHeight="1" x14ac:dyDescent="0.25">
      <c r="B46" s="24" t="s">
        <v>73</v>
      </c>
      <c r="C46" s="49">
        <f>AVERAGE('22.07 MAKERERE-BWAISE'!C46,'23.07 Makerere-Bwaise'!C46,'24.07 Makerere-Bwaise'!C46,'25.07 Makerere-Bwaise'!C46,'26.07 Makerere-Bwaise-24h'!C46,'27.07 Makerere-Bwaise-24h'!C46,'28.07 Makerere-Bwaise'!C46)</f>
        <v>48</v>
      </c>
      <c r="D46" s="49">
        <f>AVERAGE('22.07 MAKERERE-BWAISE'!D46,'23.07 Makerere-Bwaise'!D46,'24.07 Makerere-Bwaise'!D46,'25.07 Makerere-Bwaise'!D46,'26.07 Makerere-Bwaise-24h'!D46,'27.07 Makerere-Bwaise-24h'!D46,'28.07 Makerere-Bwaise'!D46)</f>
        <v>13.857142857142858</v>
      </c>
      <c r="E46" s="49">
        <f>AVERAGE('22.07 MAKERERE-BWAISE'!E46,'23.07 Makerere-Bwaise'!E46,'24.07 Makerere-Bwaise'!E46,'25.07 Makerere-Bwaise'!E46,'26.07 Makerere-Bwaise-24h'!E46,'27.07 Makerere-Bwaise-24h'!E46,'28.07 Makerere-Bwaise'!E46)</f>
        <v>5.5714285714285712</v>
      </c>
      <c r="F46" s="49">
        <f>AVERAGE('22.07 MAKERERE-BWAISE'!F46,'23.07 Makerere-Bwaise'!F46,'24.07 Makerere-Bwaise'!F46,'25.07 Makerere-Bwaise'!F46,'26.07 Makerere-Bwaise-24h'!F46,'27.07 Makerere-Bwaise-24h'!F46,'28.07 Makerere-Bwaise'!F46)</f>
        <v>43.714285714285715</v>
      </c>
      <c r="G46" s="49">
        <f>AVERAGE('22.07 MAKERERE-BWAISE'!G46,'23.07 Makerere-Bwaise'!G46,'24.07 Makerere-Bwaise'!G46,'25.07 Makerere-Bwaise'!G46,'26.07 Makerere-Bwaise-24h'!G46,'27.07 Makerere-Bwaise-24h'!G46,'28.07 Makerere-Bwaise'!G46)</f>
        <v>0.5714285714285714</v>
      </c>
      <c r="H46" s="49">
        <f>AVERAGE('22.07 MAKERERE-BWAISE'!H46,'23.07 Makerere-Bwaise'!H46,'24.07 Makerere-Bwaise'!H46,'25.07 Makerere-Bwaise'!H46,'26.07 Makerere-Bwaise-24h'!H46,'27.07 Makerere-Bwaise-24h'!H46,'28.07 Makerere-Bwaise'!H46)</f>
        <v>0.42857142857142855</v>
      </c>
      <c r="I46" s="49">
        <f>AVERAGE('22.07 MAKERERE-BWAISE'!I46,'23.07 Makerere-Bwaise'!I46,'24.07 Makerere-Bwaise'!I46,'25.07 Makerere-Bwaise'!I46,'26.07 Makerere-Bwaise-24h'!I46,'27.07 Makerere-Bwaise-24h'!I46,'28.07 Makerere-Bwaise'!I46)</f>
        <v>4.7142857142857144</v>
      </c>
      <c r="J46" s="49">
        <f>AVERAGE('22.07 MAKERERE-BWAISE'!J46,'23.07 Makerere-Bwaise'!J46,'24.07 Makerere-Bwaise'!J46,'25.07 Makerere-Bwaise'!J46,'26.07 Makerere-Bwaise-24h'!J46,'27.07 Makerere-Bwaise-24h'!J46,'28.07 Makerere-Bwaise'!J46)</f>
        <v>3.1428571428571428</v>
      </c>
      <c r="K46" s="49">
        <f>AVERAGE('22.07 MAKERERE-BWAISE'!K46,'23.07 Makerere-Bwaise'!K46,'24.07 Makerere-Bwaise'!K46,'25.07 Makerere-Bwaise'!K46,'26.07 Makerere-Bwaise-24h'!K46,'27.07 Makerere-Bwaise-24h'!K46,'28.07 Makerere-Bwaise'!K46)</f>
        <v>0.8571428571428571</v>
      </c>
      <c r="L46" s="49">
        <f>AVERAGE('22.07 MAKERERE-BWAISE'!L46,'23.07 Makerere-Bwaise'!L46,'24.07 Makerere-Bwaise'!L46,'25.07 Makerere-Bwaise'!L46,'26.07 Makerere-Bwaise-24h'!L46,'27.07 Makerere-Bwaise-24h'!L46,'28.07 Makerere-Bwaise'!L46)</f>
        <v>0.42857142857142855</v>
      </c>
      <c r="M46" s="49">
        <f>AVERAGE('22.07 MAKERERE-BWAISE'!M46,'23.07 Makerere-Bwaise'!M46,'24.07 Makerere-Bwaise'!M46,'25.07 Makerere-Bwaise'!M46,'26.07 Makerere-Bwaise-24h'!M46,'27.07 Makerere-Bwaise-24h'!M46,'28.07 Makerere-Bwaise'!M46)</f>
        <v>135.85714285714286</v>
      </c>
      <c r="N46" s="49">
        <f>AVERAGE('22.07 MAKERERE-BWAISE'!N46,'23.07 Makerere-Bwaise'!N46,'24.07 Makerere-Bwaise'!N46,'25.07 Makerere-Bwaise'!N46,'26.07 Makerere-Bwaise-24h'!N46,'27.07 Makerere-Bwaise-24h'!N46,'28.07 Makerere-Bwaise'!N46)</f>
        <v>0</v>
      </c>
      <c r="O46" s="15">
        <f t="shared" si="0"/>
        <v>121.28571428571428</v>
      </c>
      <c r="P46" s="15">
        <f t="shared" si="1"/>
        <v>257.14285714285711</v>
      </c>
      <c r="R46" s="8"/>
      <c r="T46"/>
    </row>
    <row r="47" spans="2:32" ht="23.1" customHeight="1" x14ac:dyDescent="0.25">
      <c r="B47" s="24" t="s">
        <v>74</v>
      </c>
      <c r="C47" s="49">
        <f>AVERAGE('22.07 MAKERERE-BWAISE'!C47,'23.07 Makerere-Bwaise'!C47,'24.07 Makerere-Bwaise'!C47,'25.07 Makerere-Bwaise'!C47,'26.07 Makerere-Bwaise-24h'!C47,'27.07 Makerere-Bwaise-24h'!C47,'28.07 Makerere-Bwaise'!C47)</f>
        <v>57.428571428571431</v>
      </c>
      <c r="D47" s="49">
        <f>AVERAGE('22.07 MAKERERE-BWAISE'!D47,'23.07 Makerere-Bwaise'!D47,'24.07 Makerere-Bwaise'!D47,'25.07 Makerere-Bwaise'!D47,'26.07 Makerere-Bwaise-24h'!D47,'27.07 Makerere-Bwaise-24h'!D47,'28.07 Makerere-Bwaise'!D47)</f>
        <v>15.428571428571429</v>
      </c>
      <c r="E47" s="49">
        <f>AVERAGE('22.07 MAKERERE-BWAISE'!E47,'23.07 Makerere-Bwaise'!E47,'24.07 Makerere-Bwaise'!E47,'25.07 Makerere-Bwaise'!E47,'26.07 Makerere-Bwaise-24h'!E47,'27.07 Makerere-Bwaise-24h'!E47,'28.07 Makerere-Bwaise'!E47)</f>
        <v>4.8571428571428568</v>
      </c>
      <c r="F47" s="49">
        <f>AVERAGE('22.07 MAKERERE-BWAISE'!F47,'23.07 Makerere-Bwaise'!F47,'24.07 Makerere-Bwaise'!F47,'25.07 Makerere-Bwaise'!F47,'26.07 Makerere-Bwaise-24h'!F47,'27.07 Makerere-Bwaise-24h'!F47,'28.07 Makerere-Bwaise'!F47)</f>
        <v>42.142857142857146</v>
      </c>
      <c r="G47" s="49">
        <f>AVERAGE('22.07 MAKERERE-BWAISE'!G47,'23.07 Makerere-Bwaise'!G47,'24.07 Makerere-Bwaise'!G47,'25.07 Makerere-Bwaise'!G47,'26.07 Makerere-Bwaise-24h'!G47,'27.07 Makerere-Bwaise-24h'!G47,'28.07 Makerere-Bwaise'!G47)</f>
        <v>0.8571428571428571</v>
      </c>
      <c r="H47" s="49">
        <f>AVERAGE('22.07 MAKERERE-BWAISE'!H47,'23.07 Makerere-Bwaise'!H47,'24.07 Makerere-Bwaise'!H47,'25.07 Makerere-Bwaise'!H47,'26.07 Makerere-Bwaise-24h'!H47,'27.07 Makerere-Bwaise-24h'!H47,'28.07 Makerere-Bwaise'!H47)</f>
        <v>1.7142857142857142</v>
      </c>
      <c r="I47" s="49">
        <f>AVERAGE('22.07 MAKERERE-BWAISE'!I47,'23.07 Makerere-Bwaise'!I47,'24.07 Makerere-Bwaise'!I47,'25.07 Makerere-Bwaise'!I47,'26.07 Makerere-Bwaise-24h'!I47,'27.07 Makerere-Bwaise-24h'!I47,'28.07 Makerere-Bwaise'!I47)</f>
        <v>6.2857142857142856</v>
      </c>
      <c r="J47" s="49">
        <f>AVERAGE('22.07 MAKERERE-BWAISE'!J47,'23.07 Makerere-Bwaise'!J47,'24.07 Makerere-Bwaise'!J47,'25.07 Makerere-Bwaise'!J47,'26.07 Makerere-Bwaise-24h'!J47,'27.07 Makerere-Bwaise-24h'!J47,'28.07 Makerere-Bwaise'!J47)</f>
        <v>2.8571428571428572</v>
      </c>
      <c r="K47" s="49">
        <f>AVERAGE('22.07 MAKERERE-BWAISE'!K47,'23.07 Makerere-Bwaise'!K47,'24.07 Makerere-Bwaise'!K47,'25.07 Makerere-Bwaise'!K47,'26.07 Makerere-Bwaise-24h'!K47,'27.07 Makerere-Bwaise-24h'!K47,'28.07 Makerere-Bwaise'!K47)</f>
        <v>1.1428571428571428</v>
      </c>
      <c r="L47" s="49">
        <f>AVERAGE('22.07 MAKERERE-BWAISE'!L47,'23.07 Makerere-Bwaise'!L47,'24.07 Makerere-Bwaise'!L47,'25.07 Makerere-Bwaise'!L47,'26.07 Makerere-Bwaise-24h'!L47,'27.07 Makerere-Bwaise-24h'!L47,'28.07 Makerere-Bwaise'!L47)</f>
        <v>0.7142857142857143</v>
      </c>
      <c r="M47" s="49">
        <f>AVERAGE('22.07 MAKERERE-BWAISE'!M47,'23.07 Makerere-Bwaise'!M47,'24.07 Makerere-Bwaise'!M47,'25.07 Makerere-Bwaise'!M47,'26.07 Makerere-Bwaise-24h'!M47,'27.07 Makerere-Bwaise-24h'!M47,'28.07 Makerere-Bwaise'!M47)</f>
        <v>132.28571428571428</v>
      </c>
      <c r="N47" s="49">
        <f>AVERAGE('22.07 MAKERERE-BWAISE'!N47,'23.07 Makerere-Bwaise'!N47,'24.07 Makerere-Bwaise'!N47,'25.07 Makerere-Bwaise'!N47,'26.07 Makerere-Bwaise-24h'!N47,'27.07 Makerere-Bwaise-24h'!N47,'28.07 Makerere-Bwaise'!N47)</f>
        <v>0</v>
      </c>
      <c r="O47" s="15">
        <f t="shared" si="0"/>
        <v>133.42857142857144</v>
      </c>
      <c r="P47" s="15">
        <f t="shared" si="1"/>
        <v>265.71428571428572</v>
      </c>
      <c r="R47" s="8"/>
      <c r="T47"/>
    </row>
    <row r="48" spans="2:32" ht="23.1" customHeight="1" x14ac:dyDescent="0.25">
      <c r="B48" s="24" t="s">
        <v>75</v>
      </c>
      <c r="C48" s="49">
        <f>AVERAGE('22.07 MAKERERE-BWAISE'!C48,'23.07 Makerere-Bwaise'!C48,'24.07 Makerere-Bwaise'!C48,'25.07 Makerere-Bwaise'!C48,'26.07 Makerere-Bwaise-24h'!C48,'27.07 Makerere-Bwaise-24h'!C48,'28.07 Makerere-Bwaise'!C48)</f>
        <v>67.142857142857139</v>
      </c>
      <c r="D48" s="49">
        <f>AVERAGE('22.07 MAKERERE-BWAISE'!D48,'23.07 Makerere-Bwaise'!D48,'24.07 Makerere-Bwaise'!D48,'25.07 Makerere-Bwaise'!D48,'26.07 Makerere-Bwaise-24h'!D48,'27.07 Makerere-Bwaise-24h'!D48,'28.07 Makerere-Bwaise'!D48)</f>
        <v>19</v>
      </c>
      <c r="E48" s="49">
        <f>AVERAGE('22.07 MAKERERE-BWAISE'!E48,'23.07 Makerere-Bwaise'!E48,'24.07 Makerere-Bwaise'!E48,'25.07 Makerere-Bwaise'!E48,'26.07 Makerere-Bwaise-24h'!E48,'27.07 Makerere-Bwaise-24h'!E48,'28.07 Makerere-Bwaise'!E48)</f>
        <v>6.1428571428571432</v>
      </c>
      <c r="F48" s="49">
        <f>AVERAGE('22.07 MAKERERE-BWAISE'!F48,'23.07 Makerere-Bwaise'!F48,'24.07 Makerere-Bwaise'!F48,'25.07 Makerere-Bwaise'!F48,'26.07 Makerere-Bwaise-24h'!F48,'27.07 Makerere-Bwaise-24h'!F48,'28.07 Makerere-Bwaise'!F48)</f>
        <v>47.285714285714285</v>
      </c>
      <c r="G48" s="49">
        <f>AVERAGE('22.07 MAKERERE-BWAISE'!G48,'23.07 Makerere-Bwaise'!G48,'24.07 Makerere-Bwaise'!G48,'25.07 Makerere-Bwaise'!G48,'26.07 Makerere-Bwaise-24h'!G48,'27.07 Makerere-Bwaise-24h'!G48,'28.07 Makerere-Bwaise'!G48)</f>
        <v>0.8571428571428571</v>
      </c>
      <c r="H48" s="49">
        <f>AVERAGE('22.07 MAKERERE-BWAISE'!H48,'23.07 Makerere-Bwaise'!H48,'24.07 Makerere-Bwaise'!H48,'25.07 Makerere-Bwaise'!H48,'26.07 Makerere-Bwaise-24h'!H48,'27.07 Makerere-Bwaise-24h'!H48,'28.07 Makerere-Bwaise'!H48)</f>
        <v>1.2857142857142858</v>
      </c>
      <c r="I48" s="49">
        <f>AVERAGE('22.07 MAKERERE-BWAISE'!I48,'23.07 Makerere-Bwaise'!I48,'24.07 Makerere-Bwaise'!I48,'25.07 Makerere-Bwaise'!I48,'26.07 Makerere-Bwaise-24h'!I48,'27.07 Makerere-Bwaise-24h'!I48,'28.07 Makerere-Bwaise'!I48)</f>
        <v>4.4285714285714288</v>
      </c>
      <c r="J48" s="49">
        <f>AVERAGE('22.07 MAKERERE-BWAISE'!J48,'23.07 Makerere-Bwaise'!J48,'24.07 Makerere-Bwaise'!J48,'25.07 Makerere-Bwaise'!J48,'26.07 Makerere-Bwaise-24h'!J48,'27.07 Makerere-Bwaise-24h'!J48,'28.07 Makerere-Bwaise'!J48)</f>
        <v>4.5</v>
      </c>
      <c r="K48" s="49">
        <f>AVERAGE('22.07 MAKERERE-BWAISE'!K48,'23.07 Makerere-Bwaise'!K48,'24.07 Makerere-Bwaise'!K48,'25.07 Makerere-Bwaise'!K48,'26.07 Makerere-Bwaise-24h'!K48,'27.07 Makerere-Bwaise-24h'!K48,'28.07 Makerere-Bwaise'!K48)</f>
        <v>3.1428571428571428</v>
      </c>
      <c r="L48" s="49">
        <f>AVERAGE('22.07 MAKERERE-BWAISE'!L48,'23.07 Makerere-Bwaise'!L48,'24.07 Makerere-Bwaise'!L48,'25.07 Makerere-Bwaise'!L48,'26.07 Makerere-Bwaise-24h'!L48,'27.07 Makerere-Bwaise-24h'!L48,'28.07 Makerere-Bwaise'!L48)</f>
        <v>1</v>
      </c>
      <c r="M48" s="49">
        <f>AVERAGE('22.07 MAKERERE-BWAISE'!M48,'23.07 Makerere-Bwaise'!M48,'24.07 Makerere-Bwaise'!M48,'25.07 Makerere-Bwaise'!M48,'26.07 Makerere-Bwaise-24h'!M48,'27.07 Makerere-Bwaise-24h'!M48,'28.07 Makerere-Bwaise'!M48)</f>
        <v>144.85714285714286</v>
      </c>
      <c r="N48" s="49">
        <f>AVERAGE('22.07 MAKERERE-BWAISE'!N48,'23.07 Makerere-Bwaise'!N48,'24.07 Makerere-Bwaise'!N48,'25.07 Makerere-Bwaise'!N48,'26.07 Makerere-Bwaise-24h'!N48,'27.07 Makerere-Bwaise-24h'!N48,'28.07 Makerere-Bwaise'!N48)</f>
        <v>0</v>
      </c>
      <c r="O48" s="15">
        <f t="shared" si="0"/>
        <v>154.78571428571425</v>
      </c>
      <c r="P48" s="15">
        <f t="shared" si="1"/>
        <v>299.64285714285711</v>
      </c>
      <c r="R48" s="8"/>
      <c r="T48"/>
    </row>
    <row r="49" spans="2:20" ht="23.1" customHeight="1" x14ac:dyDescent="0.25">
      <c r="B49" s="23" t="s">
        <v>76</v>
      </c>
      <c r="C49" s="49">
        <f>AVERAGE('22.07 MAKERERE-BWAISE'!C49,'23.07 Makerere-Bwaise'!C49,'24.07 Makerere-Bwaise'!C49,'25.07 Makerere-Bwaise'!C49,'26.07 Makerere-Bwaise-24h'!C49,'27.07 Makerere-Bwaise-24h'!C49,'28.07 Makerere-Bwaise'!C49)</f>
        <v>59.285714285714285</v>
      </c>
      <c r="D49" s="49">
        <f>AVERAGE('22.07 MAKERERE-BWAISE'!D49,'23.07 Makerere-Bwaise'!D49,'24.07 Makerere-Bwaise'!D49,'25.07 Makerere-Bwaise'!D49,'26.07 Makerere-Bwaise-24h'!D49,'27.07 Makerere-Bwaise-24h'!D49,'28.07 Makerere-Bwaise'!D49)</f>
        <v>16.571428571428573</v>
      </c>
      <c r="E49" s="49">
        <f>AVERAGE('22.07 MAKERERE-BWAISE'!E49,'23.07 Makerere-Bwaise'!E49,'24.07 Makerere-Bwaise'!E49,'25.07 Makerere-Bwaise'!E49,'26.07 Makerere-Bwaise-24h'!E49,'27.07 Makerere-Bwaise-24h'!E49,'28.07 Makerere-Bwaise'!E49)</f>
        <v>6.5714285714285712</v>
      </c>
      <c r="F49" s="49">
        <f>AVERAGE('22.07 MAKERERE-BWAISE'!F49,'23.07 Makerere-Bwaise'!F49,'24.07 Makerere-Bwaise'!F49,'25.07 Makerere-Bwaise'!F49,'26.07 Makerere-Bwaise-24h'!F49,'27.07 Makerere-Bwaise-24h'!F49,'28.07 Makerere-Bwaise'!F49)</f>
        <v>41.142857142857146</v>
      </c>
      <c r="G49" s="49">
        <f>AVERAGE('22.07 MAKERERE-BWAISE'!G49,'23.07 Makerere-Bwaise'!G49,'24.07 Makerere-Bwaise'!G49,'25.07 Makerere-Bwaise'!G49,'26.07 Makerere-Bwaise-24h'!G49,'27.07 Makerere-Bwaise-24h'!G49,'28.07 Makerere-Bwaise'!G49)</f>
        <v>0.42857142857142855</v>
      </c>
      <c r="H49" s="49">
        <f>AVERAGE('22.07 MAKERERE-BWAISE'!H49,'23.07 Makerere-Bwaise'!H49,'24.07 Makerere-Bwaise'!H49,'25.07 Makerere-Bwaise'!H49,'26.07 Makerere-Bwaise-24h'!H49,'27.07 Makerere-Bwaise-24h'!H49,'28.07 Makerere-Bwaise'!H49)</f>
        <v>1.1428571428571428</v>
      </c>
      <c r="I49" s="49">
        <f>AVERAGE('22.07 MAKERERE-BWAISE'!I49,'23.07 Makerere-Bwaise'!I49,'24.07 Makerere-Bwaise'!I49,'25.07 Makerere-Bwaise'!I49,'26.07 Makerere-Bwaise-24h'!I49,'27.07 Makerere-Bwaise-24h'!I49,'28.07 Makerere-Bwaise'!I49)</f>
        <v>4.2857142857142856</v>
      </c>
      <c r="J49" s="49">
        <f>AVERAGE('22.07 MAKERERE-BWAISE'!J49,'23.07 Makerere-Bwaise'!J49,'24.07 Makerere-Bwaise'!J49,'25.07 Makerere-Bwaise'!J49,'26.07 Makerere-Bwaise-24h'!J49,'27.07 Makerere-Bwaise-24h'!J49,'28.07 Makerere-Bwaise'!J49)</f>
        <v>4.2857142857142856</v>
      </c>
      <c r="K49" s="49">
        <f>AVERAGE('22.07 MAKERERE-BWAISE'!K49,'23.07 Makerere-Bwaise'!K49,'24.07 Makerere-Bwaise'!K49,'25.07 Makerere-Bwaise'!K49,'26.07 Makerere-Bwaise-24h'!K49,'27.07 Makerere-Bwaise-24h'!K49,'28.07 Makerere-Bwaise'!K49)</f>
        <v>0.8571428571428571</v>
      </c>
      <c r="L49" s="49">
        <f>AVERAGE('22.07 MAKERERE-BWAISE'!L49,'23.07 Makerere-Bwaise'!L49,'24.07 Makerere-Bwaise'!L49,'25.07 Makerere-Bwaise'!L49,'26.07 Makerere-Bwaise-24h'!L49,'27.07 Makerere-Bwaise-24h'!L49,'28.07 Makerere-Bwaise'!L49)</f>
        <v>0</v>
      </c>
      <c r="M49" s="49">
        <f>AVERAGE('22.07 MAKERERE-BWAISE'!M49,'23.07 Makerere-Bwaise'!M49,'24.07 Makerere-Bwaise'!M49,'25.07 Makerere-Bwaise'!M49,'26.07 Makerere-Bwaise-24h'!M49,'27.07 Makerere-Bwaise-24h'!M49,'28.07 Makerere-Bwaise'!M49)</f>
        <v>136.57142857142858</v>
      </c>
      <c r="N49" s="49">
        <f>AVERAGE('22.07 MAKERERE-BWAISE'!N49,'23.07 Makerere-Bwaise'!N49,'24.07 Makerere-Bwaise'!N49,'25.07 Makerere-Bwaise'!N49,'26.07 Makerere-Bwaise-24h'!N49,'27.07 Makerere-Bwaise-24h'!N49,'28.07 Makerere-Bwaise'!N49)</f>
        <v>0</v>
      </c>
      <c r="O49" s="15">
        <f t="shared" si="0"/>
        <v>134.57142857142858</v>
      </c>
      <c r="P49" s="15">
        <f t="shared" si="1"/>
        <v>271.14285714285717</v>
      </c>
      <c r="R49" s="8"/>
      <c r="T49"/>
    </row>
    <row r="50" spans="2:20" ht="23.1" customHeight="1" x14ac:dyDescent="0.25">
      <c r="B50" s="24" t="s">
        <v>77</v>
      </c>
      <c r="C50" s="49">
        <f>AVERAGE('22.07 MAKERERE-BWAISE'!C50,'23.07 Makerere-Bwaise'!C50,'24.07 Makerere-Bwaise'!C50,'25.07 Makerere-Bwaise'!C50,'26.07 Makerere-Bwaise-24h'!C50,'27.07 Makerere-Bwaise-24h'!C50,'28.07 Makerere-Bwaise'!C50)</f>
        <v>65.571428571428569</v>
      </c>
      <c r="D50" s="49">
        <f>AVERAGE('22.07 MAKERERE-BWAISE'!D50,'23.07 Makerere-Bwaise'!D50,'24.07 Makerere-Bwaise'!D50,'25.07 Makerere-Bwaise'!D50,'26.07 Makerere-Bwaise-24h'!D50,'27.07 Makerere-Bwaise-24h'!D50,'28.07 Makerere-Bwaise'!D50)</f>
        <v>16.285714285714285</v>
      </c>
      <c r="E50" s="49">
        <f>AVERAGE('22.07 MAKERERE-BWAISE'!E50,'23.07 Makerere-Bwaise'!E50,'24.07 Makerere-Bwaise'!E50,'25.07 Makerere-Bwaise'!E50,'26.07 Makerere-Bwaise-24h'!E50,'27.07 Makerere-Bwaise-24h'!E50,'28.07 Makerere-Bwaise'!E50)</f>
        <v>5.8571428571428568</v>
      </c>
      <c r="F50" s="49">
        <f>AVERAGE('22.07 MAKERERE-BWAISE'!F50,'23.07 Makerere-Bwaise'!F50,'24.07 Makerere-Bwaise'!F50,'25.07 Makerere-Bwaise'!F50,'26.07 Makerere-Bwaise-24h'!F50,'27.07 Makerere-Bwaise-24h'!F50,'28.07 Makerere-Bwaise'!F50)</f>
        <v>43.285714285714285</v>
      </c>
      <c r="G50" s="49">
        <f>AVERAGE('22.07 MAKERERE-BWAISE'!G50,'23.07 Makerere-Bwaise'!G50,'24.07 Makerere-Bwaise'!G50,'25.07 Makerere-Bwaise'!G50,'26.07 Makerere-Bwaise-24h'!G50,'27.07 Makerere-Bwaise-24h'!G50,'28.07 Makerere-Bwaise'!G50)</f>
        <v>0.5714285714285714</v>
      </c>
      <c r="H50" s="49">
        <f>AVERAGE('22.07 MAKERERE-BWAISE'!H50,'23.07 Makerere-Bwaise'!H50,'24.07 Makerere-Bwaise'!H50,'25.07 Makerere-Bwaise'!H50,'26.07 Makerere-Bwaise-24h'!H50,'27.07 Makerere-Bwaise-24h'!H50,'28.07 Makerere-Bwaise'!H50)</f>
        <v>0.2857142857142857</v>
      </c>
      <c r="I50" s="49">
        <f>AVERAGE('22.07 MAKERERE-BWAISE'!I50,'23.07 Makerere-Bwaise'!I50,'24.07 Makerere-Bwaise'!I50,'25.07 Makerere-Bwaise'!I50,'26.07 Makerere-Bwaise-24h'!I50,'27.07 Makerere-Bwaise-24h'!I50,'28.07 Makerere-Bwaise'!I50)</f>
        <v>5.5714285714285712</v>
      </c>
      <c r="J50" s="49">
        <f>AVERAGE('22.07 MAKERERE-BWAISE'!J50,'23.07 Makerere-Bwaise'!J50,'24.07 Makerere-Bwaise'!J50,'25.07 Makerere-Bwaise'!J50,'26.07 Makerere-Bwaise-24h'!J50,'27.07 Makerere-Bwaise-24h'!J50,'28.07 Makerere-Bwaise'!J50)</f>
        <v>3.8571428571428572</v>
      </c>
      <c r="K50" s="49">
        <f>AVERAGE('22.07 MAKERERE-BWAISE'!K50,'23.07 Makerere-Bwaise'!K50,'24.07 Makerere-Bwaise'!K50,'25.07 Makerere-Bwaise'!K50,'26.07 Makerere-Bwaise-24h'!K50,'27.07 Makerere-Bwaise-24h'!K50,'28.07 Makerere-Bwaise'!K50)</f>
        <v>1.1428571428571428</v>
      </c>
      <c r="L50" s="49">
        <f>AVERAGE('22.07 MAKERERE-BWAISE'!L50,'23.07 Makerere-Bwaise'!L50,'24.07 Makerere-Bwaise'!L50,'25.07 Makerere-Bwaise'!L50,'26.07 Makerere-Bwaise-24h'!L50,'27.07 Makerere-Bwaise-24h'!L50,'28.07 Makerere-Bwaise'!L50)</f>
        <v>0.14285714285714285</v>
      </c>
      <c r="M50" s="49">
        <f>AVERAGE('22.07 MAKERERE-BWAISE'!M50,'23.07 Makerere-Bwaise'!M50,'24.07 Makerere-Bwaise'!M50,'25.07 Makerere-Bwaise'!M50,'26.07 Makerere-Bwaise-24h'!M50,'27.07 Makerere-Bwaise-24h'!M50,'28.07 Makerere-Bwaise'!M50)</f>
        <v>140.42857142857142</v>
      </c>
      <c r="N50" s="49">
        <f>AVERAGE('22.07 MAKERERE-BWAISE'!N50,'23.07 Makerere-Bwaise'!N50,'24.07 Makerere-Bwaise'!N50,'25.07 Makerere-Bwaise'!N50,'26.07 Makerere-Bwaise-24h'!N50,'27.07 Makerere-Bwaise-24h'!N50,'28.07 Makerere-Bwaise'!N50)</f>
        <v>0</v>
      </c>
      <c r="O50" s="15">
        <f t="shared" si="0"/>
        <v>142.57142857142858</v>
      </c>
      <c r="P50" s="15">
        <f t="shared" si="1"/>
        <v>283</v>
      </c>
      <c r="R50" s="8"/>
      <c r="T50"/>
    </row>
    <row r="51" spans="2:20" ht="23.1" customHeight="1" x14ac:dyDescent="0.25">
      <c r="B51" s="24" t="s">
        <v>78</v>
      </c>
      <c r="C51" s="49">
        <f>AVERAGE('22.07 MAKERERE-BWAISE'!C51,'23.07 Makerere-Bwaise'!C51,'24.07 Makerere-Bwaise'!C51,'25.07 Makerere-Bwaise'!C51,'26.07 Makerere-Bwaise-24h'!C51,'27.07 Makerere-Bwaise-24h'!C51,'28.07 Makerere-Bwaise'!C51)</f>
        <v>46.571428571428569</v>
      </c>
      <c r="D51" s="49">
        <f>AVERAGE('22.07 MAKERERE-BWAISE'!D51,'23.07 Makerere-Bwaise'!D51,'24.07 Makerere-Bwaise'!D51,'25.07 Makerere-Bwaise'!D51,'26.07 Makerere-Bwaise-24h'!D51,'27.07 Makerere-Bwaise-24h'!D51,'28.07 Makerere-Bwaise'!D51)</f>
        <v>11.714285714285714</v>
      </c>
      <c r="E51" s="49">
        <f>AVERAGE('22.07 MAKERERE-BWAISE'!E51,'23.07 Makerere-Bwaise'!E51,'24.07 Makerere-Bwaise'!E51,'25.07 Makerere-Bwaise'!E51,'26.07 Makerere-Bwaise-24h'!E51,'27.07 Makerere-Bwaise-24h'!E51,'28.07 Makerere-Bwaise'!E51)</f>
        <v>6.5714285714285712</v>
      </c>
      <c r="F51" s="49">
        <f>AVERAGE('22.07 MAKERERE-BWAISE'!F51,'23.07 Makerere-Bwaise'!F51,'24.07 Makerere-Bwaise'!F51,'25.07 Makerere-Bwaise'!F51,'26.07 Makerere-Bwaise-24h'!F51,'27.07 Makerere-Bwaise-24h'!F51,'28.07 Makerere-Bwaise'!F51)</f>
        <v>42.142857142857146</v>
      </c>
      <c r="G51" s="49">
        <f>AVERAGE('22.07 MAKERERE-BWAISE'!G51,'23.07 Makerere-Bwaise'!G51,'24.07 Makerere-Bwaise'!G51,'25.07 Makerere-Bwaise'!G51,'26.07 Makerere-Bwaise-24h'!G51,'27.07 Makerere-Bwaise-24h'!G51,'28.07 Makerere-Bwaise'!G51)</f>
        <v>1.1428571428571428</v>
      </c>
      <c r="H51" s="49">
        <f>AVERAGE('22.07 MAKERERE-BWAISE'!H51,'23.07 Makerere-Bwaise'!H51,'24.07 Makerere-Bwaise'!H51,'25.07 Makerere-Bwaise'!H51,'26.07 Makerere-Bwaise-24h'!H51,'27.07 Makerere-Bwaise-24h'!H51,'28.07 Makerere-Bwaise'!H51)</f>
        <v>0.2857142857142857</v>
      </c>
      <c r="I51" s="49">
        <f>AVERAGE('22.07 MAKERERE-BWAISE'!I51,'23.07 Makerere-Bwaise'!I51,'24.07 Makerere-Bwaise'!I51,'25.07 Makerere-Bwaise'!I51,'26.07 Makerere-Bwaise-24h'!I51,'27.07 Makerere-Bwaise-24h'!I51,'28.07 Makerere-Bwaise'!I51)</f>
        <v>3.2857142857142856</v>
      </c>
      <c r="J51" s="49">
        <f>AVERAGE('22.07 MAKERERE-BWAISE'!J51,'23.07 Makerere-Bwaise'!J51,'24.07 Makerere-Bwaise'!J51,'25.07 Makerere-Bwaise'!J51,'26.07 Makerere-Bwaise-24h'!J51,'27.07 Makerere-Bwaise-24h'!J51,'28.07 Makerere-Bwaise'!J51)</f>
        <v>3.5714285714285716</v>
      </c>
      <c r="K51" s="49">
        <f>AVERAGE('22.07 MAKERERE-BWAISE'!K51,'23.07 Makerere-Bwaise'!K51,'24.07 Makerere-Bwaise'!K51,'25.07 Makerere-Bwaise'!K51,'26.07 Makerere-Bwaise-24h'!K51,'27.07 Makerere-Bwaise-24h'!K51,'28.07 Makerere-Bwaise'!K51)</f>
        <v>0.8571428571428571</v>
      </c>
      <c r="L51" s="49">
        <f>AVERAGE('22.07 MAKERERE-BWAISE'!L51,'23.07 Makerere-Bwaise'!L51,'24.07 Makerere-Bwaise'!L51,'25.07 Makerere-Bwaise'!L51,'26.07 Makerere-Bwaise-24h'!L51,'27.07 Makerere-Bwaise-24h'!L51,'28.07 Makerere-Bwaise'!L51)</f>
        <v>0.2857142857142857</v>
      </c>
      <c r="M51" s="49">
        <f>AVERAGE('22.07 MAKERERE-BWAISE'!M51,'23.07 Makerere-Bwaise'!M51,'24.07 Makerere-Bwaise'!M51,'25.07 Makerere-Bwaise'!M51,'26.07 Makerere-Bwaise-24h'!M51,'27.07 Makerere-Bwaise-24h'!M51,'28.07 Makerere-Bwaise'!M51)</f>
        <v>127.57142857142857</v>
      </c>
      <c r="N51" s="49">
        <f>AVERAGE('22.07 MAKERERE-BWAISE'!N51,'23.07 Makerere-Bwaise'!N51,'24.07 Makerere-Bwaise'!N51,'25.07 Makerere-Bwaise'!N51,'26.07 Makerere-Bwaise-24h'!N51,'27.07 Makerere-Bwaise-24h'!N51,'28.07 Makerere-Bwaise'!N51)</f>
        <v>0.14285714285714285</v>
      </c>
      <c r="O51" s="15">
        <f t="shared" si="0"/>
        <v>116.57142857142858</v>
      </c>
      <c r="P51" s="15">
        <f t="shared" si="1"/>
        <v>244.14285714285714</v>
      </c>
      <c r="R51" s="8"/>
      <c r="T51"/>
    </row>
    <row r="52" spans="2:20" ht="23.1" customHeight="1" x14ac:dyDescent="0.25">
      <c r="B52" s="24" t="s">
        <v>79</v>
      </c>
      <c r="C52" s="49">
        <f>AVERAGE('22.07 MAKERERE-BWAISE'!C52,'23.07 Makerere-Bwaise'!C52,'24.07 Makerere-Bwaise'!C52,'25.07 Makerere-Bwaise'!C52,'26.07 Makerere-Bwaise-24h'!C52,'27.07 Makerere-Bwaise-24h'!C52,'28.07 Makerere-Bwaise'!C52)</f>
        <v>64.285714285714292</v>
      </c>
      <c r="D52" s="49">
        <f>AVERAGE('22.07 MAKERERE-BWAISE'!D52,'23.07 Makerere-Bwaise'!D52,'24.07 Makerere-Bwaise'!D52,'25.07 Makerere-Bwaise'!D52,'26.07 Makerere-Bwaise-24h'!D52,'27.07 Makerere-Bwaise-24h'!D52,'28.07 Makerere-Bwaise'!D52)</f>
        <v>17.857142857142858</v>
      </c>
      <c r="E52" s="49">
        <f>AVERAGE('22.07 MAKERERE-BWAISE'!E52,'23.07 Makerere-Bwaise'!E52,'24.07 Makerere-Bwaise'!E52,'25.07 Makerere-Bwaise'!E52,'26.07 Makerere-Bwaise-24h'!E52,'27.07 Makerere-Bwaise-24h'!E52,'28.07 Makerere-Bwaise'!E52)</f>
        <v>5.8571428571428568</v>
      </c>
      <c r="F52" s="49">
        <f>AVERAGE('22.07 MAKERERE-BWAISE'!F52,'23.07 Makerere-Bwaise'!F52,'24.07 Makerere-Bwaise'!F52,'25.07 Makerere-Bwaise'!F52,'26.07 Makerere-Bwaise-24h'!F52,'27.07 Makerere-Bwaise-24h'!F52,'28.07 Makerere-Bwaise'!F52)</f>
        <v>40.714285714285715</v>
      </c>
      <c r="G52" s="49">
        <f>AVERAGE('22.07 MAKERERE-BWAISE'!G52,'23.07 Makerere-Bwaise'!G52,'24.07 Makerere-Bwaise'!G52,'25.07 Makerere-Bwaise'!G52,'26.07 Makerere-Bwaise-24h'!G52,'27.07 Makerere-Bwaise-24h'!G52,'28.07 Makerere-Bwaise'!G52)</f>
        <v>0.8571428571428571</v>
      </c>
      <c r="H52" s="49">
        <f>AVERAGE('22.07 MAKERERE-BWAISE'!H52,'23.07 Makerere-Bwaise'!H52,'24.07 Makerere-Bwaise'!H52,'25.07 Makerere-Bwaise'!H52,'26.07 Makerere-Bwaise-24h'!H52,'27.07 Makerere-Bwaise-24h'!H52,'28.07 Makerere-Bwaise'!H52)</f>
        <v>0.14285714285714285</v>
      </c>
      <c r="I52" s="49">
        <f>AVERAGE('22.07 MAKERERE-BWAISE'!I52,'23.07 Makerere-Bwaise'!I52,'24.07 Makerere-Bwaise'!I52,'25.07 Makerere-Bwaise'!I52,'26.07 Makerere-Bwaise-24h'!I52,'27.07 Makerere-Bwaise-24h'!I52,'28.07 Makerere-Bwaise'!I52)</f>
        <v>4.2857142857142856</v>
      </c>
      <c r="J52" s="49">
        <f>AVERAGE('22.07 MAKERERE-BWAISE'!J52,'23.07 Makerere-Bwaise'!J52,'24.07 Makerere-Bwaise'!J52,'25.07 Makerere-Bwaise'!J52,'26.07 Makerere-Bwaise-24h'!J52,'27.07 Makerere-Bwaise-24h'!J52,'28.07 Makerere-Bwaise'!J52)</f>
        <v>2</v>
      </c>
      <c r="K52" s="49">
        <f>AVERAGE('22.07 MAKERERE-BWAISE'!K52,'23.07 Makerere-Bwaise'!K52,'24.07 Makerere-Bwaise'!K52,'25.07 Makerere-Bwaise'!K52,'26.07 Makerere-Bwaise-24h'!K52,'27.07 Makerere-Bwaise-24h'!K52,'28.07 Makerere-Bwaise'!K52)</f>
        <v>0.7142857142857143</v>
      </c>
      <c r="L52" s="49">
        <f>AVERAGE('22.07 MAKERERE-BWAISE'!L52,'23.07 Makerere-Bwaise'!L52,'24.07 Makerere-Bwaise'!L52,'25.07 Makerere-Bwaise'!L52,'26.07 Makerere-Bwaise-24h'!L52,'27.07 Makerere-Bwaise-24h'!L52,'28.07 Makerere-Bwaise'!L52)</f>
        <v>0.7142857142857143</v>
      </c>
      <c r="M52" s="49">
        <f>AVERAGE('22.07 MAKERERE-BWAISE'!M52,'23.07 Makerere-Bwaise'!M52,'24.07 Makerere-Bwaise'!M52,'25.07 Makerere-Bwaise'!M52,'26.07 Makerere-Bwaise-24h'!M52,'27.07 Makerere-Bwaise-24h'!M52,'28.07 Makerere-Bwaise'!M52)</f>
        <v>144.71428571428572</v>
      </c>
      <c r="N52" s="49">
        <f>AVERAGE('22.07 MAKERERE-BWAISE'!N52,'23.07 Makerere-Bwaise'!N52,'24.07 Makerere-Bwaise'!N52,'25.07 Makerere-Bwaise'!N52,'26.07 Makerere-Bwaise-24h'!N52,'27.07 Makerere-Bwaise-24h'!N52,'28.07 Makerere-Bwaise'!N52)</f>
        <v>0</v>
      </c>
      <c r="O52" s="15">
        <f t="shared" si="0"/>
        <v>137.42857142857144</v>
      </c>
      <c r="P52" s="15">
        <f t="shared" si="1"/>
        <v>282.14285714285717</v>
      </c>
      <c r="R52" s="8"/>
      <c r="T52"/>
    </row>
    <row r="53" spans="2:20" ht="23.1" customHeight="1" x14ac:dyDescent="0.25">
      <c r="B53" s="23" t="s">
        <v>80</v>
      </c>
      <c r="C53" s="49">
        <f>AVERAGE('22.07 MAKERERE-BWAISE'!C53,'23.07 Makerere-Bwaise'!C53,'24.07 Makerere-Bwaise'!C53,'25.07 Makerere-Bwaise'!C53,'26.07 Makerere-Bwaise-24h'!C53,'27.07 Makerere-Bwaise-24h'!C53,'28.07 Makerere-Bwaise'!C53)</f>
        <v>63.857142857142854</v>
      </c>
      <c r="D53" s="49">
        <f>AVERAGE('22.07 MAKERERE-BWAISE'!D53,'23.07 Makerere-Bwaise'!D53,'24.07 Makerere-Bwaise'!D53,'25.07 Makerere-Bwaise'!D53,'26.07 Makerere-Bwaise-24h'!D53,'27.07 Makerere-Bwaise-24h'!D53,'28.07 Makerere-Bwaise'!D53)</f>
        <v>13.714285714285714</v>
      </c>
      <c r="E53" s="49">
        <f>AVERAGE('22.07 MAKERERE-BWAISE'!E53,'23.07 Makerere-Bwaise'!E53,'24.07 Makerere-Bwaise'!E53,'25.07 Makerere-Bwaise'!E53,'26.07 Makerere-Bwaise-24h'!E53,'27.07 Makerere-Bwaise-24h'!E53,'28.07 Makerere-Bwaise'!E53)</f>
        <v>6</v>
      </c>
      <c r="F53" s="49">
        <f>AVERAGE('22.07 MAKERERE-BWAISE'!F53,'23.07 Makerere-Bwaise'!F53,'24.07 Makerere-Bwaise'!F53,'25.07 Makerere-Bwaise'!F53,'26.07 Makerere-Bwaise-24h'!F53,'27.07 Makerere-Bwaise-24h'!F53,'28.07 Makerere-Bwaise'!F53)</f>
        <v>46.285714285714285</v>
      </c>
      <c r="G53" s="49">
        <f>AVERAGE('22.07 MAKERERE-BWAISE'!G53,'23.07 Makerere-Bwaise'!G53,'24.07 Makerere-Bwaise'!G53,'25.07 Makerere-Bwaise'!G53,'26.07 Makerere-Bwaise-24h'!G53,'27.07 Makerere-Bwaise-24h'!G53,'28.07 Makerere-Bwaise'!G53)</f>
        <v>0.7142857142857143</v>
      </c>
      <c r="H53" s="49">
        <f>AVERAGE('22.07 MAKERERE-BWAISE'!H53,'23.07 Makerere-Bwaise'!H53,'24.07 Makerere-Bwaise'!H53,'25.07 Makerere-Bwaise'!H53,'26.07 Makerere-Bwaise-24h'!H53,'27.07 Makerere-Bwaise-24h'!H53,'28.07 Makerere-Bwaise'!H53)</f>
        <v>0.5714285714285714</v>
      </c>
      <c r="I53" s="49">
        <f>AVERAGE('22.07 MAKERERE-BWAISE'!I53,'23.07 Makerere-Bwaise'!I53,'24.07 Makerere-Bwaise'!I53,'25.07 Makerere-Bwaise'!I53,'26.07 Makerere-Bwaise-24h'!I53,'27.07 Makerere-Bwaise-24h'!I53,'28.07 Makerere-Bwaise'!I53)</f>
        <v>3</v>
      </c>
      <c r="J53" s="49">
        <f>AVERAGE('22.07 MAKERERE-BWAISE'!J53,'23.07 Makerere-Bwaise'!J53,'24.07 Makerere-Bwaise'!J53,'25.07 Makerere-Bwaise'!J53,'26.07 Makerere-Bwaise-24h'!J53,'27.07 Makerere-Bwaise-24h'!J53,'28.07 Makerere-Bwaise'!J53)</f>
        <v>2.7142857142857144</v>
      </c>
      <c r="K53" s="49">
        <f>AVERAGE('22.07 MAKERERE-BWAISE'!K53,'23.07 Makerere-Bwaise'!K53,'24.07 Makerere-Bwaise'!K53,'25.07 Makerere-Bwaise'!K53,'26.07 Makerere-Bwaise-24h'!K53,'27.07 Makerere-Bwaise-24h'!K53,'28.07 Makerere-Bwaise'!K53)</f>
        <v>1</v>
      </c>
      <c r="L53" s="49">
        <f>AVERAGE('22.07 MAKERERE-BWAISE'!L53,'23.07 Makerere-Bwaise'!L53,'24.07 Makerere-Bwaise'!L53,'25.07 Makerere-Bwaise'!L53,'26.07 Makerere-Bwaise-24h'!L53,'27.07 Makerere-Bwaise-24h'!L53,'28.07 Makerere-Bwaise'!L53)</f>
        <v>0.2857142857142857</v>
      </c>
      <c r="M53" s="49">
        <f>AVERAGE('22.07 MAKERERE-BWAISE'!M53,'23.07 Makerere-Bwaise'!M53,'24.07 Makerere-Bwaise'!M53,'25.07 Makerere-Bwaise'!M53,'26.07 Makerere-Bwaise-24h'!M53,'27.07 Makerere-Bwaise-24h'!M53,'28.07 Makerere-Bwaise'!M53)</f>
        <v>113.28571428571429</v>
      </c>
      <c r="N53" s="49">
        <f>AVERAGE('22.07 MAKERERE-BWAISE'!N53,'23.07 Makerere-Bwaise'!N53,'24.07 Makerere-Bwaise'!N53,'25.07 Makerere-Bwaise'!N53,'26.07 Makerere-Bwaise-24h'!N53,'27.07 Makerere-Bwaise-24h'!N53,'28.07 Makerere-Bwaise'!N53)</f>
        <v>0</v>
      </c>
      <c r="O53" s="15">
        <f t="shared" si="0"/>
        <v>138.14285714285717</v>
      </c>
      <c r="P53" s="15">
        <f t="shared" si="1"/>
        <v>251.42857142857144</v>
      </c>
      <c r="R53" s="8"/>
      <c r="T53"/>
    </row>
    <row r="54" spans="2:20" ht="23.1" customHeight="1" x14ac:dyDescent="0.25">
      <c r="B54" s="23" t="s">
        <v>81</v>
      </c>
      <c r="C54" s="49">
        <f>AVERAGE('22.07 MAKERERE-BWAISE'!C54,'23.07 Makerere-Bwaise'!C54,'24.07 Makerere-Bwaise'!C54,'25.07 Makerere-Bwaise'!C54,'26.07 Makerere-Bwaise-24h'!C54,'27.07 Makerere-Bwaise-24h'!C54,'28.07 Makerere-Bwaise'!C54)</f>
        <v>61.285714285714285</v>
      </c>
      <c r="D54" s="49">
        <f>AVERAGE('22.07 MAKERERE-BWAISE'!D54,'23.07 Makerere-Bwaise'!D54,'24.07 Makerere-Bwaise'!D54,'25.07 Makerere-Bwaise'!D54,'26.07 Makerere-Bwaise-24h'!D54,'27.07 Makerere-Bwaise-24h'!D54,'28.07 Makerere-Bwaise'!D54)</f>
        <v>18.142857142857142</v>
      </c>
      <c r="E54" s="49">
        <f>AVERAGE('22.07 MAKERERE-BWAISE'!E54,'23.07 Makerere-Bwaise'!E54,'24.07 Makerere-Bwaise'!E54,'25.07 Makerere-Bwaise'!E54,'26.07 Makerere-Bwaise-24h'!E54,'27.07 Makerere-Bwaise-24h'!E54,'28.07 Makerere-Bwaise'!E54)</f>
        <v>11</v>
      </c>
      <c r="F54" s="49">
        <f>AVERAGE('22.07 MAKERERE-BWAISE'!F54,'23.07 Makerere-Bwaise'!F54,'24.07 Makerere-Bwaise'!F54,'25.07 Makerere-Bwaise'!F54,'26.07 Makerere-Bwaise-24h'!F54,'27.07 Makerere-Bwaise-24h'!F54,'28.07 Makerere-Bwaise'!F54)</f>
        <v>48.857142857142854</v>
      </c>
      <c r="G54" s="49">
        <f>AVERAGE('22.07 MAKERERE-BWAISE'!G54,'23.07 Makerere-Bwaise'!G54,'24.07 Makerere-Bwaise'!G54,'25.07 Makerere-Bwaise'!G54,'26.07 Makerere-Bwaise-24h'!G54,'27.07 Makerere-Bwaise-24h'!G54,'28.07 Makerere-Bwaise'!G54)</f>
        <v>1.1428571428571428</v>
      </c>
      <c r="H54" s="49">
        <f>AVERAGE('22.07 MAKERERE-BWAISE'!H54,'23.07 Makerere-Bwaise'!H54,'24.07 Makerere-Bwaise'!H54,'25.07 Makerere-Bwaise'!H54,'26.07 Makerere-Bwaise-24h'!H54,'27.07 Makerere-Bwaise-24h'!H54,'28.07 Makerere-Bwaise'!H54)</f>
        <v>0.2857142857142857</v>
      </c>
      <c r="I54" s="49">
        <f>AVERAGE('22.07 MAKERERE-BWAISE'!I54,'23.07 Makerere-Bwaise'!I54,'24.07 Makerere-Bwaise'!I54,'25.07 Makerere-Bwaise'!I54,'26.07 Makerere-Bwaise-24h'!I54,'27.07 Makerere-Bwaise-24h'!I54,'28.07 Makerere-Bwaise'!I54)</f>
        <v>4</v>
      </c>
      <c r="J54" s="49">
        <f>AVERAGE('22.07 MAKERERE-BWAISE'!J54,'23.07 Makerere-Bwaise'!J54,'24.07 Makerere-Bwaise'!J54,'25.07 Makerere-Bwaise'!J54,'26.07 Makerere-Bwaise-24h'!J54,'27.07 Makerere-Bwaise-24h'!J54,'28.07 Makerere-Bwaise'!J54)</f>
        <v>2.7142857142857144</v>
      </c>
      <c r="K54" s="49">
        <f>AVERAGE('22.07 MAKERERE-BWAISE'!K54,'23.07 Makerere-Bwaise'!K54,'24.07 Makerere-Bwaise'!K54,'25.07 Makerere-Bwaise'!K54,'26.07 Makerere-Bwaise-24h'!K54,'27.07 Makerere-Bwaise-24h'!K54,'28.07 Makerere-Bwaise'!K54)</f>
        <v>0.42857142857142855</v>
      </c>
      <c r="L54" s="49">
        <f>AVERAGE('22.07 MAKERERE-BWAISE'!L54,'23.07 Makerere-Bwaise'!L54,'24.07 Makerere-Bwaise'!L54,'25.07 Makerere-Bwaise'!L54,'26.07 Makerere-Bwaise-24h'!L54,'27.07 Makerere-Bwaise-24h'!L54,'28.07 Makerere-Bwaise'!L54)</f>
        <v>0.5714285714285714</v>
      </c>
      <c r="M54" s="49">
        <f>AVERAGE('22.07 MAKERERE-BWAISE'!M54,'23.07 Makerere-Bwaise'!M54,'24.07 Makerere-Bwaise'!M54,'25.07 Makerere-Bwaise'!M54,'26.07 Makerere-Bwaise-24h'!M54,'27.07 Makerere-Bwaise-24h'!M54,'28.07 Makerere-Bwaise'!M54)</f>
        <v>153</v>
      </c>
      <c r="N54" s="49">
        <f>AVERAGE('22.07 MAKERERE-BWAISE'!N54,'23.07 Makerere-Bwaise'!N54,'24.07 Makerere-Bwaise'!N54,'25.07 Makerere-Bwaise'!N54,'26.07 Makerere-Bwaise-24h'!N54,'27.07 Makerere-Bwaise-24h'!N54,'28.07 Makerere-Bwaise'!N54)</f>
        <v>0</v>
      </c>
      <c r="O54" s="15">
        <f t="shared" si="0"/>
        <v>148.42857142857142</v>
      </c>
      <c r="P54" s="15">
        <f t="shared" si="1"/>
        <v>301.42857142857144</v>
      </c>
      <c r="R54" s="8"/>
      <c r="T54"/>
    </row>
    <row r="55" spans="2:20" ht="23.1" customHeight="1" x14ac:dyDescent="0.25">
      <c r="B55" s="23" t="s">
        <v>82</v>
      </c>
      <c r="C55" s="49">
        <f>AVERAGE('22.07 MAKERERE-BWAISE'!C55,'23.07 Makerere-Bwaise'!C55,'24.07 Makerere-Bwaise'!C55,'25.07 Makerere-Bwaise'!C55,'26.07 Makerere-Bwaise-24h'!C55,'27.07 Makerere-Bwaise-24h'!C55,'28.07 Makerere-Bwaise'!C55)</f>
        <v>52</v>
      </c>
      <c r="D55" s="49">
        <f>AVERAGE('22.07 MAKERERE-BWAISE'!D55,'23.07 Makerere-Bwaise'!D55,'24.07 Makerere-Bwaise'!D55,'25.07 Makerere-Bwaise'!D55,'26.07 Makerere-Bwaise-24h'!D55,'27.07 Makerere-Bwaise-24h'!D55,'28.07 Makerere-Bwaise'!D55)</f>
        <v>11.857142857142858</v>
      </c>
      <c r="E55" s="49">
        <f>AVERAGE('22.07 MAKERERE-BWAISE'!E55,'23.07 Makerere-Bwaise'!E55,'24.07 Makerere-Bwaise'!E55,'25.07 Makerere-Bwaise'!E55,'26.07 Makerere-Bwaise-24h'!E55,'27.07 Makerere-Bwaise-24h'!E55,'28.07 Makerere-Bwaise'!E55)</f>
        <v>5.4285714285714288</v>
      </c>
      <c r="F55" s="49">
        <f>AVERAGE('22.07 MAKERERE-BWAISE'!F55,'23.07 Makerere-Bwaise'!F55,'24.07 Makerere-Bwaise'!F55,'25.07 Makerere-Bwaise'!F55,'26.07 Makerere-Bwaise-24h'!F55,'27.07 Makerere-Bwaise-24h'!F55,'28.07 Makerere-Bwaise'!F55)</f>
        <v>43.428571428571431</v>
      </c>
      <c r="G55" s="49">
        <f>AVERAGE('22.07 MAKERERE-BWAISE'!G55,'23.07 Makerere-Bwaise'!G55,'24.07 Makerere-Bwaise'!G55,'25.07 Makerere-Bwaise'!G55,'26.07 Makerere-Bwaise-24h'!G55,'27.07 Makerere-Bwaise-24h'!G55,'28.07 Makerere-Bwaise'!G55)</f>
        <v>1</v>
      </c>
      <c r="H55" s="49">
        <f>AVERAGE('22.07 MAKERERE-BWAISE'!H55,'23.07 Makerere-Bwaise'!H55,'24.07 Makerere-Bwaise'!H55,'25.07 Makerere-Bwaise'!H55,'26.07 Makerere-Bwaise-24h'!H55,'27.07 Makerere-Bwaise-24h'!H55,'28.07 Makerere-Bwaise'!H55)</f>
        <v>1.2857142857142858</v>
      </c>
      <c r="I55" s="49">
        <f>AVERAGE('22.07 MAKERERE-BWAISE'!I55,'23.07 Makerere-Bwaise'!I55,'24.07 Makerere-Bwaise'!I55,'25.07 Makerere-Bwaise'!I55,'26.07 Makerere-Bwaise-24h'!I55,'27.07 Makerere-Bwaise-24h'!I55,'28.07 Makerere-Bwaise'!I55)</f>
        <v>2.4285714285714284</v>
      </c>
      <c r="J55" s="49">
        <f>AVERAGE('22.07 MAKERERE-BWAISE'!J55,'23.07 Makerere-Bwaise'!J55,'24.07 Makerere-Bwaise'!J55,'25.07 Makerere-Bwaise'!J55,'26.07 Makerere-Bwaise-24h'!J55,'27.07 Makerere-Bwaise-24h'!J55,'28.07 Makerere-Bwaise'!J55)</f>
        <v>1.5714285714285714</v>
      </c>
      <c r="K55" s="49">
        <f>AVERAGE('22.07 MAKERERE-BWAISE'!K55,'23.07 Makerere-Bwaise'!K55,'24.07 Makerere-Bwaise'!K55,'25.07 Makerere-Bwaise'!K55,'26.07 Makerere-Bwaise-24h'!K55,'27.07 Makerere-Bwaise-24h'!K55,'28.07 Makerere-Bwaise'!K55)</f>
        <v>0.2857142857142857</v>
      </c>
      <c r="L55" s="49">
        <f>AVERAGE('22.07 MAKERERE-BWAISE'!L55,'23.07 Makerere-Bwaise'!L55,'24.07 Makerere-Bwaise'!L55,'25.07 Makerere-Bwaise'!L55,'26.07 Makerere-Bwaise-24h'!L55,'27.07 Makerere-Bwaise-24h'!L55,'28.07 Makerere-Bwaise'!L55)</f>
        <v>0</v>
      </c>
      <c r="M55" s="49">
        <f>AVERAGE('22.07 MAKERERE-BWAISE'!M55,'23.07 Makerere-Bwaise'!M55,'24.07 Makerere-Bwaise'!M55,'25.07 Makerere-Bwaise'!M55,'26.07 Makerere-Bwaise-24h'!M55,'27.07 Makerere-Bwaise-24h'!M55,'28.07 Makerere-Bwaise'!M55)</f>
        <v>139.57142857142858</v>
      </c>
      <c r="N55" s="49">
        <f>AVERAGE('22.07 MAKERERE-BWAISE'!N55,'23.07 Makerere-Bwaise'!N55,'24.07 Makerere-Bwaise'!N55,'25.07 Makerere-Bwaise'!N55,'26.07 Makerere-Bwaise-24h'!N55,'27.07 Makerere-Bwaise-24h'!N55,'28.07 Makerere-Bwaise'!N55)</f>
        <v>0</v>
      </c>
      <c r="O55" s="15">
        <f t="shared" si="0"/>
        <v>119.28571428571431</v>
      </c>
      <c r="P55" s="15">
        <f t="shared" si="1"/>
        <v>258.85714285714289</v>
      </c>
      <c r="R55" s="8"/>
      <c r="T55"/>
    </row>
    <row r="56" spans="2:20" ht="23.1" customHeight="1" x14ac:dyDescent="0.25">
      <c r="B56" s="23" t="s">
        <v>83</v>
      </c>
      <c r="C56" s="49">
        <f>AVERAGE('22.07 MAKERERE-BWAISE'!C56,'23.07 Makerere-Bwaise'!C56,'24.07 Makerere-Bwaise'!C56,'25.07 Makerere-Bwaise'!C56,'26.07 Makerere-Bwaise-24h'!C56,'27.07 Makerere-Bwaise-24h'!C56,'28.07 Makerere-Bwaise'!C56)</f>
        <v>51.571428571428569</v>
      </c>
      <c r="D56" s="49">
        <f>AVERAGE('22.07 MAKERERE-BWAISE'!D56,'23.07 Makerere-Bwaise'!D56,'24.07 Makerere-Bwaise'!D56,'25.07 Makerere-Bwaise'!D56,'26.07 Makerere-Bwaise-24h'!D56,'27.07 Makerere-Bwaise-24h'!D56,'28.07 Makerere-Bwaise'!D56)</f>
        <v>10</v>
      </c>
      <c r="E56" s="49">
        <f>AVERAGE('22.07 MAKERERE-BWAISE'!E56,'23.07 Makerere-Bwaise'!E56,'24.07 Makerere-Bwaise'!E56,'25.07 Makerere-Bwaise'!E56,'26.07 Makerere-Bwaise-24h'!E56,'27.07 Makerere-Bwaise-24h'!E56,'28.07 Makerere-Bwaise'!E56)</f>
        <v>3.4285714285714284</v>
      </c>
      <c r="F56" s="49">
        <f>AVERAGE('22.07 MAKERERE-BWAISE'!F56,'23.07 Makerere-Bwaise'!F56,'24.07 Makerere-Bwaise'!F56,'25.07 Makerere-Bwaise'!F56,'26.07 Makerere-Bwaise-24h'!F56,'27.07 Makerere-Bwaise-24h'!F56,'28.07 Makerere-Bwaise'!F56)</f>
        <v>46.571428571428569</v>
      </c>
      <c r="G56" s="49">
        <f>AVERAGE('22.07 MAKERERE-BWAISE'!G56,'23.07 Makerere-Bwaise'!G56,'24.07 Makerere-Bwaise'!G56,'25.07 Makerere-Bwaise'!G56,'26.07 Makerere-Bwaise-24h'!G56,'27.07 Makerere-Bwaise-24h'!G56,'28.07 Makerere-Bwaise'!G56)</f>
        <v>1.1428571428571428</v>
      </c>
      <c r="H56" s="49">
        <f>AVERAGE('22.07 MAKERERE-BWAISE'!H56,'23.07 Makerere-Bwaise'!H56,'24.07 Makerere-Bwaise'!H56,'25.07 Makerere-Bwaise'!H56,'26.07 Makerere-Bwaise-24h'!H56,'27.07 Makerere-Bwaise-24h'!H56,'28.07 Makerere-Bwaise'!H56)</f>
        <v>1</v>
      </c>
      <c r="I56" s="49">
        <f>AVERAGE('22.07 MAKERERE-BWAISE'!I56,'23.07 Makerere-Bwaise'!I56,'24.07 Makerere-Bwaise'!I56,'25.07 Makerere-Bwaise'!I56,'26.07 Makerere-Bwaise-24h'!I56,'27.07 Makerere-Bwaise-24h'!I56,'28.07 Makerere-Bwaise'!I56)</f>
        <v>2.2857142857142856</v>
      </c>
      <c r="J56" s="49">
        <f>AVERAGE('22.07 MAKERERE-BWAISE'!J56,'23.07 Makerere-Bwaise'!J56,'24.07 Makerere-Bwaise'!J56,'25.07 Makerere-Bwaise'!J56,'26.07 Makerere-Bwaise-24h'!J56,'27.07 Makerere-Bwaise-24h'!J56,'28.07 Makerere-Bwaise'!J56)</f>
        <v>1.4285714285714286</v>
      </c>
      <c r="K56" s="49">
        <f>AVERAGE('22.07 MAKERERE-BWAISE'!K56,'23.07 Makerere-Bwaise'!K56,'24.07 Makerere-Bwaise'!K56,'25.07 Makerere-Bwaise'!K56,'26.07 Makerere-Bwaise-24h'!K56,'27.07 Makerere-Bwaise-24h'!K56,'28.07 Makerere-Bwaise'!K56)</f>
        <v>0.5714285714285714</v>
      </c>
      <c r="L56" s="49">
        <f>AVERAGE('22.07 MAKERERE-BWAISE'!L56,'23.07 Makerere-Bwaise'!L56,'24.07 Makerere-Bwaise'!L56,'25.07 Makerere-Bwaise'!L56,'26.07 Makerere-Bwaise-24h'!L56,'27.07 Makerere-Bwaise-24h'!L56,'28.07 Makerere-Bwaise'!L56)</f>
        <v>0.42857142857142855</v>
      </c>
      <c r="M56" s="49">
        <f>AVERAGE('22.07 MAKERERE-BWAISE'!M56,'23.07 Makerere-Bwaise'!M56,'24.07 Makerere-Bwaise'!M56,'25.07 Makerere-Bwaise'!M56,'26.07 Makerere-Bwaise-24h'!M56,'27.07 Makerere-Bwaise-24h'!M56,'28.07 Makerere-Bwaise'!M56)</f>
        <v>131.57142857142858</v>
      </c>
      <c r="N56" s="49">
        <f>AVERAGE('22.07 MAKERERE-BWAISE'!N56,'23.07 Makerere-Bwaise'!N56,'24.07 Makerere-Bwaise'!N56,'25.07 Makerere-Bwaise'!N56,'26.07 Makerere-Bwaise-24h'!N56,'27.07 Makerere-Bwaise-24h'!N56,'28.07 Makerere-Bwaise'!N56)</f>
        <v>0</v>
      </c>
      <c r="O56" s="15">
        <f t="shared" si="0"/>
        <v>118.42857142857143</v>
      </c>
      <c r="P56" s="15">
        <f t="shared" si="1"/>
        <v>250</v>
      </c>
      <c r="R56" s="8"/>
      <c r="T56"/>
    </row>
    <row r="57" spans="2:20" ht="23.1" customHeight="1" x14ac:dyDescent="0.25">
      <c r="B57" s="23" t="s">
        <v>84</v>
      </c>
      <c r="C57" s="49">
        <f>AVERAGE('22.07 MAKERERE-BWAISE'!C57,'23.07 Makerere-Bwaise'!C57,'24.07 Makerere-Bwaise'!C57,'25.07 Makerere-Bwaise'!C57,'26.07 Makerere-Bwaise-24h'!C57,'27.07 Makerere-Bwaise-24h'!C57,'28.07 Makerere-Bwaise'!C57)</f>
        <v>51.857142857142854</v>
      </c>
      <c r="D57" s="49">
        <f>AVERAGE('22.07 MAKERERE-BWAISE'!D57,'23.07 Makerere-Bwaise'!D57,'24.07 Makerere-Bwaise'!D57,'25.07 Makerere-Bwaise'!D57,'26.07 Makerere-Bwaise-24h'!D57,'27.07 Makerere-Bwaise-24h'!D57,'28.07 Makerere-Bwaise'!D57)</f>
        <v>12.285714285714286</v>
      </c>
      <c r="E57" s="49">
        <f>AVERAGE('22.07 MAKERERE-BWAISE'!E57,'23.07 Makerere-Bwaise'!E57,'24.07 Makerere-Bwaise'!E57,'25.07 Makerere-Bwaise'!E57,'26.07 Makerere-Bwaise-24h'!E57,'27.07 Makerere-Bwaise-24h'!E57,'28.07 Makerere-Bwaise'!E57)</f>
        <v>12.285714285714286</v>
      </c>
      <c r="F57" s="49">
        <f>AVERAGE('22.07 MAKERERE-BWAISE'!F57,'23.07 Makerere-Bwaise'!F57,'24.07 Makerere-Bwaise'!F57,'25.07 Makerere-Bwaise'!F57,'26.07 Makerere-Bwaise-24h'!F57,'27.07 Makerere-Bwaise-24h'!F57,'28.07 Makerere-Bwaise'!F57)</f>
        <v>37.714285714285715</v>
      </c>
      <c r="G57" s="49">
        <f>AVERAGE('22.07 MAKERERE-BWAISE'!G57,'23.07 Makerere-Bwaise'!G57,'24.07 Makerere-Bwaise'!G57,'25.07 Makerere-Bwaise'!G57,'26.07 Makerere-Bwaise-24h'!G57,'27.07 Makerere-Bwaise-24h'!G57,'28.07 Makerere-Bwaise'!G57)</f>
        <v>4.4285714285714288</v>
      </c>
      <c r="H57" s="49">
        <f>AVERAGE('22.07 MAKERERE-BWAISE'!H57,'23.07 Makerere-Bwaise'!H57,'24.07 Makerere-Bwaise'!H57,'25.07 Makerere-Bwaise'!H57,'26.07 Makerere-Bwaise-24h'!H57,'27.07 Makerere-Bwaise-24h'!H57,'28.07 Makerere-Bwaise'!H57)</f>
        <v>1</v>
      </c>
      <c r="I57" s="49">
        <f>AVERAGE('22.07 MAKERERE-BWAISE'!I57,'23.07 Makerere-Bwaise'!I57,'24.07 Makerere-Bwaise'!I57,'25.07 Makerere-Bwaise'!I57,'26.07 Makerere-Bwaise-24h'!I57,'27.07 Makerere-Bwaise-24h'!I57,'28.07 Makerere-Bwaise'!I57)</f>
        <v>2.5714285714285716</v>
      </c>
      <c r="J57" s="49">
        <f>AVERAGE('22.07 MAKERERE-BWAISE'!J57,'23.07 Makerere-Bwaise'!J57,'24.07 Makerere-Bwaise'!J57,'25.07 Makerere-Bwaise'!J57,'26.07 Makerere-Bwaise-24h'!J57,'27.07 Makerere-Bwaise-24h'!J57,'28.07 Makerere-Bwaise'!J57)</f>
        <v>0.8571428571428571</v>
      </c>
      <c r="K57" s="49">
        <f>AVERAGE('22.07 MAKERERE-BWAISE'!K57,'23.07 Makerere-Bwaise'!K57,'24.07 Makerere-Bwaise'!K57,'25.07 Makerere-Bwaise'!K57,'26.07 Makerere-Bwaise-24h'!K57,'27.07 Makerere-Bwaise-24h'!K57,'28.07 Makerere-Bwaise'!K57)</f>
        <v>0.5714285714285714</v>
      </c>
      <c r="L57" s="49">
        <f>AVERAGE('22.07 MAKERERE-BWAISE'!L57,'23.07 Makerere-Bwaise'!L57,'24.07 Makerere-Bwaise'!L57,'25.07 Makerere-Bwaise'!L57,'26.07 Makerere-Bwaise-24h'!L57,'27.07 Makerere-Bwaise-24h'!L57,'28.07 Makerere-Bwaise'!L57)</f>
        <v>0.42857142857142855</v>
      </c>
      <c r="M57" s="49">
        <f>AVERAGE('22.07 MAKERERE-BWAISE'!M57,'23.07 Makerere-Bwaise'!M57,'24.07 Makerere-Bwaise'!M57,'25.07 Makerere-Bwaise'!M57,'26.07 Makerere-Bwaise-24h'!M57,'27.07 Makerere-Bwaise-24h'!M57,'28.07 Makerere-Bwaise'!M57)</f>
        <v>121.42857142857143</v>
      </c>
      <c r="N57" s="49">
        <f>AVERAGE('22.07 MAKERERE-BWAISE'!N57,'23.07 Makerere-Bwaise'!N57,'24.07 Makerere-Bwaise'!N57,'25.07 Makerere-Bwaise'!N57,'26.07 Makerere-Bwaise-24h'!N57,'27.07 Makerere-Bwaise-24h'!N57,'28.07 Makerere-Bwaise'!N57)</f>
        <v>0</v>
      </c>
      <c r="O57" s="15">
        <f t="shared" si="0"/>
        <v>124</v>
      </c>
      <c r="P57" s="15">
        <f t="shared" si="1"/>
        <v>245.42857142857144</v>
      </c>
      <c r="R57" s="8"/>
      <c r="T57"/>
    </row>
    <row r="58" spans="2:20" ht="23.1" customHeight="1" x14ac:dyDescent="0.25">
      <c r="B58" s="23" t="s">
        <v>99</v>
      </c>
      <c r="C58" s="49">
        <f>AVERAGE('26.07 Makerere-Bwaise-24h'!C58,'27.07 Makerere-Bwaise-24h'!C58)</f>
        <v>41</v>
      </c>
      <c r="D58" s="49">
        <f>AVERAGE('26.07 Makerere-Bwaise-24h'!D58,'27.07 Makerere-Bwaise-24h'!D58)</f>
        <v>8</v>
      </c>
      <c r="E58" s="49">
        <f>AVERAGE('26.07 Makerere-Bwaise-24h'!E58,'27.07 Makerere-Bwaise-24h'!E58)</f>
        <v>8.5</v>
      </c>
      <c r="F58" s="49">
        <f>AVERAGE('26.07 Makerere-Bwaise-24h'!F58,'27.07 Makerere-Bwaise-24h'!F58)</f>
        <v>24</v>
      </c>
      <c r="G58" s="49">
        <f>AVERAGE('26.07 Makerere-Bwaise-24h'!G58,'27.07 Makerere-Bwaise-24h'!G58)</f>
        <v>1</v>
      </c>
      <c r="H58" s="49">
        <f>AVERAGE('26.07 Makerere-Bwaise-24h'!H58,'27.07 Makerere-Bwaise-24h'!H58)</f>
        <v>4</v>
      </c>
      <c r="I58" s="49">
        <f>AVERAGE('26.07 Makerere-Bwaise-24h'!I58,'27.07 Makerere-Bwaise-24h'!I58)</f>
        <v>6</v>
      </c>
      <c r="J58" s="49">
        <f>AVERAGE('26.07 Makerere-Bwaise-24h'!J58,'27.07 Makerere-Bwaise-24h'!J58)</f>
        <v>2.5</v>
      </c>
      <c r="K58" s="49">
        <f>AVERAGE('26.07 Makerere-Bwaise-24h'!K58,'27.07 Makerere-Bwaise-24h'!K58)</f>
        <v>0</v>
      </c>
      <c r="L58" s="49">
        <f>AVERAGE('26.07 Makerere-Bwaise-24h'!L58,'27.07 Makerere-Bwaise-24h'!L58)</f>
        <v>0.5</v>
      </c>
      <c r="M58" s="49">
        <f>AVERAGE('26.07 Makerere-Bwaise-24h'!M58,'27.07 Makerere-Bwaise-24h'!M58)</f>
        <v>103</v>
      </c>
      <c r="N58" s="49">
        <f>AVERAGE('26.07 Makerere-Bwaise-24h'!N58,'27.07 Makerere-Bwaise-24h'!N58)</f>
        <v>0</v>
      </c>
      <c r="O58" s="15">
        <f t="shared" si="0"/>
        <v>95.5</v>
      </c>
      <c r="P58" s="15">
        <f t="shared" si="1"/>
        <v>198.5</v>
      </c>
      <c r="R58" s="8"/>
      <c r="T58"/>
    </row>
    <row r="59" spans="2:20" ht="23.1" customHeight="1" x14ac:dyDescent="0.25">
      <c r="B59" s="23" t="s">
        <v>100</v>
      </c>
      <c r="C59" s="49">
        <f>AVERAGE('26.07 Makerere-Bwaise-24h'!C59,'27.07 Makerere-Bwaise-24h'!C59)</f>
        <v>52</v>
      </c>
      <c r="D59" s="49">
        <f>AVERAGE('26.07 Makerere-Bwaise-24h'!D59,'27.07 Makerere-Bwaise-24h'!D59)</f>
        <v>11</v>
      </c>
      <c r="E59" s="49">
        <f>AVERAGE('26.07 Makerere-Bwaise-24h'!E59,'27.07 Makerere-Bwaise-24h'!E59)</f>
        <v>4</v>
      </c>
      <c r="F59" s="49">
        <f>AVERAGE('26.07 Makerere-Bwaise-24h'!F59,'27.07 Makerere-Bwaise-24h'!F59)</f>
        <v>50</v>
      </c>
      <c r="G59" s="49">
        <f>AVERAGE('26.07 Makerere-Bwaise-24h'!G59,'27.07 Makerere-Bwaise-24h'!G59)</f>
        <v>1</v>
      </c>
      <c r="H59" s="49">
        <f>AVERAGE('26.07 Makerere-Bwaise-24h'!H59,'27.07 Makerere-Bwaise-24h'!H59)</f>
        <v>1.5</v>
      </c>
      <c r="I59" s="49">
        <f>AVERAGE('26.07 Makerere-Bwaise-24h'!I59,'27.07 Makerere-Bwaise-24h'!I59)</f>
        <v>6</v>
      </c>
      <c r="J59" s="49">
        <f>AVERAGE('26.07 Makerere-Bwaise-24h'!J59,'27.07 Makerere-Bwaise-24h'!J59)</f>
        <v>0.5</v>
      </c>
      <c r="K59" s="49">
        <f>AVERAGE('26.07 Makerere-Bwaise-24h'!K59,'27.07 Makerere-Bwaise-24h'!K59)</f>
        <v>1</v>
      </c>
      <c r="L59" s="49">
        <f>AVERAGE('26.07 Makerere-Bwaise-24h'!L59,'27.07 Makerere-Bwaise-24h'!L59)</f>
        <v>0</v>
      </c>
      <c r="M59" s="49">
        <f>AVERAGE('26.07 Makerere-Bwaise-24h'!M59,'27.07 Makerere-Bwaise-24h'!M59)</f>
        <v>98.5</v>
      </c>
      <c r="N59" s="49">
        <f>AVERAGE('26.07 Makerere-Bwaise-24h'!N59,'27.07 Makerere-Bwaise-24h'!N59)</f>
        <v>0</v>
      </c>
      <c r="O59" s="15">
        <f t="shared" si="0"/>
        <v>127</v>
      </c>
      <c r="P59" s="15">
        <f t="shared" si="1"/>
        <v>225.5</v>
      </c>
      <c r="R59" s="8"/>
      <c r="T59"/>
    </row>
    <row r="60" spans="2:20" ht="23.1" customHeight="1" x14ac:dyDescent="0.25">
      <c r="B60" s="23" t="s">
        <v>101</v>
      </c>
      <c r="C60" s="49">
        <f>AVERAGE('26.07 Makerere-Bwaise-24h'!C60,'27.07 Makerere-Bwaise-24h'!C60)</f>
        <v>50</v>
      </c>
      <c r="D60" s="49">
        <f>AVERAGE('26.07 Makerere-Bwaise-24h'!D60,'27.07 Makerere-Bwaise-24h'!D60)</f>
        <v>16</v>
      </c>
      <c r="E60" s="49">
        <f>AVERAGE('26.07 Makerere-Bwaise-24h'!E60,'27.07 Makerere-Bwaise-24h'!E60)</f>
        <v>26.5</v>
      </c>
      <c r="F60" s="49">
        <f>AVERAGE('26.07 Makerere-Bwaise-24h'!F60,'27.07 Makerere-Bwaise-24h'!F60)</f>
        <v>51</v>
      </c>
      <c r="G60" s="49">
        <f>AVERAGE('26.07 Makerere-Bwaise-24h'!G60,'27.07 Makerere-Bwaise-24h'!G60)</f>
        <v>0</v>
      </c>
      <c r="H60" s="49">
        <f>AVERAGE('26.07 Makerere-Bwaise-24h'!H60,'27.07 Makerere-Bwaise-24h'!H60)</f>
        <v>1.5</v>
      </c>
      <c r="I60" s="49">
        <f>AVERAGE('26.07 Makerere-Bwaise-24h'!I60,'27.07 Makerere-Bwaise-24h'!I60)</f>
        <v>1.5</v>
      </c>
      <c r="J60" s="49">
        <f>AVERAGE('26.07 Makerere-Bwaise-24h'!J60,'27.07 Makerere-Bwaise-24h'!J60)</f>
        <v>0.5</v>
      </c>
      <c r="K60" s="49">
        <f>AVERAGE('26.07 Makerere-Bwaise-24h'!K60,'27.07 Makerere-Bwaise-24h'!K60)</f>
        <v>0.5</v>
      </c>
      <c r="L60" s="49">
        <f>AVERAGE('26.07 Makerere-Bwaise-24h'!L60,'27.07 Makerere-Bwaise-24h'!L60)</f>
        <v>0</v>
      </c>
      <c r="M60" s="49">
        <f>AVERAGE('26.07 Makerere-Bwaise-24h'!M60,'27.07 Makerere-Bwaise-24h'!M60)</f>
        <v>70</v>
      </c>
      <c r="N60" s="49">
        <f>AVERAGE('26.07 Makerere-Bwaise-24h'!N60,'27.07 Makerere-Bwaise-24h'!N60)</f>
        <v>0</v>
      </c>
      <c r="O60" s="15">
        <f t="shared" si="0"/>
        <v>147.5</v>
      </c>
      <c r="P60" s="15">
        <f t="shared" si="1"/>
        <v>217.5</v>
      </c>
      <c r="R60" s="8"/>
      <c r="T60"/>
    </row>
    <row r="61" spans="2:20" ht="23.1" customHeight="1" x14ac:dyDescent="0.25">
      <c r="B61" s="23" t="s">
        <v>102</v>
      </c>
      <c r="C61" s="49">
        <f>AVERAGE('26.07 Makerere-Bwaise-24h'!C61,'27.07 Makerere-Bwaise-24h'!C61)</f>
        <v>49.5</v>
      </c>
      <c r="D61" s="49">
        <f>AVERAGE('26.07 Makerere-Bwaise-24h'!D61,'27.07 Makerere-Bwaise-24h'!D61)</f>
        <v>8.5</v>
      </c>
      <c r="E61" s="49">
        <f>AVERAGE('26.07 Makerere-Bwaise-24h'!E61,'27.07 Makerere-Bwaise-24h'!E61)</f>
        <v>29</v>
      </c>
      <c r="F61" s="49">
        <f>AVERAGE('26.07 Makerere-Bwaise-24h'!F61,'27.07 Makerere-Bwaise-24h'!F61)</f>
        <v>25.5</v>
      </c>
      <c r="G61" s="49">
        <f>AVERAGE('26.07 Makerere-Bwaise-24h'!G61,'27.07 Makerere-Bwaise-24h'!G61)</f>
        <v>0.5</v>
      </c>
      <c r="H61" s="49">
        <f>AVERAGE('26.07 Makerere-Bwaise-24h'!H61,'27.07 Makerere-Bwaise-24h'!H61)</f>
        <v>3.5</v>
      </c>
      <c r="I61" s="49">
        <f>AVERAGE('26.07 Makerere-Bwaise-24h'!I61,'27.07 Makerere-Bwaise-24h'!I61)</f>
        <v>2</v>
      </c>
      <c r="J61" s="49">
        <f>AVERAGE('26.07 Makerere-Bwaise-24h'!J61,'27.07 Makerere-Bwaise-24h'!J61)</f>
        <v>0.5</v>
      </c>
      <c r="K61" s="49">
        <f>AVERAGE('26.07 Makerere-Bwaise-24h'!K61,'27.07 Makerere-Bwaise-24h'!K61)</f>
        <v>0</v>
      </c>
      <c r="L61" s="49">
        <f>AVERAGE('26.07 Makerere-Bwaise-24h'!L61,'27.07 Makerere-Bwaise-24h'!L61)</f>
        <v>0.5</v>
      </c>
      <c r="M61" s="49">
        <f>AVERAGE('26.07 Makerere-Bwaise-24h'!M61,'27.07 Makerere-Bwaise-24h'!M61)</f>
        <v>102.5</v>
      </c>
      <c r="N61" s="49">
        <f>AVERAGE('26.07 Makerere-Bwaise-24h'!N61,'27.07 Makerere-Bwaise-24h'!N61)</f>
        <v>0</v>
      </c>
      <c r="O61" s="15">
        <f t="shared" si="0"/>
        <v>119.5</v>
      </c>
      <c r="P61" s="15">
        <f t="shared" si="1"/>
        <v>222</v>
      </c>
      <c r="R61" s="8"/>
      <c r="T61"/>
    </row>
    <row r="62" spans="2:20" ht="23.1" customHeight="1" x14ac:dyDescent="0.25">
      <c r="B62" s="23" t="s">
        <v>107</v>
      </c>
      <c r="C62" s="49">
        <f>AVERAGE('26.07 Makerere-Bwaise-24h'!C62,'27.07 Makerere-Bwaise-24h'!C62)</f>
        <v>56</v>
      </c>
      <c r="D62" s="49">
        <f>AVERAGE('26.07 Makerere-Bwaise-24h'!D62,'27.07 Makerere-Bwaise-24h'!D62)</f>
        <v>7</v>
      </c>
      <c r="E62" s="49">
        <f>AVERAGE('26.07 Makerere-Bwaise-24h'!E62,'27.07 Makerere-Bwaise-24h'!E62)</f>
        <v>4</v>
      </c>
      <c r="F62" s="49">
        <f>AVERAGE('26.07 Makerere-Bwaise-24h'!F62,'27.07 Makerere-Bwaise-24h'!F62)</f>
        <v>42.5</v>
      </c>
      <c r="G62" s="49">
        <f>AVERAGE('26.07 Makerere-Bwaise-24h'!G62,'27.07 Makerere-Bwaise-24h'!G62)</f>
        <v>1</v>
      </c>
      <c r="H62" s="49">
        <f>AVERAGE('26.07 Makerere-Bwaise-24h'!H62,'27.07 Makerere-Bwaise-24h'!H62)</f>
        <v>1</v>
      </c>
      <c r="I62" s="49">
        <f>AVERAGE('26.07 Makerere-Bwaise-24h'!I62,'27.07 Makerere-Bwaise-24h'!I62)</f>
        <v>4.5</v>
      </c>
      <c r="J62" s="49">
        <f>AVERAGE('26.07 Makerere-Bwaise-24h'!J62,'27.07 Makerere-Bwaise-24h'!J62)</f>
        <v>1</v>
      </c>
      <c r="K62" s="49">
        <f>AVERAGE('26.07 Makerere-Bwaise-24h'!K62,'27.07 Makerere-Bwaise-24h'!K62)</f>
        <v>0.5</v>
      </c>
      <c r="L62" s="49">
        <f>AVERAGE('26.07 Makerere-Bwaise-24h'!L62,'27.07 Makerere-Bwaise-24h'!L62)</f>
        <v>0</v>
      </c>
      <c r="M62" s="49">
        <f>AVERAGE('26.07 Makerere-Bwaise-24h'!M62,'27.07 Makerere-Bwaise-24h'!M62)</f>
        <v>101.5</v>
      </c>
      <c r="N62" s="49">
        <f>AVERAGE('26.07 Makerere-Bwaise-24h'!N62,'27.07 Makerere-Bwaise-24h'!N62)</f>
        <v>0</v>
      </c>
      <c r="O62" s="15">
        <f t="shared" si="0"/>
        <v>117.5</v>
      </c>
      <c r="P62" s="15">
        <f t="shared" si="1"/>
        <v>219</v>
      </c>
      <c r="R62" s="8"/>
      <c r="T62"/>
    </row>
    <row r="63" spans="2:20" ht="23.1" customHeight="1" x14ac:dyDescent="0.25">
      <c r="B63" s="23" t="s">
        <v>108</v>
      </c>
      <c r="C63" s="49">
        <f>AVERAGE('26.07 Makerere-Bwaise-24h'!C63,'27.07 Makerere-Bwaise-24h'!C63)</f>
        <v>49.5</v>
      </c>
      <c r="D63" s="49">
        <f>AVERAGE('26.07 Makerere-Bwaise-24h'!D63,'27.07 Makerere-Bwaise-24h'!D63)</f>
        <v>9</v>
      </c>
      <c r="E63" s="49">
        <f>AVERAGE('26.07 Makerere-Bwaise-24h'!E63,'27.07 Makerere-Bwaise-24h'!E63)</f>
        <v>6.5</v>
      </c>
      <c r="F63" s="49">
        <f>AVERAGE('26.07 Makerere-Bwaise-24h'!F63,'27.07 Makerere-Bwaise-24h'!F63)</f>
        <v>62.5</v>
      </c>
      <c r="G63" s="49">
        <f>AVERAGE('26.07 Makerere-Bwaise-24h'!G63,'27.07 Makerere-Bwaise-24h'!G63)</f>
        <v>1</v>
      </c>
      <c r="H63" s="49">
        <f>AVERAGE('26.07 Makerere-Bwaise-24h'!H63,'27.07 Makerere-Bwaise-24h'!H63)</f>
        <v>2</v>
      </c>
      <c r="I63" s="49">
        <f>AVERAGE('26.07 Makerere-Bwaise-24h'!I63,'27.07 Makerere-Bwaise-24h'!I63)</f>
        <v>6.5</v>
      </c>
      <c r="J63" s="49">
        <f>AVERAGE('26.07 Makerere-Bwaise-24h'!J63,'27.07 Makerere-Bwaise-24h'!J63)</f>
        <v>0.5</v>
      </c>
      <c r="K63" s="49">
        <f>AVERAGE('26.07 Makerere-Bwaise-24h'!K63,'27.07 Makerere-Bwaise-24h'!K63)</f>
        <v>0</v>
      </c>
      <c r="L63" s="49">
        <f>AVERAGE('26.07 Makerere-Bwaise-24h'!L63,'27.07 Makerere-Bwaise-24h'!L63)</f>
        <v>0</v>
      </c>
      <c r="M63" s="49">
        <f>AVERAGE('26.07 Makerere-Bwaise-24h'!M63,'27.07 Makerere-Bwaise-24h'!M63)</f>
        <v>107.5</v>
      </c>
      <c r="N63" s="49">
        <f>AVERAGE('26.07 Makerere-Bwaise-24h'!N63,'27.07 Makerere-Bwaise-24h'!N63)</f>
        <v>0</v>
      </c>
      <c r="O63" s="15">
        <f t="shared" si="0"/>
        <v>137.5</v>
      </c>
      <c r="P63" s="15">
        <f t="shared" si="1"/>
        <v>245</v>
      </c>
      <c r="R63" s="8"/>
      <c r="T63"/>
    </row>
    <row r="64" spans="2:20" ht="23.1" customHeight="1" x14ac:dyDescent="0.25">
      <c r="B64" s="23" t="s">
        <v>109</v>
      </c>
      <c r="C64" s="49">
        <f>AVERAGE('26.07 Makerere-Bwaise-24h'!C64,'27.07 Makerere-Bwaise-24h'!C64)</f>
        <v>47.5</v>
      </c>
      <c r="D64" s="49">
        <f>AVERAGE('26.07 Makerere-Bwaise-24h'!D64,'27.07 Makerere-Bwaise-24h'!D64)</f>
        <v>31</v>
      </c>
      <c r="E64" s="49">
        <f>AVERAGE('26.07 Makerere-Bwaise-24h'!E64,'27.07 Makerere-Bwaise-24h'!E64)</f>
        <v>4.5</v>
      </c>
      <c r="F64" s="49">
        <f>AVERAGE('26.07 Makerere-Bwaise-24h'!F64,'27.07 Makerere-Bwaise-24h'!F64)</f>
        <v>28.5</v>
      </c>
      <c r="G64" s="49">
        <f>AVERAGE('26.07 Makerere-Bwaise-24h'!G64,'27.07 Makerere-Bwaise-24h'!G64)</f>
        <v>25</v>
      </c>
      <c r="H64" s="49">
        <f>AVERAGE('26.07 Makerere-Bwaise-24h'!H64,'27.07 Makerere-Bwaise-24h'!H64)</f>
        <v>3</v>
      </c>
      <c r="I64" s="49">
        <f>AVERAGE('26.07 Makerere-Bwaise-24h'!I64,'27.07 Makerere-Bwaise-24h'!I64)</f>
        <v>0.5</v>
      </c>
      <c r="J64" s="49">
        <f>AVERAGE('26.07 Makerere-Bwaise-24h'!J64,'27.07 Makerere-Bwaise-24h'!J64)</f>
        <v>7</v>
      </c>
      <c r="K64" s="49">
        <f>AVERAGE('26.07 Makerere-Bwaise-24h'!K64,'27.07 Makerere-Bwaise-24h'!K64)</f>
        <v>0</v>
      </c>
      <c r="L64" s="49">
        <f>AVERAGE('26.07 Makerere-Bwaise-24h'!L64,'27.07 Makerere-Bwaise-24h'!L64)</f>
        <v>0</v>
      </c>
      <c r="M64" s="49">
        <f>AVERAGE('26.07 Makerere-Bwaise-24h'!M64,'27.07 Makerere-Bwaise-24h'!M64)</f>
        <v>117.5</v>
      </c>
      <c r="N64" s="49">
        <f>AVERAGE('26.07 Makerere-Bwaise-24h'!N64,'27.07 Makerere-Bwaise-24h'!N64)</f>
        <v>0</v>
      </c>
      <c r="O64" s="15">
        <f t="shared" si="0"/>
        <v>147</v>
      </c>
      <c r="P64" s="15">
        <f t="shared" si="1"/>
        <v>264.5</v>
      </c>
      <c r="R64" s="8"/>
      <c r="T64"/>
    </row>
    <row r="65" spans="2:20" ht="23.1" customHeight="1" x14ac:dyDescent="0.25">
      <c r="B65" s="23" t="s">
        <v>158</v>
      </c>
      <c r="C65" s="49">
        <f>AVERAGE('26.07 Makerere-Bwaise-24h'!C65,'27.07 Makerere-Bwaise-24h'!C65)</f>
        <v>66.5</v>
      </c>
      <c r="D65" s="49">
        <f>AVERAGE('26.07 Makerere-Bwaise-24h'!D65,'27.07 Makerere-Bwaise-24h'!D65)</f>
        <v>3.5</v>
      </c>
      <c r="E65" s="49">
        <f>AVERAGE('26.07 Makerere-Bwaise-24h'!E65,'27.07 Makerere-Bwaise-24h'!E65)</f>
        <v>6.5</v>
      </c>
      <c r="F65" s="49">
        <f>AVERAGE('26.07 Makerere-Bwaise-24h'!F65,'27.07 Makerere-Bwaise-24h'!F65)</f>
        <v>52</v>
      </c>
      <c r="G65" s="49">
        <f>AVERAGE('26.07 Makerere-Bwaise-24h'!G65,'27.07 Makerere-Bwaise-24h'!G65)</f>
        <v>1</v>
      </c>
      <c r="H65" s="49">
        <f>AVERAGE('26.07 Makerere-Bwaise-24h'!H65,'27.07 Makerere-Bwaise-24h'!H65)</f>
        <v>1</v>
      </c>
      <c r="I65" s="49">
        <f>AVERAGE('26.07 Makerere-Bwaise-24h'!I65,'27.07 Makerere-Bwaise-24h'!I65)</f>
        <v>7</v>
      </c>
      <c r="J65" s="49">
        <f>AVERAGE('26.07 Makerere-Bwaise-24h'!J65,'27.07 Makerere-Bwaise-24h'!J65)</f>
        <v>1</v>
      </c>
      <c r="K65" s="49">
        <f>AVERAGE('26.07 Makerere-Bwaise-24h'!K65,'27.07 Makerere-Bwaise-24h'!K65)</f>
        <v>1</v>
      </c>
      <c r="L65" s="49">
        <f>AVERAGE('26.07 Makerere-Bwaise-24h'!L65,'27.07 Makerere-Bwaise-24h'!L65)</f>
        <v>0</v>
      </c>
      <c r="M65" s="49">
        <f>AVERAGE('26.07 Makerere-Bwaise-24h'!M65,'27.07 Makerere-Bwaise-24h'!M65)</f>
        <v>131.5</v>
      </c>
      <c r="N65" s="49">
        <f>AVERAGE('26.07 Makerere-Bwaise-24h'!N65,'27.07 Makerere-Bwaise-24h'!N65)</f>
        <v>0</v>
      </c>
      <c r="O65" s="15">
        <f t="shared" si="0"/>
        <v>139.5</v>
      </c>
      <c r="P65" s="15">
        <f t="shared" si="1"/>
        <v>271</v>
      </c>
      <c r="R65" s="8"/>
      <c r="T65"/>
    </row>
    <row r="66" spans="2:20" ht="23.1" customHeight="1" x14ac:dyDescent="0.25">
      <c r="B66" s="23" t="s">
        <v>103</v>
      </c>
      <c r="C66" s="49">
        <f>AVERAGE('26.07 Makerere-Bwaise-24h'!C66,'27.07 Makerere-Bwaise-24h'!C66)</f>
        <v>58</v>
      </c>
      <c r="D66" s="49">
        <f>AVERAGE('26.07 Makerere-Bwaise-24h'!D66,'27.07 Makerere-Bwaise-24h'!D66)</f>
        <v>9</v>
      </c>
      <c r="E66" s="49">
        <f>AVERAGE('26.07 Makerere-Bwaise-24h'!E66,'27.07 Makerere-Bwaise-24h'!E66)</f>
        <v>6</v>
      </c>
      <c r="F66" s="49">
        <f>AVERAGE('26.07 Makerere-Bwaise-24h'!F66,'27.07 Makerere-Bwaise-24h'!F66)</f>
        <v>47</v>
      </c>
      <c r="G66" s="49">
        <f>AVERAGE('26.07 Makerere-Bwaise-24h'!G66,'27.07 Makerere-Bwaise-24h'!G66)</f>
        <v>0.5</v>
      </c>
      <c r="H66" s="49">
        <f>AVERAGE('26.07 Makerere-Bwaise-24h'!H66,'27.07 Makerere-Bwaise-24h'!H66)</f>
        <v>0</v>
      </c>
      <c r="I66" s="49">
        <f>AVERAGE('26.07 Makerere-Bwaise-24h'!I66,'27.07 Makerere-Bwaise-24h'!I66)</f>
        <v>6.5</v>
      </c>
      <c r="J66" s="49">
        <f>AVERAGE('26.07 Makerere-Bwaise-24h'!J66,'27.07 Makerere-Bwaise-24h'!J66)</f>
        <v>1.5</v>
      </c>
      <c r="K66" s="49">
        <f>AVERAGE('26.07 Makerere-Bwaise-24h'!K66,'27.07 Makerere-Bwaise-24h'!K66)</f>
        <v>0.5</v>
      </c>
      <c r="L66" s="49">
        <f>AVERAGE('26.07 Makerere-Bwaise-24h'!L66,'27.07 Makerere-Bwaise-24h'!L66)</f>
        <v>0</v>
      </c>
      <c r="M66" s="49">
        <f>AVERAGE('26.07 Makerere-Bwaise-24h'!M66,'27.07 Makerere-Bwaise-24h'!M66)</f>
        <v>143.5</v>
      </c>
      <c r="N66" s="49">
        <f>AVERAGE('26.07 Makerere-Bwaise-24h'!N66,'27.07 Makerere-Bwaise-24h'!N66)</f>
        <v>0</v>
      </c>
      <c r="O66" s="15">
        <f t="shared" si="0"/>
        <v>129</v>
      </c>
      <c r="P66" s="15">
        <f t="shared" si="1"/>
        <v>272.5</v>
      </c>
      <c r="R66" s="8"/>
      <c r="T66"/>
    </row>
    <row r="67" spans="2:20" ht="23.1" customHeight="1" x14ac:dyDescent="0.25">
      <c r="B67" s="23" t="s">
        <v>104</v>
      </c>
      <c r="C67" s="49">
        <f>AVERAGE('26.07 Makerere-Bwaise-24h'!C67,'27.07 Makerere-Bwaise-24h'!C67)</f>
        <v>54.5</v>
      </c>
      <c r="D67" s="49">
        <f>AVERAGE('26.07 Makerere-Bwaise-24h'!D67,'27.07 Makerere-Bwaise-24h'!D67)</f>
        <v>3.5</v>
      </c>
      <c r="E67" s="49">
        <f>AVERAGE('26.07 Makerere-Bwaise-24h'!E67,'27.07 Makerere-Bwaise-24h'!E67)</f>
        <v>3</v>
      </c>
      <c r="F67" s="49">
        <f>AVERAGE('26.07 Makerere-Bwaise-24h'!F67,'27.07 Makerere-Bwaise-24h'!F67)</f>
        <v>41.5</v>
      </c>
      <c r="G67" s="49">
        <f>AVERAGE('26.07 Makerere-Bwaise-24h'!G67,'27.07 Makerere-Bwaise-24h'!G67)</f>
        <v>1</v>
      </c>
      <c r="H67" s="49">
        <f>AVERAGE('26.07 Makerere-Bwaise-24h'!H67,'27.07 Makerere-Bwaise-24h'!H67)</f>
        <v>0.5</v>
      </c>
      <c r="I67" s="49">
        <f>AVERAGE('26.07 Makerere-Bwaise-24h'!I67,'27.07 Makerere-Bwaise-24h'!I67)</f>
        <v>3.5</v>
      </c>
      <c r="J67" s="49">
        <f>AVERAGE('26.07 Makerere-Bwaise-24h'!J67,'27.07 Makerere-Bwaise-24h'!J67)</f>
        <v>1.5</v>
      </c>
      <c r="K67" s="49">
        <f>AVERAGE('26.07 Makerere-Bwaise-24h'!K67,'27.07 Makerere-Bwaise-24h'!K67)</f>
        <v>0</v>
      </c>
      <c r="L67" s="49">
        <f>AVERAGE('26.07 Makerere-Bwaise-24h'!L67,'27.07 Makerere-Bwaise-24h'!L67)</f>
        <v>0</v>
      </c>
      <c r="M67" s="49">
        <f>AVERAGE('26.07 Makerere-Bwaise-24h'!M67,'27.07 Makerere-Bwaise-24h'!M67)</f>
        <v>101</v>
      </c>
      <c r="N67" s="49">
        <f>AVERAGE('26.07 Makerere-Bwaise-24h'!N67,'27.07 Makerere-Bwaise-24h'!N67)</f>
        <v>0</v>
      </c>
      <c r="O67" s="15">
        <f t="shared" si="0"/>
        <v>109</v>
      </c>
      <c r="P67" s="15">
        <f t="shared" si="1"/>
        <v>210</v>
      </c>
      <c r="R67" s="8"/>
      <c r="T67"/>
    </row>
    <row r="68" spans="2:20" ht="23.1" customHeight="1" x14ac:dyDescent="0.25">
      <c r="B68" s="23" t="s">
        <v>105</v>
      </c>
      <c r="C68" s="49">
        <f>AVERAGE('26.07 Makerere-Bwaise-24h'!C68,'27.07 Makerere-Bwaise-24h'!C68)</f>
        <v>55.5</v>
      </c>
      <c r="D68" s="49">
        <f>AVERAGE('26.07 Makerere-Bwaise-24h'!D68,'27.07 Makerere-Bwaise-24h'!D68)</f>
        <v>8.5</v>
      </c>
      <c r="E68" s="49">
        <f>AVERAGE('26.07 Makerere-Bwaise-24h'!E68,'27.07 Makerere-Bwaise-24h'!E68)</f>
        <v>3.5</v>
      </c>
      <c r="F68" s="49">
        <f>AVERAGE('26.07 Makerere-Bwaise-24h'!F68,'27.07 Makerere-Bwaise-24h'!F68)</f>
        <v>31.5</v>
      </c>
      <c r="G68" s="49">
        <f>AVERAGE('26.07 Makerere-Bwaise-24h'!G68,'27.07 Makerere-Bwaise-24h'!G68)</f>
        <v>1.5</v>
      </c>
      <c r="H68" s="49">
        <f>AVERAGE('26.07 Makerere-Bwaise-24h'!H68,'27.07 Makerere-Bwaise-24h'!H68)</f>
        <v>0.5</v>
      </c>
      <c r="I68" s="49">
        <f>AVERAGE('26.07 Makerere-Bwaise-24h'!I68,'27.07 Makerere-Bwaise-24h'!I68)</f>
        <v>3</v>
      </c>
      <c r="J68" s="49">
        <f>AVERAGE('26.07 Makerere-Bwaise-24h'!J68,'27.07 Makerere-Bwaise-24h'!J68)</f>
        <v>1</v>
      </c>
      <c r="K68" s="49">
        <f>AVERAGE('26.07 Makerere-Bwaise-24h'!K68,'27.07 Makerere-Bwaise-24h'!K68)</f>
        <v>1</v>
      </c>
      <c r="L68" s="49">
        <f>AVERAGE('26.07 Makerere-Bwaise-24h'!L68,'27.07 Makerere-Bwaise-24h'!L68)</f>
        <v>0</v>
      </c>
      <c r="M68" s="49">
        <f>AVERAGE('26.07 Makerere-Bwaise-24h'!M68,'27.07 Makerere-Bwaise-24h'!M68)</f>
        <v>69.5</v>
      </c>
      <c r="N68" s="49">
        <f>AVERAGE('26.07 Makerere-Bwaise-24h'!N68,'27.07 Makerere-Bwaise-24h'!N68)</f>
        <v>0</v>
      </c>
      <c r="O68" s="15">
        <f t="shared" si="0"/>
        <v>106</v>
      </c>
      <c r="P68" s="15">
        <f t="shared" si="1"/>
        <v>175.5</v>
      </c>
      <c r="R68" s="8"/>
      <c r="T68"/>
    </row>
    <row r="69" spans="2:20" ht="23.1" customHeight="1" x14ac:dyDescent="0.25">
      <c r="B69" s="23" t="s">
        <v>106</v>
      </c>
      <c r="C69" s="49">
        <f>AVERAGE('26.07 Makerere-Bwaise-24h'!C69,'27.07 Makerere-Bwaise-24h'!C69)</f>
        <v>61</v>
      </c>
      <c r="D69" s="49">
        <f>AVERAGE('26.07 Makerere-Bwaise-24h'!D69,'27.07 Makerere-Bwaise-24h'!D69)</f>
        <v>5.5</v>
      </c>
      <c r="E69" s="49">
        <f>AVERAGE('26.07 Makerere-Bwaise-24h'!E69,'27.07 Makerere-Bwaise-24h'!E69)</f>
        <v>4</v>
      </c>
      <c r="F69" s="49">
        <f>AVERAGE('26.07 Makerere-Bwaise-24h'!F69,'27.07 Makerere-Bwaise-24h'!F69)</f>
        <v>40.5</v>
      </c>
      <c r="G69" s="49">
        <f>AVERAGE('26.07 Makerere-Bwaise-24h'!G69,'27.07 Makerere-Bwaise-24h'!G69)</f>
        <v>1.5</v>
      </c>
      <c r="H69" s="49">
        <f>AVERAGE('26.07 Makerere-Bwaise-24h'!H69,'27.07 Makerere-Bwaise-24h'!H69)</f>
        <v>0.5</v>
      </c>
      <c r="I69" s="49">
        <f>AVERAGE('26.07 Makerere-Bwaise-24h'!I69,'27.07 Makerere-Bwaise-24h'!I69)</f>
        <v>5</v>
      </c>
      <c r="J69" s="49">
        <f>AVERAGE('26.07 Makerere-Bwaise-24h'!J69,'27.07 Makerere-Bwaise-24h'!J69)</f>
        <v>0.5</v>
      </c>
      <c r="K69" s="49">
        <f>AVERAGE('26.07 Makerere-Bwaise-24h'!K69,'27.07 Makerere-Bwaise-24h'!K69)</f>
        <v>0</v>
      </c>
      <c r="L69" s="49">
        <f>AVERAGE('26.07 Makerere-Bwaise-24h'!L69,'27.07 Makerere-Bwaise-24h'!L69)</f>
        <v>0</v>
      </c>
      <c r="M69" s="49">
        <f>AVERAGE('26.07 Makerere-Bwaise-24h'!M69,'27.07 Makerere-Bwaise-24h'!M69)</f>
        <v>75</v>
      </c>
      <c r="N69" s="49">
        <f>AVERAGE('26.07 Makerere-Bwaise-24h'!N69,'27.07 Makerere-Bwaise-24h'!N69)</f>
        <v>0.5</v>
      </c>
      <c r="O69" s="15">
        <f t="shared" si="0"/>
        <v>119</v>
      </c>
      <c r="P69" s="15">
        <f t="shared" si="1"/>
        <v>194</v>
      </c>
      <c r="R69" s="8"/>
      <c r="T69"/>
    </row>
    <row r="70" spans="2:20" ht="23.1" customHeight="1" x14ac:dyDescent="0.25">
      <c r="B70" s="23" t="s">
        <v>110</v>
      </c>
      <c r="C70" s="49">
        <f>AVERAGE('26.07 Makerere-Bwaise-24h'!C70,'27.07 Makerere-Bwaise-24h'!C70)</f>
        <v>36</v>
      </c>
      <c r="D70" s="49">
        <f>AVERAGE('26.07 Makerere-Bwaise-24h'!D70,'27.07 Makerere-Bwaise-24h'!D70)</f>
        <v>4</v>
      </c>
      <c r="E70" s="49">
        <f>AVERAGE('26.07 Makerere-Bwaise-24h'!E70,'27.07 Makerere-Bwaise-24h'!E70)</f>
        <v>3.5</v>
      </c>
      <c r="F70" s="49">
        <f>AVERAGE('26.07 Makerere-Bwaise-24h'!F70,'27.07 Makerere-Bwaise-24h'!F70)</f>
        <v>27</v>
      </c>
      <c r="G70" s="49">
        <f>AVERAGE('26.07 Makerere-Bwaise-24h'!G70,'27.07 Makerere-Bwaise-24h'!G70)</f>
        <v>1</v>
      </c>
      <c r="H70" s="49">
        <f>AVERAGE('26.07 Makerere-Bwaise-24h'!H70,'27.07 Makerere-Bwaise-24h'!H70)</f>
        <v>0.5</v>
      </c>
      <c r="I70" s="49">
        <f>AVERAGE('26.07 Makerere-Bwaise-24h'!I70,'27.07 Makerere-Bwaise-24h'!I70)</f>
        <v>3.5</v>
      </c>
      <c r="J70" s="49">
        <f>AVERAGE('26.07 Makerere-Bwaise-24h'!J70,'27.07 Makerere-Bwaise-24h'!J70)</f>
        <v>0</v>
      </c>
      <c r="K70" s="49">
        <f>AVERAGE('26.07 Makerere-Bwaise-24h'!K70,'27.07 Makerere-Bwaise-24h'!K70)</f>
        <v>0</v>
      </c>
      <c r="L70" s="49">
        <f>AVERAGE('26.07 Makerere-Bwaise-24h'!L70,'27.07 Makerere-Bwaise-24h'!L70)</f>
        <v>1</v>
      </c>
      <c r="M70" s="49">
        <f>AVERAGE('26.07 Makerere-Bwaise-24h'!M70,'27.07 Makerere-Bwaise-24h'!M70)</f>
        <v>60</v>
      </c>
      <c r="N70" s="49">
        <f>AVERAGE('26.07 Makerere-Bwaise-24h'!N70,'27.07 Makerere-Bwaise-24h'!N70)</f>
        <v>0</v>
      </c>
      <c r="O70" s="15">
        <f t="shared" si="0"/>
        <v>76.5</v>
      </c>
      <c r="P70" s="15">
        <f t="shared" si="1"/>
        <v>136.5</v>
      </c>
      <c r="R70" s="8"/>
      <c r="T70"/>
    </row>
    <row r="71" spans="2:20" ht="23.1" customHeight="1" x14ac:dyDescent="0.25">
      <c r="B71" s="23" t="s">
        <v>111</v>
      </c>
      <c r="C71" s="49">
        <f>AVERAGE('26.07 Makerere-Bwaise-24h'!C71,'27.07 Makerere-Bwaise-24h'!C71)</f>
        <v>37.5</v>
      </c>
      <c r="D71" s="49">
        <f>AVERAGE('26.07 Makerere-Bwaise-24h'!D71,'27.07 Makerere-Bwaise-24h'!D71)</f>
        <v>5</v>
      </c>
      <c r="E71" s="49">
        <f>AVERAGE('26.07 Makerere-Bwaise-24h'!E71,'27.07 Makerere-Bwaise-24h'!E71)</f>
        <v>14</v>
      </c>
      <c r="F71" s="49">
        <f>AVERAGE('26.07 Makerere-Bwaise-24h'!F71,'27.07 Makerere-Bwaise-24h'!F71)</f>
        <v>12.5</v>
      </c>
      <c r="G71" s="49">
        <f>AVERAGE('26.07 Makerere-Bwaise-24h'!G71,'27.07 Makerere-Bwaise-24h'!G71)</f>
        <v>1</v>
      </c>
      <c r="H71" s="49">
        <f>AVERAGE('26.07 Makerere-Bwaise-24h'!H71,'27.07 Makerere-Bwaise-24h'!H71)</f>
        <v>0.5</v>
      </c>
      <c r="I71" s="49">
        <f>AVERAGE('26.07 Makerere-Bwaise-24h'!I71,'27.07 Makerere-Bwaise-24h'!I71)</f>
        <v>2</v>
      </c>
      <c r="J71" s="49">
        <f>AVERAGE('26.07 Makerere-Bwaise-24h'!J71,'27.07 Makerere-Bwaise-24h'!J71)</f>
        <v>0.5</v>
      </c>
      <c r="K71" s="49">
        <f>AVERAGE('26.07 Makerere-Bwaise-24h'!K71,'27.07 Makerere-Bwaise-24h'!K71)</f>
        <v>0</v>
      </c>
      <c r="L71" s="49">
        <f>AVERAGE('26.07 Makerere-Bwaise-24h'!L71,'27.07 Makerere-Bwaise-24h'!L71)</f>
        <v>0</v>
      </c>
      <c r="M71" s="49">
        <f>AVERAGE('26.07 Makerere-Bwaise-24h'!M71,'27.07 Makerere-Bwaise-24h'!M71)</f>
        <v>75.5</v>
      </c>
      <c r="N71" s="49">
        <f>AVERAGE('26.07 Makerere-Bwaise-24h'!N71,'27.07 Makerere-Bwaise-24h'!N71)</f>
        <v>0</v>
      </c>
      <c r="O71" s="15">
        <f t="shared" si="0"/>
        <v>73</v>
      </c>
      <c r="P71" s="15">
        <f t="shared" si="1"/>
        <v>148.5</v>
      </c>
      <c r="R71" s="8"/>
      <c r="T71"/>
    </row>
    <row r="72" spans="2:20" ht="23.1" customHeight="1" x14ac:dyDescent="0.25">
      <c r="B72" s="23" t="s">
        <v>112</v>
      </c>
      <c r="C72" s="49">
        <f>AVERAGE('26.07 Makerere-Bwaise-24h'!C72,'27.07 Makerere-Bwaise-24h'!C72)</f>
        <v>48</v>
      </c>
      <c r="D72" s="49">
        <f>AVERAGE('26.07 Makerere-Bwaise-24h'!D72,'27.07 Makerere-Bwaise-24h'!D72)</f>
        <v>10</v>
      </c>
      <c r="E72" s="49">
        <f>AVERAGE('26.07 Makerere-Bwaise-24h'!E72,'27.07 Makerere-Bwaise-24h'!E72)</f>
        <v>2.5</v>
      </c>
      <c r="F72" s="49">
        <f>AVERAGE('26.07 Makerere-Bwaise-24h'!F72,'27.07 Makerere-Bwaise-24h'!F72)</f>
        <v>19</v>
      </c>
      <c r="G72" s="49">
        <f>AVERAGE('26.07 Makerere-Bwaise-24h'!G72,'27.07 Makerere-Bwaise-24h'!G72)</f>
        <v>1</v>
      </c>
      <c r="H72" s="49">
        <f>AVERAGE('26.07 Makerere-Bwaise-24h'!H72,'27.07 Makerere-Bwaise-24h'!H72)</f>
        <v>0</v>
      </c>
      <c r="I72" s="49">
        <f>AVERAGE('26.07 Makerere-Bwaise-24h'!I72,'27.07 Makerere-Bwaise-24h'!I72)</f>
        <v>2</v>
      </c>
      <c r="J72" s="49">
        <f>AVERAGE('26.07 Makerere-Bwaise-24h'!J72,'27.07 Makerere-Bwaise-24h'!J72)</f>
        <v>0</v>
      </c>
      <c r="K72" s="49">
        <f>AVERAGE('26.07 Makerere-Bwaise-24h'!K72,'27.07 Makerere-Bwaise-24h'!K72)</f>
        <v>0</v>
      </c>
      <c r="L72" s="49">
        <f>AVERAGE('26.07 Makerere-Bwaise-24h'!L72,'27.07 Makerere-Bwaise-24h'!L72)</f>
        <v>0</v>
      </c>
      <c r="M72" s="49">
        <f>AVERAGE('26.07 Makerere-Bwaise-24h'!M72,'27.07 Makerere-Bwaise-24h'!M72)</f>
        <v>74</v>
      </c>
      <c r="N72" s="49">
        <f>AVERAGE('26.07 Makerere-Bwaise-24h'!N72,'27.07 Makerere-Bwaise-24h'!N72)</f>
        <v>0</v>
      </c>
      <c r="O72" s="15">
        <f t="shared" si="0"/>
        <v>82.5</v>
      </c>
      <c r="P72" s="15">
        <f t="shared" si="1"/>
        <v>156.5</v>
      </c>
      <c r="R72" s="8"/>
      <c r="T72"/>
    </row>
    <row r="73" spans="2:20" ht="23.1" customHeight="1" x14ac:dyDescent="0.25">
      <c r="B73" s="23" t="s">
        <v>113</v>
      </c>
      <c r="C73" s="49">
        <f>AVERAGE('26.07 Makerere-Bwaise-24h'!C73,'27.07 Makerere-Bwaise-24h'!C73)</f>
        <v>43</v>
      </c>
      <c r="D73" s="49">
        <f>AVERAGE('26.07 Makerere-Bwaise-24h'!D73,'27.07 Makerere-Bwaise-24h'!D73)</f>
        <v>9.5</v>
      </c>
      <c r="E73" s="49">
        <f>AVERAGE('26.07 Makerere-Bwaise-24h'!E73,'27.07 Makerere-Bwaise-24h'!E73)</f>
        <v>2</v>
      </c>
      <c r="F73" s="49">
        <f>AVERAGE('26.07 Makerere-Bwaise-24h'!F73,'27.07 Makerere-Bwaise-24h'!F73)</f>
        <v>12</v>
      </c>
      <c r="G73" s="49">
        <f>AVERAGE('26.07 Makerere-Bwaise-24h'!G73,'27.07 Makerere-Bwaise-24h'!G73)</f>
        <v>0</v>
      </c>
      <c r="H73" s="49">
        <f>AVERAGE('26.07 Makerere-Bwaise-24h'!H73,'27.07 Makerere-Bwaise-24h'!H73)</f>
        <v>0</v>
      </c>
      <c r="I73" s="49">
        <f>AVERAGE('26.07 Makerere-Bwaise-24h'!I73,'27.07 Makerere-Bwaise-24h'!I73)</f>
        <v>0.5</v>
      </c>
      <c r="J73" s="49">
        <f>AVERAGE('26.07 Makerere-Bwaise-24h'!J73,'27.07 Makerere-Bwaise-24h'!J73)</f>
        <v>0</v>
      </c>
      <c r="K73" s="49">
        <f>AVERAGE('26.07 Makerere-Bwaise-24h'!K73,'27.07 Makerere-Bwaise-24h'!K73)</f>
        <v>1</v>
      </c>
      <c r="L73" s="49">
        <f>AVERAGE('26.07 Makerere-Bwaise-24h'!L73,'27.07 Makerere-Bwaise-24h'!L73)</f>
        <v>0.5</v>
      </c>
      <c r="M73" s="49">
        <f>AVERAGE('26.07 Makerere-Bwaise-24h'!M73,'27.07 Makerere-Bwaise-24h'!M73)</f>
        <v>97</v>
      </c>
      <c r="N73" s="49">
        <f>AVERAGE('26.07 Makerere-Bwaise-24h'!N73,'27.07 Makerere-Bwaise-24h'!N73)</f>
        <v>0</v>
      </c>
      <c r="O73" s="15">
        <f t="shared" si="0"/>
        <v>68.5</v>
      </c>
      <c r="P73" s="15">
        <f t="shared" si="1"/>
        <v>165.5</v>
      </c>
      <c r="R73" s="8"/>
      <c r="T73"/>
    </row>
    <row r="74" spans="2:20" ht="23.1" customHeight="1" x14ac:dyDescent="0.25">
      <c r="B74" s="23" t="s">
        <v>114</v>
      </c>
      <c r="C74" s="49">
        <f>AVERAGE('26.07 Makerere-Bwaise-24h'!C74,'27.07 Makerere-Bwaise-24h'!C74)</f>
        <v>36</v>
      </c>
      <c r="D74" s="49">
        <f>AVERAGE('26.07 Makerere-Bwaise-24h'!D74,'27.07 Makerere-Bwaise-24h'!D74)</f>
        <v>2.5</v>
      </c>
      <c r="E74" s="49">
        <f>AVERAGE('26.07 Makerere-Bwaise-24h'!E74,'27.07 Makerere-Bwaise-24h'!E74)</f>
        <v>1.5</v>
      </c>
      <c r="F74" s="49">
        <f>AVERAGE('26.07 Makerere-Bwaise-24h'!F74,'27.07 Makerere-Bwaise-24h'!F74)</f>
        <v>14.5</v>
      </c>
      <c r="G74" s="49">
        <f>AVERAGE('26.07 Makerere-Bwaise-24h'!G74,'27.07 Makerere-Bwaise-24h'!G74)</f>
        <v>0</v>
      </c>
      <c r="H74" s="49">
        <f>AVERAGE('26.07 Makerere-Bwaise-24h'!H74,'27.07 Makerere-Bwaise-24h'!H74)</f>
        <v>1</v>
      </c>
      <c r="I74" s="49">
        <f>AVERAGE('26.07 Makerere-Bwaise-24h'!I74,'27.07 Makerere-Bwaise-24h'!I74)</f>
        <v>2</v>
      </c>
      <c r="J74" s="49">
        <f>AVERAGE('26.07 Makerere-Bwaise-24h'!J74,'27.07 Makerere-Bwaise-24h'!J74)</f>
        <v>0</v>
      </c>
      <c r="K74" s="49">
        <f>AVERAGE('26.07 Makerere-Bwaise-24h'!K74,'27.07 Makerere-Bwaise-24h'!K74)</f>
        <v>0</v>
      </c>
      <c r="L74" s="49">
        <f>AVERAGE('26.07 Makerere-Bwaise-24h'!L74,'27.07 Makerere-Bwaise-24h'!L74)</f>
        <v>0</v>
      </c>
      <c r="M74" s="49">
        <f>AVERAGE('26.07 Makerere-Bwaise-24h'!M74,'27.07 Makerere-Bwaise-24h'!M74)</f>
        <v>97.5</v>
      </c>
      <c r="N74" s="49">
        <f>AVERAGE('26.07 Makerere-Bwaise-24h'!N74,'27.07 Makerere-Bwaise-24h'!N74)</f>
        <v>0</v>
      </c>
      <c r="O74" s="15">
        <f t="shared" ref="O74:O105" si="35">SUM(C74:L74,N74)</f>
        <v>57.5</v>
      </c>
      <c r="P74" s="15">
        <f t="shared" ref="P74:P105" si="36">SUM(C74:N74)</f>
        <v>155</v>
      </c>
      <c r="R74" s="8"/>
      <c r="T74"/>
    </row>
    <row r="75" spans="2:20" ht="23.1" customHeight="1" x14ac:dyDescent="0.25">
      <c r="B75" s="23" t="s">
        <v>115</v>
      </c>
      <c r="C75" s="49">
        <f>AVERAGE('26.07 Makerere-Bwaise-24h'!C75,'27.07 Makerere-Bwaise-24h'!C75)</f>
        <v>23.5</v>
      </c>
      <c r="D75" s="49">
        <f>AVERAGE('26.07 Makerere-Bwaise-24h'!D75,'27.07 Makerere-Bwaise-24h'!D75)</f>
        <v>5.5</v>
      </c>
      <c r="E75" s="49">
        <f>AVERAGE('26.07 Makerere-Bwaise-24h'!E75,'27.07 Makerere-Bwaise-24h'!E75)</f>
        <v>1.5</v>
      </c>
      <c r="F75" s="49">
        <f>AVERAGE('26.07 Makerere-Bwaise-24h'!F75,'27.07 Makerere-Bwaise-24h'!F75)</f>
        <v>11.5</v>
      </c>
      <c r="G75" s="49">
        <f>AVERAGE('26.07 Makerere-Bwaise-24h'!G75,'27.07 Makerere-Bwaise-24h'!G75)</f>
        <v>0.5</v>
      </c>
      <c r="H75" s="49">
        <f>AVERAGE('26.07 Makerere-Bwaise-24h'!H75,'27.07 Makerere-Bwaise-24h'!H75)</f>
        <v>1.5</v>
      </c>
      <c r="I75" s="49">
        <f>AVERAGE('26.07 Makerere-Bwaise-24h'!I75,'27.07 Makerere-Bwaise-24h'!I75)</f>
        <v>0.5</v>
      </c>
      <c r="J75" s="49">
        <f>AVERAGE('26.07 Makerere-Bwaise-24h'!J75,'27.07 Makerere-Bwaise-24h'!J75)</f>
        <v>0</v>
      </c>
      <c r="K75" s="49">
        <f>AVERAGE('26.07 Makerere-Bwaise-24h'!K75,'27.07 Makerere-Bwaise-24h'!K75)</f>
        <v>0.5</v>
      </c>
      <c r="L75" s="49">
        <f>AVERAGE('26.07 Makerere-Bwaise-24h'!L75,'27.07 Makerere-Bwaise-24h'!L75)</f>
        <v>0</v>
      </c>
      <c r="M75" s="49">
        <f>AVERAGE('26.07 Makerere-Bwaise-24h'!M75,'27.07 Makerere-Bwaise-24h'!M75)</f>
        <v>50</v>
      </c>
      <c r="N75" s="49">
        <f>AVERAGE('26.07 Makerere-Bwaise-24h'!N75,'27.07 Makerere-Bwaise-24h'!N75)</f>
        <v>0</v>
      </c>
      <c r="O75" s="15">
        <f t="shared" si="35"/>
        <v>45</v>
      </c>
      <c r="P75" s="15">
        <f t="shared" si="36"/>
        <v>95</v>
      </c>
      <c r="R75" s="8"/>
      <c r="T75"/>
    </row>
    <row r="76" spans="2:20" ht="23.1" customHeight="1" x14ac:dyDescent="0.25">
      <c r="B76" s="23" t="s">
        <v>116</v>
      </c>
      <c r="C76" s="49">
        <f>AVERAGE('26.07 Makerere-Bwaise-24h'!C76,'27.07 Makerere-Bwaise-24h'!C76)</f>
        <v>35</v>
      </c>
      <c r="D76" s="49">
        <f>AVERAGE('26.07 Makerere-Bwaise-24h'!D76,'27.07 Makerere-Bwaise-24h'!D76)</f>
        <v>3.5</v>
      </c>
      <c r="E76" s="49">
        <f>AVERAGE('26.07 Makerere-Bwaise-24h'!E76,'27.07 Makerere-Bwaise-24h'!E76)</f>
        <v>2.5</v>
      </c>
      <c r="F76" s="49">
        <f>AVERAGE('26.07 Makerere-Bwaise-24h'!F76,'27.07 Makerere-Bwaise-24h'!F76)</f>
        <v>8.5</v>
      </c>
      <c r="G76" s="49">
        <f>AVERAGE('26.07 Makerere-Bwaise-24h'!G76,'27.07 Makerere-Bwaise-24h'!G76)</f>
        <v>0.5</v>
      </c>
      <c r="H76" s="49">
        <f>AVERAGE('26.07 Makerere-Bwaise-24h'!H76,'27.07 Makerere-Bwaise-24h'!H76)</f>
        <v>0.5</v>
      </c>
      <c r="I76" s="49">
        <f>AVERAGE('26.07 Makerere-Bwaise-24h'!I76,'27.07 Makerere-Bwaise-24h'!I76)</f>
        <v>1.5</v>
      </c>
      <c r="J76" s="49">
        <f>AVERAGE('26.07 Makerere-Bwaise-24h'!J76,'27.07 Makerere-Bwaise-24h'!J76)</f>
        <v>0</v>
      </c>
      <c r="K76" s="49">
        <f>AVERAGE('26.07 Makerere-Bwaise-24h'!K76,'27.07 Makerere-Bwaise-24h'!K76)</f>
        <v>0.5</v>
      </c>
      <c r="L76" s="49">
        <f>AVERAGE('26.07 Makerere-Bwaise-24h'!L76,'27.07 Makerere-Bwaise-24h'!L76)</f>
        <v>0</v>
      </c>
      <c r="M76" s="49">
        <f>AVERAGE('26.07 Makerere-Bwaise-24h'!M76,'27.07 Makerere-Bwaise-24h'!M76)</f>
        <v>74.5</v>
      </c>
      <c r="N76" s="49">
        <f>AVERAGE('26.07 Makerere-Bwaise-24h'!N76,'27.07 Makerere-Bwaise-24h'!N76)</f>
        <v>0</v>
      </c>
      <c r="O76" s="15">
        <f t="shared" si="35"/>
        <v>52.5</v>
      </c>
      <c r="P76" s="15">
        <f t="shared" si="36"/>
        <v>127</v>
      </c>
      <c r="R76" s="8"/>
      <c r="T76"/>
    </row>
    <row r="77" spans="2:20" ht="23.1" customHeight="1" x14ac:dyDescent="0.25">
      <c r="B77" s="23" t="s">
        <v>117</v>
      </c>
      <c r="C77" s="49">
        <f>AVERAGE('26.07 Makerere-Bwaise-24h'!C77,'27.07 Makerere-Bwaise-24h'!C77)</f>
        <v>27.5</v>
      </c>
      <c r="D77" s="49">
        <f>AVERAGE('26.07 Makerere-Bwaise-24h'!D77,'27.07 Makerere-Bwaise-24h'!D77)</f>
        <v>4.5</v>
      </c>
      <c r="E77" s="49">
        <f>AVERAGE('26.07 Makerere-Bwaise-24h'!E77,'27.07 Makerere-Bwaise-24h'!E77)</f>
        <v>1.5</v>
      </c>
      <c r="F77" s="49">
        <f>AVERAGE('26.07 Makerere-Bwaise-24h'!F77,'27.07 Makerere-Bwaise-24h'!F77)</f>
        <v>4</v>
      </c>
      <c r="G77" s="49">
        <f>AVERAGE('26.07 Makerere-Bwaise-24h'!G77,'27.07 Makerere-Bwaise-24h'!G77)</f>
        <v>0</v>
      </c>
      <c r="H77" s="49">
        <f>AVERAGE('26.07 Makerere-Bwaise-24h'!H77,'27.07 Makerere-Bwaise-24h'!H77)</f>
        <v>0</v>
      </c>
      <c r="I77" s="49">
        <f>AVERAGE('26.07 Makerere-Bwaise-24h'!I77,'27.07 Makerere-Bwaise-24h'!I77)</f>
        <v>3</v>
      </c>
      <c r="J77" s="49">
        <f>AVERAGE('26.07 Makerere-Bwaise-24h'!J77,'27.07 Makerere-Bwaise-24h'!J77)</f>
        <v>0</v>
      </c>
      <c r="K77" s="49">
        <f>AVERAGE('26.07 Makerere-Bwaise-24h'!K77,'27.07 Makerere-Bwaise-24h'!K77)</f>
        <v>1</v>
      </c>
      <c r="L77" s="49">
        <f>AVERAGE('26.07 Makerere-Bwaise-24h'!L77,'27.07 Makerere-Bwaise-24h'!L77)</f>
        <v>0</v>
      </c>
      <c r="M77" s="49">
        <f>AVERAGE('26.07 Makerere-Bwaise-24h'!M77,'27.07 Makerere-Bwaise-24h'!M77)</f>
        <v>49</v>
      </c>
      <c r="N77" s="49">
        <f>AVERAGE('26.07 Makerere-Bwaise-24h'!N77,'27.07 Makerere-Bwaise-24h'!N77)</f>
        <v>0</v>
      </c>
      <c r="O77" s="15">
        <f t="shared" si="35"/>
        <v>41.5</v>
      </c>
      <c r="P77" s="15">
        <f t="shared" si="36"/>
        <v>90.5</v>
      </c>
      <c r="R77" s="8"/>
      <c r="T77"/>
    </row>
    <row r="78" spans="2:20" ht="23.1" customHeight="1" x14ac:dyDescent="0.25">
      <c r="B78" s="24" t="s">
        <v>118</v>
      </c>
      <c r="C78" s="49">
        <f>AVERAGE('26.07 Makerere-Bwaise-24h'!C78,'27.07 Makerere-Bwaise-24h'!C78)</f>
        <v>25</v>
      </c>
      <c r="D78" s="49">
        <f>AVERAGE('26.07 Makerere-Bwaise-24h'!D78,'27.07 Makerere-Bwaise-24h'!D78)</f>
        <v>1.5</v>
      </c>
      <c r="E78" s="49">
        <f>AVERAGE('26.07 Makerere-Bwaise-24h'!E78,'27.07 Makerere-Bwaise-24h'!E78)</f>
        <v>2</v>
      </c>
      <c r="F78" s="49">
        <f>AVERAGE('26.07 Makerere-Bwaise-24h'!F78,'27.07 Makerere-Bwaise-24h'!F78)</f>
        <v>4</v>
      </c>
      <c r="G78" s="49">
        <f>AVERAGE('26.07 Makerere-Bwaise-24h'!G78,'27.07 Makerere-Bwaise-24h'!G78)</f>
        <v>0</v>
      </c>
      <c r="H78" s="49">
        <f>AVERAGE('26.07 Makerere-Bwaise-24h'!H78,'27.07 Makerere-Bwaise-24h'!H78)</f>
        <v>1</v>
      </c>
      <c r="I78" s="49">
        <f>AVERAGE('26.07 Makerere-Bwaise-24h'!I78,'27.07 Makerere-Bwaise-24h'!I78)</f>
        <v>1.5</v>
      </c>
      <c r="J78" s="49">
        <f>AVERAGE('26.07 Makerere-Bwaise-24h'!J78,'27.07 Makerere-Bwaise-24h'!J78)</f>
        <v>0.5</v>
      </c>
      <c r="K78" s="49">
        <f>AVERAGE('26.07 Makerere-Bwaise-24h'!K78,'27.07 Makerere-Bwaise-24h'!K78)</f>
        <v>1</v>
      </c>
      <c r="L78" s="49">
        <f>AVERAGE('26.07 Makerere-Bwaise-24h'!L78,'27.07 Makerere-Bwaise-24h'!L78)</f>
        <v>0</v>
      </c>
      <c r="M78" s="49">
        <f>AVERAGE('26.07 Makerere-Bwaise-24h'!M78,'27.07 Makerere-Bwaise-24h'!M78)</f>
        <v>57</v>
      </c>
      <c r="N78" s="49">
        <f>AVERAGE('26.07 Makerere-Bwaise-24h'!N78,'27.07 Makerere-Bwaise-24h'!N78)</f>
        <v>0</v>
      </c>
      <c r="O78" s="15">
        <f t="shared" si="35"/>
        <v>36.5</v>
      </c>
      <c r="P78" s="15">
        <f t="shared" si="36"/>
        <v>93.5</v>
      </c>
      <c r="R78" s="8"/>
      <c r="T78"/>
    </row>
    <row r="79" spans="2:20" ht="23.1" customHeight="1" x14ac:dyDescent="0.25">
      <c r="B79" s="23" t="s">
        <v>119</v>
      </c>
      <c r="C79" s="49">
        <f>AVERAGE('26.07 Makerere-Bwaise-24h'!C79,'27.07 Makerere-Bwaise-24h'!C79)</f>
        <v>19</v>
      </c>
      <c r="D79" s="49">
        <f>AVERAGE('26.07 Makerere-Bwaise-24h'!D79,'27.07 Makerere-Bwaise-24h'!D79)</f>
        <v>1.5</v>
      </c>
      <c r="E79" s="49">
        <f>AVERAGE('26.07 Makerere-Bwaise-24h'!E79,'27.07 Makerere-Bwaise-24h'!E79)</f>
        <v>2</v>
      </c>
      <c r="F79" s="49">
        <f>AVERAGE('26.07 Makerere-Bwaise-24h'!F79,'27.07 Makerere-Bwaise-24h'!F79)</f>
        <v>6.5</v>
      </c>
      <c r="G79" s="49">
        <f>AVERAGE('26.07 Makerere-Bwaise-24h'!G79,'27.07 Makerere-Bwaise-24h'!G79)</f>
        <v>0</v>
      </c>
      <c r="H79" s="49">
        <f>AVERAGE('26.07 Makerere-Bwaise-24h'!H79,'27.07 Makerere-Bwaise-24h'!H79)</f>
        <v>1</v>
      </c>
      <c r="I79" s="49">
        <f>AVERAGE('26.07 Makerere-Bwaise-24h'!I79,'27.07 Makerere-Bwaise-24h'!I79)</f>
        <v>1.5</v>
      </c>
      <c r="J79" s="49">
        <f>AVERAGE('26.07 Makerere-Bwaise-24h'!J79,'27.07 Makerere-Bwaise-24h'!J79)</f>
        <v>1</v>
      </c>
      <c r="K79" s="49">
        <f>AVERAGE('26.07 Makerere-Bwaise-24h'!K79,'27.07 Makerere-Bwaise-24h'!K79)</f>
        <v>0</v>
      </c>
      <c r="L79" s="49">
        <f>AVERAGE('26.07 Makerere-Bwaise-24h'!L79,'27.07 Makerere-Bwaise-24h'!L79)</f>
        <v>0</v>
      </c>
      <c r="M79" s="49">
        <f>AVERAGE('26.07 Makerere-Bwaise-24h'!M79,'27.07 Makerere-Bwaise-24h'!M79)</f>
        <v>48</v>
      </c>
      <c r="N79" s="49">
        <f>AVERAGE('26.07 Makerere-Bwaise-24h'!N79,'27.07 Makerere-Bwaise-24h'!N79)</f>
        <v>0</v>
      </c>
      <c r="O79" s="15">
        <f t="shared" si="35"/>
        <v>32.5</v>
      </c>
      <c r="P79" s="15">
        <f t="shared" si="36"/>
        <v>80.5</v>
      </c>
      <c r="R79" s="8"/>
      <c r="T79"/>
    </row>
    <row r="80" spans="2:20" ht="23.1" customHeight="1" x14ac:dyDescent="0.25">
      <c r="B80" s="25" t="s">
        <v>120</v>
      </c>
      <c r="C80" s="49">
        <f>AVERAGE('26.07 Makerere-Bwaise-24h'!C80,'27.07 Makerere-Bwaise-24h'!C80)</f>
        <v>14.5</v>
      </c>
      <c r="D80" s="49">
        <f>AVERAGE('26.07 Makerere-Bwaise-24h'!D80,'27.07 Makerere-Bwaise-24h'!D80)</f>
        <v>1.5</v>
      </c>
      <c r="E80" s="49">
        <f>AVERAGE('26.07 Makerere-Bwaise-24h'!E80,'27.07 Makerere-Bwaise-24h'!E80)</f>
        <v>2</v>
      </c>
      <c r="F80" s="49">
        <f>AVERAGE('26.07 Makerere-Bwaise-24h'!F80,'27.07 Makerere-Bwaise-24h'!F80)</f>
        <v>3</v>
      </c>
      <c r="G80" s="49">
        <f>AVERAGE('26.07 Makerere-Bwaise-24h'!G80,'27.07 Makerere-Bwaise-24h'!G80)</f>
        <v>1.5</v>
      </c>
      <c r="H80" s="49">
        <f>AVERAGE('26.07 Makerere-Bwaise-24h'!H80,'27.07 Makerere-Bwaise-24h'!H80)</f>
        <v>0.5</v>
      </c>
      <c r="I80" s="49">
        <f>AVERAGE('26.07 Makerere-Bwaise-24h'!I80,'27.07 Makerere-Bwaise-24h'!I80)</f>
        <v>0.5</v>
      </c>
      <c r="J80" s="49">
        <f>AVERAGE('26.07 Makerere-Bwaise-24h'!J80,'27.07 Makerere-Bwaise-24h'!J80)</f>
        <v>1</v>
      </c>
      <c r="K80" s="49">
        <f>AVERAGE('26.07 Makerere-Bwaise-24h'!K80,'27.07 Makerere-Bwaise-24h'!K80)</f>
        <v>0</v>
      </c>
      <c r="L80" s="49">
        <f>AVERAGE('26.07 Makerere-Bwaise-24h'!L80,'27.07 Makerere-Bwaise-24h'!L80)</f>
        <v>0</v>
      </c>
      <c r="M80" s="49">
        <f>AVERAGE('26.07 Makerere-Bwaise-24h'!M80,'27.07 Makerere-Bwaise-24h'!M80)</f>
        <v>50.5</v>
      </c>
      <c r="N80" s="49">
        <f>AVERAGE('26.07 Makerere-Bwaise-24h'!N80,'27.07 Makerere-Bwaise-24h'!N80)</f>
        <v>0</v>
      </c>
      <c r="O80" s="15">
        <f t="shared" si="35"/>
        <v>24.5</v>
      </c>
      <c r="P80" s="15">
        <f t="shared" si="36"/>
        <v>75</v>
      </c>
      <c r="R80" s="8"/>
      <c r="T80"/>
    </row>
    <row r="81" spans="2:20" ht="23.1" customHeight="1" x14ac:dyDescent="0.25">
      <c r="B81" s="23" t="s">
        <v>121</v>
      </c>
      <c r="C81" s="49">
        <f>AVERAGE('26.07 Makerere-Bwaise-24h'!C81,'27.07 Makerere-Bwaise-24h'!C81)</f>
        <v>13.5</v>
      </c>
      <c r="D81" s="49">
        <f>AVERAGE('26.07 Makerere-Bwaise-24h'!D81,'27.07 Makerere-Bwaise-24h'!D81)</f>
        <v>2</v>
      </c>
      <c r="E81" s="49">
        <f>AVERAGE('26.07 Makerere-Bwaise-24h'!E81,'27.07 Makerere-Bwaise-24h'!E81)</f>
        <v>2.5</v>
      </c>
      <c r="F81" s="49">
        <f>AVERAGE('26.07 Makerere-Bwaise-24h'!F81,'27.07 Makerere-Bwaise-24h'!F81)</f>
        <v>0.5</v>
      </c>
      <c r="G81" s="49">
        <f>AVERAGE('26.07 Makerere-Bwaise-24h'!G81,'27.07 Makerere-Bwaise-24h'!G81)</f>
        <v>0.5</v>
      </c>
      <c r="H81" s="49">
        <f>AVERAGE('26.07 Makerere-Bwaise-24h'!H81,'27.07 Makerere-Bwaise-24h'!H81)</f>
        <v>0.5</v>
      </c>
      <c r="I81" s="49">
        <f>AVERAGE('26.07 Makerere-Bwaise-24h'!I81,'27.07 Makerere-Bwaise-24h'!I81)</f>
        <v>1</v>
      </c>
      <c r="J81" s="49">
        <f>AVERAGE('26.07 Makerere-Bwaise-24h'!J81,'27.07 Makerere-Bwaise-24h'!J81)</f>
        <v>1.5</v>
      </c>
      <c r="K81" s="49">
        <f>AVERAGE('26.07 Makerere-Bwaise-24h'!K81,'27.07 Makerere-Bwaise-24h'!K81)</f>
        <v>0</v>
      </c>
      <c r="L81" s="49">
        <f>AVERAGE('26.07 Makerere-Bwaise-24h'!L81,'27.07 Makerere-Bwaise-24h'!L81)</f>
        <v>0</v>
      </c>
      <c r="M81" s="49">
        <f>AVERAGE('26.07 Makerere-Bwaise-24h'!M81,'27.07 Makerere-Bwaise-24h'!M81)</f>
        <v>30.5</v>
      </c>
      <c r="N81" s="49">
        <f>AVERAGE('26.07 Makerere-Bwaise-24h'!N81,'27.07 Makerere-Bwaise-24h'!N81)</f>
        <v>0</v>
      </c>
      <c r="O81" s="15">
        <f t="shared" si="35"/>
        <v>22</v>
      </c>
      <c r="P81" s="15">
        <f t="shared" si="36"/>
        <v>52.5</v>
      </c>
      <c r="R81" s="8"/>
      <c r="T81"/>
    </row>
    <row r="82" spans="2:20" ht="23.1" customHeight="1" x14ac:dyDescent="0.25">
      <c r="B82" s="24" t="s">
        <v>122</v>
      </c>
      <c r="C82" s="49">
        <f>AVERAGE('26.07 Makerere-Bwaise-24h'!C82,'27.07 Makerere-Bwaise-24h'!C82)</f>
        <v>17.5</v>
      </c>
      <c r="D82" s="49">
        <f>AVERAGE('26.07 Makerere-Bwaise-24h'!D82,'27.07 Makerere-Bwaise-24h'!D82)</f>
        <v>1</v>
      </c>
      <c r="E82" s="49">
        <f>AVERAGE('26.07 Makerere-Bwaise-24h'!E82,'27.07 Makerere-Bwaise-24h'!E82)</f>
        <v>1</v>
      </c>
      <c r="F82" s="49">
        <f>AVERAGE('26.07 Makerere-Bwaise-24h'!F82,'27.07 Makerere-Bwaise-24h'!F82)</f>
        <v>3</v>
      </c>
      <c r="G82" s="49">
        <f>AVERAGE('26.07 Makerere-Bwaise-24h'!G82,'27.07 Makerere-Bwaise-24h'!G82)</f>
        <v>0</v>
      </c>
      <c r="H82" s="49">
        <f>AVERAGE('26.07 Makerere-Bwaise-24h'!H82,'27.07 Makerere-Bwaise-24h'!H82)</f>
        <v>0</v>
      </c>
      <c r="I82" s="49">
        <f>AVERAGE('26.07 Makerere-Bwaise-24h'!I82,'27.07 Makerere-Bwaise-24h'!I82)</f>
        <v>1.5</v>
      </c>
      <c r="J82" s="49">
        <f>AVERAGE('26.07 Makerere-Bwaise-24h'!J82,'27.07 Makerere-Bwaise-24h'!J82)</f>
        <v>0.5</v>
      </c>
      <c r="K82" s="49">
        <f>AVERAGE('26.07 Makerere-Bwaise-24h'!K82,'27.07 Makerere-Bwaise-24h'!K82)</f>
        <v>1.5</v>
      </c>
      <c r="L82" s="49">
        <f>AVERAGE('26.07 Makerere-Bwaise-24h'!L82,'27.07 Makerere-Bwaise-24h'!L82)</f>
        <v>0</v>
      </c>
      <c r="M82" s="49">
        <f>AVERAGE('26.07 Makerere-Bwaise-24h'!M82,'27.07 Makerere-Bwaise-24h'!M82)</f>
        <v>28</v>
      </c>
      <c r="N82" s="49">
        <f>AVERAGE('26.07 Makerere-Bwaise-24h'!N82,'27.07 Makerere-Bwaise-24h'!N82)</f>
        <v>0</v>
      </c>
      <c r="O82" s="15">
        <f t="shared" si="35"/>
        <v>26</v>
      </c>
      <c r="P82" s="15">
        <f t="shared" si="36"/>
        <v>54</v>
      </c>
      <c r="R82" s="8"/>
      <c r="T82"/>
    </row>
    <row r="83" spans="2:20" ht="23.1" customHeight="1" x14ac:dyDescent="0.25">
      <c r="B83" s="23" t="s">
        <v>123</v>
      </c>
      <c r="C83" s="49">
        <f>AVERAGE('26.07 Makerere-Bwaise-24h'!C83,'27.07 Makerere-Bwaise-24h'!C83)</f>
        <v>8</v>
      </c>
      <c r="D83" s="49">
        <f>AVERAGE('26.07 Makerere-Bwaise-24h'!D83,'27.07 Makerere-Bwaise-24h'!D83)</f>
        <v>0.5</v>
      </c>
      <c r="E83" s="49">
        <f>AVERAGE('26.07 Makerere-Bwaise-24h'!E83,'27.07 Makerere-Bwaise-24h'!E83)</f>
        <v>1</v>
      </c>
      <c r="F83" s="49">
        <f>AVERAGE('26.07 Makerere-Bwaise-24h'!F83,'27.07 Makerere-Bwaise-24h'!F83)</f>
        <v>0</v>
      </c>
      <c r="G83" s="49">
        <f>AVERAGE('26.07 Makerere-Bwaise-24h'!G83,'27.07 Makerere-Bwaise-24h'!G83)</f>
        <v>0.5</v>
      </c>
      <c r="H83" s="49">
        <f>AVERAGE('26.07 Makerere-Bwaise-24h'!H83,'27.07 Makerere-Bwaise-24h'!H83)</f>
        <v>1.5</v>
      </c>
      <c r="I83" s="49">
        <f>AVERAGE('26.07 Makerere-Bwaise-24h'!I83,'27.07 Makerere-Bwaise-24h'!I83)</f>
        <v>0</v>
      </c>
      <c r="J83" s="49">
        <f>AVERAGE('26.07 Makerere-Bwaise-24h'!J83,'27.07 Makerere-Bwaise-24h'!J83)</f>
        <v>0</v>
      </c>
      <c r="K83" s="49">
        <f>AVERAGE('26.07 Makerere-Bwaise-24h'!K83,'27.07 Makerere-Bwaise-24h'!K83)</f>
        <v>0</v>
      </c>
      <c r="L83" s="49">
        <f>AVERAGE('26.07 Makerere-Bwaise-24h'!L83,'27.07 Makerere-Bwaise-24h'!L83)</f>
        <v>0</v>
      </c>
      <c r="M83" s="49">
        <f>AVERAGE('26.07 Makerere-Bwaise-24h'!M83,'27.07 Makerere-Bwaise-24h'!M83)</f>
        <v>17.5</v>
      </c>
      <c r="N83" s="49">
        <f>AVERAGE('26.07 Makerere-Bwaise-24h'!N83,'27.07 Makerere-Bwaise-24h'!N83)</f>
        <v>0</v>
      </c>
      <c r="O83" s="15">
        <f t="shared" si="35"/>
        <v>11.5</v>
      </c>
      <c r="P83" s="15">
        <f t="shared" si="36"/>
        <v>29</v>
      </c>
      <c r="R83" s="8"/>
      <c r="T83"/>
    </row>
    <row r="84" spans="2:20" ht="23.1" customHeight="1" x14ac:dyDescent="0.25">
      <c r="B84" s="25" t="s">
        <v>124</v>
      </c>
      <c r="C84" s="49">
        <f>AVERAGE('26.07 Makerere-Bwaise-24h'!C84,'27.07 Makerere-Bwaise-24h'!C84)</f>
        <v>7</v>
      </c>
      <c r="D84" s="49">
        <f>AVERAGE('26.07 Makerere-Bwaise-24h'!D84,'27.07 Makerere-Bwaise-24h'!D84)</f>
        <v>0</v>
      </c>
      <c r="E84" s="49">
        <f>AVERAGE('26.07 Makerere-Bwaise-24h'!E84,'27.07 Makerere-Bwaise-24h'!E84)</f>
        <v>0</v>
      </c>
      <c r="F84" s="49">
        <f>AVERAGE('26.07 Makerere-Bwaise-24h'!F84,'27.07 Makerere-Bwaise-24h'!F84)</f>
        <v>1.5</v>
      </c>
      <c r="G84" s="49">
        <f>AVERAGE('26.07 Makerere-Bwaise-24h'!G84,'27.07 Makerere-Bwaise-24h'!G84)</f>
        <v>0</v>
      </c>
      <c r="H84" s="49">
        <f>AVERAGE('26.07 Makerere-Bwaise-24h'!H84,'27.07 Makerere-Bwaise-24h'!H84)</f>
        <v>0</v>
      </c>
      <c r="I84" s="49">
        <f>AVERAGE('26.07 Makerere-Bwaise-24h'!I84,'27.07 Makerere-Bwaise-24h'!I84)</f>
        <v>1</v>
      </c>
      <c r="J84" s="49">
        <f>AVERAGE('26.07 Makerere-Bwaise-24h'!J84,'27.07 Makerere-Bwaise-24h'!J84)</f>
        <v>2</v>
      </c>
      <c r="K84" s="49">
        <f>AVERAGE('26.07 Makerere-Bwaise-24h'!K84,'27.07 Makerere-Bwaise-24h'!K84)</f>
        <v>0</v>
      </c>
      <c r="L84" s="49">
        <f>AVERAGE('26.07 Makerere-Bwaise-24h'!L84,'27.07 Makerere-Bwaise-24h'!L84)</f>
        <v>0</v>
      </c>
      <c r="M84" s="49">
        <f>AVERAGE('26.07 Makerere-Bwaise-24h'!M84,'27.07 Makerere-Bwaise-24h'!M84)</f>
        <v>17</v>
      </c>
      <c r="N84" s="49">
        <f>AVERAGE('26.07 Makerere-Bwaise-24h'!N84,'27.07 Makerere-Bwaise-24h'!N84)</f>
        <v>0</v>
      </c>
      <c r="O84" s="15">
        <f t="shared" si="35"/>
        <v>11.5</v>
      </c>
      <c r="P84" s="15">
        <f t="shared" si="36"/>
        <v>28.5</v>
      </c>
      <c r="R84" s="8"/>
      <c r="T84"/>
    </row>
    <row r="85" spans="2:20" ht="23.1" customHeight="1" x14ac:dyDescent="0.25">
      <c r="B85" s="23" t="s">
        <v>125</v>
      </c>
      <c r="C85" s="49">
        <f>AVERAGE('26.07 Makerere-Bwaise-24h'!C85,'27.07 Makerere-Bwaise-24h'!C85)</f>
        <v>11</v>
      </c>
      <c r="D85" s="49">
        <f>AVERAGE('26.07 Makerere-Bwaise-24h'!D85,'27.07 Makerere-Bwaise-24h'!D85)</f>
        <v>0</v>
      </c>
      <c r="E85" s="49">
        <f>AVERAGE('26.07 Makerere-Bwaise-24h'!E85,'27.07 Makerere-Bwaise-24h'!E85)</f>
        <v>0.5</v>
      </c>
      <c r="F85" s="49">
        <f>AVERAGE('26.07 Makerere-Bwaise-24h'!F85,'27.07 Makerere-Bwaise-24h'!F85)</f>
        <v>1</v>
      </c>
      <c r="G85" s="49">
        <f>AVERAGE('26.07 Makerere-Bwaise-24h'!G85,'27.07 Makerere-Bwaise-24h'!G85)</f>
        <v>0</v>
      </c>
      <c r="H85" s="49">
        <f>AVERAGE('26.07 Makerere-Bwaise-24h'!H85,'27.07 Makerere-Bwaise-24h'!H85)</f>
        <v>0</v>
      </c>
      <c r="I85" s="49">
        <f>AVERAGE('26.07 Makerere-Bwaise-24h'!I85,'27.07 Makerere-Bwaise-24h'!I85)</f>
        <v>0</v>
      </c>
      <c r="J85" s="49">
        <f>AVERAGE('26.07 Makerere-Bwaise-24h'!J85,'27.07 Makerere-Bwaise-24h'!J85)</f>
        <v>0</v>
      </c>
      <c r="K85" s="49">
        <f>AVERAGE('26.07 Makerere-Bwaise-24h'!K85,'27.07 Makerere-Bwaise-24h'!K85)</f>
        <v>1</v>
      </c>
      <c r="L85" s="49">
        <f>AVERAGE('26.07 Makerere-Bwaise-24h'!L85,'27.07 Makerere-Bwaise-24h'!L85)</f>
        <v>0</v>
      </c>
      <c r="M85" s="49">
        <f>AVERAGE('26.07 Makerere-Bwaise-24h'!M85,'27.07 Makerere-Bwaise-24h'!M85)</f>
        <v>17</v>
      </c>
      <c r="N85" s="49">
        <f>AVERAGE('26.07 Makerere-Bwaise-24h'!N85,'27.07 Makerere-Bwaise-24h'!N85)</f>
        <v>0</v>
      </c>
      <c r="O85" s="15">
        <f t="shared" si="35"/>
        <v>13.5</v>
      </c>
      <c r="P85" s="15">
        <f t="shared" si="36"/>
        <v>30.5</v>
      </c>
      <c r="R85" s="8"/>
      <c r="T85"/>
    </row>
    <row r="86" spans="2:20" ht="23.1" customHeight="1" x14ac:dyDescent="0.25">
      <c r="B86" s="24" t="s">
        <v>126</v>
      </c>
      <c r="C86" s="49">
        <f>AVERAGE('26.07 Makerere-Bwaise-24h'!C86,'27.07 Makerere-Bwaise-24h'!C86)</f>
        <v>11</v>
      </c>
      <c r="D86" s="49">
        <f>AVERAGE('26.07 Makerere-Bwaise-24h'!D86,'27.07 Makerere-Bwaise-24h'!D86)</f>
        <v>1</v>
      </c>
      <c r="E86" s="49">
        <f>AVERAGE('26.07 Makerere-Bwaise-24h'!E86,'27.07 Makerere-Bwaise-24h'!E86)</f>
        <v>0.5</v>
      </c>
      <c r="F86" s="49">
        <f>AVERAGE('26.07 Makerere-Bwaise-24h'!F86,'27.07 Makerere-Bwaise-24h'!F86)</f>
        <v>0.5</v>
      </c>
      <c r="G86" s="49">
        <f>AVERAGE('26.07 Makerere-Bwaise-24h'!G86,'27.07 Makerere-Bwaise-24h'!G86)</f>
        <v>0</v>
      </c>
      <c r="H86" s="49">
        <f>AVERAGE('26.07 Makerere-Bwaise-24h'!H86,'27.07 Makerere-Bwaise-24h'!H86)</f>
        <v>0</v>
      </c>
      <c r="I86" s="49">
        <f>AVERAGE('26.07 Makerere-Bwaise-24h'!I86,'27.07 Makerere-Bwaise-24h'!I86)</f>
        <v>0.5</v>
      </c>
      <c r="J86" s="49">
        <f>AVERAGE('26.07 Makerere-Bwaise-24h'!J86,'27.07 Makerere-Bwaise-24h'!J86)</f>
        <v>0</v>
      </c>
      <c r="K86" s="49">
        <f>AVERAGE('26.07 Makerere-Bwaise-24h'!K86,'27.07 Makerere-Bwaise-24h'!K86)</f>
        <v>0</v>
      </c>
      <c r="L86" s="49">
        <f>AVERAGE('26.07 Makerere-Bwaise-24h'!L86,'27.07 Makerere-Bwaise-24h'!L86)</f>
        <v>0</v>
      </c>
      <c r="M86" s="49">
        <f>AVERAGE('26.07 Makerere-Bwaise-24h'!M86,'27.07 Makerere-Bwaise-24h'!M86)</f>
        <v>23.5</v>
      </c>
      <c r="N86" s="49">
        <f>AVERAGE('26.07 Makerere-Bwaise-24h'!N86,'27.07 Makerere-Bwaise-24h'!N86)</f>
        <v>0</v>
      </c>
      <c r="O86" s="15">
        <f t="shared" si="35"/>
        <v>13.5</v>
      </c>
      <c r="P86" s="15">
        <f t="shared" si="36"/>
        <v>37</v>
      </c>
      <c r="R86" s="8"/>
      <c r="T86"/>
    </row>
    <row r="87" spans="2:20" ht="23.1" customHeight="1" x14ac:dyDescent="0.25">
      <c r="B87" s="23" t="s">
        <v>127</v>
      </c>
      <c r="C87" s="49">
        <f>AVERAGE('26.07 Makerere-Bwaise-24h'!C87,'27.07 Makerere-Bwaise-24h'!C87)</f>
        <v>5</v>
      </c>
      <c r="D87" s="49">
        <f>AVERAGE('26.07 Makerere-Bwaise-24h'!D87,'27.07 Makerere-Bwaise-24h'!D87)</f>
        <v>1.5</v>
      </c>
      <c r="E87" s="49">
        <f>AVERAGE('26.07 Makerere-Bwaise-24h'!E87,'27.07 Makerere-Bwaise-24h'!E87)</f>
        <v>3</v>
      </c>
      <c r="F87" s="49">
        <f>AVERAGE('26.07 Makerere-Bwaise-24h'!F87,'27.07 Makerere-Bwaise-24h'!F87)</f>
        <v>0</v>
      </c>
      <c r="G87" s="49">
        <f>AVERAGE('26.07 Makerere-Bwaise-24h'!G87,'27.07 Makerere-Bwaise-24h'!G87)</f>
        <v>0</v>
      </c>
      <c r="H87" s="49">
        <f>AVERAGE('26.07 Makerere-Bwaise-24h'!H87,'27.07 Makerere-Bwaise-24h'!H87)</f>
        <v>0</v>
      </c>
      <c r="I87" s="49">
        <f>AVERAGE('26.07 Makerere-Bwaise-24h'!I87,'27.07 Makerere-Bwaise-24h'!I87)</f>
        <v>0.5</v>
      </c>
      <c r="J87" s="49">
        <f>AVERAGE('26.07 Makerere-Bwaise-24h'!J87,'27.07 Makerere-Bwaise-24h'!J87)</f>
        <v>0</v>
      </c>
      <c r="K87" s="49">
        <f>AVERAGE('26.07 Makerere-Bwaise-24h'!K87,'27.07 Makerere-Bwaise-24h'!K87)</f>
        <v>0</v>
      </c>
      <c r="L87" s="49">
        <f>AVERAGE('26.07 Makerere-Bwaise-24h'!L87,'27.07 Makerere-Bwaise-24h'!L87)</f>
        <v>0</v>
      </c>
      <c r="M87" s="49">
        <f>AVERAGE('26.07 Makerere-Bwaise-24h'!M87,'27.07 Makerere-Bwaise-24h'!M87)</f>
        <v>11.5</v>
      </c>
      <c r="N87" s="49">
        <f>AVERAGE('26.07 Makerere-Bwaise-24h'!N87,'27.07 Makerere-Bwaise-24h'!N87)</f>
        <v>0</v>
      </c>
      <c r="O87" s="15">
        <f t="shared" si="35"/>
        <v>10</v>
      </c>
      <c r="P87" s="15">
        <f t="shared" si="36"/>
        <v>21.5</v>
      </c>
      <c r="R87" s="8"/>
      <c r="T87"/>
    </row>
    <row r="88" spans="2:20" ht="23.1" customHeight="1" x14ac:dyDescent="0.25">
      <c r="B88" s="25" t="s">
        <v>128</v>
      </c>
      <c r="C88" s="49">
        <f>AVERAGE('26.07 Makerere-Bwaise-24h'!C88,'27.07 Makerere-Bwaise-24h'!C88)</f>
        <v>6</v>
      </c>
      <c r="D88" s="49">
        <f>AVERAGE('26.07 Makerere-Bwaise-24h'!D88,'27.07 Makerere-Bwaise-24h'!D88)</f>
        <v>0</v>
      </c>
      <c r="E88" s="49">
        <f>AVERAGE('26.07 Makerere-Bwaise-24h'!E88,'27.07 Makerere-Bwaise-24h'!E88)</f>
        <v>0</v>
      </c>
      <c r="F88" s="49">
        <f>AVERAGE('26.07 Makerere-Bwaise-24h'!F88,'27.07 Makerere-Bwaise-24h'!F88)</f>
        <v>2</v>
      </c>
      <c r="G88" s="49">
        <f>AVERAGE('26.07 Makerere-Bwaise-24h'!G88,'27.07 Makerere-Bwaise-24h'!G88)</f>
        <v>0</v>
      </c>
      <c r="H88" s="49">
        <f>AVERAGE('26.07 Makerere-Bwaise-24h'!H88,'27.07 Makerere-Bwaise-24h'!H88)</f>
        <v>0.5</v>
      </c>
      <c r="I88" s="49">
        <f>AVERAGE('26.07 Makerere-Bwaise-24h'!I88,'27.07 Makerere-Bwaise-24h'!I88)</f>
        <v>0</v>
      </c>
      <c r="J88" s="49">
        <f>AVERAGE('26.07 Makerere-Bwaise-24h'!J88,'27.07 Makerere-Bwaise-24h'!J88)</f>
        <v>0</v>
      </c>
      <c r="K88" s="49">
        <f>AVERAGE('26.07 Makerere-Bwaise-24h'!K88,'27.07 Makerere-Bwaise-24h'!K88)</f>
        <v>0.5</v>
      </c>
      <c r="L88" s="49">
        <f>AVERAGE('26.07 Makerere-Bwaise-24h'!L88,'27.07 Makerere-Bwaise-24h'!L88)</f>
        <v>0</v>
      </c>
      <c r="M88" s="49">
        <f>AVERAGE('26.07 Makerere-Bwaise-24h'!M88,'27.07 Makerere-Bwaise-24h'!M88)</f>
        <v>10</v>
      </c>
      <c r="N88" s="49">
        <f>AVERAGE('26.07 Makerere-Bwaise-24h'!N88,'27.07 Makerere-Bwaise-24h'!N88)</f>
        <v>0</v>
      </c>
      <c r="O88" s="15">
        <f t="shared" si="35"/>
        <v>9</v>
      </c>
      <c r="P88" s="15">
        <f t="shared" si="36"/>
        <v>19</v>
      </c>
      <c r="R88" s="8"/>
      <c r="T88"/>
    </row>
    <row r="89" spans="2:20" ht="23.1" customHeight="1" x14ac:dyDescent="0.25">
      <c r="B89" s="23" t="s">
        <v>129</v>
      </c>
      <c r="C89" s="49">
        <f>AVERAGE('26.07 Makerere-Bwaise-24h'!C89,'27.07 Makerere-Bwaise-24h'!C89)</f>
        <v>5.5</v>
      </c>
      <c r="D89" s="49">
        <f>AVERAGE('26.07 Makerere-Bwaise-24h'!D89,'27.07 Makerere-Bwaise-24h'!D89)</f>
        <v>1.5</v>
      </c>
      <c r="E89" s="49">
        <f>AVERAGE('26.07 Makerere-Bwaise-24h'!E89,'27.07 Makerere-Bwaise-24h'!E89)</f>
        <v>0</v>
      </c>
      <c r="F89" s="49">
        <f>AVERAGE('26.07 Makerere-Bwaise-24h'!F89,'27.07 Makerere-Bwaise-24h'!F89)</f>
        <v>0</v>
      </c>
      <c r="G89" s="49">
        <f>AVERAGE('26.07 Makerere-Bwaise-24h'!G89,'27.07 Makerere-Bwaise-24h'!G89)</f>
        <v>0</v>
      </c>
      <c r="H89" s="49">
        <f>AVERAGE('26.07 Makerere-Bwaise-24h'!H89,'27.07 Makerere-Bwaise-24h'!H89)</f>
        <v>0</v>
      </c>
      <c r="I89" s="49">
        <f>AVERAGE('26.07 Makerere-Bwaise-24h'!I89,'27.07 Makerere-Bwaise-24h'!I89)</f>
        <v>1</v>
      </c>
      <c r="J89" s="49">
        <f>AVERAGE('26.07 Makerere-Bwaise-24h'!J89,'27.07 Makerere-Bwaise-24h'!J89)</f>
        <v>0.5</v>
      </c>
      <c r="K89" s="49">
        <f>AVERAGE('26.07 Makerere-Bwaise-24h'!K89,'27.07 Makerere-Bwaise-24h'!K89)</f>
        <v>0</v>
      </c>
      <c r="L89" s="49">
        <f>AVERAGE('26.07 Makerere-Bwaise-24h'!L89,'27.07 Makerere-Bwaise-24h'!L89)</f>
        <v>0</v>
      </c>
      <c r="M89" s="49">
        <f>AVERAGE('26.07 Makerere-Bwaise-24h'!M89,'27.07 Makerere-Bwaise-24h'!M89)</f>
        <v>9.5</v>
      </c>
      <c r="N89" s="49">
        <f>AVERAGE('26.07 Makerere-Bwaise-24h'!N89,'27.07 Makerere-Bwaise-24h'!N89)</f>
        <v>0</v>
      </c>
      <c r="O89" s="15">
        <f t="shared" si="35"/>
        <v>8.5</v>
      </c>
      <c r="P89" s="15">
        <f t="shared" si="36"/>
        <v>18</v>
      </c>
      <c r="R89" s="8"/>
      <c r="T89"/>
    </row>
    <row r="90" spans="2:20" ht="23.1" customHeight="1" x14ac:dyDescent="0.25">
      <c r="B90" s="24" t="s">
        <v>130</v>
      </c>
      <c r="C90" s="49">
        <f>AVERAGE('26.07 Makerere-Bwaise-24h'!C90,'27.07 Makerere-Bwaise-24h'!C90)</f>
        <v>9</v>
      </c>
      <c r="D90" s="49">
        <f>AVERAGE('26.07 Makerere-Bwaise-24h'!D90,'27.07 Makerere-Bwaise-24h'!D90)</f>
        <v>1</v>
      </c>
      <c r="E90" s="49">
        <f>AVERAGE('26.07 Makerere-Bwaise-24h'!E90,'27.07 Makerere-Bwaise-24h'!E90)</f>
        <v>1</v>
      </c>
      <c r="F90" s="49">
        <f>AVERAGE('26.07 Makerere-Bwaise-24h'!F90,'27.07 Makerere-Bwaise-24h'!F90)</f>
        <v>0</v>
      </c>
      <c r="G90" s="49">
        <f>AVERAGE('26.07 Makerere-Bwaise-24h'!G90,'27.07 Makerere-Bwaise-24h'!G90)</f>
        <v>0</v>
      </c>
      <c r="H90" s="49">
        <f>AVERAGE('26.07 Makerere-Bwaise-24h'!H90,'27.07 Makerere-Bwaise-24h'!H90)</f>
        <v>0</v>
      </c>
      <c r="I90" s="49">
        <f>AVERAGE('26.07 Makerere-Bwaise-24h'!I90,'27.07 Makerere-Bwaise-24h'!I90)</f>
        <v>0.5</v>
      </c>
      <c r="J90" s="49">
        <f>AVERAGE('26.07 Makerere-Bwaise-24h'!J90,'27.07 Makerere-Bwaise-24h'!J90)</f>
        <v>0</v>
      </c>
      <c r="K90" s="49">
        <f>AVERAGE('26.07 Makerere-Bwaise-24h'!K90,'27.07 Makerere-Bwaise-24h'!K90)</f>
        <v>0</v>
      </c>
      <c r="L90" s="49">
        <f>AVERAGE('26.07 Makerere-Bwaise-24h'!L90,'27.07 Makerere-Bwaise-24h'!L90)</f>
        <v>0</v>
      </c>
      <c r="M90" s="49">
        <f>AVERAGE('26.07 Makerere-Bwaise-24h'!M90,'27.07 Makerere-Bwaise-24h'!M90)</f>
        <v>6</v>
      </c>
      <c r="N90" s="49">
        <f>AVERAGE('26.07 Makerere-Bwaise-24h'!N90,'27.07 Makerere-Bwaise-24h'!N90)</f>
        <v>0</v>
      </c>
      <c r="O90" s="15">
        <f t="shared" si="35"/>
        <v>11.5</v>
      </c>
      <c r="P90" s="15">
        <f t="shared" si="36"/>
        <v>17.5</v>
      </c>
      <c r="R90" s="8"/>
      <c r="T90"/>
    </row>
    <row r="91" spans="2:20" ht="23.1" customHeight="1" x14ac:dyDescent="0.25">
      <c r="B91" s="23" t="s">
        <v>131</v>
      </c>
      <c r="C91" s="49">
        <f>AVERAGE('26.07 Makerere-Bwaise-24h'!C91,'27.07 Makerere-Bwaise-24h'!C91)</f>
        <v>4.5</v>
      </c>
      <c r="D91" s="49">
        <f>AVERAGE('26.07 Makerere-Bwaise-24h'!D91,'27.07 Makerere-Bwaise-24h'!D91)</f>
        <v>0.5</v>
      </c>
      <c r="E91" s="49">
        <f>AVERAGE('26.07 Makerere-Bwaise-24h'!E91,'27.07 Makerere-Bwaise-24h'!E91)</f>
        <v>0</v>
      </c>
      <c r="F91" s="49">
        <f>AVERAGE('26.07 Makerere-Bwaise-24h'!F91,'27.07 Makerere-Bwaise-24h'!F91)</f>
        <v>2</v>
      </c>
      <c r="G91" s="49">
        <f>AVERAGE('26.07 Makerere-Bwaise-24h'!G91,'27.07 Makerere-Bwaise-24h'!G91)</f>
        <v>0</v>
      </c>
      <c r="H91" s="49">
        <f>AVERAGE('26.07 Makerere-Bwaise-24h'!H91,'27.07 Makerere-Bwaise-24h'!H91)</f>
        <v>0</v>
      </c>
      <c r="I91" s="49">
        <f>AVERAGE('26.07 Makerere-Bwaise-24h'!I91,'27.07 Makerere-Bwaise-24h'!I91)</f>
        <v>0</v>
      </c>
      <c r="J91" s="49">
        <f>AVERAGE('26.07 Makerere-Bwaise-24h'!J91,'27.07 Makerere-Bwaise-24h'!J91)</f>
        <v>0</v>
      </c>
      <c r="K91" s="49">
        <f>AVERAGE('26.07 Makerere-Bwaise-24h'!K91,'27.07 Makerere-Bwaise-24h'!K91)</f>
        <v>0</v>
      </c>
      <c r="L91" s="49">
        <f>AVERAGE('26.07 Makerere-Bwaise-24h'!L91,'27.07 Makerere-Bwaise-24h'!L91)</f>
        <v>0</v>
      </c>
      <c r="M91" s="49">
        <f>AVERAGE('26.07 Makerere-Bwaise-24h'!M91,'27.07 Makerere-Bwaise-24h'!M91)</f>
        <v>8</v>
      </c>
      <c r="N91" s="49">
        <f>AVERAGE('26.07 Makerere-Bwaise-24h'!N91,'27.07 Makerere-Bwaise-24h'!N91)</f>
        <v>0</v>
      </c>
      <c r="O91" s="15">
        <f t="shared" si="35"/>
        <v>7</v>
      </c>
      <c r="P91" s="15">
        <f t="shared" si="36"/>
        <v>15</v>
      </c>
      <c r="R91" s="8"/>
      <c r="T91"/>
    </row>
    <row r="92" spans="2:20" ht="23.1" customHeight="1" x14ac:dyDescent="0.25">
      <c r="B92" s="25" t="s">
        <v>132</v>
      </c>
      <c r="C92" s="49">
        <f>AVERAGE('26.07 Makerere-Bwaise-24h'!C92,'27.07 Makerere-Bwaise-24h'!C92)</f>
        <v>7.5</v>
      </c>
      <c r="D92" s="49">
        <f>AVERAGE('26.07 Makerere-Bwaise-24h'!D92,'27.07 Makerere-Bwaise-24h'!D92)</f>
        <v>0</v>
      </c>
      <c r="E92" s="49">
        <f>AVERAGE('26.07 Makerere-Bwaise-24h'!E92,'27.07 Makerere-Bwaise-24h'!E92)</f>
        <v>0.5</v>
      </c>
      <c r="F92" s="49">
        <f>AVERAGE('26.07 Makerere-Bwaise-24h'!F92,'27.07 Makerere-Bwaise-24h'!F92)</f>
        <v>1.5</v>
      </c>
      <c r="G92" s="49">
        <f>AVERAGE('26.07 Makerere-Bwaise-24h'!G92,'27.07 Makerere-Bwaise-24h'!G92)</f>
        <v>0</v>
      </c>
      <c r="H92" s="49">
        <f>AVERAGE('26.07 Makerere-Bwaise-24h'!H92,'27.07 Makerere-Bwaise-24h'!H92)</f>
        <v>0</v>
      </c>
      <c r="I92" s="49">
        <f>AVERAGE('26.07 Makerere-Bwaise-24h'!I92,'27.07 Makerere-Bwaise-24h'!I92)</f>
        <v>0</v>
      </c>
      <c r="J92" s="49">
        <f>AVERAGE('26.07 Makerere-Bwaise-24h'!J92,'27.07 Makerere-Bwaise-24h'!J92)</f>
        <v>0</v>
      </c>
      <c r="K92" s="49">
        <f>AVERAGE('26.07 Makerere-Bwaise-24h'!K92,'27.07 Makerere-Bwaise-24h'!K92)</f>
        <v>0</v>
      </c>
      <c r="L92" s="49">
        <f>AVERAGE('26.07 Makerere-Bwaise-24h'!L92,'27.07 Makerere-Bwaise-24h'!L92)</f>
        <v>0</v>
      </c>
      <c r="M92" s="49">
        <f>AVERAGE('26.07 Makerere-Bwaise-24h'!M92,'27.07 Makerere-Bwaise-24h'!M92)</f>
        <v>11.5</v>
      </c>
      <c r="N92" s="49">
        <f>AVERAGE('26.07 Makerere-Bwaise-24h'!N92,'27.07 Makerere-Bwaise-24h'!N92)</f>
        <v>0</v>
      </c>
      <c r="O92" s="15">
        <f t="shared" si="35"/>
        <v>9.5</v>
      </c>
      <c r="P92" s="15">
        <f t="shared" si="36"/>
        <v>21</v>
      </c>
      <c r="R92" s="8"/>
      <c r="T92"/>
    </row>
    <row r="93" spans="2:20" ht="23.1" customHeight="1" x14ac:dyDescent="0.25">
      <c r="B93" s="23" t="s">
        <v>133</v>
      </c>
      <c r="C93" s="49">
        <f>AVERAGE('26.07 Makerere-Bwaise-24h'!C93,'27.07 Makerere-Bwaise-24h'!C93)</f>
        <v>7.5</v>
      </c>
      <c r="D93" s="49">
        <f>AVERAGE('26.07 Makerere-Bwaise-24h'!D93,'27.07 Makerere-Bwaise-24h'!D93)</f>
        <v>1</v>
      </c>
      <c r="E93" s="49">
        <f>AVERAGE('26.07 Makerere-Bwaise-24h'!E93,'27.07 Makerere-Bwaise-24h'!E93)</f>
        <v>1</v>
      </c>
      <c r="F93" s="49">
        <f>AVERAGE('26.07 Makerere-Bwaise-24h'!F93,'27.07 Makerere-Bwaise-24h'!F93)</f>
        <v>2.5</v>
      </c>
      <c r="G93" s="49">
        <f>AVERAGE('26.07 Makerere-Bwaise-24h'!G93,'27.07 Makerere-Bwaise-24h'!G93)</f>
        <v>0</v>
      </c>
      <c r="H93" s="49">
        <f>AVERAGE('26.07 Makerere-Bwaise-24h'!H93,'27.07 Makerere-Bwaise-24h'!H93)</f>
        <v>0</v>
      </c>
      <c r="I93" s="49">
        <f>AVERAGE('26.07 Makerere-Bwaise-24h'!I93,'27.07 Makerere-Bwaise-24h'!I93)</f>
        <v>1</v>
      </c>
      <c r="J93" s="49">
        <f>AVERAGE('26.07 Makerere-Bwaise-24h'!J93,'27.07 Makerere-Bwaise-24h'!J93)</f>
        <v>0</v>
      </c>
      <c r="K93" s="49">
        <f>AVERAGE('26.07 Makerere-Bwaise-24h'!K93,'27.07 Makerere-Bwaise-24h'!K93)</f>
        <v>0</v>
      </c>
      <c r="L93" s="49">
        <f>AVERAGE('26.07 Makerere-Bwaise-24h'!L93,'27.07 Makerere-Bwaise-24h'!L93)</f>
        <v>0</v>
      </c>
      <c r="M93" s="49">
        <f>AVERAGE('26.07 Makerere-Bwaise-24h'!M93,'27.07 Makerere-Bwaise-24h'!M93)</f>
        <v>10.5</v>
      </c>
      <c r="N93" s="49">
        <f>AVERAGE('26.07 Makerere-Bwaise-24h'!N93,'27.07 Makerere-Bwaise-24h'!N93)</f>
        <v>0</v>
      </c>
      <c r="O93" s="15">
        <f t="shared" si="35"/>
        <v>13</v>
      </c>
      <c r="P93" s="15">
        <f t="shared" si="36"/>
        <v>23.5</v>
      </c>
      <c r="R93" s="8"/>
      <c r="T93"/>
    </row>
    <row r="94" spans="2:20" ht="23.1" customHeight="1" x14ac:dyDescent="0.25">
      <c r="B94" s="24" t="s">
        <v>134</v>
      </c>
      <c r="C94" s="49">
        <f>AVERAGE('26.07 Makerere-Bwaise-24h'!C94,'27.07 Makerere-Bwaise-24h'!C94)</f>
        <v>19.5</v>
      </c>
      <c r="D94" s="49">
        <f>AVERAGE('26.07 Makerere-Bwaise-24h'!D94,'27.07 Makerere-Bwaise-24h'!D94)</f>
        <v>2</v>
      </c>
      <c r="E94" s="49">
        <f>AVERAGE('26.07 Makerere-Bwaise-24h'!E94,'27.07 Makerere-Bwaise-24h'!E94)</f>
        <v>0</v>
      </c>
      <c r="F94" s="49">
        <f>AVERAGE('26.07 Makerere-Bwaise-24h'!F94,'27.07 Makerere-Bwaise-24h'!F94)</f>
        <v>1.5</v>
      </c>
      <c r="G94" s="49">
        <f>AVERAGE('26.07 Makerere-Bwaise-24h'!G94,'27.07 Makerere-Bwaise-24h'!G94)</f>
        <v>0</v>
      </c>
      <c r="H94" s="49">
        <f>AVERAGE('26.07 Makerere-Bwaise-24h'!H94,'27.07 Makerere-Bwaise-24h'!H94)</f>
        <v>0</v>
      </c>
      <c r="I94" s="49">
        <f>AVERAGE('26.07 Makerere-Bwaise-24h'!I94,'27.07 Makerere-Bwaise-24h'!I94)</f>
        <v>1.5</v>
      </c>
      <c r="J94" s="49">
        <f>AVERAGE('26.07 Makerere-Bwaise-24h'!J94,'27.07 Makerere-Bwaise-24h'!J94)</f>
        <v>0</v>
      </c>
      <c r="K94" s="49">
        <f>AVERAGE('26.07 Makerere-Bwaise-24h'!K94,'27.07 Makerere-Bwaise-24h'!K94)</f>
        <v>0</v>
      </c>
      <c r="L94" s="49">
        <f>AVERAGE('26.07 Makerere-Bwaise-24h'!L94,'27.07 Makerere-Bwaise-24h'!L94)</f>
        <v>0</v>
      </c>
      <c r="M94" s="49">
        <f>AVERAGE('26.07 Makerere-Bwaise-24h'!M94,'27.07 Makerere-Bwaise-24h'!M94)</f>
        <v>18.5</v>
      </c>
      <c r="N94" s="49">
        <f>AVERAGE('26.07 Makerere-Bwaise-24h'!N94,'27.07 Makerere-Bwaise-24h'!N94)</f>
        <v>0</v>
      </c>
      <c r="O94" s="15">
        <f t="shared" si="35"/>
        <v>24.5</v>
      </c>
      <c r="P94" s="15">
        <f t="shared" si="36"/>
        <v>43</v>
      </c>
      <c r="R94" s="8"/>
      <c r="T94"/>
    </row>
    <row r="95" spans="2:20" ht="23.1" customHeight="1" x14ac:dyDescent="0.25">
      <c r="B95" s="23" t="s">
        <v>135</v>
      </c>
      <c r="C95" s="49">
        <f>AVERAGE('26.07 Makerere-Bwaise-24h'!C95,'27.07 Makerere-Bwaise-24h'!C95)</f>
        <v>5</v>
      </c>
      <c r="D95" s="49">
        <f>AVERAGE('26.07 Makerere-Bwaise-24h'!D95,'27.07 Makerere-Bwaise-24h'!D95)</f>
        <v>0</v>
      </c>
      <c r="E95" s="49">
        <f>AVERAGE('26.07 Makerere-Bwaise-24h'!E95,'27.07 Makerere-Bwaise-24h'!E95)</f>
        <v>0</v>
      </c>
      <c r="F95" s="49">
        <f>AVERAGE('26.07 Makerere-Bwaise-24h'!F95,'27.07 Makerere-Bwaise-24h'!F95)</f>
        <v>2.5</v>
      </c>
      <c r="G95" s="49">
        <f>AVERAGE('26.07 Makerere-Bwaise-24h'!G95,'27.07 Makerere-Bwaise-24h'!G95)</f>
        <v>0</v>
      </c>
      <c r="H95" s="49">
        <f>AVERAGE('26.07 Makerere-Bwaise-24h'!H95,'27.07 Makerere-Bwaise-24h'!H95)</f>
        <v>0</v>
      </c>
      <c r="I95" s="49">
        <f>AVERAGE('26.07 Makerere-Bwaise-24h'!I95,'27.07 Makerere-Bwaise-24h'!I95)</f>
        <v>1.5</v>
      </c>
      <c r="J95" s="49">
        <f>AVERAGE('26.07 Makerere-Bwaise-24h'!J95,'27.07 Makerere-Bwaise-24h'!J95)</f>
        <v>0</v>
      </c>
      <c r="K95" s="49">
        <f>AVERAGE('26.07 Makerere-Bwaise-24h'!K95,'27.07 Makerere-Bwaise-24h'!K95)</f>
        <v>0</v>
      </c>
      <c r="L95" s="49">
        <f>AVERAGE('26.07 Makerere-Bwaise-24h'!L95,'27.07 Makerere-Bwaise-24h'!L95)</f>
        <v>0</v>
      </c>
      <c r="M95" s="49">
        <f>AVERAGE('26.07 Makerere-Bwaise-24h'!M95,'27.07 Makerere-Bwaise-24h'!M95)</f>
        <v>21.5</v>
      </c>
      <c r="N95" s="49">
        <f>AVERAGE('26.07 Makerere-Bwaise-24h'!N95,'27.07 Makerere-Bwaise-24h'!N95)</f>
        <v>0</v>
      </c>
      <c r="O95" s="15">
        <f t="shared" si="35"/>
        <v>9</v>
      </c>
      <c r="P95" s="15">
        <f t="shared" si="36"/>
        <v>30.5</v>
      </c>
      <c r="R95" s="8"/>
      <c r="T95"/>
    </row>
    <row r="96" spans="2:20" ht="23.1" customHeight="1" x14ac:dyDescent="0.25">
      <c r="B96" s="25" t="s">
        <v>136</v>
      </c>
      <c r="C96" s="49">
        <f>AVERAGE('26.07 Makerere-Bwaise-24h'!C96,'27.07 Makerere-Bwaise-24h'!C96)</f>
        <v>7</v>
      </c>
      <c r="D96" s="49">
        <f>AVERAGE('26.07 Makerere-Bwaise-24h'!D96,'27.07 Makerere-Bwaise-24h'!D96)</f>
        <v>1</v>
      </c>
      <c r="E96" s="49">
        <f>AVERAGE('26.07 Makerere-Bwaise-24h'!E96,'27.07 Makerere-Bwaise-24h'!E96)</f>
        <v>0.5</v>
      </c>
      <c r="F96" s="49">
        <f>AVERAGE('26.07 Makerere-Bwaise-24h'!F96,'27.07 Makerere-Bwaise-24h'!F96)</f>
        <v>1</v>
      </c>
      <c r="G96" s="49">
        <f>AVERAGE('26.07 Makerere-Bwaise-24h'!G96,'27.07 Makerere-Bwaise-24h'!G96)</f>
        <v>0</v>
      </c>
      <c r="H96" s="49">
        <f>AVERAGE('26.07 Makerere-Bwaise-24h'!H96,'27.07 Makerere-Bwaise-24h'!H96)</f>
        <v>0</v>
      </c>
      <c r="I96" s="49">
        <f>AVERAGE('26.07 Makerere-Bwaise-24h'!I96,'27.07 Makerere-Bwaise-24h'!I96)</f>
        <v>0.5</v>
      </c>
      <c r="J96" s="49">
        <f>AVERAGE('26.07 Makerere-Bwaise-24h'!J96,'27.07 Makerere-Bwaise-24h'!J96)</f>
        <v>0</v>
      </c>
      <c r="K96" s="49">
        <f>AVERAGE('26.07 Makerere-Bwaise-24h'!K96,'27.07 Makerere-Bwaise-24h'!K96)</f>
        <v>0.5</v>
      </c>
      <c r="L96" s="49">
        <f>AVERAGE('26.07 Makerere-Bwaise-24h'!L96,'27.07 Makerere-Bwaise-24h'!L96)</f>
        <v>0</v>
      </c>
      <c r="M96" s="49">
        <f>AVERAGE('26.07 Makerere-Bwaise-24h'!M96,'27.07 Makerere-Bwaise-24h'!M96)</f>
        <v>21.5</v>
      </c>
      <c r="N96" s="49">
        <f>AVERAGE('26.07 Makerere-Bwaise-24h'!N96,'27.07 Makerere-Bwaise-24h'!N96)</f>
        <v>0</v>
      </c>
      <c r="O96" s="15">
        <f t="shared" si="35"/>
        <v>10.5</v>
      </c>
      <c r="P96" s="15">
        <f t="shared" si="36"/>
        <v>32</v>
      </c>
      <c r="R96" s="8"/>
      <c r="T96"/>
    </row>
    <row r="97" spans="2:20" ht="23.1" customHeight="1" x14ac:dyDescent="0.25">
      <c r="B97" s="23" t="s">
        <v>137</v>
      </c>
      <c r="C97" s="49">
        <f>AVERAGE('26.07 Makerere-Bwaise-24h'!C97,'27.07 Makerere-Bwaise-24h'!C97)</f>
        <v>3</v>
      </c>
      <c r="D97" s="49">
        <f>AVERAGE('26.07 Makerere-Bwaise-24h'!D97,'27.07 Makerere-Bwaise-24h'!D97)</f>
        <v>0.5</v>
      </c>
      <c r="E97" s="49">
        <f>AVERAGE('26.07 Makerere-Bwaise-24h'!E97,'27.07 Makerere-Bwaise-24h'!E97)</f>
        <v>0.5</v>
      </c>
      <c r="F97" s="49">
        <f>AVERAGE('26.07 Makerere-Bwaise-24h'!F97,'27.07 Makerere-Bwaise-24h'!F97)</f>
        <v>3</v>
      </c>
      <c r="G97" s="49">
        <f>AVERAGE('26.07 Makerere-Bwaise-24h'!G97,'27.07 Makerere-Bwaise-24h'!G97)</f>
        <v>0</v>
      </c>
      <c r="H97" s="49">
        <f>AVERAGE('26.07 Makerere-Bwaise-24h'!H97,'27.07 Makerere-Bwaise-24h'!H97)</f>
        <v>0</v>
      </c>
      <c r="I97" s="49">
        <f>AVERAGE('26.07 Makerere-Bwaise-24h'!I97,'27.07 Makerere-Bwaise-24h'!I97)</f>
        <v>0</v>
      </c>
      <c r="J97" s="49">
        <f>AVERAGE('26.07 Makerere-Bwaise-24h'!J97,'27.07 Makerere-Bwaise-24h'!J97)</f>
        <v>0.5</v>
      </c>
      <c r="K97" s="49">
        <f>AVERAGE('26.07 Makerere-Bwaise-24h'!K97,'27.07 Makerere-Bwaise-24h'!K97)</f>
        <v>0</v>
      </c>
      <c r="L97" s="49">
        <f>AVERAGE('26.07 Makerere-Bwaise-24h'!L97,'27.07 Makerere-Bwaise-24h'!L97)</f>
        <v>0</v>
      </c>
      <c r="M97" s="49">
        <f>AVERAGE('26.07 Makerere-Bwaise-24h'!M97,'27.07 Makerere-Bwaise-24h'!M97)</f>
        <v>22</v>
      </c>
      <c r="N97" s="49">
        <f>AVERAGE('26.07 Makerere-Bwaise-24h'!N97,'27.07 Makerere-Bwaise-24h'!N97)</f>
        <v>0</v>
      </c>
      <c r="O97" s="15">
        <f t="shared" si="35"/>
        <v>7.5</v>
      </c>
      <c r="P97" s="15">
        <f t="shared" si="36"/>
        <v>29.5</v>
      </c>
      <c r="R97" s="8"/>
      <c r="T97"/>
    </row>
    <row r="98" spans="2:20" ht="23.1" customHeight="1" x14ac:dyDescent="0.25">
      <c r="B98" s="24" t="s">
        <v>138</v>
      </c>
      <c r="C98" s="49">
        <f>AVERAGE('26.07 Makerere-Bwaise-24h'!C98,'27.07 Makerere-Bwaise-24h'!C98)</f>
        <v>8.5</v>
      </c>
      <c r="D98" s="49">
        <f>AVERAGE('26.07 Makerere-Bwaise-24h'!D98,'27.07 Makerere-Bwaise-24h'!D98)</f>
        <v>0</v>
      </c>
      <c r="E98" s="49">
        <f>AVERAGE('26.07 Makerere-Bwaise-24h'!E98,'27.07 Makerere-Bwaise-24h'!E98)</f>
        <v>2</v>
      </c>
      <c r="F98" s="49">
        <f>AVERAGE('26.07 Makerere-Bwaise-24h'!F98,'27.07 Makerere-Bwaise-24h'!F98)</f>
        <v>6</v>
      </c>
      <c r="G98" s="49">
        <f>AVERAGE('26.07 Makerere-Bwaise-24h'!G98,'27.07 Makerere-Bwaise-24h'!G98)</f>
        <v>0</v>
      </c>
      <c r="H98" s="49">
        <f>AVERAGE('26.07 Makerere-Bwaise-24h'!H98,'27.07 Makerere-Bwaise-24h'!H98)</f>
        <v>0</v>
      </c>
      <c r="I98" s="49">
        <f>AVERAGE('26.07 Makerere-Bwaise-24h'!I98,'27.07 Makerere-Bwaise-24h'!I98)</f>
        <v>3.5</v>
      </c>
      <c r="J98" s="49">
        <f>AVERAGE('26.07 Makerere-Bwaise-24h'!J98,'27.07 Makerere-Bwaise-24h'!J98)</f>
        <v>0.5</v>
      </c>
      <c r="K98" s="49">
        <f>AVERAGE('26.07 Makerere-Bwaise-24h'!K98,'27.07 Makerere-Bwaise-24h'!K98)</f>
        <v>0</v>
      </c>
      <c r="L98" s="49">
        <f>AVERAGE('26.07 Makerere-Bwaise-24h'!L98,'27.07 Makerere-Bwaise-24h'!L98)</f>
        <v>0</v>
      </c>
      <c r="M98" s="49">
        <f>AVERAGE('26.07 Makerere-Bwaise-24h'!M98,'27.07 Makerere-Bwaise-24h'!M98)</f>
        <v>53.5</v>
      </c>
      <c r="N98" s="49">
        <f>AVERAGE('26.07 Makerere-Bwaise-24h'!N98,'27.07 Makerere-Bwaise-24h'!N98)</f>
        <v>0</v>
      </c>
      <c r="O98" s="15">
        <f t="shared" si="35"/>
        <v>20.5</v>
      </c>
      <c r="P98" s="15">
        <f t="shared" si="36"/>
        <v>74</v>
      </c>
      <c r="R98" s="8"/>
      <c r="T98"/>
    </row>
    <row r="99" spans="2:20" ht="23.1" customHeight="1" x14ac:dyDescent="0.25">
      <c r="B99" s="23" t="s">
        <v>139</v>
      </c>
      <c r="C99" s="49">
        <f>AVERAGE('26.07 Makerere-Bwaise-24h'!C99,'27.07 Makerere-Bwaise-24h'!C99)</f>
        <v>15</v>
      </c>
      <c r="D99" s="49">
        <f>AVERAGE('26.07 Makerere-Bwaise-24h'!D99,'27.07 Makerere-Bwaise-24h'!D99)</f>
        <v>0.5</v>
      </c>
      <c r="E99" s="49">
        <f>AVERAGE('26.07 Makerere-Bwaise-24h'!E99,'27.07 Makerere-Bwaise-24h'!E99)</f>
        <v>0</v>
      </c>
      <c r="F99" s="49">
        <f>AVERAGE('26.07 Makerere-Bwaise-24h'!F99,'27.07 Makerere-Bwaise-24h'!F99)</f>
        <v>11.5</v>
      </c>
      <c r="G99" s="49">
        <f>AVERAGE('26.07 Makerere-Bwaise-24h'!G99,'27.07 Makerere-Bwaise-24h'!G99)</f>
        <v>0.5</v>
      </c>
      <c r="H99" s="49">
        <f>AVERAGE('26.07 Makerere-Bwaise-24h'!H99,'27.07 Makerere-Bwaise-24h'!H99)</f>
        <v>0</v>
      </c>
      <c r="I99" s="49">
        <f>AVERAGE('26.07 Makerere-Bwaise-24h'!I99,'27.07 Makerere-Bwaise-24h'!I99)</f>
        <v>1</v>
      </c>
      <c r="J99" s="49">
        <f>AVERAGE('26.07 Makerere-Bwaise-24h'!J99,'27.07 Makerere-Bwaise-24h'!J99)</f>
        <v>0.5</v>
      </c>
      <c r="K99" s="49">
        <f>AVERAGE('26.07 Makerere-Bwaise-24h'!K99,'27.07 Makerere-Bwaise-24h'!K99)</f>
        <v>0.5</v>
      </c>
      <c r="L99" s="49">
        <f>AVERAGE('26.07 Makerere-Bwaise-24h'!L99,'27.07 Makerere-Bwaise-24h'!L99)</f>
        <v>0</v>
      </c>
      <c r="M99" s="49">
        <f>AVERAGE('26.07 Makerere-Bwaise-24h'!M99,'27.07 Makerere-Bwaise-24h'!M99)</f>
        <v>30</v>
      </c>
      <c r="N99" s="49">
        <f>AVERAGE('26.07 Makerere-Bwaise-24h'!N99,'27.07 Makerere-Bwaise-24h'!N99)</f>
        <v>0</v>
      </c>
      <c r="O99" s="15">
        <f t="shared" si="35"/>
        <v>29.5</v>
      </c>
      <c r="P99" s="15">
        <f t="shared" si="36"/>
        <v>59.5</v>
      </c>
      <c r="R99" s="8"/>
      <c r="T99"/>
    </row>
    <row r="100" spans="2:20" ht="23.1" customHeight="1" x14ac:dyDescent="0.25">
      <c r="B100" s="25" t="s">
        <v>140</v>
      </c>
      <c r="C100" s="49">
        <f>AVERAGE('26.07 Makerere-Bwaise-24h'!C100,'27.07 Makerere-Bwaise-24h'!C100)</f>
        <v>12.5</v>
      </c>
      <c r="D100" s="49">
        <f>AVERAGE('26.07 Makerere-Bwaise-24h'!D100,'27.07 Makerere-Bwaise-24h'!D100)</f>
        <v>3.5</v>
      </c>
      <c r="E100" s="49">
        <f>AVERAGE('26.07 Makerere-Bwaise-24h'!E100,'27.07 Makerere-Bwaise-24h'!E100)</f>
        <v>0.5</v>
      </c>
      <c r="F100" s="49">
        <f>AVERAGE('26.07 Makerere-Bwaise-24h'!F100,'27.07 Makerere-Bwaise-24h'!F100)</f>
        <v>15</v>
      </c>
      <c r="G100" s="49">
        <f>AVERAGE('26.07 Makerere-Bwaise-24h'!G100,'27.07 Makerere-Bwaise-24h'!G100)</f>
        <v>0</v>
      </c>
      <c r="H100" s="49">
        <f>AVERAGE('26.07 Makerere-Bwaise-24h'!H100,'27.07 Makerere-Bwaise-24h'!H100)</f>
        <v>0</v>
      </c>
      <c r="I100" s="49">
        <f>AVERAGE('26.07 Makerere-Bwaise-24h'!I100,'27.07 Makerere-Bwaise-24h'!I100)</f>
        <v>3</v>
      </c>
      <c r="J100" s="49">
        <f>AVERAGE('26.07 Makerere-Bwaise-24h'!J100,'27.07 Makerere-Bwaise-24h'!J100)</f>
        <v>0</v>
      </c>
      <c r="K100" s="49">
        <f>AVERAGE('26.07 Makerere-Bwaise-24h'!K100,'27.07 Makerere-Bwaise-24h'!K100)</f>
        <v>0</v>
      </c>
      <c r="L100" s="49">
        <f>AVERAGE('26.07 Makerere-Bwaise-24h'!L100,'27.07 Makerere-Bwaise-24h'!L100)</f>
        <v>0</v>
      </c>
      <c r="M100" s="49">
        <f>AVERAGE('26.07 Makerere-Bwaise-24h'!M100,'27.07 Makerere-Bwaise-24h'!M100)</f>
        <v>35</v>
      </c>
      <c r="N100" s="49">
        <f>AVERAGE('26.07 Makerere-Bwaise-24h'!N100,'27.07 Makerere-Bwaise-24h'!N100)</f>
        <v>0</v>
      </c>
      <c r="O100" s="15">
        <f t="shared" si="35"/>
        <v>34.5</v>
      </c>
      <c r="P100" s="15">
        <f t="shared" si="36"/>
        <v>69.5</v>
      </c>
      <c r="R100" s="8"/>
      <c r="T100"/>
    </row>
    <row r="101" spans="2:20" ht="23.1" customHeight="1" x14ac:dyDescent="0.25">
      <c r="B101" s="23" t="s">
        <v>141</v>
      </c>
      <c r="C101" s="49">
        <f>AVERAGE('26.07 Makerere-Bwaise-24h'!C101,'27.07 Makerere-Bwaise-24h'!C101)</f>
        <v>7</v>
      </c>
      <c r="D101" s="49">
        <f>AVERAGE('26.07 Makerere-Bwaise-24h'!D101,'27.07 Makerere-Bwaise-24h'!D101)</f>
        <v>0.5</v>
      </c>
      <c r="E101" s="49">
        <f>AVERAGE('26.07 Makerere-Bwaise-24h'!E101,'27.07 Makerere-Bwaise-24h'!E101)</f>
        <v>0.5</v>
      </c>
      <c r="F101" s="49">
        <f>AVERAGE('26.07 Makerere-Bwaise-24h'!F101,'27.07 Makerere-Bwaise-24h'!F101)</f>
        <v>14</v>
      </c>
      <c r="G101" s="49">
        <f>AVERAGE('26.07 Makerere-Bwaise-24h'!G101,'27.07 Makerere-Bwaise-24h'!G101)</f>
        <v>1</v>
      </c>
      <c r="H101" s="49">
        <f>AVERAGE('26.07 Makerere-Bwaise-24h'!H101,'27.07 Makerere-Bwaise-24h'!H101)</f>
        <v>1</v>
      </c>
      <c r="I101" s="49">
        <f>AVERAGE('26.07 Makerere-Bwaise-24h'!I101,'27.07 Makerere-Bwaise-24h'!I101)</f>
        <v>3</v>
      </c>
      <c r="J101" s="49">
        <f>AVERAGE('26.07 Makerere-Bwaise-24h'!J101,'27.07 Makerere-Bwaise-24h'!J101)</f>
        <v>0</v>
      </c>
      <c r="K101" s="49">
        <f>AVERAGE('26.07 Makerere-Bwaise-24h'!K101,'27.07 Makerere-Bwaise-24h'!K101)</f>
        <v>0</v>
      </c>
      <c r="L101" s="49">
        <f>AVERAGE('26.07 Makerere-Bwaise-24h'!L101,'27.07 Makerere-Bwaise-24h'!L101)</f>
        <v>0</v>
      </c>
      <c r="M101" s="49">
        <f>AVERAGE('26.07 Makerere-Bwaise-24h'!M101,'27.07 Makerere-Bwaise-24h'!M101)</f>
        <v>22.5</v>
      </c>
      <c r="N101" s="49">
        <f>AVERAGE('26.07 Makerere-Bwaise-24h'!N101,'27.07 Makerere-Bwaise-24h'!N101)</f>
        <v>0</v>
      </c>
      <c r="O101" s="15">
        <f t="shared" si="35"/>
        <v>27</v>
      </c>
      <c r="P101" s="15">
        <f t="shared" si="36"/>
        <v>49.5</v>
      </c>
      <c r="R101" s="8"/>
      <c r="T101"/>
    </row>
    <row r="102" spans="2:20" ht="23.1" customHeight="1" x14ac:dyDescent="0.25">
      <c r="B102" s="24" t="s">
        <v>142</v>
      </c>
      <c r="C102" s="49">
        <f>AVERAGE('26.07 Makerere-Bwaise-24h'!C102,'27.07 Makerere-Bwaise-24h'!C102)</f>
        <v>15</v>
      </c>
      <c r="D102" s="49">
        <f>AVERAGE('26.07 Makerere-Bwaise-24h'!D102,'27.07 Makerere-Bwaise-24h'!D102)</f>
        <v>1</v>
      </c>
      <c r="E102" s="49">
        <f>AVERAGE('26.07 Makerere-Bwaise-24h'!E102,'27.07 Makerere-Bwaise-24h'!E102)</f>
        <v>4.5</v>
      </c>
      <c r="F102" s="49">
        <f>AVERAGE('26.07 Makerere-Bwaise-24h'!F102,'27.07 Makerere-Bwaise-24h'!F102)</f>
        <v>12.5</v>
      </c>
      <c r="G102" s="49">
        <f>AVERAGE('26.07 Makerere-Bwaise-24h'!G102,'27.07 Makerere-Bwaise-24h'!G102)</f>
        <v>0</v>
      </c>
      <c r="H102" s="49">
        <f>AVERAGE('26.07 Makerere-Bwaise-24h'!H102,'27.07 Makerere-Bwaise-24h'!H102)</f>
        <v>1</v>
      </c>
      <c r="I102" s="49">
        <f>AVERAGE('26.07 Makerere-Bwaise-24h'!I102,'27.07 Makerere-Bwaise-24h'!I102)</f>
        <v>4</v>
      </c>
      <c r="J102" s="49">
        <f>AVERAGE('26.07 Makerere-Bwaise-24h'!J102,'27.07 Makerere-Bwaise-24h'!J102)</f>
        <v>0</v>
      </c>
      <c r="K102" s="49">
        <f>AVERAGE('26.07 Makerere-Bwaise-24h'!K102,'27.07 Makerere-Bwaise-24h'!K102)</f>
        <v>0.5</v>
      </c>
      <c r="L102" s="49">
        <f>AVERAGE('26.07 Makerere-Bwaise-24h'!L102,'27.07 Makerere-Bwaise-24h'!L102)</f>
        <v>0.5</v>
      </c>
      <c r="M102" s="49">
        <f>AVERAGE('26.07 Makerere-Bwaise-24h'!M102,'27.07 Makerere-Bwaise-24h'!M102)</f>
        <v>45</v>
      </c>
      <c r="N102" s="49">
        <f>AVERAGE('26.07 Makerere-Bwaise-24h'!N102,'27.07 Makerere-Bwaise-24h'!N102)</f>
        <v>0</v>
      </c>
      <c r="O102" s="15">
        <f t="shared" si="35"/>
        <v>39</v>
      </c>
      <c r="P102" s="15">
        <f t="shared" si="36"/>
        <v>84</v>
      </c>
      <c r="R102" s="8"/>
      <c r="T102"/>
    </row>
    <row r="103" spans="2:20" ht="23.1" customHeight="1" x14ac:dyDescent="0.25">
      <c r="B103" s="23" t="s">
        <v>143</v>
      </c>
      <c r="C103" s="49">
        <f>AVERAGE('26.07 Makerere-Bwaise-24h'!C103,'27.07 Makerere-Bwaise-24h'!C103)</f>
        <v>11</v>
      </c>
      <c r="D103" s="49">
        <f>AVERAGE('26.07 Makerere-Bwaise-24h'!D103,'27.07 Makerere-Bwaise-24h'!D103)</f>
        <v>1</v>
      </c>
      <c r="E103" s="49">
        <f>AVERAGE('26.07 Makerere-Bwaise-24h'!E103,'27.07 Makerere-Bwaise-24h'!E103)</f>
        <v>0.5</v>
      </c>
      <c r="F103" s="49">
        <f>AVERAGE('26.07 Makerere-Bwaise-24h'!F103,'27.07 Makerere-Bwaise-24h'!F103)</f>
        <v>16</v>
      </c>
      <c r="G103" s="49">
        <f>AVERAGE('26.07 Makerere-Bwaise-24h'!G103,'27.07 Makerere-Bwaise-24h'!G103)</f>
        <v>0</v>
      </c>
      <c r="H103" s="49">
        <f>AVERAGE('26.07 Makerere-Bwaise-24h'!H103,'27.07 Makerere-Bwaise-24h'!H103)</f>
        <v>0</v>
      </c>
      <c r="I103" s="49">
        <f>AVERAGE('26.07 Makerere-Bwaise-24h'!I103,'27.07 Makerere-Bwaise-24h'!I103)</f>
        <v>2</v>
      </c>
      <c r="J103" s="49">
        <f>AVERAGE('26.07 Makerere-Bwaise-24h'!J103,'27.07 Makerere-Bwaise-24h'!J103)</f>
        <v>2</v>
      </c>
      <c r="K103" s="49">
        <f>AVERAGE('26.07 Makerere-Bwaise-24h'!K103,'27.07 Makerere-Bwaise-24h'!K103)</f>
        <v>0.5</v>
      </c>
      <c r="L103" s="49">
        <f>AVERAGE('26.07 Makerere-Bwaise-24h'!L103,'27.07 Makerere-Bwaise-24h'!L103)</f>
        <v>0.5</v>
      </c>
      <c r="M103" s="49">
        <f>AVERAGE('26.07 Makerere-Bwaise-24h'!M103,'27.07 Makerere-Bwaise-24h'!M103)</f>
        <v>43.5</v>
      </c>
      <c r="N103" s="49">
        <f>AVERAGE('26.07 Makerere-Bwaise-24h'!N103,'27.07 Makerere-Bwaise-24h'!N103)</f>
        <v>0</v>
      </c>
      <c r="O103" s="15">
        <f t="shared" si="35"/>
        <v>33.5</v>
      </c>
      <c r="P103" s="15">
        <f t="shared" si="36"/>
        <v>77</v>
      </c>
      <c r="R103" s="8"/>
      <c r="T103"/>
    </row>
    <row r="104" spans="2:20" ht="23.1" customHeight="1" x14ac:dyDescent="0.25">
      <c r="B104" s="25" t="s">
        <v>144</v>
      </c>
      <c r="C104" s="49">
        <f>AVERAGE('26.07 Makerere-Bwaise-24h'!C104,'27.07 Makerere-Bwaise-24h'!C104)</f>
        <v>12.5</v>
      </c>
      <c r="D104" s="49">
        <f>AVERAGE('26.07 Makerere-Bwaise-24h'!D104,'27.07 Makerere-Bwaise-24h'!D104)</f>
        <v>6.5</v>
      </c>
      <c r="E104" s="49">
        <f>AVERAGE('26.07 Makerere-Bwaise-24h'!E104,'27.07 Makerere-Bwaise-24h'!E104)</f>
        <v>1</v>
      </c>
      <c r="F104" s="49">
        <f>AVERAGE('26.07 Makerere-Bwaise-24h'!F104,'27.07 Makerere-Bwaise-24h'!F104)</f>
        <v>20</v>
      </c>
      <c r="G104" s="49">
        <f>AVERAGE('26.07 Makerere-Bwaise-24h'!G104,'27.07 Makerere-Bwaise-24h'!G104)</f>
        <v>1.5</v>
      </c>
      <c r="H104" s="49">
        <f>AVERAGE('26.07 Makerere-Bwaise-24h'!H104,'27.07 Makerere-Bwaise-24h'!H104)</f>
        <v>1</v>
      </c>
      <c r="I104" s="49">
        <f>AVERAGE('26.07 Makerere-Bwaise-24h'!I104,'27.07 Makerere-Bwaise-24h'!I104)</f>
        <v>2</v>
      </c>
      <c r="J104" s="49">
        <f>AVERAGE('26.07 Makerere-Bwaise-24h'!J104,'27.07 Makerere-Bwaise-24h'!J104)</f>
        <v>0</v>
      </c>
      <c r="K104" s="49">
        <f>AVERAGE('26.07 Makerere-Bwaise-24h'!K104,'27.07 Makerere-Bwaise-24h'!K104)</f>
        <v>1.5</v>
      </c>
      <c r="L104" s="49">
        <f>AVERAGE('26.07 Makerere-Bwaise-24h'!L104,'27.07 Makerere-Bwaise-24h'!L104)</f>
        <v>0</v>
      </c>
      <c r="M104" s="49">
        <f>AVERAGE('26.07 Makerere-Bwaise-24h'!M104,'27.07 Makerere-Bwaise-24h'!M104)</f>
        <v>54.5</v>
      </c>
      <c r="N104" s="49">
        <f>AVERAGE('26.07 Makerere-Bwaise-24h'!N104,'27.07 Makerere-Bwaise-24h'!N104)</f>
        <v>0</v>
      </c>
      <c r="O104" s="15">
        <f t="shared" si="35"/>
        <v>46</v>
      </c>
      <c r="P104" s="15">
        <f t="shared" si="36"/>
        <v>100.5</v>
      </c>
      <c r="R104" s="8"/>
      <c r="T104"/>
    </row>
    <row r="105" spans="2:20" ht="23.1" customHeight="1" x14ac:dyDescent="0.25">
      <c r="B105" s="23" t="s">
        <v>145</v>
      </c>
      <c r="C105" s="49">
        <f>AVERAGE('26.07 Makerere-Bwaise-24h'!C105,'27.07 Makerere-Bwaise-24h'!C105)</f>
        <v>21</v>
      </c>
      <c r="D105" s="49">
        <f>AVERAGE('26.07 Makerere-Bwaise-24h'!D105,'27.07 Makerere-Bwaise-24h'!D105)</f>
        <v>1.5</v>
      </c>
      <c r="E105" s="49">
        <f>AVERAGE('26.07 Makerere-Bwaise-24h'!E105,'27.07 Makerere-Bwaise-24h'!E105)</f>
        <v>1.5</v>
      </c>
      <c r="F105" s="49">
        <f>AVERAGE('26.07 Makerere-Bwaise-24h'!F105,'27.07 Makerere-Bwaise-24h'!F105)</f>
        <v>27.5</v>
      </c>
      <c r="G105" s="49">
        <f>AVERAGE('26.07 Makerere-Bwaise-24h'!G105,'27.07 Makerere-Bwaise-24h'!G105)</f>
        <v>1</v>
      </c>
      <c r="H105" s="49">
        <f>AVERAGE('26.07 Makerere-Bwaise-24h'!H105,'27.07 Makerere-Bwaise-24h'!H105)</f>
        <v>2</v>
      </c>
      <c r="I105" s="49">
        <f>AVERAGE('26.07 Makerere-Bwaise-24h'!I105,'27.07 Makerere-Bwaise-24h'!I105)</f>
        <v>2.5</v>
      </c>
      <c r="J105" s="49">
        <f>AVERAGE('26.07 Makerere-Bwaise-24h'!J105,'27.07 Makerere-Bwaise-24h'!J105)</f>
        <v>1</v>
      </c>
      <c r="K105" s="49">
        <f>AVERAGE('26.07 Makerere-Bwaise-24h'!K105,'27.07 Makerere-Bwaise-24h'!K105)</f>
        <v>0</v>
      </c>
      <c r="L105" s="49">
        <f>AVERAGE('26.07 Makerere-Bwaise-24h'!L105,'27.07 Makerere-Bwaise-24h'!L105)</f>
        <v>0</v>
      </c>
      <c r="M105" s="49">
        <f>AVERAGE('26.07 Makerere-Bwaise-24h'!M105,'27.07 Makerere-Bwaise-24h'!M105)</f>
        <v>60.5</v>
      </c>
      <c r="N105" s="49">
        <f>AVERAGE('26.07 Makerere-Bwaise-24h'!N105,'27.07 Makerere-Bwaise-24h'!N105)</f>
        <v>0</v>
      </c>
      <c r="O105" s="15">
        <f t="shared" si="35"/>
        <v>58</v>
      </c>
      <c r="P105" s="15">
        <f t="shared" si="36"/>
        <v>118.5</v>
      </c>
      <c r="R105" s="8"/>
      <c r="T105"/>
    </row>
    <row r="106" spans="2:20" ht="23.1" customHeight="1" x14ac:dyDescent="0.25">
      <c r="B106" s="52" t="s">
        <v>18</v>
      </c>
      <c r="C106" s="16">
        <f>SUM(C10:C105)</f>
        <v>3256.7142857142858</v>
      </c>
      <c r="D106" s="16">
        <f t="shared" ref="D106:P106" si="37">SUM(D10:D105)</f>
        <v>773.92857142857144</v>
      </c>
      <c r="E106" s="16">
        <f t="shared" si="37"/>
        <v>432.21428571428578</v>
      </c>
      <c r="F106" s="16">
        <f t="shared" si="37"/>
        <v>2881.2857142857142</v>
      </c>
      <c r="G106" s="16">
        <f t="shared" si="37"/>
        <v>117.28571428571428</v>
      </c>
      <c r="H106" s="16">
        <f t="shared" si="37"/>
        <v>84.714285714285722</v>
      </c>
      <c r="I106" s="16">
        <f t="shared" si="37"/>
        <v>288</v>
      </c>
      <c r="J106" s="16">
        <f t="shared" si="37"/>
        <v>175.21428571428572</v>
      </c>
      <c r="K106" s="16">
        <f t="shared" si="37"/>
        <v>70.142857142857139</v>
      </c>
      <c r="L106" s="16">
        <f t="shared" si="37"/>
        <v>27.380952380952372</v>
      </c>
      <c r="M106" s="16">
        <f t="shared" si="37"/>
        <v>9842.2142857142862</v>
      </c>
      <c r="N106" s="16">
        <f t="shared" si="37"/>
        <v>1.2619047619047619</v>
      </c>
      <c r="O106" s="16">
        <f t="shared" si="37"/>
        <v>8108.1428571428569</v>
      </c>
      <c r="P106" s="16">
        <f t="shared" si="37"/>
        <v>17950.357142857141</v>
      </c>
      <c r="R106" s="19"/>
      <c r="S106" s="19"/>
      <c r="T106"/>
    </row>
    <row r="107" spans="2:20" ht="23.1" customHeight="1" x14ac:dyDescent="0.25">
      <c r="B107" s="26" t="s">
        <v>93</v>
      </c>
      <c r="C107" s="43">
        <f t="shared" ref="C107:N107" si="38">C106/$P$106</f>
        <v>0.18142894092835402</v>
      </c>
      <c r="D107" s="43">
        <f t="shared" si="38"/>
        <v>4.3114940013131459E-2</v>
      </c>
      <c r="E107" s="43">
        <f t="shared" si="38"/>
        <v>2.4078311215455329E-2</v>
      </c>
      <c r="F107" s="43">
        <f t="shared" si="38"/>
        <v>0.16051411631284696</v>
      </c>
      <c r="G107" s="43">
        <f t="shared" si="38"/>
        <v>6.5338930781321499E-3</v>
      </c>
      <c r="H107" s="43">
        <f t="shared" si="38"/>
        <v>4.7193649151429547E-3</v>
      </c>
      <c r="I107" s="43">
        <f t="shared" si="38"/>
        <v>1.6044249020115E-2</v>
      </c>
      <c r="J107" s="43">
        <f t="shared" si="38"/>
        <v>9.7610473329221483E-3</v>
      </c>
      <c r="K107" s="43">
        <f t="shared" si="38"/>
        <v>3.9076023159109446E-3</v>
      </c>
      <c r="L107" s="43">
        <f t="shared" si="38"/>
        <v>1.5253708972496895E-3</v>
      </c>
      <c r="M107" s="43">
        <f t="shared" si="38"/>
        <v>0.54830186426851846</v>
      </c>
      <c r="N107" s="43">
        <f t="shared" si="38"/>
        <v>7.0299702221072671E-5</v>
      </c>
      <c r="R107" s="8"/>
      <c r="T107"/>
    </row>
    <row r="108" spans="2:20" ht="23.1" customHeight="1" x14ac:dyDescent="0.25">
      <c r="B108" s="42" t="s">
        <v>94</v>
      </c>
      <c r="C108" s="44">
        <f>C106/$O$106</f>
        <v>0.40165970717268357</v>
      </c>
      <c r="D108" s="44">
        <f t="shared" ref="D108:N108" si="39">D106/$O$106</f>
        <v>9.545078140141304E-2</v>
      </c>
      <c r="E108" s="44">
        <f t="shared" si="39"/>
        <v>5.3306200116285223E-2</v>
      </c>
      <c r="F108" s="44">
        <f t="shared" si="39"/>
        <v>0.35535704846979227</v>
      </c>
      <c r="G108" s="44">
        <f t="shared" si="39"/>
        <v>1.446517610162623E-2</v>
      </c>
      <c r="H108" s="44">
        <f t="shared" si="39"/>
        <v>1.0448050460736122E-2</v>
      </c>
      <c r="I108" s="44">
        <f t="shared" si="39"/>
        <v>3.5519847772080976E-2</v>
      </c>
      <c r="J108" s="44">
        <f t="shared" si="39"/>
        <v>2.1609669291893514E-2</v>
      </c>
      <c r="K108" s="44">
        <f t="shared" si="39"/>
        <v>8.6509153056010708E-3</v>
      </c>
      <c r="L108" s="44">
        <f t="shared" si="39"/>
        <v>3.3769696542570362E-3</v>
      </c>
      <c r="M108" s="44"/>
      <c r="N108" s="44">
        <f t="shared" si="39"/>
        <v>1.556342536309765E-4</v>
      </c>
      <c r="Q108" s="7"/>
      <c r="R108" s="8"/>
      <c r="T108"/>
    </row>
    <row r="109" spans="2:20" ht="20.100000000000001" customHeight="1" x14ac:dyDescent="0.25">
      <c r="B109" s="3"/>
      <c r="C109" s="18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Q109" s="7"/>
      <c r="R109" s="8"/>
      <c r="T109"/>
    </row>
    <row r="110" spans="2:20" ht="20.100000000000001" customHeight="1" x14ac:dyDescent="0.25">
      <c r="B110" s="3"/>
      <c r="C110" s="18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Q110" s="7"/>
      <c r="R110" s="8"/>
      <c r="T110"/>
    </row>
    <row r="111" spans="2:20" ht="20.100000000000001" customHeight="1" x14ac:dyDescent="0.25">
      <c r="B111" s="3"/>
      <c r="C111" s="18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Q111" s="7"/>
    </row>
    <row r="112" spans="2:20" ht="20.100000000000001" customHeight="1" x14ac:dyDescent="0.25">
      <c r="B112" s="3"/>
      <c r="C112" s="18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Q112" s="7"/>
    </row>
    <row r="113" spans="2:20" s="7" customFormat="1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/>
      <c r="P113"/>
      <c r="S113" s="8"/>
      <c r="T113" s="8"/>
    </row>
    <row r="114" spans="2:20" s="7" customFormat="1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/>
      <c r="P114"/>
      <c r="S114" s="8"/>
      <c r="T114" s="8"/>
    </row>
    <row r="115" spans="2:20" s="7" customFormat="1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/>
      <c r="P115"/>
      <c r="S115" s="8"/>
      <c r="T115" s="8"/>
    </row>
    <row r="116" spans="2:20" s="7" customFormat="1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/>
      <c r="P116"/>
      <c r="S116" s="8"/>
      <c r="T116" s="8"/>
    </row>
    <row r="117" spans="2:20" s="7" customFormat="1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/>
      <c r="P117"/>
      <c r="S117" s="8"/>
      <c r="T117" s="8"/>
    </row>
    <row r="118" spans="2:20" s="7" customFormat="1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/>
      <c r="P118"/>
      <c r="S118" s="8"/>
      <c r="T118" s="8"/>
    </row>
    <row r="119" spans="2:20" s="7" customFormat="1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/>
      <c r="P119"/>
      <c r="S119" s="8"/>
      <c r="T119" s="8"/>
    </row>
    <row r="120" spans="2:20" s="7" customFormat="1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/>
      <c r="P120"/>
      <c r="S120" s="8"/>
      <c r="T120" s="8"/>
    </row>
    <row r="121" spans="2:20" s="7" customFormat="1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/>
      <c r="P121"/>
      <c r="S121" s="8"/>
      <c r="T121" s="8"/>
    </row>
    <row r="122" spans="2:20" s="7" customFormat="1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/>
      <c r="P122"/>
      <c r="S122" s="8"/>
      <c r="T122" s="8"/>
    </row>
    <row r="123" spans="2:20" s="7" customFormat="1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/>
      <c r="P123"/>
      <c r="S123" s="8"/>
      <c r="T123" s="8"/>
    </row>
    <row r="124" spans="2:20" s="7" customFormat="1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/>
      <c r="P124"/>
      <c r="S124" s="8"/>
      <c r="T124" s="8"/>
    </row>
    <row r="125" spans="2:20" s="7" customFormat="1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/>
      <c r="P125"/>
      <c r="Q125"/>
      <c r="S125" s="8"/>
      <c r="T125" s="8"/>
    </row>
    <row r="126" spans="2:20" s="7" customFormat="1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/>
      <c r="P126"/>
      <c r="Q126"/>
      <c r="S126" s="8"/>
      <c r="T126" s="8"/>
    </row>
    <row r="127" spans="2:20" s="7" customFormat="1" ht="20.100000000000001" customHeight="1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/>
      <c r="P127"/>
      <c r="Q127"/>
      <c r="S127" s="8"/>
      <c r="T127" s="8"/>
    </row>
    <row r="128" spans="2:20" s="7" customFormat="1" ht="20.100000000000001" customHeight="1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/>
      <c r="P128"/>
      <c r="Q128"/>
      <c r="S128" s="8"/>
      <c r="T128" s="8"/>
    </row>
    <row r="129" spans="2:14" ht="20.100000000000001" customHeight="1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spans="2:14" ht="20.100000000000001" customHeight="1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2:14" ht="20.100000000000001" customHeight="1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2:14" ht="20.100000000000001" customHeight="1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2:14" ht="20.100000000000001" customHeight="1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2:14" ht="20.100000000000001" customHeight="1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2:14" ht="20.100000000000001" customHeight="1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2:14" ht="20.100000000000001" customHeight="1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2:14" ht="20.100000000000001" customHeight="1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2:14" ht="20.100000000000001" customHeight="1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2:14" ht="20.100000000000001" customHeight="1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2:14" ht="20.100000000000001" customHeight="1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2:14" ht="20.100000000000001" customHeight="1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2:14" ht="20.100000000000001" customHeight="1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2:14" ht="20.100000000000001" customHeight="1" x14ac:dyDescent="0.25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2:14" ht="20.100000000000001" customHeight="1" x14ac:dyDescent="0.25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2:14" ht="20.100000000000001" customHeight="1" x14ac:dyDescent="0.25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2:14" ht="20.100000000000001" customHeight="1" x14ac:dyDescent="0.25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2:14" ht="20.100000000000001" customHeight="1" x14ac:dyDescent="0.25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2:14" ht="20.100000000000001" customHeight="1" x14ac:dyDescent="0.25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2:14" ht="20.100000000000001" customHeight="1" x14ac:dyDescent="0.25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2:14" ht="20.100000000000001" customHeight="1" x14ac:dyDescent="0.25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2:14" ht="20.100000000000001" customHeight="1" x14ac:dyDescent="0.25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2:14" ht="22.5" customHeight="1" x14ac:dyDescent="0.25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2:14" ht="20.100000000000001" customHeight="1" x14ac:dyDescent="0.25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2:14" ht="20.100000000000001" customHeight="1" x14ac:dyDescent="0.25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2:14" ht="20.100000000000001" customHeight="1" x14ac:dyDescent="0.25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2:14" ht="20.100000000000001" customHeight="1" x14ac:dyDescent="0.25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2:14" ht="20.100000000000001" customHeight="1" x14ac:dyDescent="0.25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2:14" ht="20.100000000000001" customHeight="1" x14ac:dyDescent="0.25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2:14" ht="20.100000000000001" customHeight="1" x14ac:dyDescent="0.25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2:14" ht="20.100000000000001" customHeight="1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2:14" ht="20.100000000000001" customHeight="1" x14ac:dyDescent="0.2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2:14" ht="20.100000000000001" customHeight="1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2:14" ht="20.100000000000001" customHeight="1" x14ac:dyDescent="0.2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2:14" ht="20.100000000000001" customHeight="1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2:14" ht="20.100000000000001" customHeight="1" x14ac:dyDescent="0.2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2:14" ht="20.100000000000001" customHeight="1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2:14" ht="20.100000000000001" customHeight="1" x14ac:dyDescent="0.2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2:14" ht="20.100000000000001" customHeight="1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2:14" ht="20.100000000000001" customHeight="1" x14ac:dyDescent="0.2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2:14" ht="20.100000000000001" customHeight="1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2:14" ht="20.100000000000001" customHeight="1" x14ac:dyDescent="0.2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2:14" ht="20.100000000000001" customHeight="1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2:14" ht="20.100000000000001" customHeight="1" x14ac:dyDescent="0.2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2:14" ht="20.100000000000001" customHeight="1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</sheetData>
  <mergeCells count="10">
    <mergeCell ref="R8:AF8"/>
    <mergeCell ref="D6:E6"/>
    <mergeCell ref="K5:L5"/>
    <mergeCell ref="K6:L6"/>
    <mergeCell ref="D5:E5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21" orientation="landscape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</sheetPr>
  <dimension ref="B1:AF174"/>
  <sheetViews>
    <sheetView tabSelected="1" view="pageBreakPreview" topLeftCell="G40" zoomScale="60" workbookViewId="0">
      <selection activeCell="AD56" sqref="AD56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29" width="10.7109375" customWidth="1"/>
    <col min="30" max="30" width="13.85546875" customWidth="1"/>
    <col min="31" max="33" width="10.7109375" customWidth="1"/>
  </cols>
  <sheetData>
    <row r="1" spans="2:32" ht="23.25" customHeight="1" x14ac:dyDescent="0.3">
      <c r="B1" s="64" t="s">
        <v>23</v>
      </c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  <c r="S1" s="64"/>
      <c r="T1" s="64"/>
      <c r="U1" s="64"/>
      <c r="V1" s="64"/>
      <c r="W1" s="64"/>
      <c r="X1" s="64"/>
      <c r="Y1" s="64"/>
      <c r="Z1" s="64"/>
      <c r="AA1" s="64"/>
      <c r="AB1" s="64"/>
      <c r="AC1" s="64"/>
      <c r="AD1" s="64"/>
      <c r="AE1" s="64"/>
    </row>
    <row r="2" spans="2:32" ht="20.100000000000001" customHeight="1" x14ac:dyDescent="0.25">
      <c r="B2" s="65" t="s">
        <v>95</v>
      </c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  <c r="AA2" s="65"/>
      <c r="AB2" s="65"/>
      <c r="AC2" s="65"/>
      <c r="AD2" s="65"/>
      <c r="AE2" s="65"/>
    </row>
    <row r="3" spans="2:32" ht="20.100000000000001" customHeight="1" x14ac:dyDescent="0.25">
      <c r="B3" s="22" t="s">
        <v>96</v>
      </c>
      <c r="C3" s="71" t="str">
        <f>'28.07 Makerere-Bwaise'!C3:G3</f>
        <v>MCC - C1 - STN021- SIR APOLLO ROAD</v>
      </c>
      <c r="D3" s="71"/>
      <c r="E3" s="71"/>
      <c r="F3" s="71"/>
      <c r="G3" s="71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72" t="s">
        <v>168</v>
      </c>
      <c r="E5" s="73"/>
      <c r="F5" s="41" t="s">
        <v>1</v>
      </c>
      <c r="G5" s="69" t="str">
        <f>'Avg Week Makerere-Bwaise'!G5:H5</f>
        <v>PREMIUM DESIGN LTD</v>
      </c>
      <c r="H5" s="70"/>
      <c r="I5" s="14"/>
      <c r="J5" s="2" t="s">
        <v>5</v>
      </c>
      <c r="K5" s="69" t="str">
        <f>'Avg Week Makerere-Bwaise'!K5:L5</f>
        <v>OKELLO PETER</v>
      </c>
      <c r="L5" s="70"/>
      <c r="M5" s="10"/>
      <c r="N5" s="10"/>
      <c r="O5" s="3"/>
      <c r="P5" s="3"/>
    </row>
    <row r="6" spans="2:32" ht="23.25" customHeight="1" x14ac:dyDescent="0.25">
      <c r="C6" s="2" t="s">
        <v>4</v>
      </c>
      <c r="D6" s="74" t="s">
        <v>161</v>
      </c>
      <c r="E6" s="75"/>
      <c r="F6" s="2" t="s">
        <v>2</v>
      </c>
      <c r="G6" s="74" t="s">
        <v>161</v>
      </c>
      <c r="H6" s="75"/>
      <c r="J6" s="2" t="s">
        <v>21</v>
      </c>
      <c r="K6" s="69" t="str">
        <f>'Avg Week Makerere-Bwaise'!K6:L6</f>
        <v>SALIMAH</v>
      </c>
      <c r="L6" s="70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63" t="s">
        <v>88</v>
      </c>
      <c r="S8" s="63"/>
      <c r="T8" s="63"/>
      <c r="U8" s="63"/>
      <c r="V8" s="63"/>
      <c r="W8" s="63"/>
      <c r="X8" s="63"/>
      <c r="Y8" s="63"/>
      <c r="Z8" s="63"/>
      <c r="AA8" s="63"/>
      <c r="AB8" s="63"/>
      <c r="AC8" s="63"/>
      <c r="AD8" s="63"/>
      <c r="AE8" s="63"/>
      <c r="AF8" s="63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49">
        <f>'Avg Week Bwaise-Makerere'!C10+'Avg Week Makerere-Bwaise'!C10</f>
        <v>105.85714285714286</v>
      </c>
      <c r="D10" s="49">
        <f>'Avg Week Bwaise-Makerere'!D10+'Avg Week Makerere-Bwaise'!D10</f>
        <v>24.571428571428569</v>
      </c>
      <c r="E10" s="49">
        <f>'Avg Week Bwaise-Makerere'!E10+'Avg Week Makerere-Bwaise'!E10</f>
        <v>9.8571428571428577</v>
      </c>
      <c r="F10" s="49">
        <f>'Avg Week Bwaise-Makerere'!F10+'Avg Week Makerere-Bwaise'!F10</f>
        <v>102.14285714285714</v>
      </c>
      <c r="G10" s="49">
        <f>'Avg Week Bwaise-Makerere'!G10+'Avg Week Makerere-Bwaise'!G10</f>
        <v>2.5714285714285712</v>
      </c>
      <c r="H10" s="49">
        <f>'Avg Week Bwaise-Makerere'!H10+'Avg Week Makerere-Bwaise'!H10</f>
        <v>1.1428571428571428</v>
      </c>
      <c r="I10" s="49">
        <f>'Avg Week Bwaise-Makerere'!I10+'Avg Week Makerere-Bwaise'!I10</f>
        <v>6.5714285714285712</v>
      </c>
      <c r="J10" s="49">
        <f>'Avg Week Bwaise-Makerere'!J10+'Avg Week Makerere-Bwaise'!J10</f>
        <v>2.4285714285714284</v>
      </c>
      <c r="K10" s="49">
        <f>'Avg Week Bwaise-Makerere'!K10+'Avg Week Makerere-Bwaise'!K10</f>
        <v>1.2857142857142856</v>
      </c>
      <c r="L10" s="49">
        <f>'Avg Week Bwaise-Makerere'!L10+'Avg Week Makerere-Bwaise'!L10</f>
        <v>0.2857142857142857</v>
      </c>
      <c r="M10" s="49">
        <f>'Avg Week Bwaise-Makerere'!M10+'Avg Week Makerere-Bwaise'!M10</f>
        <v>243.14285714285717</v>
      </c>
      <c r="N10" s="49">
        <f>'Avg Week Bwaise-Makerere'!N10+'Avg Week Makerere-Bwaise'!N10</f>
        <v>0</v>
      </c>
      <c r="O10" s="15">
        <f t="shared" ref="O10:O73" si="0">SUM(C10:L10,N10)</f>
        <v>256.71428571428572</v>
      </c>
      <c r="P10" s="15">
        <f t="shared" ref="P10:P73" si="1">SUM(C10:N10)</f>
        <v>499.85714285714289</v>
      </c>
      <c r="R10" s="1" t="s">
        <v>6</v>
      </c>
      <c r="S10" s="17">
        <f t="shared" ref="S10:AF10" si="2">SUM(C10:C13)</f>
        <v>370.14285714285717</v>
      </c>
      <c r="T10" s="17">
        <f t="shared" si="2"/>
        <v>88.285714285714278</v>
      </c>
      <c r="U10" s="17">
        <f t="shared" si="2"/>
        <v>33.285714285714292</v>
      </c>
      <c r="V10" s="17">
        <f t="shared" si="2"/>
        <v>399</v>
      </c>
      <c r="W10" s="17">
        <f t="shared" si="2"/>
        <v>11.619047619047619</v>
      </c>
      <c r="X10" s="17">
        <f t="shared" si="2"/>
        <v>5.4285714285714288</v>
      </c>
      <c r="Y10" s="17">
        <f t="shared" si="2"/>
        <v>27.714285714285715</v>
      </c>
      <c r="Z10" s="17">
        <f t="shared" si="2"/>
        <v>12.285714285714285</v>
      </c>
      <c r="AA10" s="17">
        <f t="shared" si="2"/>
        <v>5.2857142857142856</v>
      </c>
      <c r="AB10" s="17">
        <f t="shared" si="2"/>
        <v>2.6904761904761898</v>
      </c>
      <c r="AC10" s="17">
        <f t="shared" si="2"/>
        <v>1191</v>
      </c>
      <c r="AD10" s="17">
        <f t="shared" si="2"/>
        <v>0.14285714285714285</v>
      </c>
      <c r="AE10" s="31">
        <f t="shared" si="2"/>
        <v>955.88095238095241</v>
      </c>
      <c r="AF10" s="31">
        <f t="shared" si="2"/>
        <v>2146.8809523809523</v>
      </c>
    </row>
    <row r="11" spans="2:32" s="6" customFormat="1" ht="23.1" customHeight="1" x14ac:dyDescent="0.25">
      <c r="B11" s="23" t="s">
        <v>38</v>
      </c>
      <c r="C11" s="49">
        <f>'Avg Week Bwaise-Makerere'!C11+'Avg Week Makerere-Bwaise'!C11</f>
        <v>88.142857142857139</v>
      </c>
      <c r="D11" s="49">
        <f>'Avg Week Bwaise-Makerere'!D11+'Avg Week Makerere-Bwaise'!D11</f>
        <v>20.142857142857142</v>
      </c>
      <c r="E11" s="49">
        <f>'Avg Week Bwaise-Makerere'!E11+'Avg Week Makerere-Bwaise'!E11</f>
        <v>7.5714285714285712</v>
      </c>
      <c r="F11" s="49">
        <f>'Avg Week Bwaise-Makerere'!F11+'Avg Week Makerere-Bwaise'!F11</f>
        <v>97.714285714285722</v>
      </c>
      <c r="G11" s="49">
        <f>'Avg Week Bwaise-Makerere'!G11+'Avg Week Makerere-Bwaise'!G11</f>
        <v>3.8571428571428572</v>
      </c>
      <c r="H11" s="49">
        <f>'Avg Week Bwaise-Makerere'!H11+'Avg Week Makerere-Bwaise'!H11</f>
        <v>2.1428571428571428</v>
      </c>
      <c r="I11" s="49">
        <f>'Avg Week Bwaise-Makerere'!I11+'Avg Week Makerere-Bwaise'!I11</f>
        <v>4.8571428571428577</v>
      </c>
      <c r="J11" s="49">
        <f>'Avg Week Bwaise-Makerere'!J11+'Avg Week Makerere-Bwaise'!J11</f>
        <v>4.1428571428571423</v>
      </c>
      <c r="K11" s="49">
        <f>'Avg Week Bwaise-Makerere'!K11+'Avg Week Makerere-Bwaise'!K11</f>
        <v>1.1428571428571428</v>
      </c>
      <c r="L11" s="49">
        <f>'Avg Week Bwaise-Makerere'!L11+'Avg Week Makerere-Bwaise'!L11</f>
        <v>1.4047619047619047</v>
      </c>
      <c r="M11" s="49">
        <f>'Avg Week Bwaise-Makerere'!M11+'Avg Week Makerere-Bwaise'!M11</f>
        <v>275.71428571428572</v>
      </c>
      <c r="N11" s="49">
        <f>'Avg Week Bwaise-Makerere'!N11+'Avg Week Makerere-Bwaise'!N11</f>
        <v>0.14285714285714285</v>
      </c>
      <c r="O11" s="15">
        <f t="shared" si="0"/>
        <v>231.26190476190473</v>
      </c>
      <c r="P11" s="15">
        <f t="shared" si="1"/>
        <v>506.97619047619048</v>
      </c>
      <c r="R11" s="1" t="s">
        <v>7</v>
      </c>
      <c r="S11" s="17">
        <f t="shared" ref="S11:AF11" si="3">SUM(C14:C17)</f>
        <v>336.28571428571422</v>
      </c>
      <c r="T11" s="17">
        <f t="shared" si="3"/>
        <v>108.14285714285714</v>
      </c>
      <c r="U11" s="17">
        <f t="shared" si="3"/>
        <v>41.714285714285715</v>
      </c>
      <c r="V11" s="17">
        <f t="shared" si="3"/>
        <v>408.85714285714289</v>
      </c>
      <c r="W11" s="17">
        <f t="shared" si="3"/>
        <v>10.285714285714285</v>
      </c>
      <c r="X11" s="17">
        <f t="shared" si="3"/>
        <v>16</v>
      </c>
      <c r="Y11" s="17">
        <f t="shared" si="3"/>
        <v>31.071428571428569</v>
      </c>
      <c r="Z11" s="17">
        <f t="shared" si="3"/>
        <v>8.8571428571428577</v>
      </c>
      <c r="AA11" s="17">
        <f t="shared" si="3"/>
        <v>9.4285714285714288</v>
      </c>
      <c r="AB11" s="17">
        <f t="shared" si="3"/>
        <v>5.8571428571428577</v>
      </c>
      <c r="AC11" s="17">
        <f t="shared" si="3"/>
        <v>1675</v>
      </c>
      <c r="AD11" s="17">
        <f t="shared" si="3"/>
        <v>0</v>
      </c>
      <c r="AE11" s="31">
        <f t="shared" si="3"/>
        <v>976.5</v>
      </c>
      <c r="AF11" s="31">
        <f t="shared" si="3"/>
        <v>2651.5</v>
      </c>
    </row>
    <row r="12" spans="2:32" ht="23.1" customHeight="1" x14ac:dyDescent="0.25">
      <c r="B12" s="23" t="s">
        <v>39</v>
      </c>
      <c r="C12" s="49">
        <f>'Avg Week Bwaise-Makerere'!C12+'Avg Week Makerere-Bwaise'!C12</f>
        <v>91.428571428571431</v>
      </c>
      <c r="D12" s="49">
        <f>'Avg Week Bwaise-Makerere'!D12+'Avg Week Makerere-Bwaise'!D12</f>
        <v>17.857142857142858</v>
      </c>
      <c r="E12" s="49">
        <f>'Avg Week Bwaise-Makerere'!E12+'Avg Week Makerere-Bwaise'!E12</f>
        <v>6.8571428571428577</v>
      </c>
      <c r="F12" s="49">
        <f>'Avg Week Bwaise-Makerere'!F12+'Avg Week Makerere-Bwaise'!F12</f>
        <v>100.71428571428572</v>
      </c>
      <c r="G12" s="49">
        <f>'Avg Week Bwaise-Makerere'!G12+'Avg Week Makerere-Bwaise'!G12</f>
        <v>3.7142857142857144</v>
      </c>
      <c r="H12" s="49">
        <f>'Avg Week Bwaise-Makerere'!H12+'Avg Week Makerere-Bwaise'!H12</f>
        <v>0.71428571428571419</v>
      </c>
      <c r="I12" s="49">
        <f>'Avg Week Bwaise-Makerere'!I12+'Avg Week Makerere-Bwaise'!I12</f>
        <v>10.857142857142858</v>
      </c>
      <c r="J12" s="49">
        <f>'Avg Week Bwaise-Makerere'!J12+'Avg Week Makerere-Bwaise'!J12</f>
        <v>3.1428571428571428</v>
      </c>
      <c r="K12" s="49">
        <f>'Avg Week Bwaise-Makerere'!K12+'Avg Week Makerere-Bwaise'!K12</f>
        <v>2</v>
      </c>
      <c r="L12" s="49">
        <f>'Avg Week Bwaise-Makerere'!L12+'Avg Week Makerere-Bwaise'!L12</f>
        <v>0.42857142857142855</v>
      </c>
      <c r="M12" s="49">
        <f>'Avg Week Bwaise-Makerere'!M12+'Avg Week Makerere-Bwaise'!M12</f>
        <v>319.85714285714289</v>
      </c>
      <c r="N12" s="49">
        <f>'Avg Week Bwaise-Makerere'!N12+'Avg Week Makerere-Bwaise'!N12</f>
        <v>0</v>
      </c>
      <c r="O12" s="15">
        <f t="shared" si="0"/>
        <v>237.71428571428575</v>
      </c>
      <c r="P12" s="15">
        <f t="shared" si="1"/>
        <v>557.57142857142867</v>
      </c>
      <c r="R12" s="1" t="s">
        <v>8</v>
      </c>
      <c r="S12" s="17">
        <f t="shared" ref="S12:AF12" si="4">SUM(C18:C21)</f>
        <v>334</v>
      </c>
      <c r="T12" s="17">
        <f t="shared" si="4"/>
        <v>90.714285714285708</v>
      </c>
      <c r="U12" s="17">
        <f t="shared" si="4"/>
        <v>36.714285714285715</v>
      </c>
      <c r="V12" s="17">
        <f t="shared" si="4"/>
        <v>438.71428571428572</v>
      </c>
      <c r="W12" s="17">
        <f t="shared" si="4"/>
        <v>30.714285714285712</v>
      </c>
      <c r="X12" s="17">
        <f t="shared" si="4"/>
        <v>5.5714285714285712</v>
      </c>
      <c r="Y12" s="17">
        <f t="shared" si="4"/>
        <v>34</v>
      </c>
      <c r="Z12" s="17">
        <f t="shared" si="4"/>
        <v>17.714285714285715</v>
      </c>
      <c r="AA12" s="17">
        <f t="shared" si="4"/>
        <v>8</v>
      </c>
      <c r="AB12" s="17">
        <f t="shared" si="4"/>
        <v>3.4285714285714284</v>
      </c>
      <c r="AC12" s="17">
        <f t="shared" si="4"/>
        <v>1399</v>
      </c>
      <c r="AD12" s="17">
        <f t="shared" si="4"/>
        <v>0</v>
      </c>
      <c r="AE12" s="31">
        <f t="shared" si="4"/>
        <v>999.57142857142867</v>
      </c>
      <c r="AF12" s="31">
        <f t="shared" si="4"/>
        <v>2398.5714285714289</v>
      </c>
    </row>
    <row r="13" spans="2:32" ht="23.1" customHeight="1" x14ac:dyDescent="0.25">
      <c r="B13" s="23" t="s">
        <v>40</v>
      </c>
      <c r="C13" s="49">
        <f>'Avg Week Bwaise-Makerere'!C13+'Avg Week Makerere-Bwaise'!C13</f>
        <v>84.714285714285708</v>
      </c>
      <c r="D13" s="49">
        <f>'Avg Week Bwaise-Makerere'!D13+'Avg Week Makerere-Bwaise'!D13</f>
        <v>25.714285714285715</v>
      </c>
      <c r="E13" s="49">
        <f>'Avg Week Bwaise-Makerere'!E13+'Avg Week Makerere-Bwaise'!E13</f>
        <v>9</v>
      </c>
      <c r="F13" s="49">
        <f>'Avg Week Bwaise-Makerere'!F13+'Avg Week Makerere-Bwaise'!F13</f>
        <v>98.428571428571431</v>
      </c>
      <c r="G13" s="49">
        <f>'Avg Week Bwaise-Makerere'!G13+'Avg Week Makerere-Bwaise'!G13</f>
        <v>1.4761904761904761</v>
      </c>
      <c r="H13" s="49">
        <f>'Avg Week Bwaise-Makerere'!H13+'Avg Week Makerere-Bwaise'!H13</f>
        <v>1.4285714285714286</v>
      </c>
      <c r="I13" s="49">
        <f>'Avg Week Bwaise-Makerere'!I13+'Avg Week Makerere-Bwaise'!I13</f>
        <v>5.4285714285714288</v>
      </c>
      <c r="J13" s="49">
        <f>'Avg Week Bwaise-Makerere'!J13+'Avg Week Makerere-Bwaise'!J13</f>
        <v>2.5714285714285716</v>
      </c>
      <c r="K13" s="49">
        <f>'Avg Week Bwaise-Makerere'!K13+'Avg Week Makerere-Bwaise'!K13</f>
        <v>0.8571428571428571</v>
      </c>
      <c r="L13" s="49">
        <f>'Avg Week Bwaise-Makerere'!L13+'Avg Week Makerere-Bwaise'!L13</f>
        <v>0.5714285714285714</v>
      </c>
      <c r="M13" s="49">
        <f>'Avg Week Bwaise-Makerere'!M13+'Avg Week Makerere-Bwaise'!M13</f>
        <v>352.28571428571428</v>
      </c>
      <c r="N13" s="49">
        <f>'Avg Week Bwaise-Makerere'!N13+'Avg Week Makerere-Bwaise'!N13</f>
        <v>0</v>
      </c>
      <c r="O13" s="15">
        <f t="shared" si="0"/>
        <v>230.19047619047618</v>
      </c>
      <c r="P13" s="15">
        <f t="shared" si="1"/>
        <v>582.47619047619048</v>
      </c>
      <c r="R13" s="1" t="s">
        <v>9</v>
      </c>
      <c r="S13" s="17">
        <f t="shared" ref="S13:AF13" si="5">SUM(C22:C25)</f>
        <v>354.85714285714283</v>
      </c>
      <c r="T13" s="17">
        <f t="shared" si="5"/>
        <v>110.14285714285714</v>
      </c>
      <c r="U13" s="17">
        <f t="shared" si="5"/>
        <v>58.428571428571431</v>
      </c>
      <c r="V13" s="17">
        <f t="shared" si="5"/>
        <v>348.57142857142861</v>
      </c>
      <c r="W13" s="17">
        <f t="shared" si="5"/>
        <v>6.7142857142857135</v>
      </c>
      <c r="X13" s="17">
        <f t="shared" si="5"/>
        <v>4.5714285714285721</v>
      </c>
      <c r="Y13" s="17">
        <f t="shared" si="5"/>
        <v>37</v>
      </c>
      <c r="Z13" s="17">
        <f t="shared" si="5"/>
        <v>22.571428571428573</v>
      </c>
      <c r="AA13" s="17">
        <f t="shared" si="5"/>
        <v>9.1428571428571423</v>
      </c>
      <c r="AB13" s="17">
        <f t="shared" si="5"/>
        <v>4.8571428571428568</v>
      </c>
      <c r="AC13" s="17">
        <f t="shared" si="5"/>
        <v>1368.5714285714284</v>
      </c>
      <c r="AD13" s="17">
        <f t="shared" si="5"/>
        <v>0.16666666666666666</v>
      </c>
      <c r="AE13" s="31">
        <f t="shared" si="5"/>
        <v>957.0238095238094</v>
      </c>
      <c r="AF13" s="31">
        <f t="shared" si="5"/>
        <v>2325.5952380952381</v>
      </c>
    </row>
    <row r="14" spans="2:32" ht="23.1" customHeight="1" x14ac:dyDescent="0.25">
      <c r="B14" s="23" t="s">
        <v>41</v>
      </c>
      <c r="C14" s="49">
        <f>'Avg Week Bwaise-Makerere'!C14+'Avg Week Makerere-Bwaise'!C14</f>
        <v>84.428571428571431</v>
      </c>
      <c r="D14" s="49">
        <f>'Avg Week Bwaise-Makerere'!D14+'Avg Week Makerere-Bwaise'!D14</f>
        <v>19.571428571428573</v>
      </c>
      <c r="E14" s="49">
        <f>'Avg Week Bwaise-Makerere'!E14+'Avg Week Makerere-Bwaise'!E14</f>
        <v>7.4285714285714288</v>
      </c>
      <c r="F14" s="49">
        <f>'Avg Week Bwaise-Makerere'!F14+'Avg Week Makerere-Bwaise'!F14</f>
        <v>97</v>
      </c>
      <c r="G14" s="49">
        <f>'Avg Week Bwaise-Makerere'!G14+'Avg Week Makerere-Bwaise'!G14</f>
        <v>3</v>
      </c>
      <c r="H14" s="49">
        <f>'Avg Week Bwaise-Makerere'!H14+'Avg Week Makerere-Bwaise'!H14</f>
        <v>2.5714285714285712</v>
      </c>
      <c r="I14" s="49">
        <f>'Avg Week Bwaise-Makerere'!I14+'Avg Week Makerere-Bwaise'!I14</f>
        <v>4.7142857142857144</v>
      </c>
      <c r="J14" s="49">
        <f>'Avg Week Bwaise-Makerere'!J14+'Avg Week Makerere-Bwaise'!J14</f>
        <v>2.4285714285714288</v>
      </c>
      <c r="K14" s="49">
        <f>'Avg Week Bwaise-Makerere'!K14+'Avg Week Makerere-Bwaise'!K14</f>
        <v>1.8571428571428572</v>
      </c>
      <c r="L14" s="49">
        <f>'Avg Week Bwaise-Makerere'!L14+'Avg Week Makerere-Bwaise'!L14</f>
        <v>1.4285714285714286</v>
      </c>
      <c r="M14" s="49">
        <f>'Avg Week Bwaise-Makerere'!M14+'Avg Week Makerere-Bwaise'!M14</f>
        <v>360.57142857142856</v>
      </c>
      <c r="N14" s="49">
        <f>'Avg Week Bwaise-Makerere'!N14+'Avg Week Makerere-Bwaise'!N14</f>
        <v>0</v>
      </c>
      <c r="O14" s="15">
        <f t="shared" si="0"/>
        <v>224.42857142857144</v>
      </c>
      <c r="P14" s="15">
        <f t="shared" si="1"/>
        <v>585</v>
      </c>
      <c r="R14" s="1" t="s">
        <v>10</v>
      </c>
      <c r="S14" s="17">
        <f t="shared" ref="S14:AF14" si="6">SUM(C26:C29)</f>
        <v>362.14285714285717</v>
      </c>
      <c r="T14" s="17">
        <f t="shared" si="6"/>
        <v>102.42857142857143</v>
      </c>
      <c r="U14" s="17">
        <f t="shared" si="6"/>
        <v>74.142857142857139</v>
      </c>
      <c r="V14" s="17">
        <f t="shared" si="6"/>
        <v>321.42857142857144</v>
      </c>
      <c r="W14" s="17">
        <f t="shared" si="6"/>
        <v>14.166666666666666</v>
      </c>
      <c r="X14" s="17">
        <f t="shared" si="6"/>
        <v>9.1428571428571423</v>
      </c>
      <c r="Y14" s="17">
        <f t="shared" si="6"/>
        <v>36.285714285714292</v>
      </c>
      <c r="Z14" s="17">
        <f t="shared" si="6"/>
        <v>20.285714285714285</v>
      </c>
      <c r="AA14" s="17">
        <f t="shared" si="6"/>
        <v>10.571428571428571</v>
      </c>
      <c r="AB14" s="17">
        <f t="shared" si="6"/>
        <v>8.9999999999999982</v>
      </c>
      <c r="AC14" s="17">
        <f t="shared" si="6"/>
        <v>1168</v>
      </c>
      <c r="AD14" s="17">
        <f t="shared" si="6"/>
        <v>0.30952380952380953</v>
      </c>
      <c r="AE14" s="31">
        <f t="shared" si="6"/>
        <v>959.90476190476193</v>
      </c>
      <c r="AF14" s="31">
        <f t="shared" si="6"/>
        <v>2127.9047619047619</v>
      </c>
    </row>
    <row r="15" spans="2:32" ht="23.1" customHeight="1" x14ac:dyDescent="0.25">
      <c r="B15" s="23" t="s">
        <v>42</v>
      </c>
      <c r="C15" s="49">
        <f>'Avg Week Bwaise-Makerere'!C15+'Avg Week Makerere-Bwaise'!C15</f>
        <v>78.142857142857139</v>
      </c>
      <c r="D15" s="49">
        <f>'Avg Week Bwaise-Makerere'!D15+'Avg Week Makerere-Bwaise'!D15</f>
        <v>19.285714285714285</v>
      </c>
      <c r="E15" s="49">
        <f>'Avg Week Bwaise-Makerere'!E15+'Avg Week Makerere-Bwaise'!E15</f>
        <v>13.714285714285715</v>
      </c>
      <c r="F15" s="49">
        <f>'Avg Week Bwaise-Makerere'!F15+'Avg Week Makerere-Bwaise'!F15</f>
        <v>98.428571428571416</v>
      </c>
      <c r="G15" s="49">
        <f>'Avg Week Bwaise-Makerere'!G15+'Avg Week Makerere-Bwaise'!G15</f>
        <v>1.8571428571428572</v>
      </c>
      <c r="H15" s="49">
        <f>'Avg Week Bwaise-Makerere'!H15+'Avg Week Makerere-Bwaise'!H15</f>
        <v>2.4285714285714288</v>
      </c>
      <c r="I15" s="49">
        <f>'Avg Week Bwaise-Makerere'!I15+'Avg Week Makerere-Bwaise'!I15</f>
        <v>12.285714285714285</v>
      </c>
      <c r="J15" s="49">
        <f>'Avg Week Bwaise-Makerere'!J15+'Avg Week Makerere-Bwaise'!J15</f>
        <v>1.5714285714285714</v>
      </c>
      <c r="K15" s="49">
        <f>'Avg Week Bwaise-Makerere'!K15+'Avg Week Makerere-Bwaise'!K15</f>
        <v>2.5714285714285712</v>
      </c>
      <c r="L15" s="49">
        <f>'Avg Week Bwaise-Makerere'!L15+'Avg Week Makerere-Bwaise'!L15</f>
        <v>1</v>
      </c>
      <c r="M15" s="49">
        <f>'Avg Week Bwaise-Makerere'!M15+'Avg Week Makerere-Bwaise'!M15</f>
        <v>380</v>
      </c>
      <c r="N15" s="49">
        <f>'Avg Week Bwaise-Makerere'!N15+'Avg Week Makerere-Bwaise'!N15</f>
        <v>0</v>
      </c>
      <c r="O15" s="15">
        <f t="shared" si="0"/>
        <v>231.28571428571428</v>
      </c>
      <c r="P15" s="15">
        <f t="shared" si="1"/>
        <v>611.28571428571422</v>
      </c>
      <c r="R15" s="1" t="s">
        <v>11</v>
      </c>
      <c r="S15" s="17">
        <f t="shared" ref="S15:AF15" si="7">SUM(C30:C33)</f>
        <v>371.14285714285717</v>
      </c>
      <c r="T15" s="17">
        <f t="shared" si="7"/>
        <v>108.28571428571429</v>
      </c>
      <c r="U15" s="17">
        <f t="shared" si="7"/>
        <v>59.571428571428577</v>
      </c>
      <c r="V15" s="17">
        <f t="shared" si="7"/>
        <v>312</v>
      </c>
      <c r="W15" s="17">
        <f t="shared" si="7"/>
        <v>8.2857142857142865</v>
      </c>
      <c r="X15" s="17">
        <f t="shared" si="7"/>
        <v>10.571428571428573</v>
      </c>
      <c r="Y15" s="17">
        <f t="shared" si="7"/>
        <v>38.714285714285715</v>
      </c>
      <c r="Z15" s="17">
        <f t="shared" si="7"/>
        <v>23</v>
      </c>
      <c r="AA15" s="17">
        <f t="shared" si="7"/>
        <v>13</v>
      </c>
      <c r="AB15" s="17">
        <f t="shared" si="7"/>
        <v>4.1428571428571423</v>
      </c>
      <c r="AC15" s="17">
        <f t="shared" si="7"/>
        <v>1094.5714285714284</v>
      </c>
      <c r="AD15" s="17">
        <f t="shared" si="7"/>
        <v>0</v>
      </c>
      <c r="AE15" s="31">
        <f t="shared" si="7"/>
        <v>948.71428571428578</v>
      </c>
      <c r="AF15" s="31">
        <f t="shared" si="7"/>
        <v>2043.2857142857142</v>
      </c>
    </row>
    <row r="16" spans="2:32" ht="23.1" customHeight="1" x14ac:dyDescent="0.25">
      <c r="B16" s="23" t="s">
        <v>43</v>
      </c>
      <c r="C16" s="49">
        <f>'Avg Week Bwaise-Makerere'!C16+'Avg Week Makerere-Bwaise'!C16</f>
        <v>97.142857142857139</v>
      </c>
      <c r="D16" s="49">
        <f>'Avg Week Bwaise-Makerere'!D16+'Avg Week Makerere-Bwaise'!D16</f>
        <v>19.857142857142858</v>
      </c>
      <c r="E16" s="49">
        <f>'Avg Week Bwaise-Makerere'!E16+'Avg Week Makerere-Bwaise'!E16</f>
        <v>10.857142857142858</v>
      </c>
      <c r="F16" s="49">
        <f>'Avg Week Bwaise-Makerere'!F16+'Avg Week Makerere-Bwaise'!F16</f>
        <v>110</v>
      </c>
      <c r="G16" s="49">
        <f>'Avg Week Bwaise-Makerere'!G16+'Avg Week Makerere-Bwaise'!G16</f>
        <v>3.1428571428571428</v>
      </c>
      <c r="H16" s="49">
        <f>'Avg Week Bwaise-Makerere'!H16+'Avg Week Makerere-Bwaise'!H16</f>
        <v>9</v>
      </c>
      <c r="I16" s="49">
        <f>'Avg Week Bwaise-Makerere'!I16+'Avg Week Makerere-Bwaise'!I16</f>
        <v>7.1904761904761898</v>
      </c>
      <c r="J16" s="49">
        <f>'Avg Week Bwaise-Makerere'!J16+'Avg Week Makerere-Bwaise'!J16</f>
        <v>3</v>
      </c>
      <c r="K16" s="49">
        <f>'Avg Week Bwaise-Makerere'!K16+'Avg Week Makerere-Bwaise'!K16</f>
        <v>2.2857142857142856</v>
      </c>
      <c r="L16" s="49">
        <f>'Avg Week Bwaise-Makerere'!L16+'Avg Week Makerere-Bwaise'!L16</f>
        <v>1.8571428571428572</v>
      </c>
      <c r="M16" s="49">
        <f>'Avg Week Bwaise-Makerere'!M16+'Avg Week Makerere-Bwaise'!M16</f>
        <v>393</v>
      </c>
      <c r="N16" s="49">
        <f>'Avg Week Bwaise-Makerere'!N16+'Avg Week Makerere-Bwaise'!N16</f>
        <v>0</v>
      </c>
      <c r="O16" s="15">
        <f t="shared" si="0"/>
        <v>264.33333333333331</v>
      </c>
      <c r="P16" s="15">
        <f t="shared" si="1"/>
        <v>657.33333333333326</v>
      </c>
      <c r="R16" s="1" t="s">
        <v>12</v>
      </c>
      <c r="S16" s="17">
        <f t="shared" ref="S16:AF16" si="8">SUM(C34:C37)</f>
        <v>313.42857142857144</v>
      </c>
      <c r="T16" s="17">
        <f t="shared" si="8"/>
        <v>102.85714285714285</v>
      </c>
      <c r="U16" s="17">
        <f t="shared" si="8"/>
        <v>66.428571428571431</v>
      </c>
      <c r="V16" s="17">
        <f t="shared" si="8"/>
        <v>271.14285714285711</v>
      </c>
      <c r="W16" s="17">
        <f t="shared" si="8"/>
        <v>9.8571428571428559</v>
      </c>
      <c r="X16" s="17">
        <f t="shared" si="8"/>
        <v>12.285714285714286</v>
      </c>
      <c r="Y16" s="17">
        <f t="shared" si="8"/>
        <v>50</v>
      </c>
      <c r="Z16" s="17">
        <f t="shared" si="8"/>
        <v>24.142857142857142</v>
      </c>
      <c r="AA16" s="17">
        <f t="shared" si="8"/>
        <v>11.714285714285715</v>
      </c>
      <c r="AB16" s="17">
        <f t="shared" si="8"/>
        <v>2.5714285714285712</v>
      </c>
      <c r="AC16" s="17">
        <f t="shared" si="8"/>
        <v>998.71428571428578</v>
      </c>
      <c r="AD16" s="17">
        <f t="shared" si="8"/>
        <v>0.14285714285714285</v>
      </c>
      <c r="AE16" s="31">
        <f t="shared" si="8"/>
        <v>864.57142857142856</v>
      </c>
      <c r="AF16" s="31">
        <f t="shared" si="8"/>
        <v>1863.285714285714</v>
      </c>
    </row>
    <row r="17" spans="2:32" ht="23.1" customHeight="1" x14ac:dyDescent="0.25">
      <c r="B17" s="23" t="s">
        <v>44</v>
      </c>
      <c r="C17" s="49">
        <f>'Avg Week Bwaise-Makerere'!C17+'Avg Week Makerere-Bwaise'!C17</f>
        <v>76.571428571428569</v>
      </c>
      <c r="D17" s="49">
        <f>'Avg Week Bwaise-Makerere'!D17+'Avg Week Makerere-Bwaise'!D17</f>
        <v>49.428571428571423</v>
      </c>
      <c r="E17" s="49">
        <f>'Avg Week Bwaise-Makerere'!E17+'Avg Week Makerere-Bwaise'!E17</f>
        <v>9.7142857142857153</v>
      </c>
      <c r="F17" s="49">
        <f>'Avg Week Bwaise-Makerere'!F17+'Avg Week Makerere-Bwaise'!F17</f>
        <v>103.42857142857142</v>
      </c>
      <c r="G17" s="49">
        <f>'Avg Week Bwaise-Makerere'!G17+'Avg Week Makerere-Bwaise'!G17</f>
        <v>2.2857142857142856</v>
      </c>
      <c r="H17" s="49">
        <f>'Avg Week Bwaise-Makerere'!H17+'Avg Week Makerere-Bwaise'!H17</f>
        <v>2</v>
      </c>
      <c r="I17" s="49">
        <f>'Avg Week Bwaise-Makerere'!I17+'Avg Week Makerere-Bwaise'!I17</f>
        <v>6.8809523809523814</v>
      </c>
      <c r="J17" s="49">
        <f>'Avg Week Bwaise-Makerere'!J17+'Avg Week Makerere-Bwaise'!J17</f>
        <v>1.8571428571428572</v>
      </c>
      <c r="K17" s="49">
        <f>'Avg Week Bwaise-Makerere'!K17+'Avg Week Makerere-Bwaise'!K17</f>
        <v>2.7142857142857144</v>
      </c>
      <c r="L17" s="49">
        <f>'Avg Week Bwaise-Makerere'!L17+'Avg Week Makerere-Bwaise'!L17</f>
        <v>1.5714285714285714</v>
      </c>
      <c r="M17" s="49">
        <f>'Avg Week Bwaise-Makerere'!M17+'Avg Week Makerere-Bwaise'!M17</f>
        <v>541.42857142857144</v>
      </c>
      <c r="N17" s="49">
        <f>'Avg Week Bwaise-Makerere'!N17+'Avg Week Makerere-Bwaise'!N17</f>
        <v>0</v>
      </c>
      <c r="O17" s="15">
        <f t="shared" si="0"/>
        <v>256.45238095238096</v>
      </c>
      <c r="P17" s="15">
        <f t="shared" si="1"/>
        <v>797.88095238095241</v>
      </c>
      <c r="R17" s="1" t="s">
        <v>13</v>
      </c>
      <c r="S17" s="17">
        <f t="shared" ref="S17:AF17" si="9">SUM(C38:C41)</f>
        <v>350.14285714285717</v>
      </c>
      <c r="T17" s="17">
        <f t="shared" si="9"/>
        <v>104.71428571428571</v>
      </c>
      <c r="U17" s="17">
        <f t="shared" si="9"/>
        <v>48.571428571428569</v>
      </c>
      <c r="V17" s="17">
        <f t="shared" si="9"/>
        <v>290.85714285714289</v>
      </c>
      <c r="W17" s="17">
        <f t="shared" si="9"/>
        <v>19.714285714285712</v>
      </c>
      <c r="X17" s="17">
        <f t="shared" si="9"/>
        <v>8.7142857142857135</v>
      </c>
      <c r="Y17" s="17">
        <f t="shared" si="9"/>
        <v>43.571428571428569</v>
      </c>
      <c r="Z17" s="17">
        <f t="shared" si="9"/>
        <v>23.571428571428569</v>
      </c>
      <c r="AA17" s="17">
        <f t="shared" si="9"/>
        <v>11.428571428571427</v>
      </c>
      <c r="AB17" s="17">
        <f t="shared" si="9"/>
        <v>4.4523809523809526</v>
      </c>
      <c r="AC17" s="17">
        <f t="shared" si="9"/>
        <v>958.28571428571422</v>
      </c>
      <c r="AD17" s="17">
        <f t="shared" si="9"/>
        <v>0.14285714285714285</v>
      </c>
      <c r="AE17" s="31">
        <f t="shared" si="9"/>
        <v>905.88095238095229</v>
      </c>
      <c r="AF17" s="31">
        <f t="shared" si="9"/>
        <v>1864.1666666666667</v>
      </c>
    </row>
    <row r="18" spans="2:32" ht="23.1" customHeight="1" x14ac:dyDescent="0.25">
      <c r="B18" s="23" t="s">
        <v>45</v>
      </c>
      <c r="C18" s="49">
        <f>'Avg Week Bwaise-Makerere'!C18+'Avg Week Makerere-Bwaise'!C18</f>
        <v>97.571428571428584</v>
      </c>
      <c r="D18" s="49">
        <f>'Avg Week Bwaise-Makerere'!D18+'Avg Week Makerere-Bwaise'!D18</f>
        <v>23.428571428571431</v>
      </c>
      <c r="E18" s="49">
        <f>'Avg Week Bwaise-Makerere'!E18+'Avg Week Makerere-Bwaise'!E18</f>
        <v>9.1428571428571423</v>
      </c>
      <c r="F18" s="49">
        <f>'Avg Week Bwaise-Makerere'!F18+'Avg Week Makerere-Bwaise'!F18</f>
        <v>108.42857142857143</v>
      </c>
      <c r="G18" s="49">
        <f>'Avg Week Bwaise-Makerere'!G18+'Avg Week Makerere-Bwaise'!G18</f>
        <v>2</v>
      </c>
      <c r="H18" s="49">
        <f>'Avg Week Bwaise-Makerere'!H18+'Avg Week Makerere-Bwaise'!H18</f>
        <v>1.2857142857142858</v>
      </c>
      <c r="I18" s="49">
        <f>'Avg Week Bwaise-Makerere'!I18+'Avg Week Makerere-Bwaise'!I18</f>
        <v>7.4285714285714288</v>
      </c>
      <c r="J18" s="49">
        <f>'Avg Week Bwaise-Makerere'!J18+'Avg Week Makerere-Bwaise'!J18</f>
        <v>3.5714285714285712</v>
      </c>
      <c r="K18" s="49">
        <f>'Avg Week Bwaise-Makerere'!K18+'Avg Week Makerere-Bwaise'!K18</f>
        <v>1.8571428571428572</v>
      </c>
      <c r="L18" s="49">
        <f>'Avg Week Bwaise-Makerere'!L18+'Avg Week Makerere-Bwaise'!L18</f>
        <v>1.1428571428571428</v>
      </c>
      <c r="M18" s="49">
        <f>'Avg Week Bwaise-Makerere'!M18+'Avg Week Makerere-Bwaise'!M18</f>
        <v>396.71428571428572</v>
      </c>
      <c r="N18" s="49">
        <f>'Avg Week Bwaise-Makerere'!N18+'Avg Week Makerere-Bwaise'!N18</f>
        <v>0</v>
      </c>
      <c r="O18" s="15">
        <f t="shared" si="0"/>
        <v>255.85714285714289</v>
      </c>
      <c r="P18" s="15">
        <f t="shared" si="1"/>
        <v>652.57142857142867</v>
      </c>
      <c r="R18" s="1" t="s">
        <v>14</v>
      </c>
      <c r="S18" s="17">
        <f t="shared" ref="S18:AF18" si="10">SUM(C42:C45)</f>
        <v>391.71428571428572</v>
      </c>
      <c r="T18" s="17">
        <f t="shared" si="10"/>
        <v>111.71428571428572</v>
      </c>
      <c r="U18" s="17">
        <f t="shared" si="10"/>
        <v>52.857142857142854</v>
      </c>
      <c r="V18" s="17">
        <f t="shared" si="10"/>
        <v>291.42857142857144</v>
      </c>
      <c r="W18" s="17">
        <f t="shared" si="10"/>
        <v>3.7142857142857144</v>
      </c>
      <c r="X18" s="17">
        <f t="shared" si="10"/>
        <v>6.8571428571428568</v>
      </c>
      <c r="Y18" s="17">
        <f t="shared" si="10"/>
        <v>44.142857142857139</v>
      </c>
      <c r="Z18" s="17">
        <f t="shared" si="10"/>
        <v>22.857142857142858</v>
      </c>
      <c r="AA18" s="17">
        <f t="shared" si="10"/>
        <v>8.7142857142857135</v>
      </c>
      <c r="AB18" s="17">
        <f t="shared" si="10"/>
        <v>3.6428571428571423</v>
      </c>
      <c r="AC18" s="17">
        <f t="shared" si="10"/>
        <v>926.85714285714289</v>
      </c>
      <c r="AD18" s="17">
        <f t="shared" si="10"/>
        <v>0</v>
      </c>
      <c r="AE18" s="31">
        <f t="shared" si="10"/>
        <v>937.64285714285711</v>
      </c>
      <c r="AF18" s="31">
        <f t="shared" si="10"/>
        <v>1864.5</v>
      </c>
    </row>
    <row r="19" spans="2:32" ht="23.1" customHeight="1" x14ac:dyDescent="0.25">
      <c r="B19" s="23" t="s">
        <v>46</v>
      </c>
      <c r="C19" s="49">
        <f>'Avg Week Bwaise-Makerere'!C19+'Avg Week Makerere-Bwaise'!C19</f>
        <v>75.428571428571431</v>
      </c>
      <c r="D19" s="49">
        <f>'Avg Week Bwaise-Makerere'!D19+'Avg Week Makerere-Bwaise'!D19</f>
        <v>23.285714285714285</v>
      </c>
      <c r="E19" s="49">
        <f>'Avg Week Bwaise-Makerere'!E19+'Avg Week Makerere-Bwaise'!E19</f>
        <v>10.571428571428571</v>
      </c>
      <c r="F19" s="49">
        <f>'Avg Week Bwaise-Makerere'!F19+'Avg Week Makerere-Bwaise'!F19</f>
        <v>162</v>
      </c>
      <c r="G19" s="49">
        <f>'Avg Week Bwaise-Makerere'!G19+'Avg Week Makerere-Bwaise'!G19</f>
        <v>20.428571428571427</v>
      </c>
      <c r="H19" s="49">
        <f>'Avg Week Bwaise-Makerere'!H19+'Avg Week Makerere-Bwaise'!H19</f>
        <v>1.7142857142857142</v>
      </c>
      <c r="I19" s="49">
        <f>'Avg Week Bwaise-Makerere'!I19+'Avg Week Makerere-Bwaise'!I19</f>
        <v>7.8571428571428568</v>
      </c>
      <c r="J19" s="49">
        <f>'Avg Week Bwaise-Makerere'!J19+'Avg Week Makerere-Bwaise'!J19</f>
        <v>4.4285714285714288</v>
      </c>
      <c r="K19" s="49">
        <f>'Avg Week Bwaise-Makerere'!K19+'Avg Week Makerere-Bwaise'!K19</f>
        <v>1.8571428571428572</v>
      </c>
      <c r="L19" s="49">
        <f>'Avg Week Bwaise-Makerere'!L19+'Avg Week Makerere-Bwaise'!L19</f>
        <v>0.2857142857142857</v>
      </c>
      <c r="M19" s="49">
        <f>'Avg Week Bwaise-Makerere'!M19+'Avg Week Makerere-Bwaise'!M19</f>
        <v>340.71428571428572</v>
      </c>
      <c r="N19" s="49">
        <f>'Avg Week Bwaise-Makerere'!N19+'Avg Week Makerere-Bwaise'!N19</f>
        <v>0</v>
      </c>
      <c r="O19" s="15">
        <f t="shared" si="0"/>
        <v>307.85714285714283</v>
      </c>
      <c r="P19" s="15">
        <f t="shared" si="1"/>
        <v>648.57142857142856</v>
      </c>
      <c r="R19" s="1" t="s">
        <v>15</v>
      </c>
      <c r="S19" s="17">
        <f t="shared" ref="S19:AF19" si="11">SUM(C46:C49)</f>
        <v>426.42857142857139</v>
      </c>
      <c r="T19" s="17">
        <f t="shared" si="11"/>
        <v>125.71428571428572</v>
      </c>
      <c r="U19" s="17">
        <f t="shared" si="11"/>
        <v>63.142857142857146</v>
      </c>
      <c r="V19" s="17">
        <f t="shared" si="11"/>
        <v>291.57142857142856</v>
      </c>
      <c r="W19" s="17">
        <f t="shared" si="11"/>
        <v>6.9999999999999991</v>
      </c>
      <c r="X19" s="17">
        <f t="shared" si="11"/>
        <v>8</v>
      </c>
      <c r="Y19" s="17">
        <f t="shared" si="11"/>
        <v>47.571428571428577</v>
      </c>
      <c r="Z19" s="17">
        <f t="shared" si="11"/>
        <v>22.928571428571431</v>
      </c>
      <c r="AA19" s="17">
        <f t="shared" si="11"/>
        <v>9.8571428571428559</v>
      </c>
      <c r="AB19" s="17">
        <f t="shared" si="11"/>
        <v>4.4285714285714279</v>
      </c>
      <c r="AC19" s="17">
        <f t="shared" si="11"/>
        <v>1089.1428571428571</v>
      </c>
      <c r="AD19" s="17">
        <f t="shared" si="11"/>
        <v>0</v>
      </c>
      <c r="AE19" s="31">
        <f t="shared" si="11"/>
        <v>1006.6428571428572</v>
      </c>
      <c r="AF19" s="31">
        <f t="shared" si="11"/>
        <v>2095.7857142857142</v>
      </c>
    </row>
    <row r="20" spans="2:32" ht="23.1" customHeight="1" x14ac:dyDescent="0.25">
      <c r="B20" s="23" t="s">
        <v>47</v>
      </c>
      <c r="C20" s="49">
        <f>'Avg Week Bwaise-Makerere'!C20+'Avg Week Makerere-Bwaise'!C20</f>
        <v>80.142857142857139</v>
      </c>
      <c r="D20" s="49">
        <f>'Avg Week Bwaise-Makerere'!D20+'Avg Week Makerere-Bwaise'!D20</f>
        <v>22.857142857142858</v>
      </c>
      <c r="E20" s="49">
        <f>'Avg Week Bwaise-Makerere'!E20+'Avg Week Makerere-Bwaise'!E20</f>
        <v>9.2857142857142865</v>
      </c>
      <c r="F20" s="49">
        <f>'Avg Week Bwaise-Makerere'!F20+'Avg Week Makerere-Bwaise'!F20</f>
        <v>97.571428571428569</v>
      </c>
      <c r="G20" s="49">
        <f>'Avg Week Bwaise-Makerere'!G20+'Avg Week Makerere-Bwaise'!G20</f>
        <v>1</v>
      </c>
      <c r="H20" s="49">
        <f>'Avg Week Bwaise-Makerere'!H20+'Avg Week Makerere-Bwaise'!H20</f>
        <v>0.71428571428571419</v>
      </c>
      <c r="I20" s="49">
        <f>'Avg Week Bwaise-Makerere'!I20+'Avg Week Makerere-Bwaise'!I20</f>
        <v>10.428571428571429</v>
      </c>
      <c r="J20" s="49">
        <f>'Avg Week Bwaise-Makerere'!J20+'Avg Week Makerere-Bwaise'!J20</f>
        <v>5</v>
      </c>
      <c r="K20" s="49">
        <f>'Avg Week Bwaise-Makerere'!K20+'Avg Week Makerere-Bwaise'!K20</f>
        <v>2</v>
      </c>
      <c r="L20" s="49">
        <f>'Avg Week Bwaise-Makerere'!L20+'Avg Week Makerere-Bwaise'!L20</f>
        <v>1</v>
      </c>
      <c r="M20" s="49">
        <f>'Avg Week Bwaise-Makerere'!M20+'Avg Week Makerere-Bwaise'!M20</f>
        <v>350.14285714285711</v>
      </c>
      <c r="N20" s="49">
        <f>'Avg Week Bwaise-Makerere'!N20+'Avg Week Makerere-Bwaise'!N20</f>
        <v>0</v>
      </c>
      <c r="O20" s="15">
        <f t="shared" si="0"/>
        <v>230</v>
      </c>
      <c r="P20" s="15">
        <f t="shared" si="1"/>
        <v>580.14285714285711</v>
      </c>
      <c r="R20" s="1" t="s">
        <v>16</v>
      </c>
      <c r="S20" s="17">
        <f t="shared" ref="S20:AF20" si="12">SUM(C50:C53)</f>
        <v>418.14285714285711</v>
      </c>
      <c r="T20" s="17">
        <f t="shared" si="12"/>
        <v>123.14285714285715</v>
      </c>
      <c r="U20" s="17">
        <f t="shared" si="12"/>
        <v>54.714285714285715</v>
      </c>
      <c r="V20" s="17">
        <f t="shared" si="12"/>
        <v>325.42857142857144</v>
      </c>
      <c r="W20" s="17">
        <f t="shared" si="12"/>
        <v>8</v>
      </c>
      <c r="X20" s="17">
        <f t="shared" si="12"/>
        <v>4.5714285714285712</v>
      </c>
      <c r="Y20" s="17">
        <f t="shared" si="12"/>
        <v>41</v>
      </c>
      <c r="Z20" s="17">
        <f t="shared" si="12"/>
        <v>19</v>
      </c>
      <c r="AA20" s="17">
        <f t="shared" si="12"/>
        <v>8.1428571428571441</v>
      </c>
      <c r="AB20" s="17">
        <f t="shared" si="12"/>
        <v>4</v>
      </c>
      <c r="AC20" s="17">
        <f t="shared" si="12"/>
        <v>1054</v>
      </c>
      <c r="AD20" s="17">
        <f t="shared" si="12"/>
        <v>0.14285714285714285</v>
      </c>
      <c r="AE20" s="31">
        <f t="shared" si="12"/>
        <v>1006.2857142857143</v>
      </c>
      <c r="AF20" s="31">
        <f t="shared" si="12"/>
        <v>2060.2857142857142</v>
      </c>
    </row>
    <row r="21" spans="2:32" ht="23.1" customHeight="1" x14ac:dyDescent="0.25">
      <c r="B21" s="23" t="s">
        <v>48</v>
      </c>
      <c r="C21" s="49">
        <f>'Avg Week Bwaise-Makerere'!C21+'Avg Week Makerere-Bwaise'!C21</f>
        <v>80.857142857142861</v>
      </c>
      <c r="D21" s="49">
        <f>'Avg Week Bwaise-Makerere'!D21+'Avg Week Makerere-Bwaise'!D21</f>
        <v>21.142857142857142</v>
      </c>
      <c r="E21" s="49">
        <f>'Avg Week Bwaise-Makerere'!E21+'Avg Week Makerere-Bwaise'!E21</f>
        <v>7.7142857142857144</v>
      </c>
      <c r="F21" s="49">
        <f>'Avg Week Bwaise-Makerere'!F21+'Avg Week Makerere-Bwaise'!F21</f>
        <v>70.714285714285722</v>
      </c>
      <c r="G21" s="49">
        <f>'Avg Week Bwaise-Makerere'!G21+'Avg Week Makerere-Bwaise'!G21</f>
        <v>7.2857142857142856</v>
      </c>
      <c r="H21" s="49">
        <f>'Avg Week Bwaise-Makerere'!H21+'Avg Week Makerere-Bwaise'!H21</f>
        <v>1.857142857142857</v>
      </c>
      <c r="I21" s="49">
        <f>'Avg Week Bwaise-Makerere'!I21+'Avg Week Makerere-Bwaise'!I21</f>
        <v>8.2857142857142847</v>
      </c>
      <c r="J21" s="49">
        <f>'Avg Week Bwaise-Makerere'!J21+'Avg Week Makerere-Bwaise'!J21</f>
        <v>4.7142857142857144</v>
      </c>
      <c r="K21" s="49">
        <f>'Avg Week Bwaise-Makerere'!K21+'Avg Week Makerere-Bwaise'!K21</f>
        <v>2.2857142857142856</v>
      </c>
      <c r="L21" s="49">
        <f>'Avg Week Bwaise-Makerere'!L21+'Avg Week Makerere-Bwaise'!L21</f>
        <v>1</v>
      </c>
      <c r="M21" s="49">
        <f>'Avg Week Bwaise-Makerere'!M21+'Avg Week Makerere-Bwaise'!M21</f>
        <v>311.42857142857144</v>
      </c>
      <c r="N21" s="49">
        <f>'Avg Week Bwaise-Makerere'!N21+'Avg Week Makerere-Bwaise'!N21</f>
        <v>0</v>
      </c>
      <c r="O21" s="15">
        <f t="shared" si="0"/>
        <v>205.85714285714286</v>
      </c>
      <c r="P21" s="15">
        <f t="shared" si="1"/>
        <v>517.28571428571433</v>
      </c>
      <c r="R21" s="1" t="s">
        <v>20</v>
      </c>
      <c r="S21" s="34">
        <f t="shared" ref="S21:AF21" si="13">SUM(C54:C57)</f>
        <v>365.85714285714283</v>
      </c>
      <c r="T21" s="17">
        <f t="shared" si="13"/>
        <v>98.571428571428584</v>
      </c>
      <c r="U21" s="17">
        <f t="shared" si="13"/>
        <v>53</v>
      </c>
      <c r="V21" s="17">
        <f t="shared" si="13"/>
        <v>326</v>
      </c>
      <c r="W21" s="17">
        <f t="shared" si="13"/>
        <v>13.571428571428573</v>
      </c>
      <c r="X21" s="17">
        <f t="shared" si="13"/>
        <v>6.5714285714285712</v>
      </c>
      <c r="Y21" s="17">
        <f t="shared" si="13"/>
        <v>31.428571428571431</v>
      </c>
      <c r="Z21" s="17">
        <f t="shared" si="13"/>
        <v>10.285714285714286</v>
      </c>
      <c r="AA21" s="17">
        <f t="shared" si="13"/>
        <v>5.3809523809523805</v>
      </c>
      <c r="AB21" s="17">
        <f t="shared" si="13"/>
        <v>3.7142857142857135</v>
      </c>
      <c r="AC21" s="17">
        <f t="shared" si="13"/>
        <v>1015.5714285714286</v>
      </c>
      <c r="AD21" s="17">
        <f t="shared" si="13"/>
        <v>0</v>
      </c>
      <c r="AE21" s="31">
        <f t="shared" si="13"/>
        <v>914.38095238095229</v>
      </c>
      <c r="AF21" s="31">
        <f t="shared" si="13"/>
        <v>1929.9523809523807</v>
      </c>
    </row>
    <row r="22" spans="2:32" ht="23.1" customHeight="1" x14ac:dyDescent="0.25">
      <c r="B22" s="23" t="s">
        <v>49</v>
      </c>
      <c r="C22" s="49">
        <f>'Avg Week Bwaise-Makerere'!C22+'Avg Week Makerere-Bwaise'!C22</f>
        <v>94.285714285714292</v>
      </c>
      <c r="D22" s="49">
        <f>'Avg Week Bwaise-Makerere'!D22+'Avg Week Makerere-Bwaise'!D22</f>
        <v>25.714285714285715</v>
      </c>
      <c r="E22" s="49">
        <f>'Avg Week Bwaise-Makerere'!E22+'Avg Week Makerere-Bwaise'!E22</f>
        <v>13.428571428571427</v>
      </c>
      <c r="F22" s="49">
        <f>'Avg Week Bwaise-Makerere'!F22+'Avg Week Makerere-Bwaise'!F22</f>
        <v>91.428571428571416</v>
      </c>
      <c r="G22" s="49">
        <f>'Avg Week Bwaise-Makerere'!G22+'Avg Week Makerere-Bwaise'!G22</f>
        <v>2.4285714285714284</v>
      </c>
      <c r="H22" s="49">
        <f>'Avg Week Bwaise-Makerere'!H22+'Avg Week Makerere-Bwaise'!H22</f>
        <v>1.2857142857142856</v>
      </c>
      <c r="I22" s="49">
        <f>'Avg Week Bwaise-Makerere'!I22+'Avg Week Makerere-Bwaise'!I22</f>
        <v>9.2857142857142865</v>
      </c>
      <c r="J22" s="49">
        <f>'Avg Week Bwaise-Makerere'!J22+'Avg Week Makerere-Bwaise'!J22</f>
        <v>6.1428571428571423</v>
      </c>
      <c r="K22" s="49">
        <f>'Avg Week Bwaise-Makerere'!K22+'Avg Week Makerere-Bwaise'!K22</f>
        <v>2.2857142857142856</v>
      </c>
      <c r="L22" s="49">
        <f>'Avg Week Bwaise-Makerere'!L22+'Avg Week Makerere-Bwaise'!L22</f>
        <v>1.7142857142857142</v>
      </c>
      <c r="M22" s="49">
        <f>'Avg Week Bwaise-Makerere'!M22+'Avg Week Makerere-Bwaise'!M22</f>
        <v>389.42857142857144</v>
      </c>
      <c r="N22" s="49">
        <f>'Avg Week Bwaise-Makerere'!N22+'Avg Week Makerere-Bwaise'!N22</f>
        <v>0</v>
      </c>
      <c r="O22" s="15">
        <f t="shared" si="0"/>
        <v>247.99999999999994</v>
      </c>
      <c r="P22" s="15">
        <f t="shared" si="1"/>
        <v>637.42857142857133</v>
      </c>
      <c r="R22" s="1" t="s">
        <v>146</v>
      </c>
      <c r="S22" s="34">
        <f>SUM(C58:C61)</f>
        <v>391.5</v>
      </c>
      <c r="T22" s="34">
        <f t="shared" ref="T22:AF22" si="14">SUM(D58:D61)</f>
        <v>107</v>
      </c>
      <c r="U22" s="34">
        <f t="shared" si="14"/>
        <v>113</v>
      </c>
      <c r="V22" s="34">
        <f t="shared" si="14"/>
        <v>309.5</v>
      </c>
      <c r="W22" s="34">
        <f t="shared" si="14"/>
        <v>5.5</v>
      </c>
      <c r="X22" s="34">
        <f t="shared" si="14"/>
        <v>12.5</v>
      </c>
      <c r="Y22" s="34">
        <f t="shared" si="14"/>
        <v>44</v>
      </c>
      <c r="Z22" s="34">
        <f t="shared" si="14"/>
        <v>14</v>
      </c>
      <c r="AA22" s="34">
        <f t="shared" si="14"/>
        <v>3.5</v>
      </c>
      <c r="AB22" s="34">
        <f t="shared" si="14"/>
        <v>4.5</v>
      </c>
      <c r="AC22" s="34">
        <f t="shared" si="14"/>
        <v>930</v>
      </c>
      <c r="AD22" s="34">
        <f t="shared" si="14"/>
        <v>0</v>
      </c>
      <c r="AE22" s="31">
        <f t="shared" si="14"/>
        <v>1005</v>
      </c>
      <c r="AF22" s="31">
        <f t="shared" si="14"/>
        <v>1935</v>
      </c>
    </row>
    <row r="23" spans="2:32" ht="23.1" customHeight="1" x14ac:dyDescent="0.25">
      <c r="B23" s="23" t="s">
        <v>50</v>
      </c>
      <c r="C23" s="49">
        <f>'Avg Week Bwaise-Makerere'!C23+'Avg Week Makerere-Bwaise'!C23</f>
        <v>92.285714285714278</v>
      </c>
      <c r="D23" s="49">
        <f>'Avg Week Bwaise-Makerere'!D23+'Avg Week Makerere-Bwaise'!D23</f>
        <v>27.714285714285715</v>
      </c>
      <c r="E23" s="49">
        <f>'Avg Week Bwaise-Makerere'!E23+'Avg Week Makerere-Bwaise'!E23</f>
        <v>12</v>
      </c>
      <c r="F23" s="49">
        <f>'Avg Week Bwaise-Makerere'!F23+'Avg Week Makerere-Bwaise'!F23</f>
        <v>82.714285714285722</v>
      </c>
      <c r="G23" s="49">
        <f>'Avg Week Bwaise-Makerere'!G23+'Avg Week Makerere-Bwaise'!G23</f>
        <v>1.1428571428571428</v>
      </c>
      <c r="H23" s="49">
        <f>'Avg Week Bwaise-Makerere'!H23+'Avg Week Makerere-Bwaise'!H23</f>
        <v>1.7142857142857142</v>
      </c>
      <c r="I23" s="49">
        <f>'Avg Week Bwaise-Makerere'!I23+'Avg Week Makerere-Bwaise'!I23</f>
        <v>8.8571428571428577</v>
      </c>
      <c r="J23" s="49">
        <f>'Avg Week Bwaise-Makerere'!J23+'Avg Week Makerere-Bwaise'!J23</f>
        <v>5.4285714285714288</v>
      </c>
      <c r="K23" s="49">
        <f>'Avg Week Bwaise-Makerere'!K23+'Avg Week Makerere-Bwaise'!K23</f>
        <v>2.1428571428571428</v>
      </c>
      <c r="L23" s="49">
        <f>'Avg Week Bwaise-Makerere'!L23+'Avg Week Makerere-Bwaise'!L23</f>
        <v>1.1428571428571428</v>
      </c>
      <c r="M23" s="49">
        <f>'Avg Week Bwaise-Makerere'!M23+'Avg Week Makerere-Bwaise'!M23</f>
        <v>332.42857142857144</v>
      </c>
      <c r="N23" s="49">
        <f>'Avg Week Bwaise-Makerere'!N23+'Avg Week Makerere-Bwaise'!N23</f>
        <v>0</v>
      </c>
      <c r="O23" s="15">
        <f t="shared" si="0"/>
        <v>235.14285714285714</v>
      </c>
      <c r="P23" s="15">
        <f t="shared" si="1"/>
        <v>567.57142857142856</v>
      </c>
      <c r="R23" s="1" t="s">
        <v>147</v>
      </c>
      <c r="S23" s="34">
        <f>SUM(C62:C65)</f>
        <v>392.5</v>
      </c>
      <c r="T23" s="34">
        <f t="shared" ref="T23:AF23" si="15">SUM(D62:D65)</f>
        <v>127.5</v>
      </c>
      <c r="U23" s="34">
        <f t="shared" si="15"/>
        <v>61.5</v>
      </c>
      <c r="V23" s="34">
        <f t="shared" si="15"/>
        <v>344.5</v>
      </c>
      <c r="W23" s="34">
        <f t="shared" si="15"/>
        <v>32.5</v>
      </c>
      <c r="X23" s="34">
        <f t="shared" si="15"/>
        <v>10.5</v>
      </c>
      <c r="Y23" s="34">
        <f t="shared" si="15"/>
        <v>41</v>
      </c>
      <c r="Z23" s="34">
        <f t="shared" si="15"/>
        <v>23</v>
      </c>
      <c r="AA23" s="34">
        <f t="shared" si="15"/>
        <v>3</v>
      </c>
      <c r="AB23" s="34">
        <f t="shared" si="15"/>
        <v>0.5</v>
      </c>
      <c r="AC23" s="34">
        <f t="shared" si="15"/>
        <v>995</v>
      </c>
      <c r="AD23" s="34">
        <f t="shared" si="15"/>
        <v>0</v>
      </c>
      <c r="AE23" s="31">
        <f t="shared" si="15"/>
        <v>1036.5</v>
      </c>
      <c r="AF23" s="31">
        <f t="shared" si="15"/>
        <v>2031.5</v>
      </c>
    </row>
    <row r="24" spans="2:32" ht="23.1" customHeight="1" x14ac:dyDescent="0.25">
      <c r="B24" s="23" t="s">
        <v>51</v>
      </c>
      <c r="C24" s="49">
        <f>'Avg Week Bwaise-Makerere'!C24+'Avg Week Makerere-Bwaise'!C24</f>
        <v>92.285714285714292</v>
      </c>
      <c r="D24" s="49">
        <f>'Avg Week Bwaise-Makerere'!D24+'Avg Week Makerere-Bwaise'!D24</f>
        <v>28.571428571428569</v>
      </c>
      <c r="E24" s="49">
        <f>'Avg Week Bwaise-Makerere'!E24+'Avg Week Makerere-Bwaise'!E24</f>
        <v>23.142857142857142</v>
      </c>
      <c r="F24" s="49">
        <f>'Avg Week Bwaise-Makerere'!F24+'Avg Week Makerere-Bwaise'!F24</f>
        <v>93.714285714285722</v>
      </c>
      <c r="G24" s="49">
        <f>'Avg Week Bwaise-Makerere'!G24+'Avg Week Makerere-Bwaise'!G24</f>
        <v>1.7142857142857142</v>
      </c>
      <c r="H24" s="49">
        <f>'Avg Week Bwaise-Makerere'!H24+'Avg Week Makerere-Bwaise'!H24</f>
        <v>1.4285714285714286</v>
      </c>
      <c r="I24" s="49">
        <f>'Avg Week Bwaise-Makerere'!I24+'Avg Week Makerere-Bwaise'!I24</f>
        <v>9.5714285714285712</v>
      </c>
      <c r="J24" s="49">
        <f>'Avg Week Bwaise-Makerere'!J24+'Avg Week Makerere-Bwaise'!J24</f>
        <v>7.1428571428571423</v>
      </c>
      <c r="K24" s="49">
        <f>'Avg Week Bwaise-Makerere'!K24+'Avg Week Makerere-Bwaise'!K24</f>
        <v>3</v>
      </c>
      <c r="L24" s="49">
        <f>'Avg Week Bwaise-Makerere'!L24+'Avg Week Makerere-Bwaise'!L24</f>
        <v>0.8571428571428571</v>
      </c>
      <c r="M24" s="49">
        <f>'Avg Week Bwaise-Makerere'!M24+'Avg Week Makerere-Bwaise'!M24</f>
        <v>345.42857142857144</v>
      </c>
      <c r="N24" s="49">
        <f>'Avg Week Bwaise-Makerere'!N24+'Avg Week Makerere-Bwaise'!N24</f>
        <v>0.16666666666666666</v>
      </c>
      <c r="O24" s="15">
        <f t="shared" si="0"/>
        <v>261.59523809523813</v>
      </c>
      <c r="P24" s="15">
        <f t="shared" si="1"/>
        <v>607.02380952380952</v>
      </c>
      <c r="R24" s="1" t="s">
        <v>148</v>
      </c>
      <c r="S24" s="34">
        <f>SUM(C66:C69)</f>
        <v>432</v>
      </c>
      <c r="T24" s="34">
        <f t="shared" ref="T24:AF24" si="16">SUM(D66:D69)</f>
        <v>113</v>
      </c>
      <c r="U24" s="34">
        <f t="shared" si="16"/>
        <v>58.5</v>
      </c>
      <c r="V24" s="34">
        <f t="shared" si="16"/>
        <v>339.5</v>
      </c>
      <c r="W24" s="34">
        <f t="shared" si="16"/>
        <v>8</v>
      </c>
      <c r="X24" s="34">
        <f t="shared" si="16"/>
        <v>4.5</v>
      </c>
      <c r="Y24" s="34">
        <f t="shared" si="16"/>
        <v>48</v>
      </c>
      <c r="Z24" s="34">
        <f t="shared" si="16"/>
        <v>14</v>
      </c>
      <c r="AA24" s="34">
        <f t="shared" si="16"/>
        <v>7</v>
      </c>
      <c r="AB24" s="34">
        <f t="shared" si="16"/>
        <v>1.5</v>
      </c>
      <c r="AC24" s="34">
        <f t="shared" si="16"/>
        <v>895.5</v>
      </c>
      <c r="AD24" s="34">
        <f t="shared" si="16"/>
        <v>0.5</v>
      </c>
      <c r="AE24" s="31">
        <f t="shared" si="16"/>
        <v>1026.5</v>
      </c>
      <c r="AF24" s="31">
        <f t="shared" si="16"/>
        <v>1922</v>
      </c>
    </row>
    <row r="25" spans="2:32" ht="23.1" customHeight="1" x14ac:dyDescent="0.25">
      <c r="B25" s="23" t="s">
        <v>52</v>
      </c>
      <c r="C25" s="49">
        <f>'Avg Week Bwaise-Makerere'!C25+'Avg Week Makerere-Bwaise'!C25</f>
        <v>76</v>
      </c>
      <c r="D25" s="49">
        <f>'Avg Week Bwaise-Makerere'!D25+'Avg Week Makerere-Bwaise'!D25</f>
        <v>28.142857142857142</v>
      </c>
      <c r="E25" s="49">
        <f>'Avg Week Bwaise-Makerere'!E25+'Avg Week Makerere-Bwaise'!E25</f>
        <v>9.8571428571428577</v>
      </c>
      <c r="F25" s="49">
        <f>'Avg Week Bwaise-Makerere'!F25+'Avg Week Makerere-Bwaise'!F25</f>
        <v>80.714285714285722</v>
      </c>
      <c r="G25" s="49">
        <f>'Avg Week Bwaise-Makerere'!G25+'Avg Week Makerere-Bwaise'!G25</f>
        <v>1.4285714285714284</v>
      </c>
      <c r="H25" s="49">
        <f>'Avg Week Bwaise-Makerere'!H25+'Avg Week Makerere-Bwaise'!H25</f>
        <v>0.14285714285714285</v>
      </c>
      <c r="I25" s="49">
        <f>'Avg Week Bwaise-Makerere'!I25+'Avg Week Makerere-Bwaise'!I25</f>
        <v>9.2857142857142865</v>
      </c>
      <c r="J25" s="49">
        <f>'Avg Week Bwaise-Makerere'!J25+'Avg Week Makerere-Bwaise'!J25</f>
        <v>3.8571428571428572</v>
      </c>
      <c r="K25" s="49">
        <f>'Avg Week Bwaise-Makerere'!K25+'Avg Week Makerere-Bwaise'!K25</f>
        <v>1.7142857142857142</v>
      </c>
      <c r="L25" s="49">
        <f>'Avg Week Bwaise-Makerere'!L25+'Avg Week Makerere-Bwaise'!L25</f>
        <v>1.1428571428571428</v>
      </c>
      <c r="M25" s="49">
        <f>'Avg Week Bwaise-Makerere'!M25+'Avg Week Makerere-Bwaise'!M25</f>
        <v>301.28571428571428</v>
      </c>
      <c r="N25" s="49">
        <f>'Avg Week Bwaise-Makerere'!N25+'Avg Week Makerere-Bwaise'!N25</f>
        <v>0</v>
      </c>
      <c r="O25" s="15">
        <f t="shared" si="0"/>
        <v>212.28571428571428</v>
      </c>
      <c r="P25" s="15">
        <f t="shared" si="1"/>
        <v>513.57142857142856</v>
      </c>
      <c r="R25" s="1" t="s">
        <v>149</v>
      </c>
      <c r="S25" s="34">
        <f>SUM(C70:C73)</f>
        <v>373.5</v>
      </c>
      <c r="T25" s="34">
        <f t="shared" ref="T25:AF25" si="17">SUM(D70:D73)</f>
        <v>77</v>
      </c>
      <c r="U25" s="34">
        <f t="shared" si="17"/>
        <v>81.5</v>
      </c>
      <c r="V25" s="34">
        <f t="shared" si="17"/>
        <v>233</v>
      </c>
      <c r="W25" s="34">
        <f t="shared" si="17"/>
        <v>7</v>
      </c>
      <c r="X25" s="34">
        <f t="shared" si="17"/>
        <v>13</v>
      </c>
      <c r="Y25" s="34">
        <f t="shared" si="17"/>
        <v>31</v>
      </c>
      <c r="Z25" s="34">
        <f t="shared" si="17"/>
        <v>6</v>
      </c>
      <c r="AA25" s="34">
        <f t="shared" si="17"/>
        <v>5</v>
      </c>
      <c r="AB25" s="34">
        <f t="shared" si="17"/>
        <v>3</v>
      </c>
      <c r="AC25" s="34">
        <f t="shared" si="17"/>
        <v>863</v>
      </c>
      <c r="AD25" s="34">
        <f t="shared" si="17"/>
        <v>0</v>
      </c>
      <c r="AE25" s="31">
        <f t="shared" si="17"/>
        <v>830</v>
      </c>
      <c r="AF25" s="31">
        <f t="shared" si="17"/>
        <v>1693</v>
      </c>
    </row>
    <row r="26" spans="2:32" ht="23.1" customHeight="1" x14ac:dyDescent="0.25">
      <c r="B26" s="23" t="s">
        <v>53</v>
      </c>
      <c r="C26" s="49">
        <f>'Avg Week Bwaise-Makerere'!C26+'Avg Week Makerere-Bwaise'!C26</f>
        <v>91.857142857142861</v>
      </c>
      <c r="D26" s="49">
        <f>'Avg Week Bwaise-Makerere'!D26+'Avg Week Makerere-Bwaise'!D26</f>
        <v>28</v>
      </c>
      <c r="E26" s="49">
        <f>'Avg Week Bwaise-Makerere'!E26+'Avg Week Makerere-Bwaise'!E26</f>
        <v>21.714285714285715</v>
      </c>
      <c r="F26" s="49">
        <f>'Avg Week Bwaise-Makerere'!F26+'Avg Week Makerere-Bwaise'!F26</f>
        <v>87.714285714285722</v>
      </c>
      <c r="G26" s="49">
        <f>'Avg Week Bwaise-Makerere'!G26+'Avg Week Makerere-Bwaise'!G26</f>
        <v>11.428571428571429</v>
      </c>
      <c r="H26" s="49">
        <f>'Avg Week Bwaise-Makerere'!H26+'Avg Week Makerere-Bwaise'!H26</f>
        <v>2.1428571428571428</v>
      </c>
      <c r="I26" s="49">
        <f>'Avg Week Bwaise-Makerere'!I26+'Avg Week Makerere-Bwaise'!I26</f>
        <v>11</v>
      </c>
      <c r="J26" s="49">
        <f>'Avg Week Bwaise-Makerere'!J26+'Avg Week Makerere-Bwaise'!J26</f>
        <v>5.2857142857142856</v>
      </c>
      <c r="K26" s="49">
        <f>'Avg Week Bwaise-Makerere'!K26+'Avg Week Makerere-Bwaise'!K26</f>
        <v>3</v>
      </c>
      <c r="L26" s="49">
        <f>'Avg Week Bwaise-Makerere'!L26+'Avg Week Makerere-Bwaise'!L26</f>
        <v>1</v>
      </c>
      <c r="M26" s="49">
        <f>'Avg Week Bwaise-Makerere'!M26+'Avg Week Makerere-Bwaise'!M26</f>
        <v>315.14285714285711</v>
      </c>
      <c r="N26" s="49">
        <f>'Avg Week Bwaise-Makerere'!N26+'Avg Week Makerere-Bwaise'!N26</f>
        <v>0.16666666666666666</v>
      </c>
      <c r="O26" s="15">
        <f t="shared" si="0"/>
        <v>263.30952380952385</v>
      </c>
      <c r="P26" s="15">
        <f t="shared" si="1"/>
        <v>578.45238095238085</v>
      </c>
      <c r="R26" s="1" t="s">
        <v>150</v>
      </c>
      <c r="S26" s="34">
        <f>SUM(C74:C77)</f>
        <v>345</v>
      </c>
      <c r="T26" s="34">
        <f t="shared" ref="T26:AF26" si="18">SUM(D74:D77)</f>
        <v>60</v>
      </c>
      <c r="U26" s="34">
        <f t="shared" si="18"/>
        <v>41.5</v>
      </c>
      <c r="V26" s="34">
        <f t="shared" si="18"/>
        <v>226</v>
      </c>
      <c r="W26" s="34">
        <f t="shared" si="18"/>
        <v>3.5</v>
      </c>
      <c r="X26" s="34">
        <f t="shared" si="18"/>
        <v>8</v>
      </c>
      <c r="Y26" s="34">
        <f t="shared" si="18"/>
        <v>25</v>
      </c>
      <c r="Z26" s="34">
        <f t="shared" si="18"/>
        <v>4</v>
      </c>
      <c r="AA26" s="34">
        <f t="shared" si="18"/>
        <v>5.5</v>
      </c>
      <c r="AB26" s="34">
        <f t="shared" si="18"/>
        <v>1</v>
      </c>
      <c r="AC26" s="34">
        <f t="shared" si="18"/>
        <v>738.5</v>
      </c>
      <c r="AD26" s="34">
        <f t="shared" si="18"/>
        <v>0</v>
      </c>
      <c r="AE26" s="31">
        <f t="shared" si="18"/>
        <v>719.5</v>
      </c>
      <c r="AF26" s="31">
        <f t="shared" si="18"/>
        <v>1458</v>
      </c>
    </row>
    <row r="27" spans="2:32" ht="23.1" customHeight="1" x14ac:dyDescent="0.25">
      <c r="B27" s="23" t="s">
        <v>54</v>
      </c>
      <c r="C27" s="49">
        <f>'Avg Week Bwaise-Makerere'!C27+'Avg Week Makerere-Bwaise'!C27</f>
        <v>87.714285714285722</v>
      </c>
      <c r="D27" s="49">
        <f>'Avg Week Bwaise-Makerere'!D27+'Avg Week Makerere-Bwaise'!D27</f>
        <v>27.571428571428573</v>
      </c>
      <c r="E27" s="49">
        <f>'Avg Week Bwaise-Makerere'!E27+'Avg Week Makerere-Bwaise'!E27</f>
        <v>13.571428571428571</v>
      </c>
      <c r="F27" s="49">
        <f>'Avg Week Bwaise-Makerere'!F27+'Avg Week Makerere-Bwaise'!F27</f>
        <v>75.285714285714278</v>
      </c>
      <c r="G27" s="49">
        <f>'Avg Week Bwaise-Makerere'!G27+'Avg Week Makerere-Bwaise'!G27</f>
        <v>0.73809523809523803</v>
      </c>
      <c r="H27" s="49">
        <f>'Avg Week Bwaise-Makerere'!H27+'Avg Week Makerere-Bwaise'!H27</f>
        <v>1.1428571428571428</v>
      </c>
      <c r="I27" s="49">
        <f>'Avg Week Bwaise-Makerere'!I27+'Avg Week Makerere-Bwaise'!I27</f>
        <v>7.8571428571428577</v>
      </c>
      <c r="J27" s="49">
        <f>'Avg Week Bwaise-Makerere'!J27+'Avg Week Makerere-Bwaise'!J27</f>
        <v>5.1428571428571423</v>
      </c>
      <c r="K27" s="49">
        <f>'Avg Week Bwaise-Makerere'!K27+'Avg Week Makerere-Bwaise'!K27</f>
        <v>2.7142857142857144</v>
      </c>
      <c r="L27" s="49">
        <f>'Avg Week Bwaise-Makerere'!L27+'Avg Week Makerere-Bwaise'!L27</f>
        <v>1.2857142857142856</v>
      </c>
      <c r="M27" s="49">
        <f>'Avg Week Bwaise-Makerere'!M27+'Avg Week Makerere-Bwaise'!M27</f>
        <v>295.57142857142856</v>
      </c>
      <c r="N27" s="49">
        <f>'Avg Week Bwaise-Makerere'!N27+'Avg Week Makerere-Bwaise'!N27</f>
        <v>0.14285714285714285</v>
      </c>
      <c r="O27" s="15">
        <f t="shared" si="0"/>
        <v>223.16666666666666</v>
      </c>
      <c r="P27" s="15">
        <f t="shared" si="1"/>
        <v>518.73809523809518</v>
      </c>
      <c r="R27" s="1" t="s">
        <v>151</v>
      </c>
      <c r="S27" s="34">
        <f>SUM(C78:C81)</f>
        <v>285</v>
      </c>
      <c r="T27" s="34">
        <f t="shared" ref="T27:AF27" si="19">SUM(D78:D81)</f>
        <v>44</v>
      </c>
      <c r="U27" s="34">
        <f t="shared" si="19"/>
        <v>48.5</v>
      </c>
      <c r="V27" s="34">
        <f t="shared" si="19"/>
        <v>170</v>
      </c>
      <c r="W27" s="34">
        <f t="shared" si="19"/>
        <v>4</v>
      </c>
      <c r="X27" s="34">
        <f t="shared" si="19"/>
        <v>6.5</v>
      </c>
      <c r="Y27" s="34">
        <f t="shared" si="19"/>
        <v>28.5</v>
      </c>
      <c r="Z27" s="34">
        <f t="shared" si="19"/>
        <v>11.5</v>
      </c>
      <c r="AA27" s="34">
        <f t="shared" si="19"/>
        <v>2.5</v>
      </c>
      <c r="AB27" s="34">
        <f t="shared" si="19"/>
        <v>3.5</v>
      </c>
      <c r="AC27" s="34">
        <f t="shared" si="19"/>
        <v>740</v>
      </c>
      <c r="AD27" s="34">
        <f t="shared" si="19"/>
        <v>0</v>
      </c>
      <c r="AE27" s="31">
        <f t="shared" si="19"/>
        <v>604</v>
      </c>
      <c r="AF27" s="31">
        <f t="shared" si="19"/>
        <v>1344</v>
      </c>
    </row>
    <row r="28" spans="2:32" ht="23.1" customHeight="1" x14ac:dyDescent="0.25">
      <c r="B28" s="23" t="s">
        <v>55</v>
      </c>
      <c r="C28" s="49">
        <f>'Avg Week Bwaise-Makerere'!C28+'Avg Week Makerere-Bwaise'!C28</f>
        <v>98.142857142857139</v>
      </c>
      <c r="D28" s="49">
        <f>'Avg Week Bwaise-Makerere'!D28+'Avg Week Makerere-Bwaise'!D28</f>
        <v>26.857142857142858</v>
      </c>
      <c r="E28" s="49">
        <f>'Avg Week Bwaise-Makerere'!E28+'Avg Week Makerere-Bwaise'!E28</f>
        <v>18.428571428571427</v>
      </c>
      <c r="F28" s="49">
        <f>'Avg Week Bwaise-Makerere'!F28+'Avg Week Makerere-Bwaise'!F28</f>
        <v>86.714285714285722</v>
      </c>
      <c r="G28" s="49">
        <f>'Avg Week Bwaise-Makerere'!G28+'Avg Week Makerere-Bwaise'!G28</f>
        <v>1.2857142857142856</v>
      </c>
      <c r="H28" s="49">
        <f>'Avg Week Bwaise-Makerere'!H28+'Avg Week Makerere-Bwaise'!H28</f>
        <v>2.2857142857142856</v>
      </c>
      <c r="I28" s="49">
        <f>'Avg Week Bwaise-Makerere'!I28+'Avg Week Makerere-Bwaise'!I28</f>
        <v>8.5714285714285712</v>
      </c>
      <c r="J28" s="49">
        <f>'Avg Week Bwaise-Makerere'!J28+'Avg Week Makerere-Bwaise'!J28</f>
        <v>5.2857142857142856</v>
      </c>
      <c r="K28" s="49">
        <f>'Avg Week Bwaise-Makerere'!K28+'Avg Week Makerere-Bwaise'!K28</f>
        <v>2.4285714285714284</v>
      </c>
      <c r="L28" s="49">
        <f>'Avg Week Bwaise-Makerere'!L28+'Avg Week Makerere-Bwaise'!L28</f>
        <v>6</v>
      </c>
      <c r="M28" s="49">
        <f>'Avg Week Bwaise-Makerere'!M28+'Avg Week Makerere-Bwaise'!M28</f>
        <v>302</v>
      </c>
      <c r="N28" s="49">
        <f>'Avg Week Bwaise-Makerere'!N28+'Avg Week Makerere-Bwaise'!N28</f>
        <v>0</v>
      </c>
      <c r="O28" s="15">
        <f t="shared" si="0"/>
        <v>255.99999999999997</v>
      </c>
      <c r="P28" s="15">
        <f t="shared" si="1"/>
        <v>558</v>
      </c>
      <c r="R28" s="1" t="s">
        <v>152</v>
      </c>
      <c r="S28" s="34">
        <f>SUM(C82:C85)</f>
        <v>253.5</v>
      </c>
      <c r="T28" s="34">
        <f t="shared" ref="T28:AF28" si="20">SUM(D82:D85)</f>
        <v>42</v>
      </c>
      <c r="U28" s="34">
        <f t="shared" si="20"/>
        <v>41.5</v>
      </c>
      <c r="V28" s="34">
        <f t="shared" si="20"/>
        <v>157</v>
      </c>
      <c r="W28" s="34">
        <f t="shared" si="20"/>
        <v>4</v>
      </c>
      <c r="X28" s="34">
        <f t="shared" si="20"/>
        <v>6</v>
      </c>
      <c r="Y28" s="34">
        <f t="shared" si="20"/>
        <v>20.5</v>
      </c>
      <c r="Z28" s="34">
        <f t="shared" si="20"/>
        <v>10.5</v>
      </c>
      <c r="AA28" s="34">
        <f t="shared" si="20"/>
        <v>8</v>
      </c>
      <c r="AB28" s="34">
        <f t="shared" si="20"/>
        <v>4</v>
      </c>
      <c r="AC28" s="34">
        <f t="shared" si="20"/>
        <v>594.5</v>
      </c>
      <c r="AD28" s="34">
        <f t="shared" si="20"/>
        <v>0</v>
      </c>
      <c r="AE28" s="31">
        <f t="shared" si="20"/>
        <v>547</v>
      </c>
      <c r="AF28" s="31">
        <f t="shared" si="20"/>
        <v>1141.5</v>
      </c>
    </row>
    <row r="29" spans="2:32" ht="23.1" customHeight="1" x14ac:dyDescent="0.25">
      <c r="B29" s="23" t="s">
        <v>56</v>
      </c>
      <c r="C29" s="49">
        <f>'Avg Week Bwaise-Makerere'!C29+'Avg Week Makerere-Bwaise'!C29</f>
        <v>84.428571428571431</v>
      </c>
      <c r="D29" s="49">
        <f>'Avg Week Bwaise-Makerere'!D29+'Avg Week Makerere-Bwaise'!D29</f>
        <v>20</v>
      </c>
      <c r="E29" s="49">
        <f>'Avg Week Bwaise-Makerere'!E29+'Avg Week Makerere-Bwaise'!E29</f>
        <v>20.428571428571431</v>
      </c>
      <c r="F29" s="49">
        <f>'Avg Week Bwaise-Makerere'!F29+'Avg Week Makerere-Bwaise'!F29</f>
        <v>71.714285714285722</v>
      </c>
      <c r="G29" s="49">
        <f>'Avg Week Bwaise-Makerere'!G29+'Avg Week Makerere-Bwaise'!G29</f>
        <v>0.71428571428571419</v>
      </c>
      <c r="H29" s="49">
        <f>'Avg Week Bwaise-Makerere'!H29+'Avg Week Makerere-Bwaise'!H29</f>
        <v>3.5714285714285712</v>
      </c>
      <c r="I29" s="49">
        <f>'Avg Week Bwaise-Makerere'!I29+'Avg Week Makerere-Bwaise'!I29</f>
        <v>8.8571428571428577</v>
      </c>
      <c r="J29" s="49">
        <f>'Avg Week Bwaise-Makerere'!J29+'Avg Week Makerere-Bwaise'!J29</f>
        <v>4.5714285714285712</v>
      </c>
      <c r="K29" s="49">
        <f>'Avg Week Bwaise-Makerere'!K29+'Avg Week Makerere-Bwaise'!K29</f>
        <v>2.4285714285714288</v>
      </c>
      <c r="L29" s="49">
        <f>'Avg Week Bwaise-Makerere'!L29+'Avg Week Makerere-Bwaise'!L29</f>
        <v>0.71428571428571419</v>
      </c>
      <c r="M29" s="49">
        <f>'Avg Week Bwaise-Makerere'!M29+'Avg Week Makerere-Bwaise'!M29</f>
        <v>255.28571428571428</v>
      </c>
      <c r="N29" s="49">
        <f>'Avg Week Bwaise-Makerere'!N29+'Avg Week Makerere-Bwaise'!N29</f>
        <v>0</v>
      </c>
      <c r="O29" s="15">
        <f t="shared" si="0"/>
        <v>217.42857142857147</v>
      </c>
      <c r="P29" s="15">
        <f t="shared" si="1"/>
        <v>472.71428571428578</v>
      </c>
      <c r="R29" s="1" t="s">
        <v>153</v>
      </c>
      <c r="S29" s="34">
        <f>SUM(C86:C89)</f>
        <v>221</v>
      </c>
      <c r="T29" s="34">
        <f t="shared" ref="T29:AF29" si="21">SUM(D86:D89)</f>
        <v>48.5</v>
      </c>
      <c r="U29" s="34">
        <f t="shared" si="21"/>
        <v>32.5</v>
      </c>
      <c r="V29" s="34">
        <f t="shared" si="21"/>
        <v>103</v>
      </c>
      <c r="W29" s="34">
        <f t="shared" si="21"/>
        <v>3.5</v>
      </c>
      <c r="X29" s="34">
        <f t="shared" si="21"/>
        <v>2</v>
      </c>
      <c r="Y29" s="34">
        <f t="shared" si="21"/>
        <v>18</v>
      </c>
      <c r="Z29" s="34">
        <f t="shared" si="21"/>
        <v>4.5</v>
      </c>
      <c r="AA29" s="34">
        <f t="shared" si="21"/>
        <v>7</v>
      </c>
      <c r="AB29" s="34">
        <f t="shared" si="21"/>
        <v>0.5</v>
      </c>
      <c r="AC29" s="34">
        <f t="shared" si="21"/>
        <v>543</v>
      </c>
      <c r="AD29" s="34">
        <f t="shared" si="21"/>
        <v>0</v>
      </c>
      <c r="AE29" s="31">
        <f t="shared" si="21"/>
        <v>440.5</v>
      </c>
      <c r="AF29" s="31">
        <f t="shared" si="21"/>
        <v>983.5</v>
      </c>
    </row>
    <row r="30" spans="2:32" ht="23.1" customHeight="1" x14ac:dyDescent="0.25">
      <c r="B30" s="23" t="s">
        <v>57</v>
      </c>
      <c r="C30" s="49">
        <f>'Avg Week Bwaise-Makerere'!C30+'Avg Week Makerere-Bwaise'!C30</f>
        <v>91</v>
      </c>
      <c r="D30" s="49">
        <f>'Avg Week Bwaise-Makerere'!D30+'Avg Week Makerere-Bwaise'!D30</f>
        <v>25.285714285714285</v>
      </c>
      <c r="E30" s="49">
        <f>'Avg Week Bwaise-Makerere'!E30+'Avg Week Makerere-Bwaise'!E30</f>
        <v>13.571428571428573</v>
      </c>
      <c r="F30" s="49">
        <f>'Avg Week Bwaise-Makerere'!F30+'Avg Week Makerere-Bwaise'!F30</f>
        <v>88.571428571428569</v>
      </c>
      <c r="G30" s="49">
        <f>'Avg Week Bwaise-Makerere'!G30+'Avg Week Makerere-Bwaise'!G30</f>
        <v>1.1428571428571428</v>
      </c>
      <c r="H30" s="49">
        <f>'Avg Week Bwaise-Makerere'!H30+'Avg Week Makerere-Bwaise'!H30</f>
        <v>2.7142857142857144</v>
      </c>
      <c r="I30" s="49">
        <f>'Avg Week Bwaise-Makerere'!I30+'Avg Week Makerere-Bwaise'!I30</f>
        <v>7.4285714285714288</v>
      </c>
      <c r="J30" s="49">
        <f>'Avg Week Bwaise-Makerere'!J30+'Avg Week Makerere-Bwaise'!J30</f>
        <v>4.8571428571428568</v>
      </c>
      <c r="K30" s="49">
        <f>'Avg Week Bwaise-Makerere'!K30+'Avg Week Makerere-Bwaise'!K30</f>
        <v>2</v>
      </c>
      <c r="L30" s="49">
        <f>'Avg Week Bwaise-Makerere'!L30+'Avg Week Makerere-Bwaise'!L30</f>
        <v>1</v>
      </c>
      <c r="M30" s="49">
        <f>'Avg Week Bwaise-Makerere'!M30+'Avg Week Makerere-Bwaise'!M30</f>
        <v>301.14285714285711</v>
      </c>
      <c r="N30" s="49">
        <f>'Avg Week Bwaise-Makerere'!N30+'Avg Week Makerere-Bwaise'!N30</f>
        <v>0</v>
      </c>
      <c r="O30" s="15">
        <f t="shared" si="0"/>
        <v>237.57142857142858</v>
      </c>
      <c r="P30" s="15">
        <f t="shared" si="1"/>
        <v>538.71428571428567</v>
      </c>
      <c r="R30" s="1" t="s">
        <v>154</v>
      </c>
      <c r="S30" s="34">
        <f>SUM(C90:C93)</f>
        <v>210.5</v>
      </c>
      <c r="T30" s="34">
        <f t="shared" ref="T30:AF30" si="22">SUM(D90:D93)</f>
        <v>47</v>
      </c>
      <c r="U30" s="34">
        <f t="shared" si="22"/>
        <v>24.5</v>
      </c>
      <c r="V30" s="34">
        <f t="shared" si="22"/>
        <v>124.5</v>
      </c>
      <c r="W30" s="34">
        <f t="shared" si="22"/>
        <v>3.5</v>
      </c>
      <c r="X30" s="34">
        <f t="shared" si="22"/>
        <v>2.5</v>
      </c>
      <c r="Y30" s="34">
        <f t="shared" si="22"/>
        <v>13.5</v>
      </c>
      <c r="Z30" s="34">
        <f t="shared" si="22"/>
        <v>2</v>
      </c>
      <c r="AA30" s="34">
        <f t="shared" si="22"/>
        <v>5</v>
      </c>
      <c r="AB30" s="34">
        <f t="shared" si="22"/>
        <v>1</v>
      </c>
      <c r="AC30" s="34">
        <f t="shared" si="22"/>
        <v>422.5</v>
      </c>
      <c r="AD30" s="34">
        <f t="shared" si="22"/>
        <v>0</v>
      </c>
      <c r="AE30" s="31">
        <f t="shared" si="22"/>
        <v>434</v>
      </c>
      <c r="AF30" s="31">
        <f t="shared" si="22"/>
        <v>856.5</v>
      </c>
    </row>
    <row r="31" spans="2:32" ht="23.1" customHeight="1" x14ac:dyDescent="0.25">
      <c r="B31" s="24" t="s">
        <v>58</v>
      </c>
      <c r="C31" s="49">
        <f>'Avg Week Bwaise-Makerere'!C31+'Avg Week Makerere-Bwaise'!C31</f>
        <v>82</v>
      </c>
      <c r="D31" s="49">
        <f>'Avg Week Bwaise-Makerere'!D31+'Avg Week Makerere-Bwaise'!D31</f>
        <v>26.714285714285715</v>
      </c>
      <c r="E31" s="49">
        <f>'Avg Week Bwaise-Makerere'!E31+'Avg Week Makerere-Bwaise'!E31</f>
        <v>13.857142857142858</v>
      </c>
      <c r="F31" s="49">
        <f>'Avg Week Bwaise-Makerere'!F31+'Avg Week Makerere-Bwaise'!F31</f>
        <v>80</v>
      </c>
      <c r="G31" s="49">
        <f>'Avg Week Bwaise-Makerere'!G31+'Avg Week Makerere-Bwaise'!G31</f>
        <v>1.5714285714285714</v>
      </c>
      <c r="H31" s="49">
        <f>'Avg Week Bwaise-Makerere'!H31+'Avg Week Makerere-Bwaise'!H31</f>
        <v>2</v>
      </c>
      <c r="I31" s="49">
        <f>'Avg Week Bwaise-Makerere'!I31+'Avg Week Makerere-Bwaise'!I31</f>
        <v>10.428571428571429</v>
      </c>
      <c r="J31" s="49">
        <f>'Avg Week Bwaise-Makerere'!J31+'Avg Week Makerere-Bwaise'!J31</f>
        <v>4.1428571428571423</v>
      </c>
      <c r="K31" s="49">
        <f>'Avg Week Bwaise-Makerere'!K31+'Avg Week Makerere-Bwaise'!K31</f>
        <v>2.7142857142857144</v>
      </c>
      <c r="L31" s="49">
        <f>'Avg Week Bwaise-Makerere'!L31+'Avg Week Makerere-Bwaise'!L31</f>
        <v>0.42857142857142855</v>
      </c>
      <c r="M31" s="49">
        <f>'Avg Week Bwaise-Makerere'!M31+'Avg Week Makerere-Bwaise'!M31</f>
        <v>272.42857142857144</v>
      </c>
      <c r="N31" s="49">
        <f>'Avg Week Bwaise-Makerere'!N31+'Avg Week Makerere-Bwaise'!N31</f>
        <v>0</v>
      </c>
      <c r="O31" s="15">
        <f t="shared" si="0"/>
        <v>223.85714285714286</v>
      </c>
      <c r="P31" s="15">
        <f t="shared" si="1"/>
        <v>496.28571428571433</v>
      </c>
      <c r="R31" s="1" t="s">
        <v>155</v>
      </c>
      <c r="S31" s="34">
        <f>SUM(C94:C97)</f>
        <v>156</v>
      </c>
      <c r="T31" s="34">
        <f t="shared" ref="T31:AF31" si="23">SUM(D94:D97)</f>
        <v>42</v>
      </c>
      <c r="U31" s="34">
        <f t="shared" si="23"/>
        <v>26</v>
      </c>
      <c r="V31" s="34">
        <f t="shared" si="23"/>
        <v>137.5</v>
      </c>
      <c r="W31" s="34">
        <f t="shared" si="23"/>
        <v>1</v>
      </c>
      <c r="X31" s="34">
        <f t="shared" si="23"/>
        <v>2.5</v>
      </c>
      <c r="Y31" s="34">
        <f t="shared" si="23"/>
        <v>18.5</v>
      </c>
      <c r="Z31" s="34">
        <f t="shared" si="23"/>
        <v>4.5</v>
      </c>
      <c r="AA31" s="34">
        <f t="shared" si="23"/>
        <v>4</v>
      </c>
      <c r="AB31" s="34">
        <f t="shared" si="23"/>
        <v>1</v>
      </c>
      <c r="AC31" s="34">
        <f t="shared" si="23"/>
        <v>460.5</v>
      </c>
      <c r="AD31" s="34">
        <f t="shared" si="23"/>
        <v>0</v>
      </c>
      <c r="AE31" s="31">
        <f t="shared" si="23"/>
        <v>393</v>
      </c>
      <c r="AF31" s="31">
        <f t="shared" si="23"/>
        <v>853.5</v>
      </c>
    </row>
    <row r="32" spans="2:32" ht="23.1" customHeight="1" x14ac:dyDescent="0.25">
      <c r="B32" s="24" t="s">
        <v>59</v>
      </c>
      <c r="C32" s="49">
        <f>'Avg Week Bwaise-Makerere'!C32+'Avg Week Makerere-Bwaise'!C32</f>
        <v>97.857142857142861</v>
      </c>
      <c r="D32" s="49">
        <f>'Avg Week Bwaise-Makerere'!D32+'Avg Week Makerere-Bwaise'!D32</f>
        <v>29.714285714285715</v>
      </c>
      <c r="E32" s="49">
        <f>'Avg Week Bwaise-Makerere'!E32+'Avg Week Makerere-Bwaise'!E32</f>
        <v>19.714285714285715</v>
      </c>
      <c r="F32" s="49">
        <f>'Avg Week Bwaise-Makerere'!F32+'Avg Week Makerere-Bwaise'!F32</f>
        <v>79</v>
      </c>
      <c r="G32" s="49">
        <f>'Avg Week Bwaise-Makerere'!G32+'Avg Week Makerere-Bwaise'!G32</f>
        <v>2</v>
      </c>
      <c r="H32" s="49">
        <f>'Avg Week Bwaise-Makerere'!H32+'Avg Week Makerere-Bwaise'!H32</f>
        <v>1.7142857142857144</v>
      </c>
      <c r="I32" s="49">
        <f>'Avg Week Bwaise-Makerere'!I32+'Avg Week Makerere-Bwaise'!I32</f>
        <v>10.428571428571429</v>
      </c>
      <c r="J32" s="49">
        <f>'Avg Week Bwaise-Makerere'!J32+'Avg Week Makerere-Bwaise'!J32</f>
        <v>6</v>
      </c>
      <c r="K32" s="49">
        <f>'Avg Week Bwaise-Makerere'!K32+'Avg Week Makerere-Bwaise'!K32</f>
        <v>3</v>
      </c>
      <c r="L32" s="49">
        <f>'Avg Week Bwaise-Makerere'!L32+'Avg Week Makerere-Bwaise'!L32</f>
        <v>1.1428571428571428</v>
      </c>
      <c r="M32" s="49">
        <f>'Avg Week Bwaise-Makerere'!M32+'Avg Week Makerere-Bwaise'!M32</f>
        <v>263.57142857142856</v>
      </c>
      <c r="N32" s="49">
        <f>'Avg Week Bwaise-Makerere'!N32+'Avg Week Makerere-Bwaise'!N32</f>
        <v>0</v>
      </c>
      <c r="O32" s="15">
        <f t="shared" si="0"/>
        <v>250.57142857142858</v>
      </c>
      <c r="P32" s="15">
        <f t="shared" si="1"/>
        <v>514.14285714285711</v>
      </c>
      <c r="R32" s="1" t="s">
        <v>156</v>
      </c>
      <c r="S32" s="34">
        <f>SUM(C98:C101)</f>
        <v>206.5</v>
      </c>
      <c r="T32" s="34">
        <f t="shared" ref="T32:AF32" si="24">SUM(D98:D101)</f>
        <v>40.5</v>
      </c>
      <c r="U32" s="34">
        <f t="shared" si="24"/>
        <v>21.5</v>
      </c>
      <c r="V32" s="34">
        <f t="shared" si="24"/>
        <v>201.5</v>
      </c>
      <c r="W32" s="34">
        <f t="shared" si="24"/>
        <v>3</v>
      </c>
      <c r="X32" s="34">
        <f t="shared" si="24"/>
        <v>4</v>
      </c>
      <c r="Y32" s="34">
        <f t="shared" si="24"/>
        <v>25.5</v>
      </c>
      <c r="Z32" s="34">
        <f t="shared" si="24"/>
        <v>3</v>
      </c>
      <c r="AA32" s="34">
        <f t="shared" si="24"/>
        <v>1.5</v>
      </c>
      <c r="AB32" s="34">
        <f t="shared" si="24"/>
        <v>0.5</v>
      </c>
      <c r="AC32" s="34">
        <f t="shared" si="24"/>
        <v>620.5</v>
      </c>
      <c r="AD32" s="34">
        <f t="shared" si="24"/>
        <v>0</v>
      </c>
      <c r="AE32" s="31">
        <f t="shared" si="24"/>
        <v>507.5</v>
      </c>
      <c r="AF32" s="31">
        <f t="shared" si="24"/>
        <v>1128</v>
      </c>
    </row>
    <row r="33" spans="2:32" ht="23.1" customHeight="1" x14ac:dyDescent="0.25">
      <c r="B33" s="23" t="s">
        <v>60</v>
      </c>
      <c r="C33" s="49">
        <f>'Avg Week Bwaise-Makerere'!C33+'Avg Week Makerere-Bwaise'!C33</f>
        <v>100.28571428571429</v>
      </c>
      <c r="D33" s="49">
        <f>'Avg Week Bwaise-Makerere'!D33+'Avg Week Makerere-Bwaise'!D33</f>
        <v>26.571428571428569</v>
      </c>
      <c r="E33" s="49">
        <f>'Avg Week Bwaise-Makerere'!E33+'Avg Week Makerere-Bwaise'!E33</f>
        <v>12.428571428571429</v>
      </c>
      <c r="F33" s="49">
        <f>'Avg Week Bwaise-Makerere'!F33+'Avg Week Makerere-Bwaise'!F33</f>
        <v>64.428571428571431</v>
      </c>
      <c r="G33" s="49">
        <f>'Avg Week Bwaise-Makerere'!G33+'Avg Week Makerere-Bwaise'!G33</f>
        <v>3.5714285714285716</v>
      </c>
      <c r="H33" s="49">
        <f>'Avg Week Bwaise-Makerere'!H33+'Avg Week Makerere-Bwaise'!H33</f>
        <v>4.1428571428571432</v>
      </c>
      <c r="I33" s="49">
        <f>'Avg Week Bwaise-Makerere'!I33+'Avg Week Makerere-Bwaise'!I33</f>
        <v>10.428571428571429</v>
      </c>
      <c r="J33" s="49">
        <f>'Avg Week Bwaise-Makerere'!J33+'Avg Week Makerere-Bwaise'!J33</f>
        <v>8</v>
      </c>
      <c r="K33" s="49">
        <f>'Avg Week Bwaise-Makerere'!K33+'Avg Week Makerere-Bwaise'!K33</f>
        <v>5.2857142857142856</v>
      </c>
      <c r="L33" s="49">
        <f>'Avg Week Bwaise-Makerere'!L33+'Avg Week Makerere-Bwaise'!L33</f>
        <v>1.5714285714285714</v>
      </c>
      <c r="M33" s="49">
        <f>'Avg Week Bwaise-Makerere'!M33+'Avg Week Makerere-Bwaise'!M33</f>
        <v>257.42857142857144</v>
      </c>
      <c r="N33" s="49">
        <f>'Avg Week Bwaise-Makerere'!N33+'Avg Week Makerere-Bwaise'!N33</f>
        <v>0</v>
      </c>
      <c r="O33" s="15">
        <f t="shared" si="0"/>
        <v>236.71428571428572</v>
      </c>
      <c r="P33" s="15">
        <f t="shared" si="1"/>
        <v>494.14285714285717</v>
      </c>
      <c r="R33" s="1" t="s">
        <v>157</v>
      </c>
      <c r="S33" s="34">
        <f>SUM(C102:C105)</f>
        <v>261</v>
      </c>
      <c r="T33" s="34">
        <f t="shared" ref="T33:AF33" si="25">SUM(D102:D105)</f>
        <v>52</v>
      </c>
      <c r="U33" s="34">
        <f t="shared" si="25"/>
        <v>29</v>
      </c>
      <c r="V33" s="34">
        <f t="shared" si="25"/>
        <v>239</v>
      </c>
      <c r="W33" s="34">
        <f t="shared" si="25"/>
        <v>9.5</v>
      </c>
      <c r="X33" s="34">
        <f t="shared" si="25"/>
        <v>5.5</v>
      </c>
      <c r="Y33" s="34">
        <f t="shared" si="25"/>
        <v>16.5</v>
      </c>
      <c r="Z33" s="34">
        <f t="shared" si="25"/>
        <v>4</v>
      </c>
      <c r="AA33" s="34">
        <f t="shared" si="25"/>
        <v>9.5</v>
      </c>
      <c r="AB33" s="34">
        <f t="shared" si="25"/>
        <v>1.5</v>
      </c>
      <c r="AC33" s="34">
        <f t="shared" si="25"/>
        <v>583</v>
      </c>
      <c r="AD33" s="34">
        <f t="shared" si="25"/>
        <v>0</v>
      </c>
      <c r="AE33" s="31">
        <f t="shared" si="25"/>
        <v>627.5</v>
      </c>
      <c r="AF33" s="31">
        <f t="shared" si="25"/>
        <v>1210.5</v>
      </c>
    </row>
    <row r="34" spans="2:32" ht="23.1" customHeight="1" x14ac:dyDescent="0.25">
      <c r="B34" s="24" t="s">
        <v>61</v>
      </c>
      <c r="C34" s="49">
        <f>'Avg Week Bwaise-Makerere'!C34+'Avg Week Makerere-Bwaise'!C34</f>
        <v>73.142857142857139</v>
      </c>
      <c r="D34" s="49">
        <f>'Avg Week Bwaise-Makerere'!D34+'Avg Week Makerere-Bwaise'!D34</f>
        <v>26.571428571428569</v>
      </c>
      <c r="E34" s="49">
        <f>'Avg Week Bwaise-Makerere'!E34+'Avg Week Makerere-Bwaise'!E34</f>
        <v>18.285714285714285</v>
      </c>
      <c r="F34" s="49">
        <f>'Avg Week Bwaise-Makerere'!F34+'Avg Week Makerere-Bwaise'!F34</f>
        <v>61.571428571428569</v>
      </c>
      <c r="G34" s="49">
        <f>'Avg Week Bwaise-Makerere'!G34+'Avg Week Makerere-Bwaise'!G34</f>
        <v>0.85714285714285721</v>
      </c>
      <c r="H34" s="49">
        <f>'Avg Week Bwaise-Makerere'!H34+'Avg Week Makerere-Bwaise'!H34</f>
        <v>3.1428571428571428</v>
      </c>
      <c r="I34" s="49">
        <f>'Avg Week Bwaise-Makerere'!I34+'Avg Week Makerere-Bwaise'!I34</f>
        <v>17.571428571428569</v>
      </c>
      <c r="J34" s="49">
        <f>'Avg Week Bwaise-Makerere'!J34+'Avg Week Makerere-Bwaise'!J34</f>
        <v>3.8571428571428572</v>
      </c>
      <c r="K34" s="49">
        <f>'Avg Week Bwaise-Makerere'!K34+'Avg Week Makerere-Bwaise'!K34</f>
        <v>3.8571428571428568</v>
      </c>
      <c r="L34" s="49">
        <f>'Avg Week Bwaise-Makerere'!L34+'Avg Week Makerere-Bwaise'!L34</f>
        <v>0.85714285714285721</v>
      </c>
      <c r="M34" s="49">
        <f>'Avg Week Bwaise-Makerere'!M34+'Avg Week Makerere-Bwaise'!M34</f>
        <v>254.14285714285711</v>
      </c>
      <c r="N34" s="49">
        <f>'Avg Week Bwaise-Makerere'!N34+'Avg Week Makerere-Bwaise'!N34</f>
        <v>0</v>
      </c>
      <c r="O34" s="15">
        <f t="shared" si="0"/>
        <v>209.71428571428569</v>
      </c>
      <c r="P34" s="15">
        <f t="shared" si="1"/>
        <v>463.85714285714278</v>
      </c>
      <c r="R34" s="53" t="s">
        <v>90</v>
      </c>
      <c r="S34" s="54">
        <f t="shared" ref="S34:AF34" si="26">MAX(S10:S12)</f>
        <v>370.14285714285717</v>
      </c>
      <c r="T34" s="54">
        <f t="shared" si="26"/>
        <v>108.14285714285714</v>
      </c>
      <c r="U34" s="54">
        <f t="shared" si="26"/>
        <v>41.714285714285715</v>
      </c>
      <c r="V34" s="54">
        <f t="shared" si="26"/>
        <v>438.71428571428572</v>
      </c>
      <c r="W34" s="54">
        <f t="shared" si="26"/>
        <v>30.714285714285712</v>
      </c>
      <c r="X34" s="54">
        <f t="shared" si="26"/>
        <v>16</v>
      </c>
      <c r="Y34" s="54">
        <f t="shared" si="26"/>
        <v>34</v>
      </c>
      <c r="Z34" s="54">
        <f t="shared" si="26"/>
        <v>17.714285714285715</v>
      </c>
      <c r="AA34" s="54">
        <f t="shared" si="26"/>
        <v>9.4285714285714288</v>
      </c>
      <c r="AB34" s="54">
        <f t="shared" si="26"/>
        <v>5.8571428571428577</v>
      </c>
      <c r="AC34" s="54">
        <f t="shared" si="26"/>
        <v>1675</v>
      </c>
      <c r="AD34" s="54">
        <f t="shared" si="26"/>
        <v>0.14285714285714285</v>
      </c>
      <c r="AE34" s="40">
        <f t="shared" si="26"/>
        <v>999.57142857142867</v>
      </c>
      <c r="AF34" s="40">
        <f t="shared" si="26"/>
        <v>2651.5</v>
      </c>
    </row>
    <row r="35" spans="2:32" ht="23.1" customHeight="1" x14ac:dyDescent="0.25">
      <c r="B35" s="24" t="s">
        <v>62</v>
      </c>
      <c r="C35" s="49">
        <f>'Avg Week Bwaise-Makerere'!C35+'Avg Week Makerere-Bwaise'!C35</f>
        <v>80</v>
      </c>
      <c r="D35" s="49">
        <f>'Avg Week Bwaise-Makerere'!D35+'Avg Week Makerere-Bwaise'!D35</f>
        <v>22</v>
      </c>
      <c r="E35" s="49">
        <f>'Avg Week Bwaise-Makerere'!E35+'Avg Week Makerere-Bwaise'!E35</f>
        <v>21.142857142857142</v>
      </c>
      <c r="F35" s="49">
        <f>'Avg Week Bwaise-Makerere'!F35+'Avg Week Makerere-Bwaise'!F35</f>
        <v>65.285714285714292</v>
      </c>
      <c r="G35" s="49">
        <f>'Avg Week Bwaise-Makerere'!G35+'Avg Week Makerere-Bwaise'!G35</f>
        <v>1</v>
      </c>
      <c r="H35" s="49">
        <f>'Avg Week Bwaise-Makerere'!H35+'Avg Week Makerere-Bwaise'!H35</f>
        <v>3.2857142857142856</v>
      </c>
      <c r="I35" s="49">
        <f>'Avg Week Bwaise-Makerere'!I35+'Avg Week Makerere-Bwaise'!I35</f>
        <v>10.857142857142858</v>
      </c>
      <c r="J35" s="49">
        <f>'Avg Week Bwaise-Makerere'!J35+'Avg Week Makerere-Bwaise'!J35</f>
        <v>6.2857142857142856</v>
      </c>
      <c r="K35" s="49">
        <f>'Avg Week Bwaise-Makerere'!K35+'Avg Week Makerere-Bwaise'!K35</f>
        <v>2</v>
      </c>
      <c r="L35" s="49">
        <f>'Avg Week Bwaise-Makerere'!L35+'Avg Week Makerere-Bwaise'!L35</f>
        <v>0.42857142857142855</v>
      </c>
      <c r="M35" s="49">
        <f>'Avg Week Bwaise-Makerere'!M35+'Avg Week Makerere-Bwaise'!M35</f>
        <v>254.42857142857144</v>
      </c>
      <c r="N35" s="49">
        <f>'Avg Week Bwaise-Makerere'!N35+'Avg Week Makerere-Bwaise'!N35</f>
        <v>0</v>
      </c>
      <c r="O35" s="15">
        <f t="shared" si="0"/>
        <v>212.28571428571428</v>
      </c>
      <c r="P35" s="15">
        <f t="shared" si="1"/>
        <v>466.71428571428572</v>
      </c>
      <c r="R35" s="53" t="s">
        <v>91</v>
      </c>
      <c r="S35" s="54">
        <f t="shared" ref="S35:AF35" si="27">MAX(S13:S18)</f>
        <v>391.71428571428572</v>
      </c>
      <c r="T35" s="54">
        <f t="shared" si="27"/>
        <v>111.71428571428572</v>
      </c>
      <c r="U35" s="54">
        <f t="shared" si="27"/>
        <v>74.142857142857139</v>
      </c>
      <c r="V35" s="54">
        <f t="shared" si="27"/>
        <v>348.57142857142861</v>
      </c>
      <c r="W35" s="54">
        <f t="shared" si="27"/>
        <v>19.714285714285712</v>
      </c>
      <c r="X35" s="54">
        <f t="shared" si="27"/>
        <v>12.285714285714286</v>
      </c>
      <c r="Y35" s="54">
        <f t="shared" si="27"/>
        <v>50</v>
      </c>
      <c r="Z35" s="54">
        <f t="shared" si="27"/>
        <v>24.142857142857142</v>
      </c>
      <c r="AA35" s="54">
        <f t="shared" si="27"/>
        <v>13</v>
      </c>
      <c r="AB35" s="54">
        <f t="shared" si="27"/>
        <v>8.9999999999999982</v>
      </c>
      <c r="AC35" s="54">
        <f t="shared" si="27"/>
        <v>1368.5714285714284</v>
      </c>
      <c r="AD35" s="54">
        <f t="shared" si="27"/>
        <v>0.30952380952380953</v>
      </c>
      <c r="AE35" s="40">
        <f t="shared" si="27"/>
        <v>959.90476190476193</v>
      </c>
      <c r="AF35" s="40">
        <f t="shared" si="27"/>
        <v>2325.5952380952381</v>
      </c>
    </row>
    <row r="36" spans="2:32" ht="23.1" customHeight="1" x14ac:dyDescent="0.25">
      <c r="B36" s="24" t="s">
        <v>63</v>
      </c>
      <c r="C36" s="49">
        <f>'Avg Week Bwaise-Makerere'!C36+'Avg Week Makerere-Bwaise'!C36</f>
        <v>84.857142857142861</v>
      </c>
      <c r="D36" s="49">
        <f>'Avg Week Bwaise-Makerere'!D36+'Avg Week Makerere-Bwaise'!D36</f>
        <v>24.857142857142854</v>
      </c>
      <c r="E36" s="49">
        <f>'Avg Week Bwaise-Makerere'!E36+'Avg Week Makerere-Bwaise'!E36</f>
        <v>16.428571428571427</v>
      </c>
      <c r="F36" s="49">
        <f>'Avg Week Bwaise-Makerere'!F36+'Avg Week Makerere-Bwaise'!F36</f>
        <v>69.142857142857139</v>
      </c>
      <c r="G36" s="49">
        <f>'Avg Week Bwaise-Makerere'!G36+'Avg Week Makerere-Bwaise'!G36</f>
        <v>7.2857142857142856</v>
      </c>
      <c r="H36" s="49">
        <f>'Avg Week Bwaise-Makerere'!H36+'Avg Week Makerere-Bwaise'!H36</f>
        <v>2.2857142857142856</v>
      </c>
      <c r="I36" s="49">
        <f>'Avg Week Bwaise-Makerere'!I36+'Avg Week Makerere-Bwaise'!I36</f>
        <v>11</v>
      </c>
      <c r="J36" s="49">
        <f>'Avg Week Bwaise-Makerere'!J36+'Avg Week Makerere-Bwaise'!J36</f>
        <v>7.7142857142857144</v>
      </c>
      <c r="K36" s="49">
        <f>'Avg Week Bwaise-Makerere'!K36+'Avg Week Makerere-Bwaise'!K36</f>
        <v>3.1428571428571432</v>
      </c>
      <c r="L36" s="49">
        <f>'Avg Week Bwaise-Makerere'!L36+'Avg Week Makerere-Bwaise'!L36</f>
        <v>0.5714285714285714</v>
      </c>
      <c r="M36" s="49">
        <f>'Avg Week Bwaise-Makerere'!M36+'Avg Week Makerere-Bwaise'!M36</f>
        <v>255.28571428571428</v>
      </c>
      <c r="N36" s="49">
        <f>'Avg Week Bwaise-Makerere'!N36+'Avg Week Makerere-Bwaise'!N36</f>
        <v>0</v>
      </c>
      <c r="O36" s="15">
        <f t="shared" si="0"/>
        <v>227.28571428571428</v>
      </c>
      <c r="P36" s="15">
        <f t="shared" si="1"/>
        <v>482.57142857142856</v>
      </c>
      <c r="R36" s="53" t="s">
        <v>92</v>
      </c>
      <c r="S36" s="54">
        <f t="shared" ref="S36:AF36" si="28">MAX(S19:S21)</f>
        <v>426.42857142857139</v>
      </c>
      <c r="T36" s="54">
        <f t="shared" si="28"/>
        <v>125.71428571428572</v>
      </c>
      <c r="U36" s="54">
        <f t="shared" si="28"/>
        <v>63.142857142857146</v>
      </c>
      <c r="V36" s="54">
        <f t="shared" si="28"/>
        <v>326</v>
      </c>
      <c r="W36" s="54">
        <f t="shared" si="28"/>
        <v>13.571428571428573</v>
      </c>
      <c r="X36" s="54">
        <f t="shared" si="28"/>
        <v>8</v>
      </c>
      <c r="Y36" s="54">
        <f t="shared" si="28"/>
        <v>47.571428571428577</v>
      </c>
      <c r="Z36" s="54">
        <f t="shared" si="28"/>
        <v>22.928571428571431</v>
      </c>
      <c r="AA36" s="54">
        <f t="shared" si="28"/>
        <v>9.8571428571428559</v>
      </c>
      <c r="AB36" s="54">
        <f t="shared" si="28"/>
        <v>4.4285714285714279</v>
      </c>
      <c r="AC36" s="54">
        <f t="shared" si="28"/>
        <v>1089.1428571428571</v>
      </c>
      <c r="AD36" s="54">
        <f t="shared" si="28"/>
        <v>0.14285714285714285</v>
      </c>
      <c r="AE36" s="40">
        <f t="shared" si="28"/>
        <v>1006.6428571428572</v>
      </c>
      <c r="AF36" s="40">
        <f t="shared" si="28"/>
        <v>2095.7857142857142</v>
      </c>
    </row>
    <row r="37" spans="2:32" ht="23.1" customHeight="1" x14ac:dyDescent="0.25">
      <c r="B37" s="23" t="s">
        <v>64</v>
      </c>
      <c r="C37" s="49">
        <f>'Avg Week Bwaise-Makerere'!C37+'Avg Week Makerere-Bwaise'!C37</f>
        <v>75.428571428571416</v>
      </c>
      <c r="D37" s="49">
        <f>'Avg Week Bwaise-Makerere'!D37+'Avg Week Makerere-Bwaise'!D37</f>
        <v>29.428571428571431</v>
      </c>
      <c r="E37" s="49">
        <f>'Avg Week Bwaise-Makerere'!E37+'Avg Week Makerere-Bwaise'!E37</f>
        <v>10.571428571428571</v>
      </c>
      <c r="F37" s="49">
        <f>'Avg Week Bwaise-Makerere'!F37+'Avg Week Makerere-Bwaise'!F37</f>
        <v>75.142857142857139</v>
      </c>
      <c r="G37" s="49">
        <f>'Avg Week Bwaise-Makerere'!G37+'Avg Week Makerere-Bwaise'!G37</f>
        <v>0.71428571428571419</v>
      </c>
      <c r="H37" s="49">
        <f>'Avg Week Bwaise-Makerere'!H37+'Avg Week Makerere-Bwaise'!H37</f>
        <v>3.5714285714285712</v>
      </c>
      <c r="I37" s="49">
        <f>'Avg Week Bwaise-Makerere'!I37+'Avg Week Makerere-Bwaise'!I37</f>
        <v>10.571428571428571</v>
      </c>
      <c r="J37" s="49">
        <f>'Avg Week Bwaise-Makerere'!J37+'Avg Week Makerere-Bwaise'!J37</f>
        <v>6.2857142857142856</v>
      </c>
      <c r="K37" s="49">
        <f>'Avg Week Bwaise-Makerere'!K37+'Avg Week Makerere-Bwaise'!K37</f>
        <v>2.7142857142857144</v>
      </c>
      <c r="L37" s="49">
        <f>'Avg Week Bwaise-Makerere'!L37+'Avg Week Makerere-Bwaise'!L37</f>
        <v>0.71428571428571419</v>
      </c>
      <c r="M37" s="49">
        <f>'Avg Week Bwaise-Makerere'!M37+'Avg Week Makerere-Bwaise'!M37</f>
        <v>234.85714285714283</v>
      </c>
      <c r="N37" s="49">
        <f>'Avg Week Bwaise-Makerere'!N37+'Avg Week Makerere-Bwaise'!N37</f>
        <v>0.14285714285714285</v>
      </c>
      <c r="O37" s="15">
        <f t="shared" si="0"/>
        <v>215.28571428571431</v>
      </c>
      <c r="P37" s="15">
        <f t="shared" si="1"/>
        <v>450.14285714285717</v>
      </c>
      <c r="R37" s="37" t="s">
        <v>85</v>
      </c>
      <c r="S37" s="35">
        <f t="shared" ref="S37:AF37" si="29">SUM(S10:S12)</f>
        <v>1040.4285714285713</v>
      </c>
      <c r="T37" s="16">
        <f t="shared" si="29"/>
        <v>287.14285714285711</v>
      </c>
      <c r="U37" s="16">
        <f t="shared" si="29"/>
        <v>111.71428571428572</v>
      </c>
      <c r="V37" s="16">
        <f t="shared" si="29"/>
        <v>1246.5714285714287</v>
      </c>
      <c r="W37" s="16">
        <f t="shared" si="29"/>
        <v>52.61904761904762</v>
      </c>
      <c r="X37" s="16">
        <f t="shared" si="29"/>
        <v>27</v>
      </c>
      <c r="Y37" s="16">
        <f t="shared" si="29"/>
        <v>92.785714285714278</v>
      </c>
      <c r="Z37" s="16">
        <f t="shared" si="29"/>
        <v>38.857142857142861</v>
      </c>
      <c r="AA37" s="16">
        <f t="shared" si="29"/>
        <v>22.714285714285715</v>
      </c>
      <c r="AB37" s="16">
        <f t="shared" si="29"/>
        <v>11.976190476190476</v>
      </c>
      <c r="AC37" s="16">
        <f t="shared" si="29"/>
        <v>4265</v>
      </c>
      <c r="AD37" s="16">
        <f t="shared" si="29"/>
        <v>0.14285714285714285</v>
      </c>
      <c r="AE37" s="32">
        <f t="shared" si="29"/>
        <v>2931.9523809523807</v>
      </c>
      <c r="AF37" s="32">
        <f t="shared" si="29"/>
        <v>7196.9523809523816</v>
      </c>
    </row>
    <row r="38" spans="2:32" ht="23.1" customHeight="1" x14ac:dyDescent="0.25">
      <c r="B38" s="24" t="s">
        <v>65</v>
      </c>
      <c r="C38" s="49">
        <f>'Avg Week Bwaise-Makerere'!C38+'Avg Week Makerere-Bwaise'!C38</f>
        <v>77.285714285714278</v>
      </c>
      <c r="D38" s="49">
        <f>'Avg Week Bwaise-Makerere'!D38+'Avg Week Makerere-Bwaise'!D38</f>
        <v>22.857142857142858</v>
      </c>
      <c r="E38" s="49">
        <f>'Avg Week Bwaise-Makerere'!E38+'Avg Week Makerere-Bwaise'!E38</f>
        <v>15.142857142857142</v>
      </c>
      <c r="F38" s="49">
        <f>'Avg Week Bwaise-Makerere'!F38+'Avg Week Makerere-Bwaise'!F38</f>
        <v>66.714285714285722</v>
      </c>
      <c r="G38" s="49">
        <f>'Avg Week Bwaise-Makerere'!G38+'Avg Week Makerere-Bwaise'!G38</f>
        <v>1.5714285714285714</v>
      </c>
      <c r="H38" s="49">
        <f>'Avg Week Bwaise-Makerere'!H38+'Avg Week Makerere-Bwaise'!H38</f>
        <v>3</v>
      </c>
      <c r="I38" s="49">
        <f>'Avg Week Bwaise-Makerere'!I38+'Avg Week Makerere-Bwaise'!I38</f>
        <v>9.8571428571428577</v>
      </c>
      <c r="J38" s="49">
        <f>'Avg Week Bwaise-Makerere'!J38+'Avg Week Makerere-Bwaise'!J38</f>
        <v>5.1428571428571423</v>
      </c>
      <c r="K38" s="49">
        <f>'Avg Week Bwaise-Makerere'!K38+'Avg Week Makerere-Bwaise'!K38</f>
        <v>2.5714285714285712</v>
      </c>
      <c r="L38" s="49">
        <f>'Avg Week Bwaise-Makerere'!L38+'Avg Week Makerere-Bwaise'!L38</f>
        <v>1.1428571428571428</v>
      </c>
      <c r="M38" s="49">
        <f>'Avg Week Bwaise-Makerere'!M38+'Avg Week Makerere-Bwaise'!M38</f>
        <v>234</v>
      </c>
      <c r="N38" s="49">
        <f>'Avg Week Bwaise-Makerere'!N38+'Avg Week Makerere-Bwaise'!N38</f>
        <v>0</v>
      </c>
      <c r="O38" s="15">
        <f t="shared" si="0"/>
        <v>205.28571428571431</v>
      </c>
      <c r="P38" s="15">
        <f t="shared" si="1"/>
        <v>439.28571428571433</v>
      </c>
      <c r="R38" s="28" t="s">
        <v>86</v>
      </c>
      <c r="S38" s="16">
        <f t="shared" ref="S38:AF38" si="30">SUM(S13:S18)</f>
        <v>2143.4285714285711</v>
      </c>
      <c r="T38" s="16">
        <f t="shared" si="30"/>
        <v>640.14285714285711</v>
      </c>
      <c r="U38" s="16">
        <f t="shared" si="30"/>
        <v>359.99999999999994</v>
      </c>
      <c r="V38" s="16">
        <f t="shared" si="30"/>
        <v>1835.4285714285716</v>
      </c>
      <c r="W38" s="16">
        <f t="shared" si="30"/>
        <v>62.452380952380942</v>
      </c>
      <c r="X38" s="16">
        <f t="shared" si="30"/>
        <v>52.142857142857146</v>
      </c>
      <c r="Y38" s="16">
        <f t="shared" si="30"/>
        <v>249.71428571428569</v>
      </c>
      <c r="Z38" s="16">
        <f t="shared" si="30"/>
        <v>136.42857142857142</v>
      </c>
      <c r="AA38" s="16">
        <f t="shared" si="30"/>
        <v>64.571428571428569</v>
      </c>
      <c r="AB38" s="16">
        <f t="shared" si="30"/>
        <v>28.666666666666664</v>
      </c>
      <c r="AC38" s="16">
        <f t="shared" si="30"/>
        <v>6515</v>
      </c>
      <c r="AD38" s="16">
        <f t="shared" si="30"/>
        <v>0.76190476190476186</v>
      </c>
      <c r="AE38" s="32">
        <f t="shared" si="30"/>
        <v>5573.7380952380945</v>
      </c>
      <c r="AF38" s="32">
        <f t="shared" si="30"/>
        <v>12088.738095238094</v>
      </c>
    </row>
    <row r="39" spans="2:32" ht="23.1" customHeight="1" x14ac:dyDescent="0.25">
      <c r="B39" s="24" t="s">
        <v>66</v>
      </c>
      <c r="C39" s="49">
        <f>'Avg Week Bwaise-Makerere'!C39+'Avg Week Makerere-Bwaise'!C39</f>
        <v>94.857142857142861</v>
      </c>
      <c r="D39" s="49">
        <f>'Avg Week Bwaise-Makerere'!D39+'Avg Week Makerere-Bwaise'!D39</f>
        <v>26.714285714285715</v>
      </c>
      <c r="E39" s="49">
        <f>'Avg Week Bwaise-Makerere'!E39+'Avg Week Makerere-Bwaise'!E39</f>
        <v>11.428571428571429</v>
      </c>
      <c r="F39" s="49">
        <f>'Avg Week Bwaise-Makerere'!F39+'Avg Week Makerere-Bwaise'!F39</f>
        <v>78</v>
      </c>
      <c r="G39" s="49">
        <f>'Avg Week Bwaise-Makerere'!G39+'Avg Week Makerere-Bwaise'!G39</f>
        <v>9.5714285714285712</v>
      </c>
      <c r="H39" s="49">
        <f>'Avg Week Bwaise-Makerere'!H39+'Avg Week Makerere-Bwaise'!H39</f>
        <v>1.1428571428571428</v>
      </c>
      <c r="I39" s="49">
        <f>'Avg Week Bwaise-Makerere'!I39+'Avg Week Makerere-Bwaise'!I39</f>
        <v>10.142857142857142</v>
      </c>
      <c r="J39" s="49">
        <f>'Avg Week Bwaise-Makerere'!J39+'Avg Week Makerere-Bwaise'!J39</f>
        <v>5.1428571428571423</v>
      </c>
      <c r="K39" s="49">
        <f>'Avg Week Bwaise-Makerere'!K39+'Avg Week Makerere-Bwaise'!K39</f>
        <v>3</v>
      </c>
      <c r="L39" s="49">
        <f>'Avg Week Bwaise-Makerere'!L39+'Avg Week Makerere-Bwaise'!L39</f>
        <v>0.7142857142857143</v>
      </c>
      <c r="M39" s="49">
        <f>'Avg Week Bwaise-Makerere'!M39+'Avg Week Makerere-Bwaise'!M39</f>
        <v>251</v>
      </c>
      <c r="N39" s="49">
        <f>'Avg Week Bwaise-Makerere'!N39+'Avg Week Makerere-Bwaise'!N39</f>
        <v>0</v>
      </c>
      <c r="O39" s="15">
        <f t="shared" si="0"/>
        <v>240.71428571428572</v>
      </c>
      <c r="P39" s="15">
        <f t="shared" si="1"/>
        <v>491.71428571428572</v>
      </c>
      <c r="R39" s="29" t="s">
        <v>87</v>
      </c>
      <c r="S39" s="16">
        <f t="shared" ref="S39:AF39" si="31">SUM(S19:S21)</f>
        <v>1210.4285714285713</v>
      </c>
      <c r="T39" s="16">
        <f t="shared" si="31"/>
        <v>347.42857142857144</v>
      </c>
      <c r="U39" s="16">
        <f t="shared" si="31"/>
        <v>170.85714285714286</v>
      </c>
      <c r="V39" s="16">
        <f t="shared" si="31"/>
        <v>943</v>
      </c>
      <c r="W39" s="16">
        <f t="shared" si="31"/>
        <v>28.571428571428573</v>
      </c>
      <c r="X39" s="16">
        <f t="shared" si="31"/>
        <v>19.142857142857142</v>
      </c>
      <c r="Y39" s="16">
        <f t="shared" si="31"/>
        <v>120.00000000000001</v>
      </c>
      <c r="Z39" s="16">
        <f t="shared" si="31"/>
        <v>52.214285714285715</v>
      </c>
      <c r="AA39" s="16">
        <f t="shared" si="31"/>
        <v>23.38095238095238</v>
      </c>
      <c r="AB39" s="16">
        <f t="shared" si="31"/>
        <v>12.142857142857141</v>
      </c>
      <c r="AC39" s="16">
        <f t="shared" si="31"/>
        <v>3158.7142857142853</v>
      </c>
      <c r="AD39" s="16">
        <f t="shared" si="31"/>
        <v>0.14285714285714285</v>
      </c>
      <c r="AE39" s="32">
        <f t="shared" si="31"/>
        <v>2927.3095238095239</v>
      </c>
      <c r="AF39" s="32">
        <f t="shared" si="31"/>
        <v>6086.0238095238092</v>
      </c>
    </row>
    <row r="40" spans="2:32" ht="23.1" customHeight="1" x14ac:dyDescent="0.25">
      <c r="B40" s="24" t="s">
        <v>67</v>
      </c>
      <c r="C40" s="49">
        <f>'Avg Week Bwaise-Makerere'!C40+'Avg Week Makerere-Bwaise'!C40</f>
        <v>94.571428571428569</v>
      </c>
      <c r="D40" s="49">
        <f>'Avg Week Bwaise-Makerere'!D40+'Avg Week Makerere-Bwaise'!D40</f>
        <v>28.571428571428569</v>
      </c>
      <c r="E40" s="49">
        <f>'Avg Week Bwaise-Makerere'!E40+'Avg Week Makerere-Bwaise'!E40</f>
        <v>10.714285714285715</v>
      </c>
      <c r="F40" s="49">
        <f>'Avg Week Bwaise-Makerere'!F40+'Avg Week Makerere-Bwaise'!F40</f>
        <v>74</v>
      </c>
      <c r="G40" s="49">
        <f>'Avg Week Bwaise-Makerere'!G40+'Avg Week Makerere-Bwaise'!G40</f>
        <v>7.1428571428571432</v>
      </c>
      <c r="H40" s="49">
        <f>'Avg Week Bwaise-Makerere'!H40+'Avg Week Makerere-Bwaise'!H40</f>
        <v>1.5714285714285714</v>
      </c>
      <c r="I40" s="49">
        <f>'Avg Week Bwaise-Makerere'!I40+'Avg Week Makerere-Bwaise'!I40</f>
        <v>10.428571428571429</v>
      </c>
      <c r="J40" s="49">
        <f>'Avg Week Bwaise-Makerere'!J40+'Avg Week Makerere-Bwaise'!J40</f>
        <v>6.1428571428571432</v>
      </c>
      <c r="K40" s="49">
        <f>'Avg Week Bwaise-Makerere'!K40+'Avg Week Makerere-Bwaise'!K40</f>
        <v>3.5714285714285712</v>
      </c>
      <c r="L40" s="49">
        <f>'Avg Week Bwaise-Makerere'!L40+'Avg Week Makerere-Bwaise'!L40</f>
        <v>1.8571428571428572</v>
      </c>
      <c r="M40" s="49">
        <f>'Avg Week Bwaise-Makerere'!M40+'Avg Week Makerere-Bwaise'!M40</f>
        <v>259.28571428571428</v>
      </c>
      <c r="N40" s="49">
        <f>'Avg Week Bwaise-Makerere'!N40+'Avg Week Makerere-Bwaise'!N40</f>
        <v>0</v>
      </c>
      <c r="O40" s="15">
        <f t="shared" si="0"/>
        <v>238.57142857142858</v>
      </c>
      <c r="P40" s="15">
        <f t="shared" si="1"/>
        <v>497.85714285714289</v>
      </c>
      <c r="R40" s="5" t="s">
        <v>17</v>
      </c>
      <c r="S40" s="16">
        <f t="shared" ref="S40:AF40" si="32">SUM(S10:S21)</f>
        <v>4394.2857142857147</v>
      </c>
      <c r="T40" s="16">
        <f t="shared" si="32"/>
        <v>1274.7142857142858</v>
      </c>
      <c r="U40" s="16">
        <f t="shared" si="32"/>
        <v>642.57142857142856</v>
      </c>
      <c r="V40" s="16">
        <f t="shared" si="32"/>
        <v>4025.0000000000009</v>
      </c>
      <c r="W40" s="16">
        <f t="shared" si="32"/>
        <v>143.64285714285714</v>
      </c>
      <c r="X40" s="16">
        <f t="shared" si="32"/>
        <v>98.285714285714292</v>
      </c>
      <c r="Y40" s="16">
        <f t="shared" si="32"/>
        <v>462.5</v>
      </c>
      <c r="Z40" s="16">
        <f t="shared" si="32"/>
        <v>227.5</v>
      </c>
      <c r="AA40" s="16">
        <f t="shared" si="32"/>
        <v>110.66666666666666</v>
      </c>
      <c r="AB40" s="16">
        <f t="shared" si="32"/>
        <v>52.785714285714285</v>
      </c>
      <c r="AC40" s="16">
        <f t="shared" si="32"/>
        <v>13938.714285714286</v>
      </c>
      <c r="AD40" s="16">
        <f t="shared" si="32"/>
        <v>1.0476190476190474</v>
      </c>
      <c r="AE40" s="32">
        <f t="shared" si="32"/>
        <v>11433</v>
      </c>
      <c r="AF40" s="32">
        <f t="shared" si="32"/>
        <v>25371.714285714286</v>
      </c>
    </row>
    <row r="41" spans="2:32" ht="23.1" customHeight="1" x14ac:dyDescent="0.25">
      <c r="B41" s="23" t="s">
        <v>68</v>
      </c>
      <c r="C41" s="49">
        <f>'Avg Week Bwaise-Makerere'!C41+'Avg Week Makerere-Bwaise'!C41</f>
        <v>83.428571428571431</v>
      </c>
      <c r="D41" s="49">
        <f>'Avg Week Bwaise-Makerere'!D41+'Avg Week Makerere-Bwaise'!D41</f>
        <v>26.571428571428569</v>
      </c>
      <c r="E41" s="49">
        <f>'Avg Week Bwaise-Makerere'!E41+'Avg Week Makerere-Bwaise'!E41</f>
        <v>11.285714285714286</v>
      </c>
      <c r="F41" s="49">
        <f>'Avg Week Bwaise-Makerere'!F41+'Avg Week Makerere-Bwaise'!F41</f>
        <v>72.142857142857139</v>
      </c>
      <c r="G41" s="49">
        <f>'Avg Week Bwaise-Makerere'!G41+'Avg Week Makerere-Bwaise'!G41</f>
        <v>1.4285714285714284</v>
      </c>
      <c r="H41" s="49">
        <f>'Avg Week Bwaise-Makerere'!H41+'Avg Week Makerere-Bwaise'!H41</f>
        <v>3</v>
      </c>
      <c r="I41" s="49">
        <f>'Avg Week Bwaise-Makerere'!I41+'Avg Week Makerere-Bwaise'!I41</f>
        <v>13.142857142857142</v>
      </c>
      <c r="J41" s="49">
        <f>'Avg Week Bwaise-Makerere'!J41+'Avg Week Makerere-Bwaise'!J41</f>
        <v>7.1428571428571432</v>
      </c>
      <c r="K41" s="49">
        <f>'Avg Week Bwaise-Makerere'!K41+'Avg Week Makerere-Bwaise'!K41</f>
        <v>2.2857142857142856</v>
      </c>
      <c r="L41" s="49">
        <f>'Avg Week Bwaise-Makerere'!L41+'Avg Week Makerere-Bwaise'!L41</f>
        <v>0.73809523809523803</v>
      </c>
      <c r="M41" s="49">
        <f>'Avg Week Bwaise-Makerere'!M41+'Avg Week Makerere-Bwaise'!M41</f>
        <v>214</v>
      </c>
      <c r="N41" s="49">
        <f>'Avg Week Bwaise-Makerere'!N41+'Avg Week Makerere-Bwaise'!N41</f>
        <v>0.14285714285714285</v>
      </c>
      <c r="O41" s="15">
        <f t="shared" si="0"/>
        <v>221.3095238095238</v>
      </c>
      <c r="P41" s="15">
        <f t="shared" si="1"/>
        <v>435.3095238095238</v>
      </c>
      <c r="R41" s="5" t="s">
        <v>188</v>
      </c>
      <c r="S41" s="16">
        <f>SUM(S10:S33)</f>
        <v>7922.2857142857147</v>
      </c>
      <c r="T41" s="16">
        <f t="shared" ref="T41:AD41" si="33">SUM(T10:T33)</f>
        <v>2075.2142857142858</v>
      </c>
      <c r="U41" s="16">
        <f t="shared" si="33"/>
        <v>1222.0714285714284</v>
      </c>
      <c r="V41" s="16">
        <f t="shared" si="33"/>
        <v>6610.0000000000009</v>
      </c>
      <c r="W41" s="16">
        <f t="shared" si="33"/>
        <v>228.64285714285714</v>
      </c>
      <c r="X41" s="16">
        <f t="shared" si="33"/>
        <v>175.78571428571428</v>
      </c>
      <c r="Y41" s="16">
        <f t="shared" si="33"/>
        <v>792.5</v>
      </c>
      <c r="Z41" s="16">
        <f t="shared" si="33"/>
        <v>328.5</v>
      </c>
      <c r="AA41" s="16">
        <f t="shared" si="33"/>
        <v>172.16666666666666</v>
      </c>
      <c r="AB41" s="16">
        <f t="shared" si="33"/>
        <v>75.285714285714278</v>
      </c>
      <c r="AC41" s="16">
        <f t="shared" si="33"/>
        <v>22324.714285714286</v>
      </c>
      <c r="AD41" s="16">
        <f t="shared" si="33"/>
        <v>1.5476190476190474</v>
      </c>
      <c r="AE41" s="32">
        <f>SUM(AE10:AE33)</f>
        <v>19604</v>
      </c>
      <c r="AF41" s="32">
        <f>SUM(AF10:AF33)</f>
        <v>41928.71428571429</v>
      </c>
    </row>
    <row r="42" spans="2:32" ht="23.1" customHeight="1" x14ac:dyDescent="0.25">
      <c r="B42" s="24" t="s">
        <v>69</v>
      </c>
      <c r="C42" s="49">
        <f>'Avg Week Bwaise-Makerere'!C42+'Avg Week Makerere-Bwaise'!C42</f>
        <v>103.14285714285714</v>
      </c>
      <c r="D42" s="49">
        <f>'Avg Week Bwaise-Makerere'!D42+'Avg Week Makerere-Bwaise'!D42</f>
        <v>29.285714285714285</v>
      </c>
      <c r="E42" s="49">
        <f>'Avg Week Bwaise-Makerere'!E42+'Avg Week Makerere-Bwaise'!E42</f>
        <v>14.142857142857142</v>
      </c>
      <c r="F42" s="49">
        <f>'Avg Week Bwaise-Makerere'!F42+'Avg Week Makerere-Bwaise'!F42</f>
        <v>81</v>
      </c>
      <c r="G42" s="49">
        <f>'Avg Week Bwaise-Makerere'!G42+'Avg Week Makerere-Bwaise'!G42</f>
        <v>0.42857142857142855</v>
      </c>
      <c r="H42" s="49">
        <f>'Avg Week Bwaise-Makerere'!H42+'Avg Week Makerere-Bwaise'!H42</f>
        <v>1.4285714285714284</v>
      </c>
      <c r="I42" s="49">
        <f>'Avg Week Bwaise-Makerere'!I42+'Avg Week Makerere-Bwaise'!I42</f>
        <v>10.285714285714285</v>
      </c>
      <c r="J42" s="49">
        <f>'Avg Week Bwaise-Makerere'!J42+'Avg Week Makerere-Bwaise'!J42</f>
        <v>6.2857142857142856</v>
      </c>
      <c r="K42" s="49">
        <f>'Avg Week Bwaise-Makerere'!K42+'Avg Week Makerere-Bwaise'!K42</f>
        <v>2.2857142857142856</v>
      </c>
      <c r="L42" s="49">
        <f>'Avg Week Bwaise-Makerere'!L42+'Avg Week Makerere-Bwaise'!L42</f>
        <v>1.1428571428571428</v>
      </c>
      <c r="M42" s="49">
        <f>'Avg Week Bwaise-Makerere'!M42+'Avg Week Makerere-Bwaise'!M42</f>
        <v>222.71428571428572</v>
      </c>
      <c r="N42" s="49">
        <f>'Avg Week Bwaise-Makerere'!N42+'Avg Week Makerere-Bwaise'!N42</f>
        <v>0</v>
      </c>
      <c r="O42" s="15">
        <f t="shared" si="0"/>
        <v>249.42857142857136</v>
      </c>
      <c r="P42" s="15">
        <f t="shared" si="1"/>
        <v>472.14285714285711</v>
      </c>
      <c r="R42" s="5" t="s">
        <v>160</v>
      </c>
      <c r="S42" s="59">
        <f>S41/S40</f>
        <v>1.8028608582574772</v>
      </c>
      <c r="T42" s="59">
        <f t="shared" ref="T42:AF42" si="34">T41/T40</f>
        <v>1.6279838619298441</v>
      </c>
      <c r="U42" s="59">
        <f t="shared" si="34"/>
        <v>1.9018452645620274</v>
      </c>
      <c r="V42" s="59">
        <f t="shared" si="34"/>
        <v>1.6422360248447203</v>
      </c>
      <c r="W42" s="59">
        <f t="shared" si="34"/>
        <v>1.5917454002983591</v>
      </c>
      <c r="X42" s="59">
        <f t="shared" si="34"/>
        <v>1.788517441860465</v>
      </c>
      <c r="Y42" s="59">
        <f t="shared" si="34"/>
        <v>1.7135135135135136</v>
      </c>
      <c r="Z42" s="59">
        <f t="shared" si="34"/>
        <v>1.4439560439560439</v>
      </c>
      <c r="AA42" s="59">
        <f t="shared" si="34"/>
        <v>1.5557228915662651</v>
      </c>
      <c r="AB42" s="59">
        <f t="shared" si="34"/>
        <v>1.4262516914749661</v>
      </c>
      <c r="AC42" s="59">
        <f t="shared" si="34"/>
        <v>1.6016336821391601</v>
      </c>
      <c r="AD42" s="59">
        <f t="shared" si="34"/>
        <v>1.4772727272727273</v>
      </c>
      <c r="AE42" s="60">
        <f t="shared" si="34"/>
        <v>1.7146855593457535</v>
      </c>
      <c r="AF42" s="60">
        <f t="shared" si="34"/>
        <v>1.6525771106181237</v>
      </c>
    </row>
    <row r="43" spans="2:32" ht="23.1" customHeight="1" x14ac:dyDescent="0.25">
      <c r="B43" s="23" t="s">
        <v>70</v>
      </c>
      <c r="C43" s="49">
        <f>'Avg Week Bwaise-Makerere'!C43+'Avg Week Makerere-Bwaise'!C43</f>
        <v>89.285714285714278</v>
      </c>
      <c r="D43" s="49">
        <f>'Avg Week Bwaise-Makerere'!D43+'Avg Week Makerere-Bwaise'!D43</f>
        <v>27.714285714285715</v>
      </c>
      <c r="E43" s="49">
        <f>'Avg Week Bwaise-Makerere'!E43+'Avg Week Makerere-Bwaise'!E43</f>
        <v>14.142857142857142</v>
      </c>
      <c r="F43" s="49">
        <f>'Avg Week Bwaise-Makerere'!F43+'Avg Week Makerere-Bwaise'!F43</f>
        <v>76</v>
      </c>
      <c r="G43" s="49">
        <f>'Avg Week Bwaise-Makerere'!G43+'Avg Week Makerere-Bwaise'!G43</f>
        <v>0.71428571428571419</v>
      </c>
      <c r="H43" s="49">
        <f>'Avg Week Bwaise-Makerere'!H43+'Avg Week Makerere-Bwaise'!H43</f>
        <v>1.2857142857142856</v>
      </c>
      <c r="I43" s="49">
        <f>'Avg Week Bwaise-Makerere'!I43+'Avg Week Makerere-Bwaise'!I43</f>
        <v>12</v>
      </c>
      <c r="J43" s="49">
        <f>'Avg Week Bwaise-Makerere'!J43+'Avg Week Makerere-Bwaise'!J43</f>
        <v>5.5714285714285712</v>
      </c>
      <c r="K43" s="49">
        <f>'Avg Week Bwaise-Makerere'!K43+'Avg Week Makerere-Bwaise'!K43</f>
        <v>2.2857142857142856</v>
      </c>
      <c r="L43" s="49">
        <f>'Avg Week Bwaise-Makerere'!L43+'Avg Week Makerere-Bwaise'!L43</f>
        <v>0.7857142857142857</v>
      </c>
      <c r="M43" s="49">
        <f>'Avg Week Bwaise-Makerere'!M43+'Avg Week Makerere-Bwaise'!M43</f>
        <v>216.71428571428572</v>
      </c>
      <c r="N43" s="49">
        <f>'Avg Week Bwaise-Makerere'!N43+'Avg Week Makerere-Bwaise'!N43</f>
        <v>0</v>
      </c>
      <c r="O43" s="15">
        <f t="shared" si="0"/>
        <v>229.78571428571428</v>
      </c>
      <c r="P43" s="15">
        <f t="shared" si="1"/>
        <v>446.5</v>
      </c>
    </row>
    <row r="44" spans="2:32" ht="23.1" customHeight="1" x14ac:dyDescent="0.25">
      <c r="B44" s="25" t="s">
        <v>71</v>
      </c>
      <c r="C44" s="49">
        <f>'Avg Week Bwaise-Makerere'!C44+'Avg Week Makerere-Bwaise'!C44</f>
        <v>93.571428571428569</v>
      </c>
      <c r="D44" s="49">
        <f>'Avg Week Bwaise-Makerere'!D44+'Avg Week Makerere-Bwaise'!D44</f>
        <v>25.857142857142854</v>
      </c>
      <c r="E44" s="49">
        <f>'Avg Week Bwaise-Makerere'!E44+'Avg Week Makerere-Bwaise'!E44</f>
        <v>12.857142857142858</v>
      </c>
      <c r="F44" s="49">
        <f>'Avg Week Bwaise-Makerere'!F44+'Avg Week Makerere-Bwaise'!F44</f>
        <v>77.428571428571431</v>
      </c>
      <c r="G44" s="49">
        <f>'Avg Week Bwaise-Makerere'!G44+'Avg Week Makerere-Bwaise'!G44</f>
        <v>0.71428571428571419</v>
      </c>
      <c r="H44" s="49">
        <f>'Avg Week Bwaise-Makerere'!H44+'Avg Week Makerere-Bwaise'!H44</f>
        <v>2.1428571428571428</v>
      </c>
      <c r="I44" s="49">
        <f>'Avg Week Bwaise-Makerere'!I44+'Avg Week Makerere-Bwaise'!I44</f>
        <v>9.5714285714285712</v>
      </c>
      <c r="J44" s="49">
        <f>'Avg Week Bwaise-Makerere'!J44+'Avg Week Makerere-Bwaise'!J44</f>
        <v>5.8571428571428577</v>
      </c>
      <c r="K44" s="49">
        <f>'Avg Week Bwaise-Makerere'!K44+'Avg Week Makerere-Bwaise'!K44</f>
        <v>2</v>
      </c>
      <c r="L44" s="49">
        <f>'Avg Week Bwaise-Makerere'!L44+'Avg Week Makerere-Bwaise'!L44</f>
        <v>0.71428571428571419</v>
      </c>
      <c r="M44" s="49">
        <f>'Avg Week Bwaise-Makerere'!M44+'Avg Week Makerere-Bwaise'!M44</f>
        <v>233.42857142857142</v>
      </c>
      <c r="N44" s="49">
        <f>'Avg Week Bwaise-Makerere'!N44+'Avg Week Makerere-Bwaise'!N44</f>
        <v>0</v>
      </c>
      <c r="O44" s="15">
        <f t="shared" si="0"/>
        <v>230.71428571428575</v>
      </c>
      <c r="P44" s="15">
        <f t="shared" si="1"/>
        <v>464.14285714285717</v>
      </c>
    </row>
    <row r="45" spans="2:32" ht="23.1" customHeight="1" x14ac:dyDescent="0.25">
      <c r="B45" s="23" t="s">
        <v>72</v>
      </c>
      <c r="C45" s="49">
        <f>'Avg Week Bwaise-Makerere'!C45+'Avg Week Makerere-Bwaise'!C45</f>
        <v>105.71428571428572</v>
      </c>
      <c r="D45" s="49">
        <f>'Avg Week Bwaise-Makerere'!D45+'Avg Week Makerere-Bwaise'!D45</f>
        <v>28.857142857142858</v>
      </c>
      <c r="E45" s="49">
        <f>'Avg Week Bwaise-Makerere'!E45+'Avg Week Makerere-Bwaise'!E45</f>
        <v>11.714285714285715</v>
      </c>
      <c r="F45" s="49">
        <f>'Avg Week Bwaise-Makerere'!F45+'Avg Week Makerere-Bwaise'!F45</f>
        <v>57</v>
      </c>
      <c r="G45" s="49">
        <f>'Avg Week Bwaise-Makerere'!G45+'Avg Week Makerere-Bwaise'!G45</f>
        <v>1.8571428571428572</v>
      </c>
      <c r="H45" s="49">
        <f>'Avg Week Bwaise-Makerere'!H45+'Avg Week Makerere-Bwaise'!H45</f>
        <v>2</v>
      </c>
      <c r="I45" s="49">
        <f>'Avg Week Bwaise-Makerere'!I45+'Avg Week Makerere-Bwaise'!I45</f>
        <v>12.285714285714285</v>
      </c>
      <c r="J45" s="49">
        <f>'Avg Week Bwaise-Makerere'!J45+'Avg Week Makerere-Bwaise'!J45</f>
        <v>5.1428571428571423</v>
      </c>
      <c r="K45" s="49">
        <f>'Avg Week Bwaise-Makerere'!K45+'Avg Week Makerere-Bwaise'!K45</f>
        <v>2.1428571428571428</v>
      </c>
      <c r="L45" s="49">
        <f>'Avg Week Bwaise-Makerere'!L45+'Avg Week Makerere-Bwaise'!L45</f>
        <v>1</v>
      </c>
      <c r="M45" s="49">
        <f>'Avg Week Bwaise-Makerere'!M45+'Avg Week Makerere-Bwaise'!M45</f>
        <v>254</v>
      </c>
      <c r="N45" s="49">
        <f>'Avg Week Bwaise-Makerere'!N45+'Avg Week Makerere-Bwaise'!N45</f>
        <v>0</v>
      </c>
      <c r="O45" s="15">
        <f t="shared" si="0"/>
        <v>227.71428571428572</v>
      </c>
      <c r="P45" s="15">
        <f t="shared" si="1"/>
        <v>481.71428571428572</v>
      </c>
    </row>
    <row r="46" spans="2:32" ht="23.1" customHeight="1" x14ac:dyDescent="0.25">
      <c r="B46" s="24" t="s">
        <v>73</v>
      </c>
      <c r="C46" s="49">
        <f>'Avg Week Bwaise-Makerere'!C46+'Avg Week Makerere-Bwaise'!C46</f>
        <v>97.285714285714278</v>
      </c>
      <c r="D46" s="49">
        <f>'Avg Week Bwaise-Makerere'!D46+'Avg Week Makerere-Bwaise'!D46</f>
        <v>27.714285714285715</v>
      </c>
      <c r="E46" s="49">
        <f>'Avg Week Bwaise-Makerere'!E46+'Avg Week Makerere-Bwaise'!E46</f>
        <v>20.428571428571431</v>
      </c>
      <c r="F46" s="49">
        <f>'Avg Week Bwaise-Makerere'!F46+'Avg Week Makerere-Bwaise'!F46</f>
        <v>67.714285714285722</v>
      </c>
      <c r="G46" s="49">
        <f>'Avg Week Bwaise-Makerere'!G46+'Avg Week Makerere-Bwaise'!G46</f>
        <v>1.4285714285714284</v>
      </c>
      <c r="H46" s="49">
        <f>'Avg Week Bwaise-Makerere'!H46+'Avg Week Makerere-Bwaise'!H46</f>
        <v>0.8571428571428571</v>
      </c>
      <c r="I46" s="49">
        <f>'Avg Week Bwaise-Makerere'!I46+'Avg Week Makerere-Bwaise'!I46</f>
        <v>10.428571428571429</v>
      </c>
      <c r="J46" s="49">
        <f>'Avg Week Bwaise-Makerere'!J46+'Avg Week Makerere-Bwaise'!J46</f>
        <v>5.2857142857142856</v>
      </c>
      <c r="K46" s="49">
        <f>'Avg Week Bwaise-Makerere'!K46+'Avg Week Makerere-Bwaise'!K46</f>
        <v>1.5714285714285714</v>
      </c>
      <c r="L46" s="49">
        <f>'Avg Week Bwaise-Makerere'!L46+'Avg Week Makerere-Bwaise'!L46</f>
        <v>0.8571428571428571</v>
      </c>
      <c r="M46" s="49">
        <f>'Avg Week Bwaise-Makerere'!M46+'Avg Week Makerere-Bwaise'!M46</f>
        <v>271.14285714285711</v>
      </c>
      <c r="N46" s="49">
        <f>'Avg Week Bwaise-Makerere'!N46+'Avg Week Makerere-Bwaise'!N46</f>
        <v>0</v>
      </c>
      <c r="O46" s="15">
        <f t="shared" si="0"/>
        <v>233.57142857142858</v>
      </c>
      <c r="P46" s="15">
        <f t="shared" si="1"/>
        <v>504.71428571428567</v>
      </c>
      <c r="R46" s="8"/>
      <c r="T46"/>
    </row>
    <row r="47" spans="2:32" ht="23.1" customHeight="1" x14ac:dyDescent="0.25">
      <c r="B47" s="24" t="s">
        <v>74</v>
      </c>
      <c r="C47" s="49">
        <f>'Avg Week Bwaise-Makerere'!C47+'Avg Week Makerere-Bwaise'!C47</f>
        <v>104.14285714285714</v>
      </c>
      <c r="D47" s="49">
        <f>'Avg Week Bwaise-Makerere'!D47+'Avg Week Makerere-Bwaise'!D47</f>
        <v>30.714285714285715</v>
      </c>
      <c r="E47" s="49">
        <f>'Avg Week Bwaise-Makerere'!E47+'Avg Week Makerere-Bwaise'!E47</f>
        <v>12</v>
      </c>
      <c r="F47" s="49">
        <f>'Avg Week Bwaise-Makerere'!F47+'Avg Week Makerere-Bwaise'!F47</f>
        <v>72</v>
      </c>
      <c r="G47" s="49">
        <f>'Avg Week Bwaise-Makerere'!G47+'Avg Week Makerere-Bwaise'!G47</f>
        <v>1.7142857142857142</v>
      </c>
      <c r="H47" s="49">
        <f>'Avg Week Bwaise-Makerere'!H47+'Avg Week Makerere-Bwaise'!H47</f>
        <v>2</v>
      </c>
      <c r="I47" s="49">
        <f>'Avg Week Bwaise-Makerere'!I47+'Avg Week Makerere-Bwaise'!I47</f>
        <v>13.714285714285715</v>
      </c>
      <c r="J47" s="49">
        <f>'Avg Week Bwaise-Makerere'!J47+'Avg Week Makerere-Bwaise'!J47</f>
        <v>5</v>
      </c>
      <c r="K47" s="49">
        <f>'Avg Week Bwaise-Makerere'!K47+'Avg Week Makerere-Bwaise'!K47</f>
        <v>2.2857142857142856</v>
      </c>
      <c r="L47" s="49">
        <f>'Avg Week Bwaise-Makerere'!L47+'Avg Week Makerere-Bwaise'!L47</f>
        <v>1.5714285714285714</v>
      </c>
      <c r="M47" s="49">
        <f>'Avg Week Bwaise-Makerere'!M47+'Avg Week Makerere-Bwaise'!M47</f>
        <v>248.42857142857142</v>
      </c>
      <c r="N47" s="49">
        <f>'Avg Week Bwaise-Makerere'!N47+'Avg Week Makerere-Bwaise'!N47</f>
        <v>0</v>
      </c>
      <c r="O47" s="15">
        <f t="shared" si="0"/>
        <v>245.14285714285717</v>
      </c>
      <c r="P47" s="15">
        <f t="shared" si="1"/>
        <v>493.57142857142856</v>
      </c>
      <c r="R47" s="8"/>
      <c r="T47"/>
    </row>
    <row r="48" spans="2:32" ht="23.1" customHeight="1" x14ac:dyDescent="0.25">
      <c r="B48" s="24" t="s">
        <v>75</v>
      </c>
      <c r="C48" s="49">
        <f>'Avg Week Bwaise-Makerere'!C48+'Avg Week Makerere-Bwaise'!C48</f>
        <v>120.28571428571428</v>
      </c>
      <c r="D48" s="49">
        <f>'Avg Week Bwaise-Makerere'!D48+'Avg Week Makerere-Bwaise'!D48</f>
        <v>34.285714285714285</v>
      </c>
      <c r="E48" s="49">
        <f>'Avg Week Bwaise-Makerere'!E48+'Avg Week Makerere-Bwaise'!E48</f>
        <v>14</v>
      </c>
      <c r="F48" s="49">
        <f>'Avg Week Bwaise-Makerere'!F48+'Avg Week Makerere-Bwaise'!F48</f>
        <v>80</v>
      </c>
      <c r="G48" s="49">
        <f>'Avg Week Bwaise-Makerere'!G48+'Avg Week Makerere-Bwaise'!G48</f>
        <v>2.2857142857142856</v>
      </c>
      <c r="H48" s="49">
        <f>'Avg Week Bwaise-Makerere'!H48+'Avg Week Makerere-Bwaise'!H48</f>
        <v>2.5714285714285716</v>
      </c>
      <c r="I48" s="49">
        <f>'Avg Week Bwaise-Makerere'!I48+'Avg Week Makerere-Bwaise'!I48</f>
        <v>10.428571428571429</v>
      </c>
      <c r="J48" s="49">
        <f>'Avg Week Bwaise-Makerere'!J48+'Avg Week Makerere-Bwaise'!J48</f>
        <v>6.2142857142857144</v>
      </c>
      <c r="K48" s="49">
        <f>'Avg Week Bwaise-Makerere'!K48+'Avg Week Makerere-Bwaise'!K48</f>
        <v>4.2857142857142856</v>
      </c>
      <c r="L48" s="49">
        <f>'Avg Week Bwaise-Makerere'!L48+'Avg Week Makerere-Bwaise'!L48</f>
        <v>1.4285714285714286</v>
      </c>
      <c r="M48" s="49">
        <f>'Avg Week Bwaise-Makerere'!M48+'Avg Week Makerere-Bwaise'!M48</f>
        <v>285.85714285714289</v>
      </c>
      <c r="N48" s="49">
        <f>'Avg Week Bwaise-Makerere'!N48+'Avg Week Makerere-Bwaise'!N48</f>
        <v>0</v>
      </c>
      <c r="O48" s="15">
        <f t="shared" si="0"/>
        <v>275.78571428571428</v>
      </c>
      <c r="P48" s="15">
        <f t="shared" si="1"/>
        <v>561.64285714285711</v>
      </c>
      <c r="R48" s="8"/>
      <c r="T48"/>
    </row>
    <row r="49" spans="2:20" ht="23.1" customHeight="1" x14ac:dyDescent="0.25">
      <c r="B49" s="23" t="s">
        <v>76</v>
      </c>
      <c r="C49" s="49">
        <f>'Avg Week Bwaise-Makerere'!C49+'Avg Week Makerere-Bwaise'!C49</f>
        <v>104.71428571428572</v>
      </c>
      <c r="D49" s="49">
        <f>'Avg Week Bwaise-Makerere'!D49+'Avg Week Makerere-Bwaise'!D49</f>
        <v>33</v>
      </c>
      <c r="E49" s="49">
        <f>'Avg Week Bwaise-Makerere'!E49+'Avg Week Makerere-Bwaise'!E49</f>
        <v>16.714285714285715</v>
      </c>
      <c r="F49" s="49">
        <f>'Avg Week Bwaise-Makerere'!F49+'Avg Week Makerere-Bwaise'!F49</f>
        <v>71.857142857142861</v>
      </c>
      <c r="G49" s="49">
        <f>'Avg Week Bwaise-Makerere'!G49+'Avg Week Makerere-Bwaise'!G49</f>
        <v>1.5714285714285714</v>
      </c>
      <c r="H49" s="49">
        <f>'Avg Week Bwaise-Makerere'!H49+'Avg Week Makerere-Bwaise'!H49</f>
        <v>2.5714285714285712</v>
      </c>
      <c r="I49" s="49">
        <f>'Avg Week Bwaise-Makerere'!I49+'Avg Week Makerere-Bwaise'!I49</f>
        <v>13</v>
      </c>
      <c r="J49" s="49">
        <f>'Avg Week Bwaise-Makerere'!J49+'Avg Week Makerere-Bwaise'!J49</f>
        <v>6.4285714285714288</v>
      </c>
      <c r="K49" s="49">
        <f>'Avg Week Bwaise-Makerere'!K49+'Avg Week Makerere-Bwaise'!K49</f>
        <v>1.7142857142857142</v>
      </c>
      <c r="L49" s="49">
        <f>'Avg Week Bwaise-Makerere'!L49+'Avg Week Makerere-Bwaise'!L49</f>
        <v>0.5714285714285714</v>
      </c>
      <c r="M49" s="49">
        <f>'Avg Week Bwaise-Makerere'!M49+'Avg Week Makerere-Bwaise'!M49</f>
        <v>283.71428571428572</v>
      </c>
      <c r="N49" s="49">
        <f>'Avg Week Bwaise-Makerere'!N49+'Avg Week Makerere-Bwaise'!N49</f>
        <v>0</v>
      </c>
      <c r="O49" s="15">
        <f t="shared" si="0"/>
        <v>252.1428571428572</v>
      </c>
      <c r="P49" s="15">
        <f t="shared" si="1"/>
        <v>535.85714285714289</v>
      </c>
      <c r="R49" s="8"/>
      <c r="T49"/>
    </row>
    <row r="50" spans="2:20" ht="23.1" customHeight="1" x14ac:dyDescent="0.25">
      <c r="B50" s="24" t="s">
        <v>77</v>
      </c>
      <c r="C50" s="49">
        <f>'Avg Week Bwaise-Makerere'!C50+'Avg Week Makerere-Bwaise'!C50</f>
        <v>116.14285714285714</v>
      </c>
      <c r="D50" s="49">
        <f>'Avg Week Bwaise-Makerere'!D50+'Avg Week Makerere-Bwaise'!D50</f>
        <v>34</v>
      </c>
      <c r="E50" s="49">
        <f>'Avg Week Bwaise-Makerere'!E50+'Avg Week Makerere-Bwaise'!E50</f>
        <v>14.428571428571427</v>
      </c>
      <c r="F50" s="49">
        <f>'Avg Week Bwaise-Makerere'!F50+'Avg Week Makerere-Bwaise'!F50</f>
        <v>84.714285714285722</v>
      </c>
      <c r="G50" s="49">
        <f>'Avg Week Bwaise-Makerere'!G50+'Avg Week Makerere-Bwaise'!G50</f>
        <v>1.2857142857142856</v>
      </c>
      <c r="H50" s="49">
        <f>'Avg Week Bwaise-Makerere'!H50+'Avg Week Makerere-Bwaise'!H50</f>
        <v>1.2857142857142856</v>
      </c>
      <c r="I50" s="49">
        <f>'Avg Week Bwaise-Makerere'!I50+'Avg Week Makerere-Bwaise'!I50</f>
        <v>12.857142857142858</v>
      </c>
      <c r="J50" s="49">
        <f>'Avg Week Bwaise-Makerere'!J50+'Avg Week Makerere-Bwaise'!J50</f>
        <v>6.7142857142857144</v>
      </c>
      <c r="K50" s="49">
        <f>'Avg Week Bwaise-Makerere'!K50+'Avg Week Makerere-Bwaise'!K50</f>
        <v>2.4285714285714288</v>
      </c>
      <c r="L50" s="49">
        <f>'Avg Week Bwaise-Makerere'!L50+'Avg Week Makerere-Bwaise'!L50</f>
        <v>0.85714285714285721</v>
      </c>
      <c r="M50" s="49">
        <f>'Avg Week Bwaise-Makerere'!M50+'Avg Week Makerere-Bwaise'!M50</f>
        <v>287.42857142857144</v>
      </c>
      <c r="N50" s="49">
        <f>'Avg Week Bwaise-Makerere'!N50+'Avg Week Makerere-Bwaise'!N50</f>
        <v>0</v>
      </c>
      <c r="O50" s="15">
        <f t="shared" si="0"/>
        <v>274.71428571428567</v>
      </c>
      <c r="P50" s="15">
        <f t="shared" si="1"/>
        <v>562.14285714285711</v>
      </c>
      <c r="R50" s="8"/>
      <c r="T50"/>
    </row>
    <row r="51" spans="2:20" ht="23.1" customHeight="1" x14ac:dyDescent="0.25">
      <c r="B51" s="24" t="s">
        <v>78</v>
      </c>
      <c r="C51" s="49">
        <f>'Avg Week Bwaise-Makerere'!C51+'Avg Week Makerere-Bwaise'!C51</f>
        <v>84.428571428571416</v>
      </c>
      <c r="D51" s="49">
        <f>'Avg Week Bwaise-Makerere'!D51+'Avg Week Makerere-Bwaise'!D51</f>
        <v>25.714285714285715</v>
      </c>
      <c r="E51" s="49">
        <f>'Avg Week Bwaise-Makerere'!E51+'Avg Week Makerere-Bwaise'!E51</f>
        <v>14.714285714285714</v>
      </c>
      <c r="F51" s="49">
        <f>'Avg Week Bwaise-Makerere'!F51+'Avg Week Makerere-Bwaise'!F51</f>
        <v>71</v>
      </c>
      <c r="G51" s="49">
        <f>'Avg Week Bwaise-Makerere'!G51+'Avg Week Makerere-Bwaise'!G51</f>
        <v>2.5714285714285712</v>
      </c>
      <c r="H51" s="49">
        <f>'Avg Week Bwaise-Makerere'!H51+'Avg Week Makerere-Bwaise'!H51</f>
        <v>1.2857142857142856</v>
      </c>
      <c r="I51" s="49">
        <f>'Avg Week Bwaise-Makerere'!I51+'Avg Week Makerere-Bwaise'!I51</f>
        <v>9.2857142857142847</v>
      </c>
      <c r="J51" s="49">
        <f>'Avg Week Bwaise-Makerere'!J51+'Avg Week Makerere-Bwaise'!J51</f>
        <v>5.1428571428571432</v>
      </c>
      <c r="K51" s="49">
        <f>'Avg Week Bwaise-Makerere'!K51+'Avg Week Makerere-Bwaise'!K51</f>
        <v>1.8571428571428572</v>
      </c>
      <c r="L51" s="49">
        <f>'Avg Week Bwaise-Makerere'!L51+'Avg Week Makerere-Bwaise'!L51</f>
        <v>1</v>
      </c>
      <c r="M51" s="49">
        <f>'Avg Week Bwaise-Makerere'!M51+'Avg Week Makerere-Bwaise'!M51</f>
        <v>235.42857142857144</v>
      </c>
      <c r="N51" s="49">
        <f>'Avg Week Bwaise-Makerere'!N51+'Avg Week Makerere-Bwaise'!N51</f>
        <v>0.14285714285714285</v>
      </c>
      <c r="O51" s="15">
        <f t="shared" si="0"/>
        <v>217.14285714285711</v>
      </c>
      <c r="P51" s="15">
        <f t="shared" si="1"/>
        <v>452.57142857142861</v>
      </c>
      <c r="R51" s="8"/>
      <c r="T51"/>
    </row>
    <row r="52" spans="2:20" ht="23.1" customHeight="1" x14ac:dyDescent="0.25">
      <c r="B52" s="24" t="s">
        <v>79</v>
      </c>
      <c r="C52" s="49">
        <f>'Avg Week Bwaise-Makerere'!C52+'Avg Week Makerere-Bwaise'!C52</f>
        <v>112</v>
      </c>
      <c r="D52" s="49">
        <f>'Avg Week Bwaise-Makerere'!D52+'Avg Week Makerere-Bwaise'!D52</f>
        <v>33</v>
      </c>
      <c r="E52" s="49">
        <f>'Avg Week Bwaise-Makerere'!E52+'Avg Week Makerere-Bwaise'!E52</f>
        <v>14.857142857142858</v>
      </c>
      <c r="F52" s="49">
        <f>'Avg Week Bwaise-Makerere'!F52+'Avg Week Makerere-Bwaise'!F52</f>
        <v>81.714285714285722</v>
      </c>
      <c r="G52" s="49">
        <f>'Avg Week Bwaise-Makerere'!G52+'Avg Week Makerere-Bwaise'!G52</f>
        <v>2</v>
      </c>
      <c r="H52" s="49">
        <f>'Avg Week Bwaise-Makerere'!H52+'Avg Week Makerere-Bwaise'!H52</f>
        <v>0.5714285714285714</v>
      </c>
      <c r="I52" s="49">
        <f>'Avg Week Bwaise-Makerere'!I52+'Avg Week Makerere-Bwaise'!I52</f>
        <v>9.7142857142857153</v>
      </c>
      <c r="J52" s="49">
        <f>'Avg Week Bwaise-Makerere'!J52+'Avg Week Makerere-Bwaise'!J52</f>
        <v>3.4285714285714288</v>
      </c>
      <c r="K52" s="49">
        <f>'Avg Week Bwaise-Makerere'!K52+'Avg Week Makerere-Bwaise'!K52</f>
        <v>1.4285714285714286</v>
      </c>
      <c r="L52" s="49">
        <f>'Avg Week Bwaise-Makerere'!L52+'Avg Week Makerere-Bwaise'!L52</f>
        <v>1.2857142857142856</v>
      </c>
      <c r="M52" s="49">
        <f>'Avg Week Bwaise-Makerere'!M52+'Avg Week Makerere-Bwaise'!M52</f>
        <v>282.14285714285711</v>
      </c>
      <c r="N52" s="49">
        <f>'Avg Week Bwaise-Makerere'!N52+'Avg Week Makerere-Bwaise'!N52</f>
        <v>0</v>
      </c>
      <c r="O52" s="15">
        <f t="shared" si="0"/>
        <v>260.00000000000006</v>
      </c>
      <c r="P52" s="15">
        <f t="shared" si="1"/>
        <v>542.14285714285711</v>
      </c>
      <c r="R52" s="8"/>
      <c r="T52"/>
    </row>
    <row r="53" spans="2:20" ht="23.1" customHeight="1" x14ac:dyDescent="0.25">
      <c r="B53" s="23" t="s">
        <v>80</v>
      </c>
      <c r="C53" s="49">
        <f>'Avg Week Bwaise-Makerere'!C53+'Avg Week Makerere-Bwaise'!C53</f>
        <v>105.57142857142857</v>
      </c>
      <c r="D53" s="49">
        <f>'Avg Week Bwaise-Makerere'!D53+'Avg Week Makerere-Bwaise'!D53</f>
        <v>30.428571428571431</v>
      </c>
      <c r="E53" s="49">
        <f>'Avg Week Bwaise-Makerere'!E53+'Avg Week Makerere-Bwaise'!E53</f>
        <v>10.714285714285715</v>
      </c>
      <c r="F53" s="49">
        <f>'Avg Week Bwaise-Makerere'!F53+'Avg Week Makerere-Bwaise'!F53</f>
        <v>88</v>
      </c>
      <c r="G53" s="49">
        <f>'Avg Week Bwaise-Makerere'!G53+'Avg Week Makerere-Bwaise'!G53</f>
        <v>2.1428571428571428</v>
      </c>
      <c r="H53" s="49">
        <f>'Avg Week Bwaise-Makerere'!H53+'Avg Week Makerere-Bwaise'!H53</f>
        <v>1.4285714285714284</v>
      </c>
      <c r="I53" s="49">
        <f>'Avg Week Bwaise-Makerere'!I53+'Avg Week Makerere-Bwaise'!I53</f>
        <v>9.1428571428571423</v>
      </c>
      <c r="J53" s="49">
        <f>'Avg Week Bwaise-Makerere'!J53+'Avg Week Makerere-Bwaise'!J53</f>
        <v>3.7142857142857144</v>
      </c>
      <c r="K53" s="49">
        <f>'Avg Week Bwaise-Makerere'!K53+'Avg Week Makerere-Bwaise'!K53</f>
        <v>2.4285714285714288</v>
      </c>
      <c r="L53" s="49">
        <f>'Avg Week Bwaise-Makerere'!L53+'Avg Week Makerere-Bwaise'!L53</f>
        <v>0.8571428571428571</v>
      </c>
      <c r="M53" s="49">
        <f>'Avg Week Bwaise-Makerere'!M53+'Avg Week Makerere-Bwaise'!M53</f>
        <v>249</v>
      </c>
      <c r="N53" s="49">
        <f>'Avg Week Bwaise-Makerere'!N53+'Avg Week Makerere-Bwaise'!N53</f>
        <v>0</v>
      </c>
      <c r="O53" s="15">
        <f t="shared" si="0"/>
        <v>254.42857142857142</v>
      </c>
      <c r="P53" s="15">
        <f t="shared" si="1"/>
        <v>503.42857142857144</v>
      </c>
      <c r="R53" s="8"/>
      <c r="T53"/>
    </row>
    <row r="54" spans="2:20" ht="23.1" customHeight="1" x14ac:dyDescent="0.25">
      <c r="B54" s="23" t="s">
        <v>81</v>
      </c>
      <c r="C54" s="49">
        <f>'Avg Week Bwaise-Makerere'!C54+'Avg Week Makerere-Bwaise'!C54</f>
        <v>104.14285714285714</v>
      </c>
      <c r="D54" s="49">
        <f>'Avg Week Bwaise-Makerere'!D54+'Avg Week Makerere-Bwaise'!D54</f>
        <v>32.714285714285715</v>
      </c>
      <c r="E54" s="49">
        <f>'Avg Week Bwaise-Makerere'!E54+'Avg Week Makerere-Bwaise'!E54</f>
        <v>19.285714285714285</v>
      </c>
      <c r="F54" s="49">
        <f>'Avg Week Bwaise-Makerere'!F54+'Avg Week Makerere-Bwaise'!F54</f>
        <v>87.142857142857139</v>
      </c>
      <c r="G54" s="49">
        <f>'Avg Week Bwaise-Makerere'!G54+'Avg Week Makerere-Bwaise'!G54</f>
        <v>4</v>
      </c>
      <c r="H54" s="49">
        <f>'Avg Week Bwaise-Makerere'!H54+'Avg Week Makerere-Bwaise'!H54</f>
        <v>0.42857142857142855</v>
      </c>
      <c r="I54" s="49">
        <f>'Avg Week Bwaise-Makerere'!I54+'Avg Week Makerere-Bwaise'!I54</f>
        <v>8.8571428571428577</v>
      </c>
      <c r="J54" s="49">
        <f>'Avg Week Bwaise-Makerere'!J54+'Avg Week Makerere-Bwaise'!J54</f>
        <v>3.4285714285714288</v>
      </c>
      <c r="K54" s="49">
        <f>'Avg Week Bwaise-Makerere'!K54+'Avg Week Makerere-Bwaise'!K54</f>
        <v>1.0952380952380951</v>
      </c>
      <c r="L54" s="49">
        <f>'Avg Week Bwaise-Makerere'!L54+'Avg Week Makerere-Bwaise'!L54</f>
        <v>1.5714285714285714</v>
      </c>
      <c r="M54" s="49">
        <f>'Avg Week Bwaise-Makerere'!M54+'Avg Week Makerere-Bwaise'!M54</f>
        <v>300.14285714285711</v>
      </c>
      <c r="N54" s="49">
        <f>'Avg Week Bwaise-Makerere'!N54+'Avg Week Makerere-Bwaise'!N54</f>
        <v>0</v>
      </c>
      <c r="O54" s="15">
        <f t="shared" si="0"/>
        <v>262.66666666666663</v>
      </c>
      <c r="P54" s="15">
        <f t="shared" si="1"/>
        <v>562.80952380952374</v>
      </c>
      <c r="R54" s="8"/>
      <c r="T54"/>
    </row>
    <row r="55" spans="2:20" ht="23.1" customHeight="1" x14ac:dyDescent="0.25">
      <c r="B55" s="23" t="s">
        <v>82</v>
      </c>
      <c r="C55" s="49">
        <f>'Avg Week Bwaise-Makerere'!C55+'Avg Week Makerere-Bwaise'!C55</f>
        <v>89.285714285714278</v>
      </c>
      <c r="D55" s="49">
        <f>'Avg Week Bwaise-Makerere'!D55+'Avg Week Makerere-Bwaise'!D55</f>
        <v>26.142857142857146</v>
      </c>
      <c r="E55" s="49">
        <f>'Avg Week Bwaise-Makerere'!E55+'Avg Week Makerere-Bwaise'!E55</f>
        <v>9.7142857142857153</v>
      </c>
      <c r="F55" s="49">
        <f>'Avg Week Bwaise-Makerere'!F55+'Avg Week Makerere-Bwaise'!F55</f>
        <v>81.714285714285722</v>
      </c>
      <c r="G55" s="49">
        <f>'Avg Week Bwaise-Makerere'!G55+'Avg Week Makerere-Bwaise'!G55</f>
        <v>2.4285714285714288</v>
      </c>
      <c r="H55" s="49">
        <f>'Avg Week Bwaise-Makerere'!H55+'Avg Week Makerere-Bwaise'!H55</f>
        <v>2.4285714285714288</v>
      </c>
      <c r="I55" s="49">
        <f>'Avg Week Bwaise-Makerere'!I55+'Avg Week Makerere-Bwaise'!I55</f>
        <v>9.4285714285714288</v>
      </c>
      <c r="J55" s="49">
        <f>'Avg Week Bwaise-Makerere'!J55+'Avg Week Makerere-Bwaise'!J55</f>
        <v>3</v>
      </c>
      <c r="K55" s="49">
        <f>'Avg Week Bwaise-Makerere'!K55+'Avg Week Makerere-Bwaise'!K55</f>
        <v>1.1428571428571428</v>
      </c>
      <c r="L55" s="49">
        <f>'Avg Week Bwaise-Makerere'!L55+'Avg Week Makerere-Bwaise'!L55</f>
        <v>0.8571428571428571</v>
      </c>
      <c r="M55" s="49">
        <f>'Avg Week Bwaise-Makerere'!M55+'Avg Week Makerere-Bwaise'!M55</f>
        <v>266</v>
      </c>
      <c r="N55" s="49">
        <f>'Avg Week Bwaise-Makerere'!N55+'Avg Week Makerere-Bwaise'!N55</f>
        <v>0</v>
      </c>
      <c r="O55" s="15">
        <f t="shared" si="0"/>
        <v>226.14285714285711</v>
      </c>
      <c r="P55" s="15">
        <f t="shared" si="1"/>
        <v>492.14285714285711</v>
      </c>
      <c r="R55" s="8"/>
      <c r="T55"/>
    </row>
    <row r="56" spans="2:20" ht="23.1" customHeight="1" x14ac:dyDescent="0.25">
      <c r="B56" s="23" t="s">
        <v>83</v>
      </c>
      <c r="C56" s="49">
        <f>'Avg Week Bwaise-Makerere'!C56+'Avg Week Makerere-Bwaise'!C56</f>
        <v>85.714285714285722</v>
      </c>
      <c r="D56" s="49">
        <f>'Avg Week Bwaise-Makerere'!D56+'Avg Week Makerere-Bwaise'!D56</f>
        <v>20</v>
      </c>
      <c r="E56" s="49">
        <f>'Avg Week Bwaise-Makerere'!E56+'Avg Week Makerere-Bwaise'!E56</f>
        <v>8.4285714285714288</v>
      </c>
      <c r="F56" s="49">
        <f>'Avg Week Bwaise-Makerere'!F56+'Avg Week Makerere-Bwaise'!F56</f>
        <v>82.142857142857139</v>
      </c>
      <c r="G56" s="49">
        <f>'Avg Week Bwaise-Makerere'!G56+'Avg Week Makerere-Bwaise'!G56</f>
        <v>2.4285714285714288</v>
      </c>
      <c r="H56" s="49">
        <f>'Avg Week Bwaise-Makerere'!H56+'Avg Week Makerere-Bwaise'!H56</f>
        <v>1.8571428571428572</v>
      </c>
      <c r="I56" s="49">
        <f>'Avg Week Bwaise-Makerere'!I56+'Avg Week Makerere-Bwaise'!I56</f>
        <v>7.7142857142857144</v>
      </c>
      <c r="J56" s="49">
        <f>'Avg Week Bwaise-Makerere'!J56+'Avg Week Makerere-Bwaise'!J56</f>
        <v>2.4285714285714288</v>
      </c>
      <c r="K56" s="49">
        <f>'Avg Week Bwaise-Makerere'!K56+'Avg Week Makerere-Bwaise'!K56</f>
        <v>1.4285714285714284</v>
      </c>
      <c r="L56" s="49">
        <f>'Avg Week Bwaise-Makerere'!L56+'Avg Week Makerere-Bwaise'!L56</f>
        <v>0.71428571428571419</v>
      </c>
      <c r="M56" s="49">
        <f>'Avg Week Bwaise-Makerere'!M56+'Avg Week Makerere-Bwaise'!M56</f>
        <v>231.57142857142858</v>
      </c>
      <c r="N56" s="49">
        <f>'Avg Week Bwaise-Makerere'!N56+'Avg Week Makerere-Bwaise'!N56</f>
        <v>0</v>
      </c>
      <c r="O56" s="15">
        <f t="shared" si="0"/>
        <v>212.85714285714283</v>
      </c>
      <c r="P56" s="15">
        <f t="shared" si="1"/>
        <v>444.42857142857144</v>
      </c>
      <c r="R56" s="8"/>
      <c r="T56"/>
    </row>
    <row r="57" spans="2:20" ht="23.1" customHeight="1" x14ac:dyDescent="0.25">
      <c r="B57" s="23" t="s">
        <v>84</v>
      </c>
      <c r="C57" s="49">
        <f>'Avg Week Bwaise-Makerere'!C57+'Avg Week Makerere-Bwaise'!C57</f>
        <v>86.714285714285708</v>
      </c>
      <c r="D57" s="49">
        <f>'Avg Week Bwaise-Makerere'!D57+'Avg Week Makerere-Bwaise'!D57</f>
        <v>19.714285714285715</v>
      </c>
      <c r="E57" s="49">
        <f>'Avg Week Bwaise-Makerere'!E57+'Avg Week Makerere-Bwaise'!E57</f>
        <v>15.571428571428573</v>
      </c>
      <c r="F57" s="49">
        <f>'Avg Week Bwaise-Makerere'!F57+'Avg Week Makerere-Bwaise'!F57</f>
        <v>75</v>
      </c>
      <c r="G57" s="49">
        <f>'Avg Week Bwaise-Makerere'!G57+'Avg Week Makerere-Bwaise'!G57</f>
        <v>4.7142857142857144</v>
      </c>
      <c r="H57" s="49">
        <f>'Avg Week Bwaise-Makerere'!H57+'Avg Week Makerere-Bwaise'!H57</f>
        <v>1.8571428571428572</v>
      </c>
      <c r="I57" s="49">
        <f>'Avg Week Bwaise-Makerere'!I57+'Avg Week Makerere-Bwaise'!I57</f>
        <v>5.4285714285714288</v>
      </c>
      <c r="J57" s="49">
        <f>'Avg Week Bwaise-Makerere'!J57+'Avg Week Makerere-Bwaise'!J57</f>
        <v>1.4285714285714284</v>
      </c>
      <c r="K57" s="49">
        <f>'Avg Week Bwaise-Makerere'!K57+'Avg Week Makerere-Bwaise'!K57</f>
        <v>1.7142857142857142</v>
      </c>
      <c r="L57" s="49">
        <f>'Avg Week Bwaise-Makerere'!L57+'Avg Week Makerere-Bwaise'!L57</f>
        <v>0.5714285714285714</v>
      </c>
      <c r="M57" s="49">
        <f>'Avg Week Bwaise-Makerere'!M57+'Avg Week Makerere-Bwaise'!M57</f>
        <v>217.85714285714286</v>
      </c>
      <c r="N57" s="49">
        <f>'Avg Week Bwaise-Makerere'!N57+'Avg Week Makerere-Bwaise'!N57</f>
        <v>0</v>
      </c>
      <c r="O57" s="15">
        <f t="shared" si="0"/>
        <v>212.71428571428572</v>
      </c>
      <c r="P57" s="15">
        <f t="shared" si="1"/>
        <v>430.57142857142856</v>
      </c>
      <c r="R57" s="8"/>
      <c r="T57"/>
    </row>
    <row r="58" spans="2:20" ht="23.1" customHeight="1" x14ac:dyDescent="0.25">
      <c r="B58" s="23" t="s">
        <v>99</v>
      </c>
      <c r="C58" s="49">
        <f>'Avg Week Bwaise-Makerere'!C58+'Avg Week Makerere-Bwaise'!C58</f>
        <v>97</v>
      </c>
      <c r="D58" s="49">
        <f>'Avg Week Bwaise-Makerere'!D58+'Avg Week Makerere-Bwaise'!D58</f>
        <v>25</v>
      </c>
      <c r="E58" s="49">
        <f>'Avg Week Bwaise-Makerere'!E58+'Avg Week Makerere-Bwaise'!E58</f>
        <v>21.5</v>
      </c>
      <c r="F58" s="49">
        <f>'Avg Week Bwaise-Makerere'!F58+'Avg Week Makerere-Bwaise'!F58</f>
        <v>65.5</v>
      </c>
      <c r="G58" s="49">
        <f>'Avg Week Bwaise-Makerere'!G58+'Avg Week Makerere-Bwaise'!G58</f>
        <v>1</v>
      </c>
      <c r="H58" s="49">
        <f>'Avg Week Bwaise-Makerere'!H58+'Avg Week Makerere-Bwaise'!H58</f>
        <v>4</v>
      </c>
      <c r="I58" s="49">
        <f>'Avg Week Bwaise-Makerere'!I58+'Avg Week Makerere-Bwaise'!I58</f>
        <v>12</v>
      </c>
      <c r="J58" s="49">
        <f>'Avg Week Bwaise-Makerere'!J58+'Avg Week Makerere-Bwaise'!J58</f>
        <v>6</v>
      </c>
      <c r="K58" s="49">
        <f>'Avg Week Bwaise-Makerere'!K58+'Avg Week Makerere-Bwaise'!K58</f>
        <v>0.5</v>
      </c>
      <c r="L58" s="49">
        <f>'Avg Week Bwaise-Makerere'!L58+'Avg Week Makerere-Bwaise'!L58</f>
        <v>0.5</v>
      </c>
      <c r="M58" s="49">
        <f>'Avg Week Bwaise-Makerere'!M58+'Avg Week Makerere-Bwaise'!M58</f>
        <v>248.5</v>
      </c>
      <c r="N58" s="49">
        <f>'Avg Week Bwaise-Makerere'!N58+'Avg Week Makerere-Bwaise'!N58</f>
        <v>0</v>
      </c>
      <c r="O58" s="15">
        <f t="shared" si="0"/>
        <v>233</v>
      </c>
      <c r="P58" s="15">
        <f t="shared" si="1"/>
        <v>481.5</v>
      </c>
      <c r="R58" s="8"/>
      <c r="T58"/>
    </row>
    <row r="59" spans="2:20" ht="23.1" customHeight="1" x14ac:dyDescent="0.25">
      <c r="B59" s="23" t="s">
        <v>100</v>
      </c>
      <c r="C59" s="49">
        <f>'Avg Week Bwaise-Makerere'!C59+'Avg Week Makerere-Bwaise'!C59</f>
        <v>95</v>
      </c>
      <c r="D59" s="49">
        <f>'Avg Week Bwaise-Makerere'!D59+'Avg Week Makerere-Bwaise'!D59</f>
        <v>27.5</v>
      </c>
      <c r="E59" s="49">
        <f>'Avg Week Bwaise-Makerere'!E59+'Avg Week Makerere-Bwaise'!E59</f>
        <v>15.5</v>
      </c>
      <c r="F59" s="49">
        <f>'Avg Week Bwaise-Makerere'!F59+'Avg Week Makerere-Bwaise'!F59</f>
        <v>77</v>
      </c>
      <c r="G59" s="49">
        <f>'Avg Week Bwaise-Makerere'!G59+'Avg Week Makerere-Bwaise'!G59</f>
        <v>1</v>
      </c>
      <c r="H59" s="49">
        <f>'Avg Week Bwaise-Makerere'!H59+'Avg Week Makerere-Bwaise'!H59</f>
        <v>1.5</v>
      </c>
      <c r="I59" s="49">
        <f>'Avg Week Bwaise-Makerere'!I59+'Avg Week Makerere-Bwaise'!I59</f>
        <v>11</v>
      </c>
      <c r="J59" s="49">
        <f>'Avg Week Bwaise-Makerere'!J59+'Avg Week Makerere-Bwaise'!J59</f>
        <v>3.5</v>
      </c>
      <c r="K59" s="49">
        <f>'Avg Week Bwaise-Makerere'!K59+'Avg Week Makerere-Bwaise'!K59</f>
        <v>1</v>
      </c>
      <c r="L59" s="49">
        <f>'Avg Week Bwaise-Makerere'!L59+'Avg Week Makerere-Bwaise'!L59</f>
        <v>2</v>
      </c>
      <c r="M59" s="49">
        <f>'Avg Week Bwaise-Makerere'!M59+'Avg Week Makerere-Bwaise'!M59</f>
        <v>244.5</v>
      </c>
      <c r="N59" s="49">
        <f>'Avg Week Bwaise-Makerere'!N59+'Avg Week Makerere-Bwaise'!N59</f>
        <v>0</v>
      </c>
      <c r="O59" s="15">
        <f t="shared" si="0"/>
        <v>235</v>
      </c>
      <c r="P59" s="15">
        <f t="shared" si="1"/>
        <v>479.5</v>
      </c>
      <c r="R59" s="8"/>
      <c r="T59"/>
    </row>
    <row r="60" spans="2:20" ht="23.1" customHeight="1" x14ac:dyDescent="0.25">
      <c r="B60" s="23" t="s">
        <v>101</v>
      </c>
      <c r="C60" s="49">
        <f>'Avg Week Bwaise-Makerere'!C60+'Avg Week Makerere-Bwaise'!C60</f>
        <v>99.5</v>
      </c>
      <c r="D60" s="49">
        <f>'Avg Week Bwaise-Makerere'!D60+'Avg Week Makerere-Bwaise'!D60</f>
        <v>33.5</v>
      </c>
      <c r="E60" s="49">
        <f>'Avg Week Bwaise-Makerere'!E60+'Avg Week Makerere-Bwaise'!E60</f>
        <v>38.5</v>
      </c>
      <c r="F60" s="49">
        <f>'Avg Week Bwaise-Makerere'!F60+'Avg Week Makerere-Bwaise'!F60</f>
        <v>103</v>
      </c>
      <c r="G60" s="49">
        <f>'Avg Week Bwaise-Makerere'!G60+'Avg Week Makerere-Bwaise'!G60</f>
        <v>1</v>
      </c>
      <c r="H60" s="49">
        <f>'Avg Week Bwaise-Makerere'!H60+'Avg Week Makerere-Bwaise'!H60</f>
        <v>3</v>
      </c>
      <c r="I60" s="49">
        <f>'Avg Week Bwaise-Makerere'!I60+'Avg Week Makerere-Bwaise'!I60</f>
        <v>11</v>
      </c>
      <c r="J60" s="49">
        <f>'Avg Week Bwaise-Makerere'!J60+'Avg Week Makerere-Bwaise'!J60</f>
        <v>1</v>
      </c>
      <c r="K60" s="49">
        <f>'Avg Week Bwaise-Makerere'!K60+'Avg Week Makerere-Bwaise'!K60</f>
        <v>0.5</v>
      </c>
      <c r="L60" s="49">
        <f>'Avg Week Bwaise-Makerere'!L60+'Avg Week Makerere-Bwaise'!L60</f>
        <v>1.5</v>
      </c>
      <c r="M60" s="49">
        <f>'Avg Week Bwaise-Makerere'!M60+'Avg Week Makerere-Bwaise'!M60</f>
        <v>214.5</v>
      </c>
      <c r="N60" s="49">
        <f>'Avg Week Bwaise-Makerere'!N60+'Avg Week Makerere-Bwaise'!N60</f>
        <v>0</v>
      </c>
      <c r="O60" s="15">
        <f t="shared" si="0"/>
        <v>292.5</v>
      </c>
      <c r="P60" s="15">
        <f t="shared" si="1"/>
        <v>507</v>
      </c>
      <c r="R60" s="8"/>
      <c r="T60"/>
    </row>
    <row r="61" spans="2:20" ht="23.1" customHeight="1" x14ac:dyDescent="0.25">
      <c r="B61" s="23" t="s">
        <v>102</v>
      </c>
      <c r="C61" s="49">
        <f>'Avg Week Bwaise-Makerere'!C61+'Avg Week Makerere-Bwaise'!C61</f>
        <v>100</v>
      </c>
      <c r="D61" s="49">
        <f>'Avg Week Bwaise-Makerere'!D61+'Avg Week Makerere-Bwaise'!D61</f>
        <v>21</v>
      </c>
      <c r="E61" s="49">
        <f>'Avg Week Bwaise-Makerere'!E61+'Avg Week Makerere-Bwaise'!E61</f>
        <v>37.5</v>
      </c>
      <c r="F61" s="49">
        <f>'Avg Week Bwaise-Makerere'!F61+'Avg Week Makerere-Bwaise'!F61</f>
        <v>64</v>
      </c>
      <c r="G61" s="49">
        <f>'Avg Week Bwaise-Makerere'!G61+'Avg Week Makerere-Bwaise'!G61</f>
        <v>2.5</v>
      </c>
      <c r="H61" s="49">
        <f>'Avg Week Bwaise-Makerere'!H61+'Avg Week Makerere-Bwaise'!H61</f>
        <v>4</v>
      </c>
      <c r="I61" s="49">
        <f>'Avg Week Bwaise-Makerere'!I61+'Avg Week Makerere-Bwaise'!I61</f>
        <v>10</v>
      </c>
      <c r="J61" s="49">
        <f>'Avg Week Bwaise-Makerere'!J61+'Avg Week Makerere-Bwaise'!J61</f>
        <v>3.5</v>
      </c>
      <c r="K61" s="49">
        <f>'Avg Week Bwaise-Makerere'!K61+'Avg Week Makerere-Bwaise'!K61</f>
        <v>1.5</v>
      </c>
      <c r="L61" s="49">
        <f>'Avg Week Bwaise-Makerere'!L61+'Avg Week Makerere-Bwaise'!L61</f>
        <v>0.5</v>
      </c>
      <c r="M61" s="49">
        <f>'Avg Week Bwaise-Makerere'!M61+'Avg Week Makerere-Bwaise'!M61</f>
        <v>222.5</v>
      </c>
      <c r="N61" s="49">
        <f>'Avg Week Bwaise-Makerere'!N61+'Avg Week Makerere-Bwaise'!N61</f>
        <v>0</v>
      </c>
      <c r="O61" s="15">
        <f t="shared" si="0"/>
        <v>244.5</v>
      </c>
      <c r="P61" s="15">
        <f t="shared" si="1"/>
        <v>467</v>
      </c>
      <c r="R61" s="8"/>
      <c r="T61"/>
    </row>
    <row r="62" spans="2:20" ht="23.1" customHeight="1" x14ac:dyDescent="0.25">
      <c r="B62" s="23" t="s">
        <v>107</v>
      </c>
      <c r="C62" s="49">
        <f>'Avg Week Bwaise-Makerere'!C62+'Avg Week Makerere-Bwaise'!C62</f>
        <v>120.5</v>
      </c>
      <c r="D62" s="49">
        <f>'Avg Week Bwaise-Makerere'!D62+'Avg Week Makerere-Bwaise'!D62</f>
        <v>27</v>
      </c>
      <c r="E62" s="49">
        <f>'Avg Week Bwaise-Makerere'!E62+'Avg Week Makerere-Bwaise'!E62</f>
        <v>18</v>
      </c>
      <c r="F62" s="49">
        <f>'Avg Week Bwaise-Makerere'!F62+'Avg Week Makerere-Bwaise'!F62</f>
        <v>94.5</v>
      </c>
      <c r="G62" s="49">
        <f>'Avg Week Bwaise-Makerere'!G62+'Avg Week Makerere-Bwaise'!G62</f>
        <v>2.5</v>
      </c>
      <c r="H62" s="49">
        <f>'Avg Week Bwaise-Makerere'!H62+'Avg Week Makerere-Bwaise'!H62</f>
        <v>2</v>
      </c>
      <c r="I62" s="49">
        <f>'Avg Week Bwaise-Makerere'!I62+'Avg Week Makerere-Bwaise'!I62</f>
        <v>11.5</v>
      </c>
      <c r="J62" s="49">
        <f>'Avg Week Bwaise-Makerere'!J62+'Avg Week Makerere-Bwaise'!J62</f>
        <v>7</v>
      </c>
      <c r="K62" s="49">
        <f>'Avg Week Bwaise-Makerere'!K62+'Avg Week Makerere-Bwaise'!K62</f>
        <v>1</v>
      </c>
      <c r="L62" s="49">
        <f>'Avg Week Bwaise-Makerere'!L62+'Avg Week Makerere-Bwaise'!L62</f>
        <v>0</v>
      </c>
      <c r="M62" s="49">
        <f>'Avg Week Bwaise-Makerere'!M62+'Avg Week Makerere-Bwaise'!M62</f>
        <v>244</v>
      </c>
      <c r="N62" s="49">
        <f>'Avg Week Bwaise-Makerere'!N62+'Avg Week Makerere-Bwaise'!N62</f>
        <v>0</v>
      </c>
      <c r="O62" s="15">
        <f t="shared" si="0"/>
        <v>284</v>
      </c>
      <c r="P62" s="15">
        <f t="shared" si="1"/>
        <v>528</v>
      </c>
      <c r="R62" s="8"/>
      <c r="T62"/>
    </row>
    <row r="63" spans="2:20" ht="23.1" customHeight="1" x14ac:dyDescent="0.25">
      <c r="B63" s="23" t="s">
        <v>108</v>
      </c>
      <c r="C63" s="49">
        <f>'Avg Week Bwaise-Makerere'!C63+'Avg Week Makerere-Bwaise'!C63</f>
        <v>85</v>
      </c>
      <c r="D63" s="49">
        <f>'Avg Week Bwaise-Makerere'!D63+'Avg Week Makerere-Bwaise'!D63</f>
        <v>24.5</v>
      </c>
      <c r="E63" s="49">
        <f>'Avg Week Bwaise-Makerere'!E63+'Avg Week Makerere-Bwaise'!E63</f>
        <v>16</v>
      </c>
      <c r="F63" s="49">
        <f>'Avg Week Bwaise-Makerere'!F63+'Avg Week Makerere-Bwaise'!F63</f>
        <v>97.5</v>
      </c>
      <c r="G63" s="49">
        <f>'Avg Week Bwaise-Makerere'!G63+'Avg Week Makerere-Bwaise'!G63</f>
        <v>1.5</v>
      </c>
      <c r="H63" s="49">
        <f>'Avg Week Bwaise-Makerere'!H63+'Avg Week Makerere-Bwaise'!H63</f>
        <v>2.5</v>
      </c>
      <c r="I63" s="49">
        <f>'Avg Week Bwaise-Makerere'!I63+'Avg Week Makerere-Bwaise'!I63</f>
        <v>12.5</v>
      </c>
      <c r="J63" s="49">
        <f>'Avg Week Bwaise-Makerere'!J63+'Avg Week Makerere-Bwaise'!J63</f>
        <v>3</v>
      </c>
      <c r="K63" s="49">
        <f>'Avg Week Bwaise-Makerere'!K63+'Avg Week Makerere-Bwaise'!K63</f>
        <v>0.5</v>
      </c>
      <c r="L63" s="49">
        <f>'Avg Week Bwaise-Makerere'!L63+'Avg Week Makerere-Bwaise'!L63</f>
        <v>0.5</v>
      </c>
      <c r="M63" s="49">
        <f>'Avg Week Bwaise-Makerere'!M63+'Avg Week Makerere-Bwaise'!M63</f>
        <v>220</v>
      </c>
      <c r="N63" s="49">
        <f>'Avg Week Bwaise-Makerere'!N63+'Avg Week Makerere-Bwaise'!N63</f>
        <v>0</v>
      </c>
      <c r="O63" s="15">
        <f t="shared" si="0"/>
        <v>243.5</v>
      </c>
      <c r="P63" s="15">
        <f t="shared" si="1"/>
        <v>463.5</v>
      </c>
      <c r="R63" s="8"/>
      <c r="T63"/>
    </row>
    <row r="64" spans="2:20" ht="23.1" customHeight="1" x14ac:dyDescent="0.25">
      <c r="B64" s="23" t="s">
        <v>109</v>
      </c>
      <c r="C64" s="49">
        <f>'Avg Week Bwaise-Makerere'!C64+'Avg Week Makerere-Bwaise'!C64</f>
        <v>80</v>
      </c>
      <c r="D64" s="49">
        <f>'Avg Week Bwaise-Makerere'!D64+'Avg Week Makerere-Bwaise'!D64</f>
        <v>51</v>
      </c>
      <c r="E64" s="49">
        <f>'Avg Week Bwaise-Makerere'!E64+'Avg Week Makerere-Bwaise'!E64</f>
        <v>14.5</v>
      </c>
      <c r="F64" s="49">
        <f>'Avg Week Bwaise-Makerere'!F64+'Avg Week Makerere-Bwaise'!F64</f>
        <v>59.5</v>
      </c>
      <c r="G64" s="49">
        <f>'Avg Week Bwaise-Makerere'!G64+'Avg Week Makerere-Bwaise'!G64</f>
        <v>26.5</v>
      </c>
      <c r="H64" s="49">
        <f>'Avg Week Bwaise-Makerere'!H64+'Avg Week Makerere-Bwaise'!H64</f>
        <v>4.5</v>
      </c>
      <c r="I64" s="49">
        <f>'Avg Week Bwaise-Makerere'!I64+'Avg Week Makerere-Bwaise'!I64</f>
        <v>6.5</v>
      </c>
      <c r="J64" s="49">
        <f>'Avg Week Bwaise-Makerere'!J64+'Avg Week Makerere-Bwaise'!J64</f>
        <v>10.5</v>
      </c>
      <c r="K64" s="49">
        <f>'Avg Week Bwaise-Makerere'!K64+'Avg Week Makerere-Bwaise'!K64</f>
        <v>0.5</v>
      </c>
      <c r="L64" s="49">
        <f>'Avg Week Bwaise-Makerere'!L64+'Avg Week Makerere-Bwaise'!L64</f>
        <v>0</v>
      </c>
      <c r="M64" s="49">
        <f>'Avg Week Bwaise-Makerere'!M64+'Avg Week Makerere-Bwaise'!M64</f>
        <v>253.5</v>
      </c>
      <c r="N64" s="49">
        <f>'Avg Week Bwaise-Makerere'!N64+'Avg Week Makerere-Bwaise'!N64</f>
        <v>0</v>
      </c>
      <c r="O64" s="15">
        <f t="shared" si="0"/>
        <v>253.5</v>
      </c>
      <c r="P64" s="15">
        <f t="shared" si="1"/>
        <v>507</v>
      </c>
      <c r="R64" s="8"/>
      <c r="T64"/>
    </row>
    <row r="65" spans="2:20" ht="23.1" customHeight="1" x14ac:dyDescent="0.25">
      <c r="B65" s="23" t="s">
        <v>158</v>
      </c>
      <c r="C65" s="49">
        <f>'Avg Week Bwaise-Makerere'!C65+'Avg Week Makerere-Bwaise'!C65</f>
        <v>107</v>
      </c>
      <c r="D65" s="49">
        <f>'Avg Week Bwaise-Makerere'!D65+'Avg Week Makerere-Bwaise'!D65</f>
        <v>25</v>
      </c>
      <c r="E65" s="49">
        <f>'Avg Week Bwaise-Makerere'!E65+'Avg Week Makerere-Bwaise'!E65</f>
        <v>13</v>
      </c>
      <c r="F65" s="49">
        <f>'Avg Week Bwaise-Makerere'!F65+'Avg Week Makerere-Bwaise'!F65</f>
        <v>93</v>
      </c>
      <c r="G65" s="49">
        <f>'Avg Week Bwaise-Makerere'!G65+'Avg Week Makerere-Bwaise'!G65</f>
        <v>2</v>
      </c>
      <c r="H65" s="49">
        <f>'Avg Week Bwaise-Makerere'!H65+'Avg Week Makerere-Bwaise'!H65</f>
        <v>1.5</v>
      </c>
      <c r="I65" s="49">
        <f>'Avg Week Bwaise-Makerere'!I65+'Avg Week Makerere-Bwaise'!I65</f>
        <v>10.5</v>
      </c>
      <c r="J65" s="49">
        <f>'Avg Week Bwaise-Makerere'!J65+'Avg Week Makerere-Bwaise'!J65</f>
        <v>2.5</v>
      </c>
      <c r="K65" s="49">
        <f>'Avg Week Bwaise-Makerere'!K65+'Avg Week Makerere-Bwaise'!K65</f>
        <v>1</v>
      </c>
      <c r="L65" s="49">
        <f>'Avg Week Bwaise-Makerere'!L65+'Avg Week Makerere-Bwaise'!L65</f>
        <v>0</v>
      </c>
      <c r="M65" s="49">
        <f>'Avg Week Bwaise-Makerere'!M65+'Avg Week Makerere-Bwaise'!M65</f>
        <v>277.5</v>
      </c>
      <c r="N65" s="49">
        <f>'Avg Week Bwaise-Makerere'!N65+'Avg Week Makerere-Bwaise'!N65</f>
        <v>0</v>
      </c>
      <c r="O65" s="15">
        <f t="shared" si="0"/>
        <v>255.5</v>
      </c>
      <c r="P65" s="15">
        <f t="shared" si="1"/>
        <v>533</v>
      </c>
      <c r="R65" s="8"/>
      <c r="T65"/>
    </row>
    <row r="66" spans="2:20" ht="23.1" customHeight="1" x14ac:dyDescent="0.25">
      <c r="B66" s="23" t="s">
        <v>103</v>
      </c>
      <c r="C66" s="49">
        <f>'Avg Week Bwaise-Makerere'!C66+'Avg Week Makerere-Bwaise'!C66</f>
        <v>116</v>
      </c>
      <c r="D66" s="49">
        <f>'Avg Week Bwaise-Makerere'!D66+'Avg Week Makerere-Bwaise'!D66</f>
        <v>32.5</v>
      </c>
      <c r="E66" s="49">
        <f>'Avg Week Bwaise-Makerere'!E66+'Avg Week Makerere-Bwaise'!E66</f>
        <v>17</v>
      </c>
      <c r="F66" s="49">
        <f>'Avg Week Bwaise-Makerere'!F66+'Avg Week Makerere-Bwaise'!F66</f>
        <v>84.5</v>
      </c>
      <c r="G66" s="49">
        <f>'Avg Week Bwaise-Makerere'!G66+'Avg Week Makerere-Bwaise'!G66</f>
        <v>2</v>
      </c>
      <c r="H66" s="49">
        <f>'Avg Week Bwaise-Makerere'!H66+'Avg Week Makerere-Bwaise'!H66</f>
        <v>0.5</v>
      </c>
      <c r="I66" s="49">
        <f>'Avg Week Bwaise-Makerere'!I66+'Avg Week Makerere-Bwaise'!I66</f>
        <v>15.5</v>
      </c>
      <c r="J66" s="49">
        <f>'Avg Week Bwaise-Makerere'!J66+'Avg Week Makerere-Bwaise'!J66</f>
        <v>3</v>
      </c>
      <c r="K66" s="49">
        <f>'Avg Week Bwaise-Makerere'!K66+'Avg Week Makerere-Bwaise'!K66</f>
        <v>1.5</v>
      </c>
      <c r="L66" s="49">
        <f>'Avg Week Bwaise-Makerere'!L66+'Avg Week Makerere-Bwaise'!L66</f>
        <v>0.5</v>
      </c>
      <c r="M66" s="49">
        <f>'Avg Week Bwaise-Makerere'!M66+'Avg Week Makerere-Bwaise'!M66</f>
        <v>270.5</v>
      </c>
      <c r="N66" s="49">
        <f>'Avg Week Bwaise-Makerere'!N66+'Avg Week Makerere-Bwaise'!N66</f>
        <v>0</v>
      </c>
      <c r="O66" s="15">
        <f t="shared" si="0"/>
        <v>273</v>
      </c>
      <c r="P66" s="15">
        <f t="shared" si="1"/>
        <v>543.5</v>
      </c>
      <c r="R66" s="8"/>
      <c r="T66"/>
    </row>
    <row r="67" spans="2:20" ht="23.1" customHeight="1" x14ac:dyDescent="0.25">
      <c r="B67" s="23" t="s">
        <v>104</v>
      </c>
      <c r="C67" s="49">
        <f>'Avg Week Bwaise-Makerere'!C67+'Avg Week Makerere-Bwaise'!C67</f>
        <v>102</v>
      </c>
      <c r="D67" s="49">
        <f>'Avg Week Bwaise-Makerere'!D67+'Avg Week Makerere-Bwaise'!D67</f>
        <v>30</v>
      </c>
      <c r="E67" s="49">
        <f>'Avg Week Bwaise-Makerere'!E67+'Avg Week Makerere-Bwaise'!E67</f>
        <v>17</v>
      </c>
      <c r="F67" s="49">
        <f>'Avg Week Bwaise-Makerere'!F67+'Avg Week Makerere-Bwaise'!F67</f>
        <v>92</v>
      </c>
      <c r="G67" s="49">
        <f>'Avg Week Bwaise-Makerere'!G67+'Avg Week Makerere-Bwaise'!G67</f>
        <v>1.5</v>
      </c>
      <c r="H67" s="49">
        <f>'Avg Week Bwaise-Makerere'!H67+'Avg Week Makerere-Bwaise'!H67</f>
        <v>2</v>
      </c>
      <c r="I67" s="49">
        <f>'Avg Week Bwaise-Makerere'!I67+'Avg Week Makerere-Bwaise'!I67</f>
        <v>15.5</v>
      </c>
      <c r="J67" s="49">
        <f>'Avg Week Bwaise-Makerere'!J67+'Avg Week Makerere-Bwaise'!J67</f>
        <v>4</v>
      </c>
      <c r="K67" s="49">
        <f>'Avg Week Bwaise-Makerere'!K67+'Avg Week Makerere-Bwaise'!K67</f>
        <v>1.5</v>
      </c>
      <c r="L67" s="49">
        <f>'Avg Week Bwaise-Makerere'!L67+'Avg Week Makerere-Bwaise'!L67</f>
        <v>1</v>
      </c>
      <c r="M67" s="49">
        <f>'Avg Week Bwaise-Makerere'!M67+'Avg Week Makerere-Bwaise'!M67</f>
        <v>229</v>
      </c>
      <c r="N67" s="49">
        <f>'Avg Week Bwaise-Makerere'!N67+'Avg Week Makerere-Bwaise'!N67</f>
        <v>0</v>
      </c>
      <c r="O67" s="15">
        <f t="shared" si="0"/>
        <v>266.5</v>
      </c>
      <c r="P67" s="15">
        <f t="shared" si="1"/>
        <v>495.5</v>
      </c>
      <c r="R67" s="8"/>
      <c r="T67"/>
    </row>
    <row r="68" spans="2:20" ht="23.1" customHeight="1" x14ac:dyDescent="0.25">
      <c r="B68" s="23" t="s">
        <v>105</v>
      </c>
      <c r="C68" s="49">
        <f>'Avg Week Bwaise-Makerere'!C68+'Avg Week Makerere-Bwaise'!C68</f>
        <v>99.5</v>
      </c>
      <c r="D68" s="49">
        <f>'Avg Week Bwaise-Makerere'!D68+'Avg Week Makerere-Bwaise'!D68</f>
        <v>26</v>
      </c>
      <c r="E68" s="49">
        <f>'Avg Week Bwaise-Makerere'!E68+'Avg Week Makerere-Bwaise'!E68</f>
        <v>14</v>
      </c>
      <c r="F68" s="49">
        <f>'Avg Week Bwaise-Makerere'!F68+'Avg Week Makerere-Bwaise'!F68</f>
        <v>68</v>
      </c>
      <c r="G68" s="49">
        <f>'Avg Week Bwaise-Makerere'!G68+'Avg Week Makerere-Bwaise'!G68</f>
        <v>2.5</v>
      </c>
      <c r="H68" s="49">
        <f>'Avg Week Bwaise-Makerere'!H68+'Avg Week Makerere-Bwaise'!H68</f>
        <v>1</v>
      </c>
      <c r="I68" s="49">
        <f>'Avg Week Bwaise-Makerere'!I68+'Avg Week Makerere-Bwaise'!I68</f>
        <v>7.5</v>
      </c>
      <c r="J68" s="49">
        <f>'Avg Week Bwaise-Makerere'!J68+'Avg Week Makerere-Bwaise'!J68</f>
        <v>4</v>
      </c>
      <c r="K68" s="49">
        <f>'Avg Week Bwaise-Makerere'!K68+'Avg Week Makerere-Bwaise'!K68</f>
        <v>2.5</v>
      </c>
      <c r="L68" s="49">
        <f>'Avg Week Bwaise-Makerere'!L68+'Avg Week Makerere-Bwaise'!L68</f>
        <v>0</v>
      </c>
      <c r="M68" s="49">
        <f>'Avg Week Bwaise-Makerere'!M68+'Avg Week Makerere-Bwaise'!M68</f>
        <v>199.5</v>
      </c>
      <c r="N68" s="49">
        <f>'Avg Week Bwaise-Makerere'!N68+'Avg Week Makerere-Bwaise'!N68</f>
        <v>0</v>
      </c>
      <c r="O68" s="15">
        <f t="shared" si="0"/>
        <v>225</v>
      </c>
      <c r="P68" s="15">
        <f t="shared" si="1"/>
        <v>424.5</v>
      </c>
      <c r="R68" s="8"/>
      <c r="T68"/>
    </row>
    <row r="69" spans="2:20" ht="23.1" customHeight="1" x14ac:dyDescent="0.25">
      <c r="B69" s="23" t="s">
        <v>106</v>
      </c>
      <c r="C69" s="49">
        <f>'Avg Week Bwaise-Makerere'!C69+'Avg Week Makerere-Bwaise'!C69</f>
        <v>114.5</v>
      </c>
      <c r="D69" s="49">
        <f>'Avg Week Bwaise-Makerere'!D69+'Avg Week Makerere-Bwaise'!D69</f>
        <v>24.5</v>
      </c>
      <c r="E69" s="49">
        <f>'Avg Week Bwaise-Makerere'!E69+'Avg Week Makerere-Bwaise'!E69</f>
        <v>10.5</v>
      </c>
      <c r="F69" s="49">
        <f>'Avg Week Bwaise-Makerere'!F69+'Avg Week Makerere-Bwaise'!F69</f>
        <v>95</v>
      </c>
      <c r="G69" s="49">
        <f>'Avg Week Bwaise-Makerere'!G69+'Avg Week Makerere-Bwaise'!G69</f>
        <v>2</v>
      </c>
      <c r="H69" s="49">
        <f>'Avg Week Bwaise-Makerere'!H69+'Avg Week Makerere-Bwaise'!H69</f>
        <v>1</v>
      </c>
      <c r="I69" s="49">
        <f>'Avg Week Bwaise-Makerere'!I69+'Avg Week Makerere-Bwaise'!I69</f>
        <v>9.5</v>
      </c>
      <c r="J69" s="49">
        <f>'Avg Week Bwaise-Makerere'!J69+'Avg Week Makerere-Bwaise'!J69</f>
        <v>3</v>
      </c>
      <c r="K69" s="49">
        <f>'Avg Week Bwaise-Makerere'!K69+'Avg Week Makerere-Bwaise'!K69</f>
        <v>1.5</v>
      </c>
      <c r="L69" s="49">
        <f>'Avg Week Bwaise-Makerere'!L69+'Avg Week Makerere-Bwaise'!L69</f>
        <v>0</v>
      </c>
      <c r="M69" s="49">
        <f>'Avg Week Bwaise-Makerere'!M69+'Avg Week Makerere-Bwaise'!M69</f>
        <v>196.5</v>
      </c>
      <c r="N69" s="49">
        <f>'Avg Week Bwaise-Makerere'!N69+'Avg Week Makerere-Bwaise'!N69</f>
        <v>0.5</v>
      </c>
      <c r="O69" s="15">
        <f t="shared" si="0"/>
        <v>262</v>
      </c>
      <c r="P69" s="15">
        <f t="shared" si="1"/>
        <v>458.5</v>
      </c>
      <c r="R69" s="8"/>
      <c r="T69"/>
    </row>
    <row r="70" spans="2:20" ht="23.1" customHeight="1" x14ac:dyDescent="0.25">
      <c r="B70" s="23" t="s">
        <v>110</v>
      </c>
      <c r="C70" s="49">
        <f>'Avg Week Bwaise-Makerere'!C70+'Avg Week Makerere-Bwaise'!C70</f>
        <v>90</v>
      </c>
      <c r="D70" s="49">
        <f>'Avg Week Bwaise-Makerere'!D70+'Avg Week Makerere-Bwaise'!D70</f>
        <v>14</v>
      </c>
      <c r="E70" s="49">
        <f>'Avg Week Bwaise-Makerere'!E70+'Avg Week Makerere-Bwaise'!E70</f>
        <v>36</v>
      </c>
      <c r="F70" s="49">
        <f>'Avg Week Bwaise-Makerere'!F70+'Avg Week Makerere-Bwaise'!F70</f>
        <v>52</v>
      </c>
      <c r="G70" s="49">
        <f>'Avg Week Bwaise-Makerere'!G70+'Avg Week Makerere-Bwaise'!G70</f>
        <v>2</v>
      </c>
      <c r="H70" s="49">
        <f>'Avg Week Bwaise-Makerere'!H70+'Avg Week Makerere-Bwaise'!H70</f>
        <v>8.5</v>
      </c>
      <c r="I70" s="49">
        <f>'Avg Week Bwaise-Makerere'!I70+'Avg Week Makerere-Bwaise'!I70</f>
        <v>6</v>
      </c>
      <c r="J70" s="49">
        <f>'Avg Week Bwaise-Makerere'!J70+'Avg Week Makerere-Bwaise'!J70</f>
        <v>0</v>
      </c>
      <c r="K70" s="49">
        <f>'Avg Week Bwaise-Makerere'!K70+'Avg Week Makerere-Bwaise'!K70</f>
        <v>0</v>
      </c>
      <c r="L70" s="49">
        <f>'Avg Week Bwaise-Makerere'!L70+'Avg Week Makerere-Bwaise'!L70</f>
        <v>1</v>
      </c>
      <c r="M70" s="49">
        <f>'Avg Week Bwaise-Makerere'!M70+'Avg Week Makerere-Bwaise'!M70</f>
        <v>190</v>
      </c>
      <c r="N70" s="49">
        <f>'Avg Week Bwaise-Makerere'!N70+'Avg Week Makerere-Bwaise'!N70</f>
        <v>0</v>
      </c>
      <c r="O70" s="15">
        <f t="shared" si="0"/>
        <v>209.5</v>
      </c>
      <c r="P70" s="15">
        <f t="shared" si="1"/>
        <v>399.5</v>
      </c>
      <c r="R70" s="8"/>
      <c r="T70"/>
    </row>
    <row r="71" spans="2:20" ht="23.1" customHeight="1" x14ac:dyDescent="0.25">
      <c r="B71" s="23" t="s">
        <v>111</v>
      </c>
      <c r="C71" s="49">
        <f>'Avg Week Bwaise-Makerere'!C71+'Avg Week Makerere-Bwaise'!C71</f>
        <v>103</v>
      </c>
      <c r="D71" s="49">
        <f>'Avg Week Bwaise-Makerere'!D71+'Avg Week Makerere-Bwaise'!D71</f>
        <v>18</v>
      </c>
      <c r="E71" s="49">
        <f>'Avg Week Bwaise-Makerere'!E71+'Avg Week Makerere-Bwaise'!E71</f>
        <v>20</v>
      </c>
      <c r="F71" s="49">
        <f>'Avg Week Bwaise-Makerere'!F71+'Avg Week Makerere-Bwaise'!F71</f>
        <v>68.5</v>
      </c>
      <c r="G71" s="49">
        <f>'Avg Week Bwaise-Makerere'!G71+'Avg Week Makerere-Bwaise'!G71</f>
        <v>3</v>
      </c>
      <c r="H71" s="49">
        <f>'Avg Week Bwaise-Makerere'!H71+'Avg Week Makerere-Bwaise'!H71</f>
        <v>2</v>
      </c>
      <c r="I71" s="49">
        <f>'Avg Week Bwaise-Makerere'!I71+'Avg Week Makerere-Bwaise'!I71</f>
        <v>9</v>
      </c>
      <c r="J71" s="49">
        <f>'Avg Week Bwaise-Makerere'!J71+'Avg Week Makerere-Bwaise'!J71</f>
        <v>2.5</v>
      </c>
      <c r="K71" s="49">
        <f>'Avg Week Bwaise-Makerere'!K71+'Avg Week Makerere-Bwaise'!K71</f>
        <v>0.5</v>
      </c>
      <c r="L71" s="49">
        <f>'Avg Week Bwaise-Makerere'!L71+'Avg Week Makerere-Bwaise'!L71</f>
        <v>1</v>
      </c>
      <c r="M71" s="49">
        <f>'Avg Week Bwaise-Makerere'!M71+'Avg Week Makerere-Bwaise'!M71</f>
        <v>238</v>
      </c>
      <c r="N71" s="49">
        <f>'Avg Week Bwaise-Makerere'!N71+'Avg Week Makerere-Bwaise'!N71</f>
        <v>0</v>
      </c>
      <c r="O71" s="15">
        <f t="shared" si="0"/>
        <v>227.5</v>
      </c>
      <c r="P71" s="15">
        <f t="shared" si="1"/>
        <v>465.5</v>
      </c>
      <c r="R71" s="8"/>
      <c r="T71"/>
    </row>
    <row r="72" spans="2:20" ht="23.1" customHeight="1" x14ac:dyDescent="0.25">
      <c r="B72" s="23" t="s">
        <v>112</v>
      </c>
      <c r="C72" s="49">
        <f>'Avg Week Bwaise-Makerere'!C72+'Avg Week Makerere-Bwaise'!C72</f>
        <v>90.5</v>
      </c>
      <c r="D72" s="49">
        <f>'Avg Week Bwaise-Makerere'!D72+'Avg Week Makerere-Bwaise'!D72</f>
        <v>23.5</v>
      </c>
      <c r="E72" s="49">
        <f>'Avg Week Bwaise-Makerere'!E72+'Avg Week Makerere-Bwaise'!E72</f>
        <v>9.5</v>
      </c>
      <c r="F72" s="49">
        <f>'Avg Week Bwaise-Makerere'!F72+'Avg Week Makerere-Bwaise'!F72</f>
        <v>64</v>
      </c>
      <c r="G72" s="49">
        <f>'Avg Week Bwaise-Makerere'!G72+'Avg Week Makerere-Bwaise'!G72</f>
        <v>2</v>
      </c>
      <c r="H72" s="49">
        <f>'Avg Week Bwaise-Makerere'!H72+'Avg Week Makerere-Bwaise'!H72</f>
        <v>2</v>
      </c>
      <c r="I72" s="49">
        <f>'Avg Week Bwaise-Makerere'!I72+'Avg Week Makerere-Bwaise'!I72</f>
        <v>8</v>
      </c>
      <c r="J72" s="49">
        <f>'Avg Week Bwaise-Makerere'!J72+'Avg Week Makerere-Bwaise'!J72</f>
        <v>0</v>
      </c>
      <c r="K72" s="49">
        <f>'Avg Week Bwaise-Makerere'!K72+'Avg Week Makerere-Bwaise'!K72</f>
        <v>2.5</v>
      </c>
      <c r="L72" s="49">
        <f>'Avg Week Bwaise-Makerere'!L72+'Avg Week Makerere-Bwaise'!L72</f>
        <v>0</v>
      </c>
      <c r="M72" s="49">
        <f>'Avg Week Bwaise-Makerere'!M72+'Avg Week Makerere-Bwaise'!M72</f>
        <v>212.5</v>
      </c>
      <c r="N72" s="49">
        <f>'Avg Week Bwaise-Makerere'!N72+'Avg Week Makerere-Bwaise'!N72</f>
        <v>0</v>
      </c>
      <c r="O72" s="15">
        <f t="shared" si="0"/>
        <v>202</v>
      </c>
      <c r="P72" s="15">
        <f t="shared" si="1"/>
        <v>414.5</v>
      </c>
      <c r="R72" s="8"/>
      <c r="T72"/>
    </row>
    <row r="73" spans="2:20" ht="23.1" customHeight="1" x14ac:dyDescent="0.25">
      <c r="B73" s="23" t="s">
        <v>113</v>
      </c>
      <c r="C73" s="49">
        <f>'Avg Week Bwaise-Makerere'!C73+'Avg Week Makerere-Bwaise'!C73</f>
        <v>90</v>
      </c>
      <c r="D73" s="49">
        <f>'Avg Week Bwaise-Makerere'!D73+'Avg Week Makerere-Bwaise'!D73</f>
        <v>21.5</v>
      </c>
      <c r="E73" s="49">
        <f>'Avg Week Bwaise-Makerere'!E73+'Avg Week Makerere-Bwaise'!E73</f>
        <v>16</v>
      </c>
      <c r="F73" s="49">
        <f>'Avg Week Bwaise-Makerere'!F73+'Avg Week Makerere-Bwaise'!F73</f>
        <v>48.5</v>
      </c>
      <c r="G73" s="49">
        <f>'Avg Week Bwaise-Makerere'!G73+'Avg Week Makerere-Bwaise'!G73</f>
        <v>0</v>
      </c>
      <c r="H73" s="49">
        <f>'Avg Week Bwaise-Makerere'!H73+'Avg Week Makerere-Bwaise'!H73</f>
        <v>0.5</v>
      </c>
      <c r="I73" s="49">
        <f>'Avg Week Bwaise-Makerere'!I73+'Avg Week Makerere-Bwaise'!I73</f>
        <v>8</v>
      </c>
      <c r="J73" s="49">
        <f>'Avg Week Bwaise-Makerere'!J73+'Avg Week Makerere-Bwaise'!J73</f>
        <v>3.5</v>
      </c>
      <c r="K73" s="49">
        <f>'Avg Week Bwaise-Makerere'!K73+'Avg Week Makerere-Bwaise'!K73</f>
        <v>2</v>
      </c>
      <c r="L73" s="49">
        <f>'Avg Week Bwaise-Makerere'!L73+'Avg Week Makerere-Bwaise'!L73</f>
        <v>1</v>
      </c>
      <c r="M73" s="49">
        <f>'Avg Week Bwaise-Makerere'!M73+'Avg Week Makerere-Bwaise'!M73</f>
        <v>222.5</v>
      </c>
      <c r="N73" s="49">
        <f>'Avg Week Bwaise-Makerere'!N73+'Avg Week Makerere-Bwaise'!N73</f>
        <v>0</v>
      </c>
      <c r="O73" s="15">
        <f t="shared" si="0"/>
        <v>191</v>
      </c>
      <c r="P73" s="15">
        <f t="shared" si="1"/>
        <v>413.5</v>
      </c>
      <c r="R73" s="8"/>
      <c r="T73"/>
    </row>
    <row r="74" spans="2:20" ht="23.1" customHeight="1" x14ac:dyDescent="0.25">
      <c r="B74" s="23" t="s">
        <v>114</v>
      </c>
      <c r="C74" s="49">
        <f>'Avg Week Bwaise-Makerere'!C74+'Avg Week Makerere-Bwaise'!C74</f>
        <v>96</v>
      </c>
      <c r="D74" s="49">
        <f>'Avg Week Bwaise-Makerere'!D74+'Avg Week Makerere-Bwaise'!D74</f>
        <v>10</v>
      </c>
      <c r="E74" s="49">
        <f>'Avg Week Bwaise-Makerere'!E74+'Avg Week Makerere-Bwaise'!E74</f>
        <v>17</v>
      </c>
      <c r="F74" s="49">
        <f>'Avg Week Bwaise-Makerere'!F74+'Avg Week Makerere-Bwaise'!F74</f>
        <v>64</v>
      </c>
      <c r="G74" s="49">
        <f>'Avg Week Bwaise-Makerere'!G74+'Avg Week Makerere-Bwaise'!G74</f>
        <v>1</v>
      </c>
      <c r="H74" s="49">
        <f>'Avg Week Bwaise-Makerere'!H74+'Avg Week Makerere-Bwaise'!H74</f>
        <v>3</v>
      </c>
      <c r="I74" s="49">
        <f>'Avg Week Bwaise-Makerere'!I74+'Avg Week Makerere-Bwaise'!I74</f>
        <v>5.5</v>
      </c>
      <c r="J74" s="49">
        <f>'Avg Week Bwaise-Makerere'!J74+'Avg Week Makerere-Bwaise'!J74</f>
        <v>1</v>
      </c>
      <c r="K74" s="49">
        <f>'Avg Week Bwaise-Makerere'!K74+'Avg Week Makerere-Bwaise'!K74</f>
        <v>0</v>
      </c>
      <c r="L74" s="49">
        <f>'Avg Week Bwaise-Makerere'!L74+'Avg Week Makerere-Bwaise'!L74</f>
        <v>0</v>
      </c>
      <c r="M74" s="49">
        <f>'Avg Week Bwaise-Makerere'!M74+'Avg Week Makerere-Bwaise'!M74</f>
        <v>202.5</v>
      </c>
      <c r="N74" s="49">
        <f>'Avg Week Bwaise-Makerere'!N74+'Avg Week Makerere-Bwaise'!N74</f>
        <v>0</v>
      </c>
      <c r="O74" s="15">
        <f t="shared" ref="O74:O105" si="35">SUM(C74:L74,N74)</f>
        <v>197.5</v>
      </c>
      <c r="P74" s="15">
        <f t="shared" ref="P74:P105" si="36">SUM(C74:N74)</f>
        <v>400</v>
      </c>
      <c r="R74" s="8"/>
      <c r="T74"/>
    </row>
    <row r="75" spans="2:20" ht="23.1" customHeight="1" x14ac:dyDescent="0.25">
      <c r="B75" s="23" t="s">
        <v>115</v>
      </c>
      <c r="C75" s="49">
        <f>'Avg Week Bwaise-Makerere'!C75+'Avg Week Makerere-Bwaise'!C75</f>
        <v>78</v>
      </c>
      <c r="D75" s="49">
        <f>'Avg Week Bwaise-Makerere'!D75+'Avg Week Makerere-Bwaise'!D75</f>
        <v>16</v>
      </c>
      <c r="E75" s="49">
        <f>'Avg Week Bwaise-Makerere'!E75+'Avg Week Makerere-Bwaise'!E75</f>
        <v>9</v>
      </c>
      <c r="F75" s="49">
        <f>'Avg Week Bwaise-Makerere'!F75+'Avg Week Makerere-Bwaise'!F75</f>
        <v>61.5</v>
      </c>
      <c r="G75" s="49">
        <f>'Avg Week Bwaise-Makerere'!G75+'Avg Week Makerere-Bwaise'!G75</f>
        <v>1</v>
      </c>
      <c r="H75" s="49">
        <f>'Avg Week Bwaise-Makerere'!H75+'Avg Week Makerere-Bwaise'!H75</f>
        <v>2.5</v>
      </c>
      <c r="I75" s="49">
        <f>'Avg Week Bwaise-Makerere'!I75+'Avg Week Makerere-Bwaise'!I75</f>
        <v>5.5</v>
      </c>
      <c r="J75" s="49">
        <f>'Avg Week Bwaise-Makerere'!J75+'Avg Week Makerere-Bwaise'!J75</f>
        <v>1</v>
      </c>
      <c r="K75" s="49">
        <f>'Avg Week Bwaise-Makerere'!K75+'Avg Week Makerere-Bwaise'!K75</f>
        <v>1.5</v>
      </c>
      <c r="L75" s="49">
        <f>'Avg Week Bwaise-Makerere'!L75+'Avg Week Makerere-Bwaise'!L75</f>
        <v>0</v>
      </c>
      <c r="M75" s="49">
        <f>'Avg Week Bwaise-Makerere'!M75+'Avg Week Makerere-Bwaise'!M75</f>
        <v>162.5</v>
      </c>
      <c r="N75" s="49">
        <f>'Avg Week Bwaise-Makerere'!N75+'Avg Week Makerere-Bwaise'!N75</f>
        <v>0</v>
      </c>
      <c r="O75" s="15">
        <f t="shared" si="35"/>
        <v>176</v>
      </c>
      <c r="P75" s="15">
        <f t="shared" si="36"/>
        <v>338.5</v>
      </c>
      <c r="R75" s="8"/>
      <c r="T75"/>
    </row>
    <row r="76" spans="2:20" ht="23.1" customHeight="1" x14ac:dyDescent="0.25">
      <c r="B76" s="23" t="s">
        <v>116</v>
      </c>
      <c r="C76" s="49">
        <f>'Avg Week Bwaise-Makerere'!C76+'Avg Week Makerere-Bwaise'!C76</f>
        <v>77.5</v>
      </c>
      <c r="D76" s="49">
        <f>'Avg Week Bwaise-Makerere'!D76+'Avg Week Makerere-Bwaise'!D76</f>
        <v>16</v>
      </c>
      <c r="E76" s="49">
        <f>'Avg Week Bwaise-Makerere'!E76+'Avg Week Makerere-Bwaise'!E76</f>
        <v>5</v>
      </c>
      <c r="F76" s="49">
        <f>'Avg Week Bwaise-Makerere'!F76+'Avg Week Makerere-Bwaise'!F76</f>
        <v>38</v>
      </c>
      <c r="G76" s="49">
        <f>'Avg Week Bwaise-Makerere'!G76+'Avg Week Makerere-Bwaise'!G76</f>
        <v>1</v>
      </c>
      <c r="H76" s="49">
        <f>'Avg Week Bwaise-Makerere'!H76+'Avg Week Makerere-Bwaise'!H76</f>
        <v>1</v>
      </c>
      <c r="I76" s="49">
        <f>'Avg Week Bwaise-Makerere'!I76+'Avg Week Makerere-Bwaise'!I76</f>
        <v>5.5</v>
      </c>
      <c r="J76" s="49">
        <f>'Avg Week Bwaise-Makerere'!J76+'Avg Week Makerere-Bwaise'!J76</f>
        <v>0</v>
      </c>
      <c r="K76" s="49">
        <f>'Avg Week Bwaise-Makerere'!K76+'Avg Week Makerere-Bwaise'!K76</f>
        <v>2.5</v>
      </c>
      <c r="L76" s="49">
        <f>'Avg Week Bwaise-Makerere'!L76+'Avg Week Makerere-Bwaise'!L76</f>
        <v>0</v>
      </c>
      <c r="M76" s="49">
        <f>'Avg Week Bwaise-Makerere'!M76+'Avg Week Makerere-Bwaise'!M76</f>
        <v>187</v>
      </c>
      <c r="N76" s="49">
        <f>'Avg Week Bwaise-Makerere'!N76+'Avg Week Makerere-Bwaise'!N76</f>
        <v>0</v>
      </c>
      <c r="O76" s="15">
        <f t="shared" si="35"/>
        <v>146.5</v>
      </c>
      <c r="P76" s="15">
        <f t="shared" si="36"/>
        <v>333.5</v>
      </c>
      <c r="R76" s="8"/>
      <c r="T76"/>
    </row>
    <row r="77" spans="2:20" ht="23.1" customHeight="1" x14ac:dyDescent="0.25">
      <c r="B77" s="23" t="s">
        <v>117</v>
      </c>
      <c r="C77" s="49">
        <f>'Avg Week Bwaise-Makerere'!C77+'Avg Week Makerere-Bwaise'!C77</f>
        <v>93.5</v>
      </c>
      <c r="D77" s="49">
        <f>'Avg Week Bwaise-Makerere'!D77+'Avg Week Makerere-Bwaise'!D77</f>
        <v>18</v>
      </c>
      <c r="E77" s="49">
        <f>'Avg Week Bwaise-Makerere'!E77+'Avg Week Makerere-Bwaise'!E77</f>
        <v>10.5</v>
      </c>
      <c r="F77" s="49">
        <f>'Avg Week Bwaise-Makerere'!F77+'Avg Week Makerere-Bwaise'!F77</f>
        <v>62.5</v>
      </c>
      <c r="G77" s="49">
        <f>'Avg Week Bwaise-Makerere'!G77+'Avg Week Makerere-Bwaise'!G77</f>
        <v>0.5</v>
      </c>
      <c r="H77" s="49">
        <f>'Avg Week Bwaise-Makerere'!H77+'Avg Week Makerere-Bwaise'!H77</f>
        <v>1.5</v>
      </c>
      <c r="I77" s="49">
        <f>'Avg Week Bwaise-Makerere'!I77+'Avg Week Makerere-Bwaise'!I77</f>
        <v>8.5</v>
      </c>
      <c r="J77" s="49">
        <f>'Avg Week Bwaise-Makerere'!J77+'Avg Week Makerere-Bwaise'!J77</f>
        <v>2</v>
      </c>
      <c r="K77" s="49">
        <f>'Avg Week Bwaise-Makerere'!K77+'Avg Week Makerere-Bwaise'!K77</f>
        <v>1.5</v>
      </c>
      <c r="L77" s="49">
        <f>'Avg Week Bwaise-Makerere'!L77+'Avg Week Makerere-Bwaise'!L77</f>
        <v>1</v>
      </c>
      <c r="M77" s="49">
        <f>'Avg Week Bwaise-Makerere'!M77+'Avg Week Makerere-Bwaise'!M77</f>
        <v>186.5</v>
      </c>
      <c r="N77" s="49">
        <f>'Avg Week Bwaise-Makerere'!N77+'Avg Week Makerere-Bwaise'!N77</f>
        <v>0</v>
      </c>
      <c r="O77" s="15">
        <f t="shared" si="35"/>
        <v>199.5</v>
      </c>
      <c r="P77" s="15">
        <f t="shared" si="36"/>
        <v>386</v>
      </c>
      <c r="R77" s="8"/>
      <c r="T77"/>
    </row>
    <row r="78" spans="2:20" ht="23.1" customHeight="1" x14ac:dyDescent="0.25">
      <c r="B78" s="24" t="s">
        <v>118</v>
      </c>
      <c r="C78" s="49">
        <f>'Avg Week Bwaise-Makerere'!C78+'Avg Week Makerere-Bwaise'!C78</f>
        <v>98</v>
      </c>
      <c r="D78" s="49">
        <f>'Avg Week Bwaise-Makerere'!D78+'Avg Week Makerere-Bwaise'!D78</f>
        <v>8.5</v>
      </c>
      <c r="E78" s="49">
        <f>'Avg Week Bwaise-Makerere'!E78+'Avg Week Makerere-Bwaise'!E78</f>
        <v>10.5</v>
      </c>
      <c r="F78" s="49">
        <f>'Avg Week Bwaise-Makerere'!F78+'Avg Week Makerere-Bwaise'!F78</f>
        <v>57</v>
      </c>
      <c r="G78" s="49">
        <f>'Avg Week Bwaise-Makerere'!G78+'Avg Week Makerere-Bwaise'!G78</f>
        <v>0.5</v>
      </c>
      <c r="H78" s="49">
        <f>'Avg Week Bwaise-Makerere'!H78+'Avg Week Makerere-Bwaise'!H78</f>
        <v>1.5</v>
      </c>
      <c r="I78" s="49">
        <f>'Avg Week Bwaise-Makerere'!I78+'Avg Week Makerere-Bwaise'!I78</f>
        <v>11.5</v>
      </c>
      <c r="J78" s="49">
        <f>'Avg Week Bwaise-Makerere'!J78+'Avg Week Makerere-Bwaise'!J78</f>
        <v>2</v>
      </c>
      <c r="K78" s="49">
        <f>'Avg Week Bwaise-Makerere'!K78+'Avg Week Makerere-Bwaise'!K78</f>
        <v>2</v>
      </c>
      <c r="L78" s="49">
        <f>'Avg Week Bwaise-Makerere'!L78+'Avg Week Makerere-Bwaise'!L78</f>
        <v>1</v>
      </c>
      <c r="M78" s="49">
        <f>'Avg Week Bwaise-Makerere'!M78+'Avg Week Makerere-Bwaise'!M78</f>
        <v>165</v>
      </c>
      <c r="N78" s="49">
        <f>'Avg Week Bwaise-Makerere'!N78+'Avg Week Makerere-Bwaise'!N78</f>
        <v>0</v>
      </c>
      <c r="O78" s="15">
        <f t="shared" si="35"/>
        <v>192.5</v>
      </c>
      <c r="P78" s="15">
        <f t="shared" si="36"/>
        <v>357.5</v>
      </c>
      <c r="R78" s="8"/>
      <c r="T78"/>
    </row>
    <row r="79" spans="2:20" ht="23.1" customHeight="1" x14ac:dyDescent="0.25">
      <c r="B79" s="23" t="s">
        <v>119</v>
      </c>
      <c r="C79" s="49">
        <f>'Avg Week Bwaise-Makerere'!C79+'Avg Week Makerere-Bwaise'!C79</f>
        <v>59</v>
      </c>
      <c r="D79" s="49">
        <f>'Avg Week Bwaise-Makerere'!D79+'Avg Week Makerere-Bwaise'!D79</f>
        <v>11.5</v>
      </c>
      <c r="E79" s="49">
        <f>'Avg Week Bwaise-Makerere'!E79+'Avg Week Makerere-Bwaise'!E79</f>
        <v>13.5</v>
      </c>
      <c r="F79" s="49">
        <f>'Avg Week Bwaise-Makerere'!F79+'Avg Week Makerere-Bwaise'!F79</f>
        <v>31</v>
      </c>
      <c r="G79" s="49">
        <f>'Avg Week Bwaise-Makerere'!G79+'Avg Week Makerere-Bwaise'!G79</f>
        <v>0</v>
      </c>
      <c r="H79" s="49">
        <f>'Avg Week Bwaise-Makerere'!H79+'Avg Week Makerere-Bwaise'!H79</f>
        <v>1</v>
      </c>
      <c r="I79" s="49">
        <f>'Avg Week Bwaise-Makerere'!I79+'Avg Week Makerere-Bwaise'!I79</f>
        <v>8.5</v>
      </c>
      <c r="J79" s="49">
        <f>'Avg Week Bwaise-Makerere'!J79+'Avg Week Makerere-Bwaise'!J79</f>
        <v>2.5</v>
      </c>
      <c r="K79" s="49">
        <f>'Avg Week Bwaise-Makerere'!K79+'Avg Week Makerere-Bwaise'!K79</f>
        <v>0.5</v>
      </c>
      <c r="L79" s="49">
        <f>'Avg Week Bwaise-Makerere'!L79+'Avg Week Makerere-Bwaise'!L79</f>
        <v>1</v>
      </c>
      <c r="M79" s="49">
        <f>'Avg Week Bwaise-Makerere'!M79+'Avg Week Makerere-Bwaise'!M79</f>
        <v>183</v>
      </c>
      <c r="N79" s="49">
        <f>'Avg Week Bwaise-Makerere'!N79+'Avg Week Makerere-Bwaise'!N79</f>
        <v>0</v>
      </c>
      <c r="O79" s="15">
        <f t="shared" si="35"/>
        <v>128.5</v>
      </c>
      <c r="P79" s="15">
        <f t="shared" si="36"/>
        <v>311.5</v>
      </c>
      <c r="R79" s="8"/>
      <c r="T79"/>
    </row>
    <row r="80" spans="2:20" ht="23.1" customHeight="1" x14ac:dyDescent="0.25">
      <c r="B80" s="25" t="s">
        <v>120</v>
      </c>
      <c r="C80" s="49">
        <f>'Avg Week Bwaise-Makerere'!C80+'Avg Week Makerere-Bwaise'!C80</f>
        <v>64</v>
      </c>
      <c r="D80" s="49">
        <f>'Avg Week Bwaise-Makerere'!D80+'Avg Week Makerere-Bwaise'!D80</f>
        <v>17</v>
      </c>
      <c r="E80" s="49">
        <f>'Avg Week Bwaise-Makerere'!E80+'Avg Week Makerere-Bwaise'!E80</f>
        <v>13.5</v>
      </c>
      <c r="F80" s="49">
        <f>'Avg Week Bwaise-Makerere'!F80+'Avg Week Makerere-Bwaise'!F80</f>
        <v>48.5</v>
      </c>
      <c r="G80" s="49">
        <f>'Avg Week Bwaise-Makerere'!G80+'Avg Week Makerere-Bwaise'!G80</f>
        <v>3</v>
      </c>
      <c r="H80" s="49">
        <f>'Avg Week Bwaise-Makerere'!H80+'Avg Week Makerere-Bwaise'!H80</f>
        <v>2.5</v>
      </c>
      <c r="I80" s="49">
        <f>'Avg Week Bwaise-Makerere'!I80+'Avg Week Makerere-Bwaise'!I80</f>
        <v>5.5</v>
      </c>
      <c r="J80" s="49">
        <f>'Avg Week Bwaise-Makerere'!J80+'Avg Week Makerere-Bwaise'!J80</f>
        <v>4</v>
      </c>
      <c r="K80" s="49">
        <f>'Avg Week Bwaise-Makerere'!K80+'Avg Week Makerere-Bwaise'!K80</f>
        <v>0</v>
      </c>
      <c r="L80" s="49">
        <f>'Avg Week Bwaise-Makerere'!L80+'Avg Week Makerere-Bwaise'!L80</f>
        <v>0.5</v>
      </c>
      <c r="M80" s="49">
        <f>'Avg Week Bwaise-Makerere'!M80+'Avg Week Makerere-Bwaise'!M80</f>
        <v>199</v>
      </c>
      <c r="N80" s="49">
        <f>'Avg Week Bwaise-Makerere'!N80+'Avg Week Makerere-Bwaise'!N80</f>
        <v>0</v>
      </c>
      <c r="O80" s="15">
        <f t="shared" si="35"/>
        <v>158.5</v>
      </c>
      <c r="P80" s="15">
        <f t="shared" si="36"/>
        <v>357.5</v>
      </c>
      <c r="R80" s="8"/>
      <c r="T80"/>
    </row>
    <row r="81" spans="2:20" ht="23.1" customHeight="1" x14ac:dyDescent="0.25">
      <c r="B81" s="23" t="s">
        <v>121</v>
      </c>
      <c r="C81" s="49">
        <f>'Avg Week Bwaise-Makerere'!C81+'Avg Week Makerere-Bwaise'!C81</f>
        <v>64</v>
      </c>
      <c r="D81" s="49">
        <f>'Avg Week Bwaise-Makerere'!D81+'Avg Week Makerere-Bwaise'!D81</f>
        <v>7</v>
      </c>
      <c r="E81" s="49">
        <f>'Avg Week Bwaise-Makerere'!E81+'Avg Week Makerere-Bwaise'!E81</f>
        <v>11</v>
      </c>
      <c r="F81" s="49">
        <f>'Avg Week Bwaise-Makerere'!F81+'Avg Week Makerere-Bwaise'!F81</f>
        <v>33.5</v>
      </c>
      <c r="G81" s="49">
        <f>'Avg Week Bwaise-Makerere'!G81+'Avg Week Makerere-Bwaise'!G81</f>
        <v>0.5</v>
      </c>
      <c r="H81" s="49">
        <f>'Avg Week Bwaise-Makerere'!H81+'Avg Week Makerere-Bwaise'!H81</f>
        <v>1.5</v>
      </c>
      <c r="I81" s="49">
        <f>'Avg Week Bwaise-Makerere'!I81+'Avg Week Makerere-Bwaise'!I81</f>
        <v>3</v>
      </c>
      <c r="J81" s="49">
        <f>'Avg Week Bwaise-Makerere'!J81+'Avg Week Makerere-Bwaise'!J81</f>
        <v>3</v>
      </c>
      <c r="K81" s="49">
        <f>'Avg Week Bwaise-Makerere'!K81+'Avg Week Makerere-Bwaise'!K81</f>
        <v>0</v>
      </c>
      <c r="L81" s="49">
        <f>'Avg Week Bwaise-Makerere'!L81+'Avg Week Makerere-Bwaise'!L81</f>
        <v>1</v>
      </c>
      <c r="M81" s="49">
        <f>'Avg Week Bwaise-Makerere'!M81+'Avg Week Makerere-Bwaise'!M81</f>
        <v>193</v>
      </c>
      <c r="N81" s="49">
        <f>'Avg Week Bwaise-Makerere'!N81+'Avg Week Makerere-Bwaise'!N81</f>
        <v>0</v>
      </c>
      <c r="O81" s="15">
        <f t="shared" si="35"/>
        <v>124.5</v>
      </c>
      <c r="P81" s="15">
        <f t="shared" si="36"/>
        <v>317.5</v>
      </c>
      <c r="R81" s="8"/>
      <c r="T81"/>
    </row>
    <row r="82" spans="2:20" ht="23.1" customHeight="1" x14ac:dyDescent="0.25">
      <c r="B82" s="24" t="s">
        <v>122</v>
      </c>
      <c r="C82" s="49">
        <f>'Avg Week Bwaise-Makerere'!C82+'Avg Week Makerere-Bwaise'!C82</f>
        <v>67.5</v>
      </c>
      <c r="D82" s="49">
        <f>'Avg Week Bwaise-Makerere'!D82+'Avg Week Makerere-Bwaise'!D82</f>
        <v>10.5</v>
      </c>
      <c r="E82" s="49">
        <f>'Avg Week Bwaise-Makerere'!E82+'Avg Week Makerere-Bwaise'!E82</f>
        <v>9.5</v>
      </c>
      <c r="F82" s="49">
        <f>'Avg Week Bwaise-Makerere'!F82+'Avg Week Makerere-Bwaise'!F82</f>
        <v>49.5</v>
      </c>
      <c r="G82" s="49">
        <f>'Avg Week Bwaise-Makerere'!G82+'Avg Week Makerere-Bwaise'!G82</f>
        <v>2</v>
      </c>
      <c r="H82" s="49">
        <f>'Avg Week Bwaise-Makerere'!H82+'Avg Week Makerere-Bwaise'!H82</f>
        <v>0</v>
      </c>
      <c r="I82" s="49">
        <f>'Avg Week Bwaise-Makerere'!I82+'Avg Week Makerere-Bwaise'!I82</f>
        <v>7</v>
      </c>
      <c r="J82" s="49">
        <f>'Avg Week Bwaise-Makerere'!J82+'Avg Week Makerere-Bwaise'!J82</f>
        <v>3.5</v>
      </c>
      <c r="K82" s="49">
        <f>'Avg Week Bwaise-Makerere'!K82+'Avg Week Makerere-Bwaise'!K82</f>
        <v>2.5</v>
      </c>
      <c r="L82" s="49">
        <f>'Avg Week Bwaise-Makerere'!L82+'Avg Week Makerere-Bwaise'!L82</f>
        <v>1</v>
      </c>
      <c r="M82" s="49">
        <f>'Avg Week Bwaise-Makerere'!M82+'Avg Week Makerere-Bwaise'!M82</f>
        <v>143</v>
      </c>
      <c r="N82" s="49">
        <f>'Avg Week Bwaise-Makerere'!N82+'Avg Week Makerere-Bwaise'!N82</f>
        <v>0</v>
      </c>
      <c r="O82" s="15">
        <f t="shared" si="35"/>
        <v>153</v>
      </c>
      <c r="P82" s="15">
        <f t="shared" si="36"/>
        <v>296</v>
      </c>
      <c r="R82" s="8"/>
      <c r="T82"/>
    </row>
    <row r="83" spans="2:20" ht="23.1" customHeight="1" x14ac:dyDescent="0.25">
      <c r="B83" s="23" t="s">
        <v>123</v>
      </c>
      <c r="C83" s="49">
        <f>'Avg Week Bwaise-Makerere'!C83+'Avg Week Makerere-Bwaise'!C83</f>
        <v>58.5</v>
      </c>
      <c r="D83" s="49">
        <f>'Avg Week Bwaise-Makerere'!D83+'Avg Week Makerere-Bwaise'!D83</f>
        <v>9.5</v>
      </c>
      <c r="E83" s="49">
        <f>'Avg Week Bwaise-Makerere'!E83+'Avg Week Makerere-Bwaise'!E83</f>
        <v>11</v>
      </c>
      <c r="F83" s="49">
        <f>'Avg Week Bwaise-Makerere'!F83+'Avg Week Makerere-Bwaise'!F83</f>
        <v>34</v>
      </c>
      <c r="G83" s="49">
        <f>'Avg Week Bwaise-Makerere'!G83+'Avg Week Makerere-Bwaise'!G83</f>
        <v>1.5</v>
      </c>
      <c r="H83" s="49">
        <f>'Avg Week Bwaise-Makerere'!H83+'Avg Week Makerere-Bwaise'!H83</f>
        <v>2</v>
      </c>
      <c r="I83" s="49">
        <f>'Avg Week Bwaise-Makerere'!I83+'Avg Week Makerere-Bwaise'!I83</f>
        <v>3.5</v>
      </c>
      <c r="J83" s="49">
        <f>'Avg Week Bwaise-Makerere'!J83+'Avg Week Makerere-Bwaise'!J83</f>
        <v>1</v>
      </c>
      <c r="K83" s="49">
        <f>'Avg Week Bwaise-Makerere'!K83+'Avg Week Makerere-Bwaise'!K83</f>
        <v>1</v>
      </c>
      <c r="L83" s="49">
        <f>'Avg Week Bwaise-Makerere'!L83+'Avg Week Makerere-Bwaise'!L83</f>
        <v>1</v>
      </c>
      <c r="M83" s="49">
        <f>'Avg Week Bwaise-Makerere'!M83+'Avg Week Makerere-Bwaise'!M83</f>
        <v>159</v>
      </c>
      <c r="N83" s="49">
        <f>'Avg Week Bwaise-Makerere'!N83+'Avg Week Makerere-Bwaise'!N83</f>
        <v>0</v>
      </c>
      <c r="O83" s="15">
        <f t="shared" si="35"/>
        <v>123</v>
      </c>
      <c r="P83" s="15">
        <f t="shared" si="36"/>
        <v>282</v>
      </c>
      <c r="R83" s="8"/>
      <c r="T83"/>
    </row>
    <row r="84" spans="2:20" ht="23.1" customHeight="1" x14ac:dyDescent="0.25">
      <c r="B84" s="25" t="s">
        <v>124</v>
      </c>
      <c r="C84" s="49">
        <f>'Avg Week Bwaise-Makerere'!C84+'Avg Week Makerere-Bwaise'!C84</f>
        <v>56</v>
      </c>
      <c r="D84" s="49">
        <f>'Avg Week Bwaise-Makerere'!D84+'Avg Week Makerere-Bwaise'!D84</f>
        <v>10.5</v>
      </c>
      <c r="E84" s="49">
        <f>'Avg Week Bwaise-Makerere'!E84+'Avg Week Makerere-Bwaise'!E84</f>
        <v>14</v>
      </c>
      <c r="F84" s="49">
        <f>'Avg Week Bwaise-Makerere'!F84+'Avg Week Makerere-Bwaise'!F84</f>
        <v>30</v>
      </c>
      <c r="G84" s="49">
        <f>'Avg Week Bwaise-Makerere'!G84+'Avg Week Makerere-Bwaise'!G84</f>
        <v>0.5</v>
      </c>
      <c r="H84" s="49">
        <f>'Avg Week Bwaise-Makerere'!H84+'Avg Week Makerere-Bwaise'!H84</f>
        <v>1.5</v>
      </c>
      <c r="I84" s="49">
        <f>'Avg Week Bwaise-Makerere'!I84+'Avg Week Makerere-Bwaise'!I84</f>
        <v>7.5</v>
      </c>
      <c r="J84" s="49">
        <f>'Avg Week Bwaise-Makerere'!J84+'Avg Week Makerere-Bwaise'!J84</f>
        <v>4</v>
      </c>
      <c r="K84" s="49">
        <f>'Avg Week Bwaise-Makerere'!K84+'Avg Week Makerere-Bwaise'!K84</f>
        <v>0.5</v>
      </c>
      <c r="L84" s="49">
        <f>'Avg Week Bwaise-Makerere'!L84+'Avg Week Makerere-Bwaise'!L84</f>
        <v>2</v>
      </c>
      <c r="M84" s="49">
        <f>'Avg Week Bwaise-Makerere'!M84+'Avg Week Makerere-Bwaise'!M84</f>
        <v>150.5</v>
      </c>
      <c r="N84" s="49">
        <f>'Avg Week Bwaise-Makerere'!N84+'Avg Week Makerere-Bwaise'!N84</f>
        <v>0</v>
      </c>
      <c r="O84" s="15">
        <f t="shared" si="35"/>
        <v>126.5</v>
      </c>
      <c r="P84" s="15">
        <f t="shared" si="36"/>
        <v>277</v>
      </c>
      <c r="R84" s="8"/>
      <c r="T84"/>
    </row>
    <row r="85" spans="2:20" ht="23.1" customHeight="1" x14ac:dyDescent="0.25">
      <c r="B85" s="23" t="s">
        <v>125</v>
      </c>
      <c r="C85" s="49">
        <f>'Avg Week Bwaise-Makerere'!C85+'Avg Week Makerere-Bwaise'!C85</f>
        <v>71.5</v>
      </c>
      <c r="D85" s="49">
        <f>'Avg Week Bwaise-Makerere'!D85+'Avg Week Makerere-Bwaise'!D85</f>
        <v>11.5</v>
      </c>
      <c r="E85" s="49">
        <f>'Avg Week Bwaise-Makerere'!E85+'Avg Week Makerere-Bwaise'!E85</f>
        <v>7</v>
      </c>
      <c r="F85" s="49">
        <f>'Avg Week Bwaise-Makerere'!F85+'Avg Week Makerere-Bwaise'!F85</f>
        <v>43.5</v>
      </c>
      <c r="G85" s="49">
        <f>'Avg Week Bwaise-Makerere'!G85+'Avg Week Makerere-Bwaise'!G85</f>
        <v>0</v>
      </c>
      <c r="H85" s="49">
        <f>'Avg Week Bwaise-Makerere'!H85+'Avg Week Makerere-Bwaise'!H85</f>
        <v>2.5</v>
      </c>
      <c r="I85" s="49">
        <f>'Avg Week Bwaise-Makerere'!I85+'Avg Week Makerere-Bwaise'!I85</f>
        <v>2.5</v>
      </c>
      <c r="J85" s="49">
        <f>'Avg Week Bwaise-Makerere'!J85+'Avg Week Makerere-Bwaise'!J85</f>
        <v>2</v>
      </c>
      <c r="K85" s="49">
        <f>'Avg Week Bwaise-Makerere'!K85+'Avg Week Makerere-Bwaise'!K85</f>
        <v>4</v>
      </c>
      <c r="L85" s="49">
        <f>'Avg Week Bwaise-Makerere'!L85+'Avg Week Makerere-Bwaise'!L85</f>
        <v>0</v>
      </c>
      <c r="M85" s="49">
        <f>'Avg Week Bwaise-Makerere'!M85+'Avg Week Makerere-Bwaise'!M85</f>
        <v>142</v>
      </c>
      <c r="N85" s="49">
        <f>'Avg Week Bwaise-Makerere'!N85+'Avg Week Makerere-Bwaise'!N85</f>
        <v>0</v>
      </c>
      <c r="O85" s="15">
        <f t="shared" si="35"/>
        <v>144.5</v>
      </c>
      <c r="P85" s="15">
        <f t="shared" si="36"/>
        <v>286.5</v>
      </c>
      <c r="R85" s="8"/>
      <c r="T85"/>
    </row>
    <row r="86" spans="2:20" ht="23.1" customHeight="1" x14ac:dyDescent="0.25">
      <c r="B86" s="24" t="s">
        <v>126</v>
      </c>
      <c r="C86" s="49">
        <f>'Avg Week Bwaise-Makerere'!C86+'Avg Week Makerere-Bwaise'!C86</f>
        <v>70</v>
      </c>
      <c r="D86" s="49">
        <f>'Avg Week Bwaise-Makerere'!D86+'Avg Week Makerere-Bwaise'!D86</f>
        <v>16.5</v>
      </c>
      <c r="E86" s="49">
        <f>'Avg Week Bwaise-Makerere'!E86+'Avg Week Makerere-Bwaise'!E86</f>
        <v>9</v>
      </c>
      <c r="F86" s="49">
        <f>'Avg Week Bwaise-Makerere'!F86+'Avg Week Makerere-Bwaise'!F86</f>
        <v>34.5</v>
      </c>
      <c r="G86" s="49">
        <f>'Avg Week Bwaise-Makerere'!G86+'Avg Week Makerere-Bwaise'!G86</f>
        <v>0.5</v>
      </c>
      <c r="H86" s="49">
        <f>'Avg Week Bwaise-Makerere'!H86+'Avg Week Makerere-Bwaise'!H86</f>
        <v>0.5</v>
      </c>
      <c r="I86" s="49">
        <f>'Avg Week Bwaise-Makerere'!I86+'Avg Week Makerere-Bwaise'!I86</f>
        <v>4</v>
      </c>
      <c r="J86" s="49">
        <f>'Avg Week Bwaise-Makerere'!J86+'Avg Week Makerere-Bwaise'!J86</f>
        <v>2.5</v>
      </c>
      <c r="K86" s="49">
        <f>'Avg Week Bwaise-Makerere'!K86+'Avg Week Makerere-Bwaise'!K86</f>
        <v>0.5</v>
      </c>
      <c r="L86" s="49">
        <f>'Avg Week Bwaise-Makerere'!L86+'Avg Week Makerere-Bwaise'!L86</f>
        <v>0</v>
      </c>
      <c r="M86" s="49">
        <f>'Avg Week Bwaise-Makerere'!M86+'Avg Week Makerere-Bwaise'!M86</f>
        <v>151</v>
      </c>
      <c r="N86" s="49">
        <f>'Avg Week Bwaise-Makerere'!N86+'Avg Week Makerere-Bwaise'!N86</f>
        <v>0</v>
      </c>
      <c r="O86" s="15">
        <f t="shared" si="35"/>
        <v>138</v>
      </c>
      <c r="P86" s="15">
        <f t="shared" si="36"/>
        <v>289</v>
      </c>
      <c r="R86" s="8"/>
      <c r="T86"/>
    </row>
    <row r="87" spans="2:20" ht="23.1" customHeight="1" x14ac:dyDescent="0.25">
      <c r="B87" s="23" t="s">
        <v>127</v>
      </c>
      <c r="C87" s="49">
        <f>'Avg Week Bwaise-Makerere'!C87+'Avg Week Makerere-Bwaise'!C87</f>
        <v>58</v>
      </c>
      <c r="D87" s="49">
        <f>'Avg Week Bwaise-Makerere'!D87+'Avg Week Makerere-Bwaise'!D87</f>
        <v>11</v>
      </c>
      <c r="E87" s="49">
        <f>'Avg Week Bwaise-Makerere'!E87+'Avg Week Makerere-Bwaise'!E87</f>
        <v>10.5</v>
      </c>
      <c r="F87" s="49">
        <f>'Avg Week Bwaise-Makerere'!F87+'Avg Week Makerere-Bwaise'!F87</f>
        <v>25.5</v>
      </c>
      <c r="G87" s="49">
        <f>'Avg Week Bwaise-Makerere'!G87+'Avg Week Makerere-Bwaise'!G87</f>
        <v>1</v>
      </c>
      <c r="H87" s="49">
        <f>'Avg Week Bwaise-Makerere'!H87+'Avg Week Makerere-Bwaise'!H87</f>
        <v>0.5</v>
      </c>
      <c r="I87" s="49">
        <f>'Avg Week Bwaise-Makerere'!I87+'Avg Week Makerere-Bwaise'!I87</f>
        <v>6</v>
      </c>
      <c r="J87" s="49">
        <f>'Avg Week Bwaise-Makerere'!J87+'Avg Week Makerere-Bwaise'!J87</f>
        <v>0.5</v>
      </c>
      <c r="K87" s="49">
        <f>'Avg Week Bwaise-Makerere'!K87+'Avg Week Makerere-Bwaise'!K87</f>
        <v>2.5</v>
      </c>
      <c r="L87" s="49">
        <f>'Avg Week Bwaise-Makerere'!L87+'Avg Week Makerere-Bwaise'!L87</f>
        <v>0.5</v>
      </c>
      <c r="M87" s="49">
        <f>'Avg Week Bwaise-Makerere'!M87+'Avg Week Makerere-Bwaise'!M87</f>
        <v>154</v>
      </c>
      <c r="N87" s="49">
        <f>'Avg Week Bwaise-Makerere'!N87+'Avg Week Makerere-Bwaise'!N87</f>
        <v>0</v>
      </c>
      <c r="O87" s="15">
        <f t="shared" si="35"/>
        <v>116</v>
      </c>
      <c r="P87" s="15">
        <f t="shared" si="36"/>
        <v>270</v>
      </c>
      <c r="R87" s="8"/>
      <c r="T87"/>
    </row>
    <row r="88" spans="2:20" ht="23.1" customHeight="1" x14ac:dyDescent="0.25">
      <c r="B88" s="25" t="s">
        <v>128</v>
      </c>
      <c r="C88" s="49">
        <f>'Avg Week Bwaise-Makerere'!C88+'Avg Week Makerere-Bwaise'!C88</f>
        <v>50</v>
      </c>
      <c r="D88" s="49">
        <f>'Avg Week Bwaise-Makerere'!D88+'Avg Week Makerere-Bwaise'!D88</f>
        <v>8.5</v>
      </c>
      <c r="E88" s="49">
        <f>'Avg Week Bwaise-Makerere'!E88+'Avg Week Makerere-Bwaise'!E88</f>
        <v>8</v>
      </c>
      <c r="F88" s="49">
        <f>'Avg Week Bwaise-Makerere'!F88+'Avg Week Makerere-Bwaise'!F88</f>
        <v>26.5</v>
      </c>
      <c r="G88" s="49">
        <f>'Avg Week Bwaise-Makerere'!G88+'Avg Week Makerere-Bwaise'!G88</f>
        <v>1</v>
      </c>
      <c r="H88" s="49">
        <f>'Avg Week Bwaise-Makerere'!H88+'Avg Week Makerere-Bwaise'!H88</f>
        <v>1</v>
      </c>
      <c r="I88" s="49">
        <f>'Avg Week Bwaise-Makerere'!I88+'Avg Week Makerere-Bwaise'!I88</f>
        <v>3.5</v>
      </c>
      <c r="J88" s="49">
        <f>'Avg Week Bwaise-Makerere'!J88+'Avg Week Makerere-Bwaise'!J88</f>
        <v>0</v>
      </c>
      <c r="K88" s="49">
        <f>'Avg Week Bwaise-Makerere'!K88+'Avg Week Makerere-Bwaise'!K88</f>
        <v>3</v>
      </c>
      <c r="L88" s="49">
        <f>'Avg Week Bwaise-Makerere'!L88+'Avg Week Makerere-Bwaise'!L88</f>
        <v>0</v>
      </c>
      <c r="M88" s="49">
        <f>'Avg Week Bwaise-Makerere'!M88+'Avg Week Makerere-Bwaise'!M88</f>
        <v>143.5</v>
      </c>
      <c r="N88" s="49">
        <f>'Avg Week Bwaise-Makerere'!N88+'Avg Week Makerere-Bwaise'!N88</f>
        <v>0</v>
      </c>
      <c r="O88" s="15">
        <f t="shared" si="35"/>
        <v>101.5</v>
      </c>
      <c r="P88" s="15">
        <f t="shared" si="36"/>
        <v>245</v>
      </c>
      <c r="R88" s="8"/>
      <c r="T88"/>
    </row>
    <row r="89" spans="2:20" ht="23.1" customHeight="1" x14ac:dyDescent="0.25">
      <c r="B89" s="23" t="s">
        <v>129</v>
      </c>
      <c r="C89" s="49">
        <f>'Avg Week Bwaise-Makerere'!C89+'Avg Week Makerere-Bwaise'!C89</f>
        <v>43</v>
      </c>
      <c r="D89" s="49">
        <f>'Avg Week Bwaise-Makerere'!D89+'Avg Week Makerere-Bwaise'!D89</f>
        <v>12.5</v>
      </c>
      <c r="E89" s="49">
        <f>'Avg Week Bwaise-Makerere'!E89+'Avg Week Makerere-Bwaise'!E89</f>
        <v>5</v>
      </c>
      <c r="F89" s="49">
        <f>'Avg Week Bwaise-Makerere'!F89+'Avg Week Makerere-Bwaise'!F89</f>
        <v>16.5</v>
      </c>
      <c r="G89" s="49">
        <f>'Avg Week Bwaise-Makerere'!G89+'Avg Week Makerere-Bwaise'!G89</f>
        <v>1</v>
      </c>
      <c r="H89" s="49">
        <f>'Avg Week Bwaise-Makerere'!H89+'Avg Week Makerere-Bwaise'!H89</f>
        <v>0</v>
      </c>
      <c r="I89" s="49">
        <f>'Avg Week Bwaise-Makerere'!I89+'Avg Week Makerere-Bwaise'!I89</f>
        <v>4.5</v>
      </c>
      <c r="J89" s="49">
        <f>'Avg Week Bwaise-Makerere'!J89+'Avg Week Makerere-Bwaise'!J89</f>
        <v>1.5</v>
      </c>
      <c r="K89" s="49">
        <f>'Avg Week Bwaise-Makerere'!K89+'Avg Week Makerere-Bwaise'!K89</f>
        <v>1</v>
      </c>
      <c r="L89" s="49">
        <f>'Avg Week Bwaise-Makerere'!L89+'Avg Week Makerere-Bwaise'!L89</f>
        <v>0</v>
      </c>
      <c r="M89" s="49">
        <f>'Avg Week Bwaise-Makerere'!M89+'Avg Week Makerere-Bwaise'!M89</f>
        <v>94.5</v>
      </c>
      <c r="N89" s="49">
        <f>'Avg Week Bwaise-Makerere'!N89+'Avg Week Makerere-Bwaise'!N89</f>
        <v>0</v>
      </c>
      <c r="O89" s="15">
        <f t="shared" si="35"/>
        <v>85</v>
      </c>
      <c r="P89" s="15">
        <f t="shared" si="36"/>
        <v>179.5</v>
      </c>
      <c r="R89" s="8"/>
      <c r="T89"/>
    </row>
    <row r="90" spans="2:20" ht="23.1" customHeight="1" x14ac:dyDescent="0.25">
      <c r="B90" s="24" t="s">
        <v>130</v>
      </c>
      <c r="C90" s="49">
        <f>'Avg Week Bwaise-Makerere'!C90+'Avg Week Makerere-Bwaise'!C90</f>
        <v>59.5</v>
      </c>
      <c r="D90" s="49">
        <f>'Avg Week Bwaise-Makerere'!D90+'Avg Week Makerere-Bwaise'!D90</f>
        <v>14</v>
      </c>
      <c r="E90" s="49">
        <f>'Avg Week Bwaise-Makerere'!E90+'Avg Week Makerere-Bwaise'!E90</f>
        <v>4.5</v>
      </c>
      <c r="F90" s="49">
        <f>'Avg Week Bwaise-Makerere'!F90+'Avg Week Makerere-Bwaise'!F90</f>
        <v>34</v>
      </c>
      <c r="G90" s="49">
        <f>'Avg Week Bwaise-Makerere'!G90+'Avg Week Makerere-Bwaise'!G90</f>
        <v>1</v>
      </c>
      <c r="H90" s="49">
        <f>'Avg Week Bwaise-Makerere'!H90+'Avg Week Makerere-Bwaise'!H90</f>
        <v>1.5</v>
      </c>
      <c r="I90" s="49">
        <f>'Avg Week Bwaise-Makerere'!I90+'Avg Week Makerere-Bwaise'!I90</f>
        <v>3</v>
      </c>
      <c r="J90" s="49">
        <f>'Avg Week Bwaise-Makerere'!J90+'Avg Week Makerere-Bwaise'!J90</f>
        <v>0.5</v>
      </c>
      <c r="K90" s="49">
        <f>'Avg Week Bwaise-Makerere'!K90+'Avg Week Makerere-Bwaise'!K90</f>
        <v>0.5</v>
      </c>
      <c r="L90" s="49">
        <f>'Avg Week Bwaise-Makerere'!L90+'Avg Week Makerere-Bwaise'!L90</f>
        <v>0</v>
      </c>
      <c r="M90" s="49">
        <f>'Avg Week Bwaise-Makerere'!M90+'Avg Week Makerere-Bwaise'!M90</f>
        <v>88.5</v>
      </c>
      <c r="N90" s="49">
        <f>'Avg Week Bwaise-Makerere'!N90+'Avg Week Makerere-Bwaise'!N90</f>
        <v>0</v>
      </c>
      <c r="O90" s="15">
        <f t="shared" si="35"/>
        <v>118.5</v>
      </c>
      <c r="P90" s="15">
        <f t="shared" si="36"/>
        <v>207</v>
      </c>
      <c r="R90" s="8"/>
      <c r="T90"/>
    </row>
    <row r="91" spans="2:20" ht="23.1" customHeight="1" x14ac:dyDescent="0.25">
      <c r="B91" s="23" t="s">
        <v>131</v>
      </c>
      <c r="C91" s="49">
        <f>'Avg Week Bwaise-Makerere'!C91+'Avg Week Makerere-Bwaise'!C91</f>
        <v>49.5</v>
      </c>
      <c r="D91" s="49">
        <f>'Avg Week Bwaise-Makerere'!D91+'Avg Week Makerere-Bwaise'!D91</f>
        <v>8</v>
      </c>
      <c r="E91" s="49">
        <f>'Avg Week Bwaise-Makerere'!E91+'Avg Week Makerere-Bwaise'!E91</f>
        <v>6.5</v>
      </c>
      <c r="F91" s="49">
        <f>'Avg Week Bwaise-Makerere'!F91+'Avg Week Makerere-Bwaise'!F91</f>
        <v>32.5</v>
      </c>
      <c r="G91" s="49">
        <f>'Avg Week Bwaise-Makerere'!G91+'Avg Week Makerere-Bwaise'!G91</f>
        <v>0.5</v>
      </c>
      <c r="H91" s="49">
        <f>'Avg Week Bwaise-Makerere'!H91+'Avg Week Makerere-Bwaise'!H91</f>
        <v>0</v>
      </c>
      <c r="I91" s="49">
        <f>'Avg Week Bwaise-Makerere'!I91+'Avg Week Makerere-Bwaise'!I91</f>
        <v>2</v>
      </c>
      <c r="J91" s="49">
        <f>'Avg Week Bwaise-Makerere'!J91+'Avg Week Makerere-Bwaise'!J91</f>
        <v>1</v>
      </c>
      <c r="K91" s="49">
        <f>'Avg Week Bwaise-Makerere'!K91+'Avg Week Makerere-Bwaise'!K91</f>
        <v>0.5</v>
      </c>
      <c r="L91" s="49">
        <f>'Avg Week Bwaise-Makerere'!L91+'Avg Week Makerere-Bwaise'!L91</f>
        <v>0</v>
      </c>
      <c r="M91" s="49">
        <f>'Avg Week Bwaise-Makerere'!M91+'Avg Week Makerere-Bwaise'!M91</f>
        <v>117</v>
      </c>
      <c r="N91" s="49">
        <f>'Avg Week Bwaise-Makerere'!N91+'Avg Week Makerere-Bwaise'!N91</f>
        <v>0</v>
      </c>
      <c r="O91" s="15">
        <f t="shared" si="35"/>
        <v>100.5</v>
      </c>
      <c r="P91" s="15">
        <f t="shared" si="36"/>
        <v>217.5</v>
      </c>
      <c r="R91" s="8"/>
      <c r="T91"/>
    </row>
    <row r="92" spans="2:20" ht="23.1" customHeight="1" x14ac:dyDescent="0.25">
      <c r="B92" s="25" t="s">
        <v>132</v>
      </c>
      <c r="C92" s="49">
        <f>'Avg Week Bwaise-Makerere'!C92+'Avg Week Makerere-Bwaise'!C92</f>
        <v>49</v>
      </c>
      <c r="D92" s="49">
        <f>'Avg Week Bwaise-Makerere'!D92+'Avg Week Makerere-Bwaise'!D92</f>
        <v>10.5</v>
      </c>
      <c r="E92" s="49">
        <f>'Avg Week Bwaise-Makerere'!E92+'Avg Week Makerere-Bwaise'!E92</f>
        <v>7</v>
      </c>
      <c r="F92" s="49">
        <f>'Avg Week Bwaise-Makerere'!F92+'Avg Week Makerere-Bwaise'!F92</f>
        <v>26</v>
      </c>
      <c r="G92" s="49">
        <f>'Avg Week Bwaise-Makerere'!G92+'Avg Week Makerere-Bwaise'!G92</f>
        <v>0.5</v>
      </c>
      <c r="H92" s="49">
        <f>'Avg Week Bwaise-Makerere'!H92+'Avg Week Makerere-Bwaise'!H92</f>
        <v>0.5</v>
      </c>
      <c r="I92" s="49">
        <f>'Avg Week Bwaise-Makerere'!I92+'Avg Week Makerere-Bwaise'!I92</f>
        <v>2.5</v>
      </c>
      <c r="J92" s="49">
        <f>'Avg Week Bwaise-Makerere'!J92+'Avg Week Makerere-Bwaise'!J92</f>
        <v>0</v>
      </c>
      <c r="K92" s="49">
        <f>'Avg Week Bwaise-Makerere'!K92+'Avg Week Makerere-Bwaise'!K92</f>
        <v>2.5</v>
      </c>
      <c r="L92" s="49">
        <f>'Avg Week Bwaise-Makerere'!L92+'Avg Week Makerere-Bwaise'!L92</f>
        <v>0</v>
      </c>
      <c r="M92" s="49">
        <f>'Avg Week Bwaise-Makerere'!M92+'Avg Week Makerere-Bwaise'!M92</f>
        <v>97.5</v>
      </c>
      <c r="N92" s="49">
        <f>'Avg Week Bwaise-Makerere'!N92+'Avg Week Makerere-Bwaise'!N92</f>
        <v>0</v>
      </c>
      <c r="O92" s="15">
        <f t="shared" si="35"/>
        <v>98.5</v>
      </c>
      <c r="P92" s="15">
        <f t="shared" si="36"/>
        <v>196</v>
      </c>
      <c r="R92" s="8"/>
      <c r="T92"/>
    </row>
    <row r="93" spans="2:20" ht="23.1" customHeight="1" x14ac:dyDescent="0.25">
      <c r="B93" s="23" t="s">
        <v>133</v>
      </c>
      <c r="C93" s="49">
        <f>'Avg Week Bwaise-Makerere'!C93+'Avg Week Makerere-Bwaise'!C93</f>
        <v>52.5</v>
      </c>
      <c r="D93" s="49">
        <f>'Avg Week Bwaise-Makerere'!D93+'Avg Week Makerere-Bwaise'!D93</f>
        <v>14.5</v>
      </c>
      <c r="E93" s="49">
        <f>'Avg Week Bwaise-Makerere'!E93+'Avg Week Makerere-Bwaise'!E93</f>
        <v>6.5</v>
      </c>
      <c r="F93" s="49">
        <f>'Avg Week Bwaise-Makerere'!F93+'Avg Week Makerere-Bwaise'!F93</f>
        <v>32</v>
      </c>
      <c r="G93" s="49">
        <f>'Avg Week Bwaise-Makerere'!G93+'Avg Week Makerere-Bwaise'!G93</f>
        <v>1.5</v>
      </c>
      <c r="H93" s="49">
        <f>'Avg Week Bwaise-Makerere'!H93+'Avg Week Makerere-Bwaise'!H93</f>
        <v>0.5</v>
      </c>
      <c r="I93" s="49">
        <f>'Avg Week Bwaise-Makerere'!I93+'Avg Week Makerere-Bwaise'!I93</f>
        <v>6</v>
      </c>
      <c r="J93" s="49">
        <f>'Avg Week Bwaise-Makerere'!J93+'Avg Week Makerere-Bwaise'!J93</f>
        <v>0.5</v>
      </c>
      <c r="K93" s="49">
        <f>'Avg Week Bwaise-Makerere'!K93+'Avg Week Makerere-Bwaise'!K93</f>
        <v>1.5</v>
      </c>
      <c r="L93" s="49">
        <f>'Avg Week Bwaise-Makerere'!L93+'Avg Week Makerere-Bwaise'!L93</f>
        <v>1</v>
      </c>
      <c r="M93" s="49">
        <f>'Avg Week Bwaise-Makerere'!M93+'Avg Week Makerere-Bwaise'!M93</f>
        <v>119.5</v>
      </c>
      <c r="N93" s="49">
        <f>'Avg Week Bwaise-Makerere'!N93+'Avg Week Makerere-Bwaise'!N93</f>
        <v>0</v>
      </c>
      <c r="O93" s="15">
        <f t="shared" si="35"/>
        <v>116.5</v>
      </c>
      <c r="P93" s="15">
        <f t="shared" si="36"/>
        <v>236</v>
      </c>
      <c r="R93" s="8"/>
      <c r="T93"/>
    </row>
    <row r="94" spans="2:20" ht="23.1" customHeight="1" x14ac:dyDescent="0.25">
      <c r="B94" s="24" t="s">
        <v>134</v>
      </c>
      <c r="C94" s="49">
        <f>'Avg Week Bwaise-Makerere'!C94+'Avg Week Makerere-Bwaise'!C94</f>
        <v>55</v>
      </c>
      <c r="D94" s="49">
        <f>'Avg Week Bwaise-Makerere'!D94+'Avg Week Makerere-Bwaise'!D94</f>
        <v>9</v>
      </c>
      <c r="E94" s="49">
        <f>'Avg Week Bwaise-Makerere'!E94+'Avg Week Makerere-Bwaise'!E94</f>
        <v>5.5</v>
      </c>
      <c r="F94" s="49">
        <f>'Avg Week Bwaise-Makerere'!F94+'Avg Week Makerere-Bwaise'!F94</f>
        <v>34</v>
      </c>
      <c r="G94" s="49">
        <f>'Avg Week Bwaise-Makerere'!G94+'Avg Week Makerere-Bwaise'!G94</f>
        <v>0</v>
      </c>
      <c r="H94" s="49">
        <f>'Avg Week Bwaise-Makerere'!H94+'Avg Week Makerere-Bwaise'!H94</f>
        <v>0.5</v>
      </c>
      <c r="I94" s="49">
        <f>'Avg Week Bwaise-Makerere'!I94+'Avg Week Makerere-Bwaise'!I94</f>
        <v>4.5</v>
      </c>
      <c r="J94" s="49">
        <f>'Avg Week Bwaise-Makerere'!J94+'Avg Week Makerere-Bwaise'!J94</f>
        <v>0</v>
      </c>
      <c r="K94" s="49">
        <f>'Avg Week Bwaise-Makerere'!K94+'Avg Week Makerere-Bwaise'!K94</f>
        <v>1</v>
      </c>
      <c r="L94" s="49">
        <f>'Avg Week Bwaise-Makerere'!L94+'Avg Week Makerere-Bwaise'!L94</f>
        <v>0</v>
      </c>
      <c r="M94" s="49">
        <f>'Avg Week Bwaise-Makerere'!M94+'Avg Week Makerere-Bwaise'!M94</f>
        <v>145</v>
      </c>
      <c r="N94" s="49">
        <f>'Avg Week Bwaise-Makerere'!N94+'Avg Week Makerere-Bwaise'!N94</f>
        <v>0</v>
      </c>
      <c r="O94" s="15">
        <f t="shared" si="35"/>
        <v>109.5</v>
      </c>
      <c r="P94" s="15">
        <f t="shared" si="36"/>
        <v>254.5</v>
      </c>
      <c r="R94" s="8"/>
      <c r="T94"/>
    </row>
    <row r="95" spans="2:20" ht="23.1" customHeight="1" x14ac:dyDescent="0.25">
      <c r="B95" s="23" t="s">
        <v>135</v>
      </c>
      <c r="C95" s="49">
        <f>'Avg Week Bwaise-Makerere'!C95+'Avg Week Makerere-Bwaise'!C95</f>
        <v>32.5</v>
      </c>
      <c r="D95" s="49">
        <f>'Avg Week Bwaise-Makerere'!D95+'Avg Week Makerere-Bwaise'!D95</f>
        <v>14.5</v>
      </c>
      <c r="E95" s="49">
        <f>'Avg Week Bwaise-Makerere'!E95+'Avg Week Makerere-Bwaise'!E95</f>
        <v>7.5</v>
      </c>
      <c r="F95" s="49">
        <f>'Avg Week Bwaise-Makerere'!F95+'Avg Week Makerere-Bwaise'!F95</f>
        <v>54</v>
      </c>
      <c r="G95" s="49">
        <f>'Avg Week Bwaise-Makerere'!G95+'Avg Week Makerere-Bwaise'!G95</f>
        <v>0</v>
      </c>
      <c r="H95" s="49">
        <f>'Avg Week Bwaise-Makerere'!H95+'Avg Week Makerere-Bwaise'!H95</f>
        <v>1</v>
      </c>
      <c r="I95" s="49">
        <f>'Avg Week Bwaise-Makerere'!I95+'Avg Week Makerere-Bwaise'!I95</f>
        <v>7</v>
      </c>
      <c r="J95" s="49">
        <f>'Avg Week Bwaise-Makerere'!J95+'Avg Week Makerere-Bwaise'!J95</f>
        <v>0.5</v>
      </c>
      <c r="K95" s="49">
        <f>'Avg Week Bwaise-Makerere'!K95+'Avg Week Makerere-Bwaise'!K95</f>
        <v>1.5</v>
      </c>
      <c r="L95" s="49">
        <f>'Avg Week Bwaise-Makerere'!L95+'Avg Week Makerere-Bwaise'!L95</f>
        <v>0</v>
      </c>
      <c r="M95" s="49">
        <f>'Avg Week Bwaise-Makerere'!M95+'Avg Week Makerere-Bwaise'!M95</f>
        <v>148.5</v>
      </c>
      <c r="N95" s="49">
        <f>'Avg Week Bwaise-Makerere'!N95+'Avg Week Makerere-Bwaise'!N95</f>
        <v>0</v>
      </c>
      <c r="O95" s="15">
        <f t="shared" si="35"/>
        <v>118.5</v>
      </c>
      <c r="P95" s="15">
        <f t="shared" si="36"/>
        <v>267</v>
      </c>
      <c r="R95" s="8"/>
      <c r="T95"/>
    </row>
    <row r="96" spans="2:20" ht="23.1" customHeight="1" x14ac:dyDescent="0.25">
      <c r="B96" s="25" t="s">
        <v>136</v>
      </c>
      <c r="C96" s="49">
        <f>'Avg Week Bwaise-Makerere'!C96+'Avg Week Makerere-Bwaise'!C96</f>
        <v>33</v>
      </c>
      <c r="D96" s="49">
        <f>'Avg Week Bwaise-Makerere'!D96+'Avg Week Makerere-Bwaise'!D96</f>
        <v>7.5</v>
      </c>
      <c r="E96" s="49">
        <f>'Avg Week Bwaise-Makerere'!E96+'Avg Week Makerere-Bwaise'!E96</f>
        <v>6</v>
      </c>
      <c r="F96" s="49">
        <f>'Avg Week Bwaise-Makerere'!F96+'Avg Week Makerere-Bwaise'!F96</f>
        <v>18</v>
      </c>
      <c r="G96" s="49">
        <f>'Avg Week Bwaise-Makerere'!G96+'Avg Week Makerere-Bwaise'!G96</f>
        <v>0.5</v>
      </c>
      <c r="H96" s="49">
        <f>'Avg Week Bwaise-Makerere'!H96+'Avg Week Makerere-Bwaise'!H96</f>
        <v>0.5</v>
      </c>
      <c r="I96" s="49">
        <f>'Avg Week Bwaise-Makerere'!I96+'Avg Week Makerere-Bwaise'!I96</f>
        <v>3</v>
      </c>
      <c r="J96" s="49">
        <f>'Avg Week Bwaise-Makerere'!J96+'Avg Week Makerere-Bwaise'!J96</f>
        <v>0.5</v>
      </c>
      <c r="K96" s="49">
        <f>'Avg Week Bwaise-Makerere'!K96+'Avg Week Makerere-Bwaise'!K96</f>
        <v>1</v>
      </c>
      <c r="L96" s="49">
        <f>'Avg Week Bwaise-Makerere'!L96+'Avg Week Makerere-Bwaise'!L96</f>
        <v>1</v>
      </c>
      <c r="M96" s="49">
        <f>'Avg Week Bwaise-Makerere'!M96+'Avg Week Makerere-Bwaise'!M96</f>
        <v>140</v>
      </c>
      <c r="N96" s="49">
        <f>'Avg Week Bwaise-Makerere'!N96+'Avg Week Makerere-Bwaise'!N96</f>
        <v>0</v>
      </c>
      <c r="O96" s="15">
        <f t="shared" si="35"/>
        <v>71</v>
      </c>
      <c r="P96" s="15">
        <f t="shared" si="36"/>
        <v>211</v>
      </c>
      <c r="R96" s="8"/>
      <c r="T96"/>
    </row>
    <row r="97" spans="2:20" ht="23.1" customHeight="1" x14ac:dyDescent="0.25">
      <c r="B97" s="23" t="s">
        <v>137</v>
      </c>
      <c r="C97" s="49">
        <f>'Avg Week Bwaise-Makerere'!C97+'Avg Week Makerere-Bwaise'!C97</f>
        <v>35.5</v>
      </c>
      <c r="D97" s="49">
        <f>'Avg Week Bwaise-Makerere'!D97+'Avg Week Makerere-Bwaise'!D97</f>
        <v>11</v>
      </c>
      <c r="E97" s="49">
        <f>'Avg Week Bwaise-Makerere'!E97+'Avg Week Makerere-Bwaise'!E97</f>
        <v>7</v>
      </c>
      <c r="F97" s="49">
        <f>'Avg Week Bwaise-Makerere'!F97+'Avg Week Makerere-Bwaise'!F97</f>
        <v>31.5</v>
      </c>
      <c r="G97" s="49">
        <f>'Avg Week Bwaise-Makerere'!G97+'Avg Week Makerere-Bwaise'!G97</f>
        <v>0.5</v>
      </c>
      <c r="H97" s="49">
        <f>'Avg Week Bwaise-Makerere'!H97+'Avg Week Makerere-Bwaise'!H97</f>
        <v>0.5</v>
      </c>
      <c r="I97" s="49">
        <f>'Avg Week Bwaise-Makerere'!I97+'Avg Week Makerere-Bwaise'!I97</f>
        <v>4</v>
      </c>
      <c r="J97" s="49">
        <f>'Avg Week Bwaise-Makerere'!J97+'Avg Week Makerere-Bwaise'!J97</f>
        <v>3.5</v>
      </c>
      <c r="K97" s="49">
        <f>'Avg Week Bwaise-Makerere'!K97+'Avg Week Makerere-Bwaise'!K97</f>
        <v>0.5</v>
      </c>
      <c r="L97" s="49">
        <f>'Avg Week Bwaise-Makerere'!L97+'Avg Week Makerere-Bwaise'!L97</f>
        <v>0</v>
      </c>
      <c r="M97" s="49">
        <f>'Avg Week Bwaise-Makerere'!M97+'Avg Week Makerere-Bwaise'!M97</f>
        <v>27</v>
      </c>
      <c r="N97" s="49">
        <f>'Avg Week Bwaise-Makerere'!N97+'Avg Week Makerere-Bwaise'!N97</f>
        <v>0</v>
      </c>
      <c r="O97" s="15">
        <f t="shared" si="35"/>
        <v>94</v>
      </c>
      <c r="P97" s="15">
        <f t="shared" si="36"/>
        <v>121</v>
      </c>
      <c r="R97" s="8"/>
      <c r="T97"/>
    </row>
    <row r="98" spans="2:20" ht="23.1" customHeight="1" x14ac:dyDescent="0.25">
      <c r="B98" s="24" t="s">
        <v>138</v>
      </c>
      <c r="C98" s="49">
        <f>'Avg Week Bwaise-Makerere'!C98+'Avg Week Makerere-Bwaise'!C98</f>
        <v>49.5</v>
      </c>
      <c r="D98" s="49">
        <f>'Avg Week Bwaise-Makerere'!D98+'Avg Week Makerere-Bwaise'!D98</f>
        <v>10</v>
      </c>
      <c r="E98" s="49">
        <f>'Avg Week Bwaise-Makerere'!E98+'Avg Week Makerere-Bwaise'!E98</f>
        <v>6.5</v>
      </c>
      <c r="F98" s="49">
        <f>'Avg Week Bwaise-Makerere'!F98+'Avg Week Makerere-Bwaise'!F98</f>
        <v>48</v>
      </c>
      <c r="G98" s="49">
        <f>'Avg Week Bwaise-Makerere'!G98+'Avg Week Makerere-Bwaise'!G98</f>
        <v>0.5</v>
      </c>
      <c r="H98" s="49">
        <f>'Avg Week Bwaise-Makerere'!H98+'Avg Week Makerere-Bwaise'!H98</f>
        <v>0.5</v>
      </c>
      <c r="I98" s="49">
        <f>'Avg Week Bwaise-Makerere'!I98+'Avg Week Makerere-Bwaise'!I98</f>
        <v>7.5</v>
      </c>
      <c r="J98" s="49">
        <f>'Avg Week Bwaise-Makerere'!J98+'Avg Week Makerere-Bwaise'!J98</f>
        <v>0.5</v>
      </c>
      <c r="K98" s="49">
        <f>'Avg Week Bwaise-Makerere'!K98+'Avg Week Makerere-Bwaise'!K98</f>
        <v>0</v>
      </c>
      <c r="L98" s="49">
        <f>'Avg Week Bwaise-Makerere'!L98+'Avg Week Makerere-Bwaise'!L98</f>
        <v>0</v>
      </c>
      <c r="M98" s="49">
        <f>'Avg Week Bwaise-Makerere'!M98+'Avg Week Makerere-Bwaise'!M98</f>
        <v>159</v>
      </c>
      <c r="N98" s="49">
        <f>'Avg Week Bwaise-Makerere'!N98+'Avg Week Makerere-Bwaise'!N98</f>
        <v>0</v>
      </c>
      <c r="O98" s="15">
        <f t="shared" si="35"/>
        <v>123</v>
      </c>
      <c r="P98" s="15">
        <f t="shared" si="36"/>
        <v>282</v>
      </c>
      <c r="R98" s="8"/>
      <c r="T98"/>
    </row>
    <row r="99" spans="2:20" ht="23.1" customHeight="1" x14ac:dyDescent="0.25">
      <c r="B99" s="23" t="s">
        <v>139</v>
      </c>
      <c r="C99" s="49">
        <f>'Avg Week Bwaise-Makerere'!C99+'Avg Week Makerere-Bwaise'!C99</f>
        <v>69.5</v>
      </c>
      <c r="D99" s="49">
        <f>'Avg Week Bwaise-Makerere'!D99+'Avg Week Makerere-Bwaise'!D99</f>
        <v>14</v>
      </c>
      <c r="E99" s="49">
        <f>'Avg Week Bwaise-Makerere'!E99+'Avg Week Makerere-Bwaise'!E99</f>
        <v>5</v>
      </c>
      <c r="F99" s="49">
        <f>'Avg Week Bwaise-Makerere'!F99+'Avg Week Makerere-Bwaise'!F99</f>
        <v>46.5</v>
      </c>
      <c r="G99" s="49">
        <f>'Avg Week Bwaise-Makerere'!G99+'Avg Week Makerere-Bwaise'!G99</f>
        <v>0.5</v>
      </c>
      <c r="H99" s="49">
        <f>'Avg Week Bwaise-Makerere'!H99+'Avg Week Makerere-Bwaise'!H99</f>
        <v>0.5</v>
      </c>
      <c r="I99" s="49">
        <f>'Avg Week Bwaise-Makerere'!I99+'Avg Week Makerere-Bwaise'!I99</f>
        <v>5</v>
      </c>
      <c r="J99" s="49">
        <f>'Avg Week Bwaise-Makerere'!J99+'Avg Week Makerere-Bwaise'!J99</f>
        <v>0.5</v>
      </c>
      <c r="K99" s="49">
        <f>'Avg Week Bwaise-Makerere'!K99+'Avg Week Makerere-Bwaise'!K99</f>
        <v>1.5</v>
      </c>
      <c r="L99" s="49">
        <f>'Avg Week Bwaise-Makerere'!L99+'Avg Week Makerere-Bwaise'!L99</f>
        <v>0.5</v>
      </c>
      <c r="M99" s="49">
        <f>'Avg Week Bwaise-Makerere'!M99+'Avg Week Makerere-Bwaise'!M99</f>
        <v>133</v>
      </c>
      <c r="N99" s="49">
        <f>'Avg Week Bwaise-Makerere'!N99+'Avg Week Makerere-Bwaise'!N99</f>
        <v>0</v>
      </c>
      <c r="O99" s="15">
        <f t="shared" si="35"/>
        <v>143.5</v>
      </c>
      <c r="P99" s="15">
        <f t="shared" si="36"/>
        <v>276.5</v>
      </c>
      <c r="R99" s="8"/>
      <c r="T99"/>
    </row>
    <row r="100" spans="2:20" ht="23.1" customHeight="1" x14ac:dyDescent="0.25">
      <c r="B100" s="25" t="s">
        <v>140</v>
      </c>
      <c r="C100" s="49">
        <f>'Avg Week Bwaise-Makerere'!C100+'Avg Week Makerere-Bwaise'!C100</f>
        <v>59.5</v>
      </c>
      <c r="D100" s="49">
        <f>'Avg Week Bwaise-Makerere'!D100+'Avg Week Makerere-Bwaise'!D100</f>
        <v>12.5</v>
      </c>
      <c r="E100" s="49">
        <f>'Avg Week Bwaise-Makerere'!E100+'Avg Week Makerere-Bwaise'!E100</f>
        <v>5</v>
      </c>
      <c r="F100" s="49">
        <f>'Avg Week Bwaise-Makerere'!F100+'Avg Week Makerere-Bwaise'!F100</f>
        <v>55.5</v>
      </c>
      <c r="G100" s="49">
        <f>'Avg Week Bwaise-Makerere'!G100+'Avg Week Makerere-Bwaise'!G100</f>
        <v>0.5</v>
      </c>
      <c r="H100" s="49">
        <f>'Avg Week Bwaise-Makerere'!H100+'Avg Week Makerere-Bwaise'!H100</f>
        <v>1.5</v>
      </c>
      <c r="I100" s="49">
        <f>'Avg Week Bwaise-Makerere'!I100+'Avg Week Makerere-Bwaise'!I100</f>
        <v>6</v>
      </c>
      <c r="J100" s="49">
        <f>'Avg Week Bwaise-Makerere'!J100+'Avg Week Makerere-Bwaise'!J100</f>
        <v>1</v>
      </c>
      <c r="K100" s="49">
        <f>'Avg Week Bwaise-Makerere'!K100+'Avg Week Makerere-Bwaise'!K100</f>
        <v>0</v>
      </c>
      <c r="L100" s="49">
        <f>'Avg Week Bwaise-Makerere'!L100+'Avg Week Makerere-Bwaise'!L100</f>
        <v>0</v>
      </c>
      <c r="M100" s="49">
        <f>'Avg Week Bwaise-Makerere'!M100+'Avg Week Makerere-Bwaise'!M100</f>
        <v>190.5</v>
      </c>
      <c r="N100" s="49">
        <f>'Avg Week Bwaise-Makerere'!N100+'Avg Week Makerere-Bwaise'!N100</f>
        <v>0</v>
      </c>
      <c r="O100" s="15">
        <f t="shared" si="35"/>
        <v>141.5</v>
      </c>
      <c r="P100" s="15">
        <f t="shared" si="36"/>
        <v>332</v>
      </c>
      <c r="R100" s="8"/>
      <c r="T100"/>
    </row>
    <row r="101" spans="2:20" ht="23.1" customHeight="1" x14ac:dyDescent="0.25">
      <c r="B101" s="23" t="s">
        <v>141</v>
      </c>
      <c r="C101" s="49">
        <f>'Avg Week Bwaise-Makerere'!C101+'Avg Week Makerere-Bwaise'!C101</f>
        <v>28</v>
      </c>
      <c r="D101" s="49">
        <f>'Avg Week Bwaise-Makerere'!D101+'Avg Week Makerere-Bwaise'!D101</f>
        <v>4</v>
      </c>
      <c r="E101" s="49">
        <f>'Avg Week Bwaise-Makerere'!E101+'Avg Week Makerere-Bwaise'!E101</f>
        <v>5</v>
      </c>
      <c r="F101" s="49">
        <f>'Avg Week Bwaise-Makerere'!F101+'Avg Week Makerere-Bwaise'!F101</f>
        <v>51.5</v>
      </c>
      <c r="G101" s="49">
        <f>'Avg Week Bwaise-Makerere'!G101+'Avg Week Makerere-Bwaise'!G101</f>
        <v>1.5</v>
      </c>
      <c r="H101" s="49">
        <f>'Avg Week Bwaise-Makerere'!H101+'Avg Week Makerere-Bwaise'!H101</f>
        <v>1.5</v>
      </c>
      <c r="I101" s="49">
        <f>'Avg Week Bwaise-Makerere'!I101+'Avg Week Makerere-Bwaise'!I101</f>
        <v>7</v>
      </c>
      <c r="J101" s="49">
        <f>'Avg Week Bwaise-Makerere'!J101+'Avg Week Makerere-Bwaise'!J101</f>
        <v>1</v>
      </c>
      <c r="K101" s="49">
        <f>'Avg Week Bwaise-Makerere'!K101+'Avg Week Makerere-Bwaise'!K101</f>
        <v>0</v>
      </c>
      <c r="L101" s="49">
        <f>'Avg Week Bwaise-Makerere'!L101+'Avg Week Makerere-Bwaise'!L101</f>
        <v>0</v>
      </c>
      <c r="M101" s="49">
        <f>'Avg Week Bwaise-Makerere'!M101+'Avg Week Makerere-Bwaise'!M101</f>
        <v>138</v>
      </c>
      <c r="N101" s="49">
        <f>'Avg Week Bwaise-Makerere'!N101+'Avg Week Makerere-Bwaise'!N101</f>
        <v>0</v>
      </c>
      <c r="O101" s="15">
        <f t="shared" si="35"/>
        <v>99.5</v>
      </c>
      <c r="P101" s="15">
        <f t="shared" si="36"/>
        <v>237.5</v>
      </c>
      <c r="R101" s="8"/>
      <c r="T101"/>
    </row>
    <row r="102" spans="2:20" ht="23.1" customHeight="1" x14ac:dyDescent="0.25">
      <c r="B102" s="24" t="s">
        <v>142</v>
      </c>
      <c r="C102" s="49">
        <f>'Avg Week Bwaise-Makerere'!C102+'Avg Week Makerere-Bwaise'!C102</f>
        <v>74</v>
      </c>
      <c r="D102" s="49">
        <f>'Avg Week Bwaise-Makerere'!D102+'Avg Week Makerere-Bwaise'!D102</f>
        <v>9</v>
      </c>
      <c r="E102" s="49">
        <f>'Avg Week Bwaise-Makerere'!E102+'Avg Week Makerere-Bwaise'!E102</f>
        <v>10.5</v>
      </c>
      <c r="F102" s="49">
        <f>'Avg Week Bwaise-Makerere'!F102+'Avg Week Makerere-Bwaise'!F102</f>
        <v>57.5</v>
      </c>
      <c r="G102" s="49">
        <f>'Avg Week Bwaise-Makerere'!G102+'Avg Week Makerere-Bwaise'!G102</f>
        <v>1.5</v>
      </c>
      <c r="H102" s="49">
        <f>'Avg Week Bwaise-Makerere'!H102+'Avg Week Makerere-Bwaise'!H102</f>
        <v>1.5</v>
      </c>
      <c r="I102" s="49">
        <f>'Avg Week Bwaise-Makerere'!I102+'Avg Week Makerere-Bwaise'!I102</f>
        <v>6.5</v>
      </c>
      <c r="J102" s="49">
        <f>'Avg Week Bwaise-Makerere'!J102+'Avg Week Makerere-Bwaise'!J102</f>
        <v>0</v>
      </c>
      <c r="K102" s="49">
        <f>'Avg Week Bwaise-Makerere'!K102+'Avg Week Makerere-Bwaise'!K102</f>
        <v>1</v>
      </c>
      <c r="L102" s="49">
        <f>'Avg Week Bwaise-Makerere'!L102+'Avg Week Makerere-Bwaise'!L102</f>
        <v>0.5</v>
      </c>
      <c r="M102" s="49">
        <f>'Avg Week Bwaise-Makerere'!M102+'Avg Week Makerere-Bwaise'!M102</f>
        <v>121</v>
      </c>
      <c r="N102" s="49">
        <f>'Avg Week Bwaise-Makerere'!N102+'Avg Week Makerere-Bwaise'!N102</f>
        <v>0</v>
      </c>
      <c r="O102" s="15">
        <f t="shared" si="35"/>
        <v>162</v>
      </c>
      <c r="P102" s="15">
        <f t="shared" si="36"/>
        <v>283</v>
      </c>
      <c r="R102" s="8"/>
      <c r="T102"/>
    </row>
    <row r="103" spans="2:20" ht="23.1" customHeight="1" x14ac:dyDescent="0.25">
      <c r="B103" s="23" t="s">
        <v>143</v>
      </c>
      <c r="C103" s="49">
        <f>'Avg Week Bwaise-Makerere'!C103+'Avg Week Makerere-Bwaise'!C103</f>
        <v>61.5</v>
      </c>
      <c r="D103" s="49">
        <f>'Avg Week Bwaise-Makerere'!D103+'Avg Week Makerere-Bwaise'!D103</f>
        <v>12</v>
      </c>
      <c r="E103" s="49">
        <f>'Avg Week Bwaise-Makerere'!E103+'Avg Week Makerere-Bwaise'!E103</f>
        <v>4.5</v>
      </c>
      <c r="F103" s="49">
        <f>'Avg Week Bwaise-Makerere'!F103+'Avg Week Makerere-Bwaise'!F103</f>
        <v>49</v>
      </c>
      <c r="G103" s="49">
        <f>'Avg Week Bwaise-Makerere'!G103+'Avg Week Makerere-Bwaise'!G103</f>
        <v>1.5</v>
      </c>
      <c r="H103" s="49">
        <f>'Avg Week Bwaise-Makerere'!H103+'Avg Week Makerere-Bwaise'!H103</f>
        <v>0.5</v>
      </c>
      <c r="I103" s="49">
        <f>'Avg Week Bwaise-Makerere'!I103+'Avg Week Makerere-Bwaise'!I103</f>
        <v>3.5</v>
      </c>
      <c r="J103" s="49">
        <f>'Avg Week Bwaise-Makerere'!J103+'Avg Week Makerere-Bwaise'!J103</f>
        <v>2.5</v>
      </c>
      <c r="K103" s="49">
        <f>'Avg Week Bwaise-Makerere'!K103+'Avg Week Makerere-Bwaise'!K103</f>
        <v>1</v>
      </c>
      <c r="L103" s="49">
        <f>'Avg Week Bwaise-Makerere'!L103+'Avg Week Makerere-Bwaise'!L103</f>
        <v>1</v>
      </c>
      <c r="M103" s="49">
        <f>'Avg Week Bwaise-Makerere'!M103+'Avg Week Makerere-Bwaise'!M103</f>
        <v>145</v>
      </c>
      <c r="N103" s="49">
        <f>'Avg Week Bwaise-Makerere'!N103+'Avg Week Makerere-Bwaise'!N103</f>
        <v>0</v>
      </c>
      <c r="O103" s="15">
        <f t="shared" si="35"/>
        <v>137</v>
      </c>
      <c r="P103" s="15">
        <f t="shared" si="36"/>
        <v>282</v>
      </c>
      <c r="R103" s="8"/>
      <c r="T103"/>
    </row>
    <row r="104" spans="2:20" ht="23.1" customHeight="1" x14ac:dyDescent="0.25">
      <c r="B104" s="25" t="s">
        <v>144</v>
      </c>
      <c r="C104" s="49">
        <f>'Avg Week Bwaise-Makerere'!C104+'Avg Week Makerere-Bwaise'!C104</f>
        <v>52.5</v>
      </c>
      <c r="D104" s="49">
        <f>'Avg Week Bwaise-Makerere'!D104+'Avg Week Makerere-Bwaise'!D104</f>
        <v>19.5</v>
      </c>
      <c r="E104" s="49">
        <f>'Avg Week Bwaise-Makerere'!E104+'Avg Week Makerere-Bwaise'!E104</f>
        <v>8.5</v>
      </c>
      <c r="F104" s="49">
        <f>'Avg Week Bwaise-Makerere'!F104+'Avg Week Makerere-Bwaise'!F104</f>
        <v>50.5</v>
      </c>
      <c r="G104" s="49">
        <f>'Avg Week Bwaise-Makerere'!G104+'Avg Week Makerere-Bwaise'!G104</f>
        <v>4</v>
      </c>
      <c r="H104" s="49">
        <f>'Avg Week Bwaise-Makerere'!H104+'Avg Week Makerere-Bwaise'!H104</f>
        <v>1</v>
      </c>
      <c r="I104" s="49">
        <f>'Avg Week Bwaise-Makerere'!I104+'Avg Week Makerere-Bwaise'!I104</f>
        <v>3</v>
      </c>
      <c r="J104" s="49">
        <f>'Avg Week Bwaise-Makerere'!J104+'Avg Week Makerere-Bwaise'!J104</f>
        <v>0</v>
      </c>
      <c r="K104" s="49">
        <f>'Avg Week Bwaise-Makerere'!K104+'Avg Week Makerere-Bwaise'!K104</f>
        <v>7</v>
      </c>
      <c r="L104" s="49">
        <f>'Avg Week Bwaise-Makerere'!L104+'Avg Week Makerere-Bwaise'!L104</f>
        <v>0</v>
      </c>
      <c r="M104" s="49">
        <f>'Avg Week Bwaise-Makerere'!M104+'Avg Week Makerere-Bwaise'!M104</f>
        <v>160</v>
      </c>
      <c r="N104" s="49">
        <f>'Avg Week Bwaise-Makerere'!N104+'Avg Week Makerere-Bwaise'!N104</f>
        <v>0</v>
      </c>
      <c r="O104" s="15">
        <f t="shared" si="35"/>
        <v>146</v>
      </c>
      <c r="P104" s="15">
        <f t="shared" si="36"/>
        <v>306</v>
      </c>
      <c r="R104" s="8"/>
      <c r="T104"/>
    </row>
    <row r="105" spans="2:20" ht="23.1" customHeight="1" x14ac:dyDescent="0.25">
      <c r="B105" s="23" t="s">
        <v>145</v>
      </c>
      <c r="C105" s="49">
        <f>'Avg Week Bwaise-Makerere'!C105+'Avg Week Makerere-Bwaise'!C105</f>
        <v>73</v>
      </c>
      <c r="D105" s="49">
        <f>'Avg Week Bwaise-Makerere'!D105+'Avg Week Makerere-Bwaise'!D105</f>
        <v>11.5</v>
      </c>
      <c r="E105" s="49">
        <f>'Avg Week Bwaise-Makerere'!E105+'Avg Week Makerere-Bwaise'!E105</f>
        <v>5.5</v>
      </c>
      <c r="F105" s="49">
        <f>'Avg Week Bwaise-Makerere'!F105+'Avg Week Makerere-Bwaise'!F105</f>
        <v>82</v>
      </c>
      <c r="G105" s="49">
        <f>'Avg Week Bwaise-Makerere'!G105+'Avg Week Makerere-Bwaise'!G105</f>
        <v>2.5</v>
      </c>
      <c r="H105" s="49">
        <f>'Avg Week Bwaise-Makerere'!H105+'Avg Week Makerere-Bwaise'!H105</f>
        <v>2.5</v>
      </c>
      <c r="I105" s="49">
        <f>'Avg Week Bwaise-Makerere'!I105+'Avg Week Makerere-Bwaise'!I105</f>
        <v>3.5</v>
      </c>
      <c r="J105" s="49">
        <f>'Avg Week Bwaise-Makerere'!J105+'Avg Week Makerere-Bwaise'!J105</f>
        <v>1.5</v>
      </c>
      <c r="K105" s="49">
        <f>'Avg Week Bwaise-Makerere'!K105+'Avg Week Makerere-Bwaise'!K105</f>
        <v>0.5</v>
      </c>
      <c r="L105" s="49">
        <f>'Avg Week Bwaise-Makerere'!L105+'Avg Week Makerere-Bwaise'!L105</f>
        <v>0</v>
      </c>
      <c r="M105" s="49">
        <f>'Avg Week Bwaise-Makerere'!M105+'Avg Week Makerere-Bwaise'!M105</f>
        <v>157</v>
      </c>
      <c r="N105" s="49">
        <f>'Avg Week Bwaise-Makerere'!N105+'Avg Week Makerere-Bwaise'!N105</f>
        <v>0</v>
      </c>
      <c r="O105" s="15">
        <f t="shared" si="35"/>
        <v>182.5</v>
      </c>
      <c r="P105" s="15">
        <f t="shared" si="36"/>
        <v>339.5</v>
      </c>
      <c r="R105" s="8"/>
      <c r="T105"/>
    </row>
    <row r="106" spans="2:20" ht="23.1" customHeight="1" x14ac:dyDescent="0.25">
      <c r="B106" s="52" t="s">
        <v>18</v>
      </c>
      <c r="C106" s="16">
        <f>SUM(C10:C105)</f>
        <v>7922.2857142857138</v>
      </c>
      <c r="D106" s="16">
        <f t="shared" ref="D106:P106" si="37">SUM(D10:D105)</f>
        <v>2075.2142857142858</v>
      </c>
      <c r="E106" s="16">
        <f t="shared" si="37"/>
        <v>1222.0714285714284</v>
      </c>
      <c r="F106" s="16">
        <f t="shared" si="37"/>
        <v>6610.0000000000018</v>
      </c>
      <c r="G106" s="16">
        <f t="shared" si="37"/>
        <v>228.64285714285711</v>
      </c>
      <c r="H106" s="16">
        <f t="shared" si="37"/>
        <v>175.78571428571433</v>
      </c>
      <c r="I106" s="16">
        <f t="shared" si="37"/>
        <v>792.5</v>
      </c>
      <c r="J106" s="16">
        <f t="shared" si="37"/>
        <v>328.49999999999994</v>
      </c>
      <c r="K106" s="16">
        <f t="shared" si="37"/>
        <v>172.16666666666669</v>
      </c>
      <c r="L106" s="16">
        <f t="shared" si="37"/>
        <v>75.285714285714278</v>
      </c>
      <c r="M106" s="16">
        <f t="shared" si="37"/>
        <v>22324.714285714283</v>
      </c>
      <c r="N106" s="16">
        <f t="shared" si="37"/>
        <v>1.5476190476190474</v>
      </c>
      <c r="O106" s="16">
        <f t="shared" si="37"/>
        <v>19604</v>
      </c>
      <c r="P106" s="16">
        <f t="shared" si="37"/>
        <v>41928.71428571429</v>
      </c>
      <c r="R106" s="19"/>
      <c r="S106" s="19"/>
      <c r="T106"/>
    </row>
    <row r="107" spans="2:20" ht="23.1" customHeight="1" x14ac:dyDescent="0.25">
      <c r="B107" s="26" t="s">
        <v>93</v>
      </c>
      <c r="C107" s="43">
        <f t="shared" ref="C107:N107" si="38">C106/$P$106</f>
        <v>0.18894654532693242</v>
      </c>
      <c r="D107" s="43">
        <f t="shared" si="38"/>
        <v>4.9493868845421306E-2</v>
      </c>
      <c r="E107" s="43">
        <f t="shared" si="38"/>
        <v>2.9146408359767083E-2</v>
      </c>
      <c r="F107" s="43">
        <f t="shared" si="38"/>
        <v>0.1576485258994007</v>
      </c>
      <c r="G107" s="43">
        <f t="shared" si="38"/>
        <v>5.4531330387289981E-3</v>
      </c>
      <c r="H107" s="43">
        <f t="shared" si="38"/>
        <v>4.1924899744804969E-3</v>
      </c>
      <c r="I107" s="43">
        <f t="shared" si="38"/>
        <v>1.8901128105185329E-2</v>
      </c>
      <c r="J107" s="43">
        <f t="shared" si="38"/>
        <v>7.8347262871336018E-3</v>
      </c>
      <c r="K107" s="43">
        <f t="shared" si="38"/>
        <v>4.1061756745860035E-3</v>
      </c>
      <c r="L107" s="43">
        <f t="shared" si="38"/>
        <v>1.795564580699895E-3</v>
      </c>
      <c r="M107" s="43">
        <f t="shared" si="38"/>
        <v>0.53244452318731439</v>
      </c>
      <c r="N107" s="43">
        <f t="shared" si="38"/>
        <v>3.6910720349618338E-5</v>
      </c>
      <c r="R107" s="8"/>
      <c r="T107"/>
    </row>
    <row r="108" spans="2:20" ht="23.1" customHeight="1" x14ac:dyDescent="0.25">
      <c r="B108" s="42" t="s">
        <v>94</v>
      </c>
      <c r="C108" s="44">
        <f>C106/$O$106</f>
        <v>0.40411577812108312</v>
      </c>
      <c r="D108" s="44">
        <f t="shared" ref="D108:N108" si="39">D106/$O$106</f>
        <v>0.10585667648001866</v>
      </c>
      <c r="E108" s="44">
        <f t="shared" si="39"/>
        <v>6.2337861077914121E-2</v>
      </c>
      <c r="F108" s="44">
        <f t="shared" si="39"/>
        <v>0.33717608651295661</v>
      </c>
      <c r="G108" s="44">
        <f t="shared" si="39"/>
        <v>1.1663071676334274E-2</v>
      </c>
      <c r="H108" s="44">
        <f t="shared" si="39"/>
        <v>8.966828927041131E-3</v>
      </c>
      <c r="I108" s="44">
        <f t="shared" si="39"/>
        <v>4.0425423382983064E-2</v>
      </c>
      <c r="J108" s="44">
        <f t="shared" si="39"/>
        <v>1.6756784329728623E-2</v>
      </c>
      <c r="K108" s="44">
        <f t="shared" si="39"/>
        <v>8.7822213153778157E-3</v>
      </c>
      <c r="L108" s="44">
        <f t="shared" si="39"/>
        <v>3.8403241321013199E-3</v>
      </c>
      <c r="M108" s="44"/>
      <c r="N108" s="44">
        <f t="shared" si="39"/>
        <v>7.8944044461285831E-5</v>
      </c>
      <c r="Q108" s="7"/>
      <c r="R108" s="8"/>
      <c r="T108"/>
    </row>
    <row r="109" spans="2:20" ht="20.100000000000001" customHeight="1" x14ac:dyDescent="0.25">
      <c r="B109" s="3"/>
      <c r="C109" s="18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Q109" s="7"/>
      <c r="R109" s="8"/>
      <c r="T109"/>
    </row>
    <row r="110" spans="2:20" ht="20.100000000000001" customHeight="1" x14ac:dyDescent="0.25">
      <c r="B110" s="3"/>
      <c r="C110" s="18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Q110" s="7"/>
      <c r="R110" s="8"/>
      <c r="T110"/>
    </row>
    <row r="111" spans="2:20" ht="20.100000000000001" customHeight="1" x14ac:dyDescent="0.25">
      <c r="B111" s="3"/>
      <c r="C111" s="18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Q111" s="7"/>
    </row>
    <row r="112" spans="2:20" ht="20.100000000000001" customHeight="1" x14ac:dyDescent="0.25">
      <c r="B112" s="3"/>
      <c r="C112" s="18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Q112" s="7"/>
    </row>
    <row r="113" spans="2:20" s="7" customFormat="1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/>
      <c r="P113"/>
      <c r="S113" s="8"/>
      <c r="T113" s="8"/>
    </row>
    <row r="114" spans="2:20" s="7" customFormat="1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/>
      <c r="P114"/>
      <c r="S114" s="8"/>
      <c r="T114" s="8"/>
    </row>
    <row r="115" spans="2:20" s="7" customFormat="1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/>
      <c r="P115"/>
      <c r="S115" s="8"/>
      <c r="T115" s="8"/>
    </row>
    <row r="116" spans="2:20" s="7" customFormat="1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/>
      <c r="P116"/>
      <c r="S116" s="8"/>
      <c r="T116" s="8"/>
    </row>
    <row r="117" spans="2:20" s="7" customFormat="1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/>
      <c r="P117"/>
      <c r="S117" s="8"/>
      <c r="T117" s="8"/>
    </row>
    <row r="118" spans="2:20" s="7" customFormat="1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/>
      <c r="P118"/>
      <c r="S118" s="8"/>
      <c r="T118" s="8"/>
    </row>
    <row r="119" spans="2:20" s="7" customFormat="1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/>
      <c r="P119"/>
      <c r="S119" s="8"/>
      <c r="T119" s="8"/>
    </row>
    <row r="120" spans="2:20" s="7" customFormat="1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/>
      <c r="P120"/>
      <c r="S120" s="8"/>
      <c r="T120" s="8"/>
    </row>
    <row r="121" spans="2:20" s="7" customFormat="1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/>
      <c r="P121"/>
      <c r="S121" s="8"/>
      <c r="T121" s="8"/>
    </row>
    <row r="122" spans="2:20" s="7" customFormat="1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/>
      <c r="P122"/>
      <c r="S122" s="8"/>
      <c r="T122" s="8"/>
    </row>
    <row r="123" spans="2:20" s="7" customFormat="1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/>
      <c r="P123"/>
      <c r="S123" s="8"/>
      <c r="T123" s="8"/>
    </row>
    <row r="124" spans="2:20" s="7" customFormat="1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/>
      <c r="P124"/>
      <c r="S124" s="8"/>
      <c r="T124" s="8"/>
    </row>
    <row r="125" spans="2:20" s="7" customFormat="1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/>
      <c r="P125"/>
      <c r="Q125"/>
      <c r="S125" s="8"/>
      <c r="T125" s="8"/>
    </row>
    <row r="126" spans="2:20" s="7" customFormat="1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/>
      <c r="P126"/>
      <c r="Q126"/>
      <c r="S126" s="8"/>
      <c r="T126" s="8"/>
    </row>
    <row r="127" spans="2:20" s="7" customFormat="1" ht="20.100000000000001" customHeight="1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/>
      <c r="P127"/>
      <c r="Q127"/>
      <c r="S127" s="8"/>
      <c r="T127" s="8"/>
    </row>
    <row r="128" spans="2:20" s="7" customFormat="1" ht="20.100000000000001" customHeight="1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/>
      <c r="P128"/>
      <c r="Q128"/>
      <c r="S128" s="8"/>
      <c r="T128" s="8"/>
    </row>
    <row r="129" spans="2:14" ht="20.100000000000001" customHeight="1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spans="2:14" ht="20.100000000000001" customHeight="1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2:14" ht="20.100000000000001" customHeight="1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2:14" ht="20.100000000000001" customHeight="1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2:14" ht="20.100000000000001" customHeight="1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2:14" ht="20.100000000000001" customHeight="1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2:14" ht="20.100000000000001" customHeight="1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2:14" ht="20.100000000000001" customHeight="1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2:14" ht="20.100000000000001" customHeight="1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2:14" ht="20.100000000000001" customHeight="1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2:14" ht="20.100000000000001" customHeight="1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2:14" ht="20.100000000000001" customHeight="1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2:14" ht="20.100000000000001" customHeight="1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2:14" ht="20.100000000000001" customHeight="1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2:14" ht="20.100000000000001" customHeight="1" x14ac:dyDescent="0.25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2:14" ht="20.100000000000001" customHeight="1" x14ac:dyDescent="0.25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2:14" ht="20.100000000000001" customHeight="1" x14ac:dyDescent="0.25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2:14" ht="20.100000000000001" customHeight="1" x14ac:dyDescent="0.25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2:14" ht="20.100000000000001" customHeight="1" x14ac:dyDescent="0.25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2:14" ht="20.100000000000001" customHeight="1" x14ac:dyDescent="0.25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2:14" ht="20.100000000000001" customHeight="1" x14ac:dyDescent="0.25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2:14" ht="20.100000000000001" customHeight="1" x14ac:dyDescent="0.25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2:14" ht="20.100000000000001" customHeight="1" x14ac:dyDescent="0.25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2:14" ht="22.5" customHeight="1" x14ac:dyDescent="0.25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2:14" ht="20.100000000000001" customHeight="1" x14ac:dyDescent="0.25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2:14" ht="20.100000000000001" customHeight="1" x14ac:dyDescent="0.25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2:14" ht="20.100000000000001" customHeight="1" x14ac:dyDescent="0.25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2:14" ht="20.100000000000001" customHeight="1" x14ac:dyDescent="0.25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2:14" ht="20.100000000000001" customHeight="1" x14ac:dyDescent="0.25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2:14" ht="20.100000000000001" customHeight="1" x14ac:dyDescent="0.25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2:14" ht="20.100000000000001" customHeight="1" x14ac:dyDescent="0.25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2:14" ht="20.100000000000001" customHeight="1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2:14" ht="20.100000000000001" customHeight="1" x14ac:dyDescent="0.2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2:14" ht="20.100000000000001" customHeight="1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2:14" ht="20.100000000000001" customHeight="1" x14ac:dyDescent="0.2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2:14" ht="20.100000000000001" customHeight="1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2:14" ht="20.100000000000001" customHeight="1" x14ac:dyDescent="0.2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2:14" ht="20.100000000000001" customHeight="1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2:14" ht="20.100000000000001" customHeight="1" x14ac:dyDescent="0.2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2:14" ht="20.100000000000001" customHeight="1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2:14" ht="20.100000000000001" customHeight="1" x14ac:dyDescent="0.2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2:14" ht="20.100000000000001" customHeight="1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2:14" ht="20.100000000000001" customHeight="1" x14ac:dyDescent="0.2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2:14" ht="20.100000000000001" customHeight="1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2:14" ht="20.100000000000001" customHeight="1" x14ac:dyDescent="0.2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2:14" ht="20.100000000000001" customHeight="1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</sheetData>
  <mergeCells count="10">
    <mergeCell ref="B1:AE1"/>
    <mergeCell ref="B2:AE2"/>
    <mergeCell ref="C3:G3"/>
    <mergeCell ref="G5:H5"/>
    <mergeCell ref="G6:H6"/>
    <mergeCell ref="R8:AF8"/>
    <mergeCell ref="D6:E6"/>
    <mergeCell ref="K5:L5"/>
    <mergeCell ref="K6:L6"/>
    <mergeCell ref="D5:E5"/>
  </mergeCells>
  <pageMargins left="0" right="0" top="0" bottom="0" header="0.15748031496063" footer="0.118110236220472"/>
  <pageSetup paperSize="9" scale="21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17</vt:i4>
      </vt:variant>
      <vt:variant>
        <vt:lpstr>Named Ranges</vt:lpstr>
      </vt:variant>
      <vt:variant>
        <vt:i4>34</vt:i4>
      </vt:variant>
    </vt:vector>
  </HeadingPairs>
  <TitlesOfParts>
    <vt:vector size="51" baseType="lpstr">
      <vt:lpstr>22.07 Bwaise-Makerere</vt:lpstr>
      <vt:lpstr>22.07 MAKERERE-BWAISE</vt:lpstr>
      <vt:lpstr>23.07 BWAISE-MAKERERE</vt:lpstr>
      <vt:lpstr>23.07 Makerere-Bwaise</vt:lpstr>
      <vt:lpstr>24.07 Bwaise-Makerere</vt:lpstr>
      <vt:lpstr>24.07 Makerere-Bwaise</vt:lpstr>
      <vt:lpstr>25.07Bwaise-Makerere</vt:lpstr>
      <vt:lpstr>25.07 Makerere-Bwaise</vt:lpstr>
      <vt:lpstr>26.07 Bwaise-Makerere-24h</vt:lpstr>
      <vt:lpstr>26.07 Makerere-Bwaise-24h</vt:lpstr>
      <vt:lpstr>27.07 Bwaise-Makerere-24h</vt:lpstr>
      <vt:lpstr>27.07 Makerere-Bwaise-24h</vt:lpstr>
      <vt:lpstr>28.07 Bwaise-Makerere</vt:lpstr>
      <vt:lpstr>28.07 Makerere-Bwaise</vt:lpstr>
      <vt:lpstr>Avg Week Bwaise-Makerere</vt:lpstr>
      <vt:lpstr>Avg Week Makerere-Bwaise</vt:lpstr>
      <vt:lpstr>Avg Week Bwaise-Makerere-2Dir</vt:lpstr>
      <vt:lpstr>'22.07 Bwaise-Makerere'!Print_Area</vt:lpstr>
      <vt:lpstr>'22.07 MAKERERE-BWAISE'!Print_Area</vt:lpstr>
      <vt:lpstr>'23.07 BWAISE-MAKERERE'!Print_Area</vt:lpstr>
      <vt:lpstr>'23.07 Makerere-Bwaise'!Print_Area</vt:lpstr>
      <vt:lpstr>'24.07 Bwaise-Makerere'!Print_Area</vt:lpstr>
      <vt:lpstr>'24.07 Makerere-Bwaise'!Print_Area</vt:lpstr>
      <vt:lpstr>'25.07 Makerere-Bwaise'!Print_Area</vt:lpstr>
      <vt:lpstr>'25.07Bwaise-Makerere'!Print_Area</vt:lpstr>
      <vt:lpstr>'26.07 Bwaise-Makerere-24h'!Print_Area</vt:lpstr>
      <vt:lpstr>'26.07 Makerere-Bwaise-24h'!Print_Area</vt:lpstr>
      <vt:lpstr>'27.07 Bwaise-Makerere-24h'!Print_Area</vt:lpstr>
      <vt:lpstr>'27.07 Makerere-Bwaise-24h'!Print_Area</vt:lpstr>
      <vt:lpstr>'28.07 Bwaise-Makerere'!Print_Area</vt:lpstr>
      <vt:lpstr>'28.07 Makerere-Bwaise'!Print_Area</vt:lpstr>
      <vt:lpstr>'Avg Week Bwaise-Makerere'!Print_Area</vt:lpstr>
      <vt:lpstr>'Avg Week Bwaise-Makerere-2Dir'!Print_Area</vt:lpstr>
      <vt:lpstr>'Avg Week Makerere-Bwaise'!Print_Area</vt:lpstr>
      <vt:lpstr>'22.07 Bwaise-Makerere'!Print_Titles</vt:lpstr>
      <vt:lpstr>'22.07 MAKERERE-BWAISE'!Print_Titles</vt:lpstr>
      <vt:lpstr>'23.07 BWAISE-MAKERERE'!Print_Titles</vt:lpstr>
      <vt:lpstr>'23.07 Makerere-Bwaise'!Print_Titles</vt:lpstr>
      <vt:lpstr>'24.07 Bwaise-Makerere'!Print_Titles</vt:lpstr>
      <vt:lpstr>'24.07 Makerere-Bwaise'!Print_Titles</vt:lpstr>
      <vt:lpstr>'25.07 Makerere-Bwaise'!Print_Titles</vt:lpstr>
      <vt:lpstr>'25.07Bwaise-Makerere'!Print_Titles</vt:lpstr>
      <vt:lpstr>'26.07 Bwaise-Makerere-24h'!Print_Titles</vt:lpstr>
      <vt:lpstr>'26.07 Makerere-Bwaise-24h'!Print_Titles</vt:lpstr>
      <vt:lpstr>'27.07 Bwaise-Makerere-24h'!Print_Titles</vt:lpstr>
      <vt:lpstr>'27.07 Makerere-Bwaise-24h'!Print_Titles</vt:lpstr>
      <vt:lpstr>'28.07 Bwaise-Makerere'!Print_Titles</vt:lpstr>
      <vt:lpstr>'28.07 Makerere-Bwaise'!Print_Titles</vt:lpstr>
      <vt:lpstr>'Avg Week Bwaise-Makerere'!Print_Titles</vt:lpstr>
      <vt:lpstr>'Avg Week Bwaise-Makerere-2Dir'!Print_Titles</vt:lpstr>
      <vt:lpstr>'Avg Week Makerere-Bwaise'!Print_Titles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steward consultancy</dc:creator>
  <cp:lastModifiedBy>ALLAN</cp:lastModifiedBy>
  <cp:lastPrinted>2019-07-25T18:18:41Z</cp:lastPrinted>
  <dcterms:created xsi:type="dcterms:W3CDTF">2010-07-06T07:39:49Z</dcterms:created>
  <dcterms:modified xsi:type="dcterms:W3CDTF">2020-01-15T20:42:17Z</dcterms:modified>
</cp:coreProperties>
</file>