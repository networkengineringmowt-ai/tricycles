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9-ACCESS ROAD\MCC DATA\"/>
    </mc:Choice>
  </mc:AlternateContent>
  <bookViews>
    <workbookView xWindow="-120" yWindow="-120" windowWidth="15600" windowHeight="11160" tabRatio="940" firstSheet="13" activeTab="16"/>
  </bookViews>
  <sheets>
    <sheet name="29.7.Mukwano-Jinja RD" sheetId="114" r:id="rId1"/>
    <sheet name="29.07.Jinja RD-Mukwano" sheetId="113" r:id="rId2"/>
    <sheet name="30.7.Mukwano-Jinja RD" sheetId="95" r:id="rId3"/>
    <sheet name="30.7.Jinja RD-Mukwano RD" sheetId="94" r:id="rId4"/>
    <sheet name="31.07.Mukwano RBT-JinjaRD" sheetId="98" r:id="rId5"/>
    <sheet name="31.07.Jinja RD-Mukwano RD" sheetId="112" r:id="rId6"/>
    <sheet name="01.08. Mukwano RBT-Jinja RD 24h" sheetId="109" r:id="rId7"/>
    <sheet name="1.08.Jinja RD-Mukwano RBT 24h" sheetId="101" r:id="rId8"/>
    <sheet name="02.08.Jinja-Mukwano" sheetId="100" r:id="rId9"/>
    <sheet name="02.08.Mukwano-Jinja" sheetId="115" r:id="rId10"/>
    <sheet name="03.8.Mukwano-Jinja RD 24h" sheetId="117" r:id="rId11"/>
    <sheet name="03.8.Jinja-Mukwano 24h" sheetId="105" r:id="rId12"/>
    <sheet name="04.08.Mukwano-Jinja" sheetId="118" r:id="rId13"/>
    <sheet name="04.08.Jinja RD-Mukwano" sheetId="104" r:id="rId14"/>
    <sheet name="Avg Week Mukwano-Jinja " sheetId="107" r:id="rId15"/>
    <sheet name="Avg Week Jinja-Mukwano" sheetId="108" r:id="rId16"/>
    <sheet name="Avg Week Mukwano-Jinja-2Dir" sheetId="111" r:id="rId17"/>
  </sheets>
  <definedNames>
    <definedName name="_xlnm.Print_Area" localSheetId="6">'01.08. Mukwano RBT-Jinja RD 24h'!$A$1:$AF$108</definedName>
    <definedName name="_xlnm.Print_Area" localSheetId="8">'02.08.Jinja-Mukwano'!$A$1:$AF$60</definedName>
    <definedName name="_xlnm.Print_Area" localSheetId="9">'02.08.Mukwano-Jinja'!$A$1:$AF$60</definedName>
    <definedName name="_xlnm.Print_Area" localSheetId="11">'03.8.Jinja-Mukwano 24h'!$A$1:$AF$108</definedName>
    <definedName name="_xlnm.Print_Area" localSheetId="10">'03.8.Mukwano-Jinja RD 24h'!$A$1:$AF$108</definedName>
    <definedName name="_xlnm.Print_Area" localSheetId="13">'04.08.Jinja RD-Mukwano'!$A$1:$AF$60</definedName>
    <definedName name="_xlnm.Print_Area" localSheetId="12">'04.08.Mukwano-Jinja'!$A$1:$AF$60</definedName>
    <definedName name="_xlnm.Print_Area" localSheetId="7">'1.08.Jinja RD-Mukwano RBT 24h'!$A$1:$AF$108</definedName>
    <definedName name="_xlnm.Print_Area" localSheetId="1">'29.07.Jinja RD-Mukwano'!$A$1:$AF$60</definedName>
    <definedName name="_xlnm.Print_Area" localSheetId="0">'29.7.Mukwano-Jinja RD'!$A$1:$AF$60</definedName>
    <definedName name="_xlnm.Print_Area" localSheetId="3">'30.7.Jinja RD-Mukwano RD'!$A$1:$AF$60</definedName>
    <definedName name="_xlnm.Print_Area" localSheetId="2">'30.7.Mukwano-Jinja RD'!$A$1:$AF$60</definedName>
    <definedName name="_xlnm.Print_Area" localSheetId="5">'31.07.Jinja RD-Mukwano RD'!$A$1:$AF$60</definedName>
    <definedName name="_xlnm.Print_Area" localSheetId="4">'31.07.Mukwano RBT-JinjaRD'!$A$1:$AF$60</definedName>
    <definedName name="_xlnm.Print_Area" localSheetId="15">'Avg Week Jinja-Mukwano'!$A$1:$AF$108</definedName>
    <definedName name="_xlnm.Print_Area" localSheetId="14">'Avg Week Mukwano-Jinja '!$A$1:$AF$108</definedName>
    <definedName name="_xlnm.Print_Area" localSheetId="16">'Avg Week Mukwano-Jinja-2Dir'!$A$1:$AF$108</definedName>
    <definedName name="_xlnm.Print_Titles" localSheetId="6">'01.08. Mukwano RBT-Jinja RD 24h'!$1:$8</definedName>
    <definedName name="_xlnm.Print_Titles" localSheetId="8">'02.08.Jinja-Mukwano'!$1:$8</definedName>
    <definedName name="_xlnm.Print_Titles" localSheetId="9">'02.08.Mukwano-Jinja'!$1:$8</definedName>
    <definedName name="_xlnm.Print_Titles" localSheetId="11">'03.8.Jinja-Mukwano 24h'!$1:$8</definedName>
    <definedName name="_xlnm.Print_Titles" localSheetId="10">'03.8.Mukwano-Jinja RD 24h'!$1:$8</definedName>
    <definedName name="_xlnm.Print_Titles" localSheetId="13">'04.08.Jinja RD-Mukwano'!$1:$8</definedName>
    <definedName name="_xlnm.Print_Titles" localSheetId="12">'04.08.Mukwano-Jinja'!$1:$8</definedName>
    <definedName name="_xlnm.Print_Titles" localSheetId="7">'1.08.Jinja RD-Mukwano RBT 24h'!$1:$8</definedName>
    <definedName name="_xlnm.Print_Titles" localSheetId="1">'29.07.Jinja RD-Mukwano'!$1:$8</definedName>
    <definedName name="_xlnm.Print_Titles" localSheetId="0">'29.7.Mukwano-Jinja RD'!$1:$8</definedName>
    <definedName name="_xlnm.Print_Titles" localSheetId="3">'30.7.Jinja RD-Mukwano RD'!$1:$8</definedName>
    <definedName name="_xlnm.Print_Titles" localSheetId="2">'30.7.Mukwano-Jinja RD'!$1:$8</definedName>
    <definedName name="_xlnm.Print_Titles" localSheetId="5">'31.07.Jinja RD-Mukwano RD'!$1:$8</definedName>
    <definedName name="_xlnm.Print_Titles" localSheetId="4">'31.07.Mukwano RBT-JinjaRD'!$1:$8</definedName>
    <definedName name="_xlnm.Print_Titles" localSheetId="15">'Avg Week Jinja-Mukwano'!$1:$8</definedName>
    <definedName name="_xlnm.Print_Titles" localSheetId="14">'Avg Week Mukwano-Jinja '!$1:$8</definedName>
    <definedName name="_xlnm.Print_Titles" localSheetId="16">'Avg Week Mukwano-Jinja-2Dir'!$1:$8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08" l="1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AF41" i="111" l="1"/>
  <c r="AF42" i="111" s="1"/>
  <c r="AE41" i="111"/>
  <c r="AE42" i="111" s="1"/>
  <c r="AD41" i="111"/>
  <c r="AD42" i="111" s="1"/>
  <c r="AC41" i="111"/>
  <c r="AC42" i="111" s="1"/>
  <c r="AB41" i="111"/>
  <c r="AB42" i="111" s="1"/>
  <c r="AA41" i="111"/>
  <c r="AA42" i="111" s="1"/>
  <c r="Z41" i="111"/>
  <c r="Z42" i="111" s="1"/>
  <c r="Y41" i="111"/>
  <c r="Y42" i="111" s="1"/>
  <c r="X41" i="111"/>
  <c r="X42" i="111" s="1"/>
  <c r="W41" i="111"/>
  <c r="W42" i="111" s="1"/>
  <c r="V41" i="111"/>
  <c r="V42" i="111" s="1"/>
  <c r="U41" i="111"/>
  <c r="U42" i="111" s="1"/>
  <c r="T41" i="111"/>
  <c r="T42" i="111" s="1"/>
  <c r="S41" i="111"/>
  <c r="S42" i="111" s="1"/>
  <c r="T22" i="111"/>
  <c r="U22" i="111"/>
  <c r="V22" i="111"/>
  <c r="W22" i="111"/>
  <c r="X22" i="111"/>
  <c r="Y22" i="111"/>
  <c r="Z22" i="111"/>
  <c r="AA22" i="111"/>
  <c r="AB22" i="111"/>
  <c r="AC22" i="111"/>
  <c r="AD22" i="111"/>
  <c r="AE22" i="111"/>
  <c r="AF22" i="111"/>
  <c r="T23" i="111"/>
  <c r="U23" i="111"/>
  <c r="V23" i="111"/>
  <c r="W23" i="111"/>
  <c r="X23" i="111"/>
  <c r="Y23" i="111"/>
  <c r="Z23" i="111"/>
  <c r="AA23" i="111"/>
  <c r="AB23" i="111"/>
  <c r="AC23" i="111"/>
  <c r="AD23" i="111"/>
  <c r="AE23" i="111"/>
  <c r="AF23" i="111"/>
  <c r="T24" i="111"/>
  <c r="U24" i="111"/>
  <c r="V24" i="111"/>
  <c r="W24" i="111"/>
  <c r="X24" i="111"/>
  <c r="Y24" i="111"/>
  <c r="Z24" i="111"/>
  <c r="AA24" i="111"/>
  <c r="AB24" i="111"/>
  <c r="AC24" i="111"/>
  <c r="AD24" i="111"/>
  <c r="AE24" i="111"/>
  <c r="AF24" i="111"/>
  <c r="T25" i="111"/>
  <c r="U25" i="111"/>
  <c r="V25" i="111"/>
  <c r="W25" i="111"/>
  <c r="X25" i="111"/>
  <c r="Y25" i="111"/>
  <c r="Z25" i="111"/>
  <c r="AA25" i="111"/>
  <c r="AB25" i="111"/>
  <c r="AC25" i="111"/>
  <c r="AD25" i="111"/>
  <c r="AE25" i="111"/>
  <c r="AF25" i="111"/>
  <c r="T26" i="111"/>
  <c r="U26" i="111"/>
  <c r="V26" i="111"/>
  <c r="W26" i="111"/>
  <c r="X26" i="111"/>
  <c r="Y26" i="111"/>
  <c r="Z26" i="111"/>
  <c r="AA26" i="111"/>
  <c r="AB26" i="111"/>
  <c r="AC26" i="111"/>
  <c r="AD26" i="111"/>
  <c r="AE26" i="111"/>
  <c r="AF26" i="111"/>
  <c r="T27" i="111"/>
  <c r="U27" i="111"/>
  <c r="V27" i="111"/>
  <c r="W27" i="111"/>
  <c r="X27" i="111"/>
  <c r="Y27" i="111"/>
  <c r="Z27" i="111"/>
  <c r="AA27" i="111"/>
  <c r="AB27" i="111"/>
  <c r="AC27" i="111"/>
  <c r="AD27" i="111"/>
  <c r="AE27" i="111"/>
  <c r="AF27" i="111"/>
  <c r="T28" i="111"/>
  <c r="U28" i="111"/>
  <c r="V28" i="111"/>
  <c r="W28" i="111"/>
  <c r="X28" i="111"/>
  <c r="Y28" i="111"/>
  <c r="Z28" i="111"/>
  <c r="AA28" i="111"/>
  <c r="AB28" i="111"/>
  <c r="AC28" i="111"/>
  <c r="AD28" i="111"/>
  <c r="AE28" i="111"/>
  <c r="AF28" i="111"/>
  <c r="T29" i="111"/>
  <c r="U29" i="111"/>
  <c r="V29" i="111"/>
  <c r="W29" i="111"/>
  <c r="X29" i="111"/>
  <c r="Y29" i="111"/>
  <c r="Z29" i="111"/>
  <c r="AA29" i="111"/>
  <c r="AB29" i="111"/>
  <c r="AC29" i="111"/>
  <c r="AD29" i="111"/>
  <c r="AE29" i="111"/>
  <c r="AF29" i="111"/>
  <c r="T30" i="111"/>
  <c r="U30" i="111"/>
  <c r="V30" i="111"/>
  <c r="W30" i="111"/>
  <c r="X30" i="111"/>
  <c r="Y30" i="111"/>
  <c r="Z30" i="111"/>
  <c r="AA30" i="111"/>
  <c r="AB30" i="111"/>
  <c r="AC30" i="111"/>
  <c r="AD30" i="111"/>
  <c r="AE30" i="111"/>
  <c r="AF30" i="111"/>
  <c r="T31" i="111"/>
  <c r="U31" i="111"/>
  <c r="V31" i="111"/>
  <c r="W31" i="111"/>
  <c r="X31" i="111"/>
  <c r="Y31" i="111"/>
  <c r="Z31" i="111"/>
  <c r="AA31" i="111"/>
  <c r="AB31" i="111"/>
  <c r="AC31" i="111"/>
  <c r="AD31" i="111"/>
  <c r="AE31" i="111"/>
  <c r="AF31" i="111"/>
  <c r="T32" i="111"/>
  <c r="U32" i="111"/>
  <c r="V32" i="111"/>
  <c r="W32" i="111"/>
  <c r="X32" i="111"/>
  <c r="Y32" i="111"/>
  <c r="Z32" i="111"/>
  <c r="AA32" i="111"/>
  <c r="AB32" i="111"/>
  <c r="AC32" i="111"/>
  <c r="AD32" i="111"/>
  <c r="AE32" i="111"/>
  <c r="AF32" i="111"/>
  <c r="T33" i="111"/>
  <c r="U33" i="111"/>
  <c r="V33" i="111"/>
  <c r="W33" i="111"/>
  <c r="X33" i="111"/>
  <c r="Y33" i="111"/>
  <c r="Z33" i="111"/>
  <c r="AA33" i="111"/>
  <c r="AB33" i="111"/>
  <c r="AC33" i="111"/>
  <c r="AD33" i="111"/>
  <c r="AE33" i="111"/>
  <c r="AF33" i="111"/>
  <c r="S33" i="111"/>
  <c r="S32" i="111"/>
  <c r="S31" i="111"/>
  <c r="S30" i="111"/>
  <c r="S29" i="111"/>
  <c r="S28" i="111"/>
  <c r="S27" i="111"/>
  <c r="S26" i="111"/>
  <c r="S25" i="111"/>
  <c r="S24" i="111"/>
  <c r="S23" i="111"/>
  <c r="S22" i="111"/>
  <c r="AF41" i="108"/>
  <c r="AF42" i="108" s="1"/>
  <c r="AE41" i="108"/>
  <c r="AE42" i="108" s="1"/>
  <c r="AD41" i="108"/>
  <c r="AD42" i="108" s="1"/>
  <c r="AC41" i="108"/>
  <c r="AC42" i="108" s="1"/>
  <c r="AB41" i="108"/>
  <c r="AB42" i="108" s="1"/>
  <c r="AA41" i="108"/>
  <c r="AA42" i="108" s="1"/>
  <c r="Z41" i="108"/>
  <c r="Z42" i="108" s="1"/>
  <c r="Y41" i="108"/>
  <c r="Y42" i="108" s="1"/>
  <c r="X41" i="108"/>
  <c r="X42" i="108" s="1"/>
  <c r="W41" i="108"/>
  <c r="W42" i="108" s="1"/>
  <c r="V41" i="108"/>
  <c r="V42" i="108" s="1"/>
  <c r="U41" i="108"/>
  <c r="U42" i="108" s="1"/>
  <c r="T41" i="108"/>
  <c r="T42" i="108" s="1"/>
  <c r="S41" i="108"/>
  <c r="S42" i="108" s="1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S33" i="108"/>
  <c r="S32" i="108"/>
  <c r="S31" i="108"/>
  <c r="S30" i="108"/>
  <c r="S29" i="108"/>
  <c r="S28" i="108"/>
  <c r="S27" i="108"/>
  <c r="S26" i="108"/>
  <c r="S25" i="108"/>
  <c r="S24" i="108"/>
  <c r="S23" i="108"/>
  <c r="S22" i="108"/>
  <c r="AF41" i="107"/>
  <c r="AF42" i="107" s="1"/>
  <c r="AE41" i="107"/>
  <c r="AE42" i="107" s="1"/>
  <c r="AD41" i="107"/>
  <c r="AD42" i="107" s="1"/>
  <c r="AC41" i="107"/>
  <c r="AC42" i="107" s="1"/>
  <c r="AB41" i="107"/>
  <c r="AB42" i="107" s="1"/>
  <c r="AA41" i="107"/>
  <c r="AA42" i="107" s="1"/>
  <c r="Z41" i="107"/>
  <c r="Z42" i="107" s="1"/>
  <c r="Y41" i="107"/>
  <c r="Y42" i="107" s="1"/>
  <c r="X41" i="107"/>
  <c r="X42" i="107" s="1"/>
  <c r="W41" i="107"/>
  <c r="W42" i="107" s="1"/>
  <c r="V41" i="107"/>
  <c r="V42" i="107" s="1"/>
  <c r="U41" i="107"/>
  <c r="U42" i="107" s="1"/>
  <c r="T41" i="107"/>
  <c r="T42" i="107" s="1"/>
  <c r="S41" i="107"/>
  <c r="S42" i="107" s="1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S33" i="107"/>
  <c r="S32" i="107"/>
  <c r="S31" i="107"/>
  <c r="S30" i="107"/>
  <c r="S29" i="107"/>
  <c r="S28" i="107"/>
  <c r="S27" i="107"/>
  <c r="S26" i="107"/>
  <c r="S25" i="107"/>
  <c r="S24" i="107"/>
  <c r="S23" i="107"/>
  <c r="S22" i="107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P59" i="111" s="1"/>
  <c r="C60" i="111"/>
  <c r="C61" i="111"/>
  <c r="P61" i="111" s="1"/>
  <c r="C62" i="111"/>
  <c r="C63" i="111"/>
  <c r="P63" i="111" s="1"/>
  <c r="C64" i="111"/>
  <c r="C65" i="111"/>
  <c r="P65" i="111" s="1"/>
  <c r="C66" i="111"/>
  <c r="C67" i="111"/>
  <c r="P67" i="111" s="1"/>
  <c r="C68" i="111"/>
  <c r="C69" i="111"/>
  <c r="P69" i="111" s="1"/>
  <c r="C70" i="111"/>
  <c r="C71" i="111"/>
  <c r="P71" i="111" s="1"/>
  <c r="C72" i="111"/>
  <c r="C73" i="111"/>
  <c r="P73" i="111" s="1"/>
  <c r="C74" i="111"/>
  <c r="C75" i="111"/>
  <c r="P75" i="111" s="1"/>
  <c r="C76" i="111"/>
  <c r="C77" i="111"/>
  <c r="P77" i="111" s="1"/>
  <c r="C78" i="111"/>
  <c r="C79" i="111"/>
  <c r="P79" i="111" s="1"/>
  <c r="C80" i="111"/>
  <c r="C81" i="111"/>
  <c r="P81" i="111" s="1"/>
  <c r="C82" i="111"/>
  <c r="C83" i="111"/>
  <c r="P83" i="111" s="1"/>
  <c r="C84" i="111"/>
  <c r="C85" i="111"/>
  <c r="P85" i="111" s="1"/>
  <c r="C86" i="111"/>
  <c r="C87" i="111"/>
  <c r="P87" i="111" s="1"/>
  <c r="C88" i="111"/>
  <c r="C89" i="111"/>
  <c r="P89" i="111" s="1"/>
  <c r="C90" i="111"/>
  <c r="C91" i="111"/>
  <c r="P91" i="111" s="1"/>
  <c r="C92" i="111"/>
  <c r="C93" i="111"/>
  <c r="P93" i="111" s="1"/>
  <c r="C94" i="111"/>
  <c r="C95" i="111"/>
  <c r="P95" i="111" s="1"/>
  <c r="C96" i="111"/>
  <c r="C97" i="111"/>
  <c r="P97" i="111" s="1"/>
  <c r="C98" i="111"/>
  <c r="C99" i="111"/>
  <c r="P99" i="111" s="1"/>
  <c r="C100" i="111"/>
  <c r="C101" i="111"/>
  <c r="P101" i="111" s="1"/>
  <c r="C102" i="111"/>
  <c r="C103" i="111"/>
  <c r="P103" i="111" s="1"/>
  <c r="C104" i="111"/>
  <c r="C105" i="111"/>
  <c r="P105" i="111" s="1"/>
  <c r="C58" i="111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P105" i="108"/>
  <c r="O105" i="108"/>
  <c r="P104" i="108"/>
  <c r="O104" i="108"/>
  <c r="P103" i="108"/>
  <c r="O103" i="108"/>
  <c r="P102" i="108"/>
  <c r="O102" i="108"/>
  <c r="P101" i="108"/>
  <c r="O101" i="108"/>
  <c r="P100" i="108"/>
  <c r="O100" i="108"/>
  <c r="P99" i="108"/>
  <c r="O99" i="108"/>
  <c r="P98" i="108"/>
  <c r="O98" i="108"/>
  <c r="P97" i="108"/>
  <c r="O97" i="108"/>
  <c r="P96" i="108"/>
  <c r="O96" i="108"/>
  <c r="P95" i="108"/>
  <c r="O95" i="108"/>
  <c r="P94" i="108"/>
  <c r="O94" i="108"/>
  <c r="P93" i="108"/>
  <c r="O93" i="108"/>
  <c r="P92" i="108"/>
  <c r="O92" i="108"/>
  <c r="P91" i="108"/>
  <c r="O91" i="108"/>
  <c r="P90" i="108"/>
  <c r="O90" i="108"/>
  <c r="P89" i="108"/>
  <c r="O89" i="108"/>
  <c r="P88" i="108"/>
  <c r="O88" i="108"/>
  <c r="P87" i="108"/>
  <c r="O87" i="108"/>
  <c r="P86" i="108"/>
  <c r="O86" i="108"/>
  <c r="P85" i="108"/>
  <c r="O85" i="108"/>
  <c r="P84" i="108"/>
  <c r="O84" i="108"/>
  <c r="P83" i="108"/>
  <c r="O83" i="108"/>
  <c r="P82" i="108"/>
  <c r="O82" i="108"/>
  <c r="P81" i="108"/>
  <c r="O81" i="108"/>
  <c r="P80" i="108"/>
  <c r="O80" i="108"/>
  <c r="P79" i="108"/>
  <c r="O79" i="108"/>
  <c r="P78" i="108"/>
  <c r="O78" i="108"/>
  <c r="P77" i="108"/>
  <c r="O77" i="108"/>
  <c r="P76" i="108"/>
  <c r="O76" i="108"/>
  <c r="P75" i="108"/>
  <c r="O75" i="108"/>
  <c r="P74" i="108"/>
  <c r="O74" i="108"/>
  <c r="P73" i="108"/>
  <c r="O73" i="108"/>
  <c r="P72" i="108"/>
  <c r="O72" i="108"/>
  <c r="P71" i="108"/>
  <c r="O71" i="108"/>
  <c r="P70" i="108"/>
  <c r="O70" i="108"/>
  <c r="P69" i="108"/>
  <c r="O69" i="108"/>
  <c r="P68" i="108"/>
  <c r="O68" i="108"/>
  <c r="P67" i="108"/>
  <c r="O67" i="108"/>
  <c r="P66" i="108"/>
  <c r="O66" i="108"/>
  <c r="P65" i="108"/>
  <c r="O65" i="108"/>
  <c r="P64" i="108"/>
  <c r="O64" i="108"/>
  <c r="P63" i="108"/>
  <c r="O63" i="108"/>
  <c r="P62" i="108"/>
  <c r="O62" i="108"/>
  <c r="P61" i="108"/>
  <c r="O61" i="108"/>
  <c r="P60" i="108"/>
  <c r="O60" i="108"/>
  <c r="P59" i="108"/>
  <c r="O59" i="108"/>
  <c r="P58" i="108"/>
  <c r="O58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O61" i="111" l="1"/>
  <c r="O65" i="111"/>
  <c r="P58" i="111"/>
  <c r="P68" i="111"/>
  <c r="P66" i="111"/>
  <c r="P64" i="111"/>
  <c r="P62" i="111"/>
  <c r="P60" i="111"/>
  <c r="O59" i="111"/>
  <c r="O63" i="111"/>
  <c r="O67" i="111"/>
  <c r="P104" i="111"/>
  <c r="O104" i="111"/>
  <c r="P102" i="111"/>
  <c r="O102" i="111"/>
  <c r="P100" i="111"/>
  <c r="O100" i="111"/>
  <c r="P98" i="111"/>
  <c r="O98" i="111"/>
  <c r="P96" i="111"/>
  <c r="O96" i="111"/>
  <c r="P94" i="111"/>
  <c r="O94" i="111"/>
  <c r="P92" i="111"/>
  <c r="O92" i="111"/>
  <c r="P90" i="111"/>
  <c r="O90" i="111"/>
  <c r="P88" i="111"/>
  <c r="O88" i="111"/>
  <c r="P86" i="111"/>
  <c r="O86" i="111"/>
  <c r="P84" i="111"/>
  <c r="O84" i="111"/>
  <c r="P82" i="111"/>
  <c r="O82" i="111"/>
  <c r="P80" i="111"/>
  <c r="O80" i="111"/>
  <c r="P78" i="111"/>
  <c r="O78" i="111"/>
  <c r="P76" i="111"/>
  <c r="O76" i="111"/>
  <c r="P74" i="111"/>
  <c r="O74" i="111"/>
  <c r="P72" i="111"/>
  <c r="O72" i="111"/>
  <c r="P70" i="111"/>
  <c r="O70" i="111"/>
  <c r="O105" i="111"/>
  <c r="O103" i="111"/>
  <c r="O101" i="111"/>
  <c r="O99" i="111"/>
  <c r="O97" i="111"/>
  <c r="O95" i="111"/>
  <c r="O93" i="111"/>
  <c r="O91" i="111"/>
  <c r="O89" i="111"/>
  <c r="O87" i="111"/>
  <c r="O85" i="111"/>
  <c r="O83" i="111"/>
  <c r="O81" i="111"/>
  <c r="O79" i="111"/>
  <c r="O77" i="111"/>
  <c r="O75" i="111"/>
  <c r="O73" i="111"/>
  <c r="O71" i="111"/>
  <c r="O69" i="111"/>
  <c r="O58" i="111"/>
  <c r="O60" i="111"/>
  <c r="O62" i="111"/>
  <c r="O64" i="111"/>
  <c r="O66" i="111"/>
  <c r="O68" i="111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 l="1"/>
  <c r="C11" i="108" l="1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N58" i="118" l="1"/>
  <c r="M58" i="118"/>
  <c r="L58" i="118"/>
  <c r="K58" i="118"/>
  <c r="J58" i="118"/>
  <c r="I58" i="118"/>
  <c r="H58" i="118"/>
  <c r="G58" i="118"/>
  <c r="F58" i="118"/>
  <c r="E58" i="118"/>
  <c r="D58" i="118"/>
  <c r="C58" i="118"/>
  <c r="P57" i="118"/>
  <c r="O57" i="118"/>
  <c r="P56" i="118"/>
  <c r="O56" i="118"/>
  <c r="P55" i="118"/>
  <c r="O55" i="118"/>
  <c r="P54" i="118"/>
  <c r="AF21" i="118" s="1"/>
  <c r="O54" i="118"/>
  <c r="AE21" i="118" s="1"/>
  <c r="P53" i="118"/>
  <c r="O53" i="118"/>
  <c r="P52" i="118"/>
  <c r="O52" i="118"/>
  <c r="P51" i="118"/>
  <c r="O51" i="118"/>
  <c r="P50" i="118"/>
  <c r="AF20" i="118" s="1"/>
  <c r="O50" i="118"/>
  <c r="AE20" i="118" s="1"/>
  <c r="P49" i="118"/>
  <c r="O49" i="118"/>
  <c r="P48" i="118"/>
  <c r="O48" i="118"/>
  <c r="P47" i="118"/>
  <c r="O47" i="118"/>
  <c r="P46" i="118"/>
  <c r="AF19" i="118" s="1"/>
  <c r="AF27" i="118" s="1"/>
  <c r="O46" i="118"/>
  <c r="AE19" i="118" s="1"/>
  <c r="AE27" i="118" s="1"/>
  <c r="P45" i="118"/>
  <c r="O45" i="118"/>
  <c r="P44" i="118"/>
  <c r="O44" i="118"/>
  <c r="P43" i="118"/>
  <c r="O43" i="118"/>
  <c r="P42" i="118"/>
  <c r="AF18" i="118" s="1"/>
  <c r="O42" i="118"/>
  <c r="AE18" i="118" s="1"/>
  <c r="P41" i="118"/>
  <c r="O41" i="118"/>
  <c r="P40" i="118"/>
  <c r="O40" i="118"/>
  <c r="P39" i="118"/>
  <c r="O39" i="118"/>
  <c r="P38" i="118"/>
  <c r="AF17" i="118" s="1"/>
  <c r="O38" i="118"/>
  <c r="AE17" i="118" s="1"/>
  <c r="P37" i="118"/>
  <c r="O37" i="118"/>
  <c r="P36" i="118"/>
  <c r="O36" i="118"/>
  <c r="P35" i="118"/>
  <c r="O35" i="118"/>
  <c r="P34" i="118"/>
  <c r="AF16" i="118" s="1"/>
  <c r="O34" i="118"/>
  <c r="AE16" i="118" s="1"/>
  <c r="P33" i="118"/>
  <c r="O33" i="118"/>
  <c r="P32" i="118"/>
  <c r="O32" i="118"/>
  <c r="P31" i="118"/>
  <c r="O31" i="118"/>
  <c r="P30" i="118"/>
  <c r="AF15" i="118" s="1"/>
  <c r="O30" i="118"/>
  <c r="AE15" i="118" s="1"/>
  <c r="P29" i="118"/>
  <c r="O29" i="118"/>
  <c r="P28" i="118"/>
  <c r="O28" i="118"/>
  <c r="P27" i="118"/>
  <c r="O27" i="118"/>
  <c r="P26" i="118"/>
  <c r="O26" i="118"/>
  <c r="AE14" i="118" s="1"/>
  <c r="P25" i="118"/>
  <c r="O25" i="118"/>
  <c r="P24" i="118"/>
  <c r="O24" i="118"/>
  <c r="P23" i="118"/>
  <c r="O23" i="118"/>
  <c r="P22" i="118"/>
  <c r="AF13" i="118" s="1"/>
  <c r="O22" i="118"/>
  <c r="AE13" i="118" s="1"/>
  <c r="AE26" i="118" s="1"/>
  <c r="AD21" i="118"/>
  <c r="AC21" i="118"/>
  <c r="AB21" i="118"/>
  <c r="AA21" i="118"/>
  <c r="Z21" i="118"/>
  <c r="Y21" i="118"/>
  <c r="X21" i="118"/>
  <c r="W21" i="118"/>
  <c r="V21" i="118"/>
  <c r="U21" i="118"/>
  <c r="T21" i="118"/>
  <c r="S21" i="118"/>
  <c r="P21" i="118"/>
  <c r="O21" i="118"/>
  <c r="AD20" i="118"/>
  <c r="AC20" i="118"/>
  <c r="AB20" i="118"/>
  <c r="AA20" i="118"/>
  <c r="Z20" i="118"/>
  <c r="Y20" i="118"/>
  <c r="X20" i="118"/>
  <c r="W20" i="118"/>
  <c r="V20" i="118"/>
  <c r="U20" i="118"/>
  <c r="T20" i="118"/>
  <c r="S20" i="118"/>
  <c r="P20" i="118"/>
  <c r="O20" i="118"/>
  <c r="AD19" i="118"/>
  <c r="AD27" i="118" s="1"/>
  <c r="AC19" i="118"/>
  <c r="AC27" i="118" s="1"/>
  <c r="AB19" i="118"/>
  <c r="AB27" i="118" s="1"/>
  <c r="AA19" i="118"/>
  <c r="AA27" i="118" s="1"/>
  <c r="Z19" i="118"/>
  <c r="Z27" i="118" s="1"/>
  <c r="Y19" i="118"/>
  <c r="Y27" i="118" s="1"/>
  <c r="X19" i="118"/>
  <c r="X27" i="118" s="1"/>
  <c r="W19" i="118"/>
  <c r="W27" i="118" s="1"/>
  <c r="V19" i="118"/>
  <c r="V27" i="118" s="1"/>
  <c r="U19" i="118"/>
  <c r="U27" i="118" s="1"/>
  <c r="T19" i="118"/>
  <c r="T27" i="118" s="1"/>
  <c r="S19" i="118"/>
  <c r="S27" i="118" s="1"/>
  <c r="P19" i="118"/>
  <c r="O19" i="118"/>
  <c r="AD18" i="118"/>
  <c r="AC18" i="118"/>
  <c r="AB18" i="118"/>
  <c r="AA18" i="118"/>
  <c r="Z18" i="118"/>
  <c r="Y18" i="118"/>
  <c r="X18" i="118"/>
  <c r="W18" i="118"/>
  <c r="V18" i="118"/>
  <c r="U18" i="118"/>
  <c r="T18" i="118"/>
  <c r="S18" i="118"/>
  <c r="P18" i="118"/>
  <c r="AF12" i="118" s="1"/>
  <c r="O18" i="118"/>
  <c r="AE12" i="118" s="1"/>
  <c r="AD17" i="118"/>
  <c r="AC17" i="118"/>
  <c r="AB17" i="118"/>
  <c r="AA17" i="118"/>
  <c r="Z17" i="118"/>
  <c r="Y17" i="118"/>
  <c r="X17" i="118"/>
  <c r="W17" i="118"/>
  <c r="V17" i="118"/>
  <c r="U17" i="118"/>
  <c r="T17" i="118"/>
  <c r="S17" i="118"/>
  <c r="P17" i="118"/>
  <c r="O17" i="118"/>
  <c r="AD16" i="118"/>
  <c r="AC16" i="118"/>
  <c r="AB16" i="118"/>
  <c r="AA16" i="118"/>
  <c r="Z16" i="118"/>
  <c r="Y16" i="118"/>
  <c r="X16" i="118"/>
  <c r="W16" i="118"/>
  <c r="V16" i="118"/>
  <c r="U16" i="118"/>
  <c r="T16" i="118"/>
  <c r="S16" i="118"/>
  <c r="P16" i="118"/>
  <c r="O16" i="118"/>
  <c r="AD15" i="118"/>
  <c r="AC15" i="118"/>
  <c r="AB15" i="118"/>
  <c r="AA15" i="118"/>
  <c r="Z15" i="118"/>
  <c r="Y15" i="118"/>
  <c r="X15" i="118"/>
  <c r="W15" i="118"/>
  <c r="V15" i="118"/>
  <c r="U15" i="118"/>
  <c r="T15" i="118"/>
  <c r="S15" i="118"/>
  <c r="P15" i="118"/>
  <c r="O15" i="118"/>
  <c r="AD14" i="118"/>
  <c r="AC14" i="118"/>
  <c r="AB14" i="118"/>
  <c r="AA14" i="118"/>
  <c r="Z14" i="118"/>
  <c r="Y14" i="118"/>
  <c r="X14" i="118"/>
  <c r="W14" i="118"/>
  <c r="V14" i="118"/>
  <c r="U14" i="118"/>
  <c r="T14" i="118"/>
  <c r="S14" i="118"/>
  <c r="P14" i="118"/>
  <c r="AF11" i="118" s="1"/>
  <c r="O14" i="118"/>
  <c r="AE11" i="118" s="1"/>
  <c r="AD13" i="118"/>
  <c r="AD26" i="118" s="1"/>
  <c r="AC13" i="118"/>
  <c r="AC26" i="118" s="1"/>
  <c r="AB13" i="118"/>
  <c r="AB26" i="118" s="1"/>
  <c r="AA13" i="118"/>
  <c r="AA26" i="118" s="1"/>
  <c r="Z13" i="118"/>
  <c r="Z26" i="118" s="1"/>
  <c r="Y13" i="118"/>
  <c r="Y26" i="118" s="1"/>
  <c r="X13" i="118"/>
  <c r="X26" i="118" s="1"/>
  <c r="W13" i="118"/>
  <c r="W26" i="118" s="1"/>
  <c r="V13" i="118"/>
  <c r="V26" i="118" s="1"/>
  <c r="U13" i="118"/>
  <c r="U26" i="118" s="1"/>
  <c r="T13" i="118"/>
  <c r="T26" i="118" s="1"/>
  <c r="S13" i="118"/>
  <c r="S26" i="118" s="1"/>
  <c r="P13" i="118"/>
  <c r="O13" i="118"/>
  <c r="AD12" i="118"/>
  <c r="AC12" i="118"/>
  <c r="AB12" i="118"/>
  <c r="AA12" i="118"/>
  <c r="Z12" i="118"/>
  <c r="Y12" i="118"/>
  <c r="X12" i="118"/>
  <c r="W12" i="118"/>
  <c r="V12" i="118"/>
  <c r="U12" i="118"/>
  <c r="T12" i="118"/>
  <c r="S12" i="118"/>
  <c r="P12" i="118"/>
  <c r="O12" i="118"/>
  <c r="AD11" i="118"/>
  <c r="AC11" i="118"/>
  <c r="AB11" i="118"/>
  <c r="AA11" i="118"/>
  <c r="Z11" i="118"/>
  <c r="Y11" i="118"/>
  <c r="X11" i="118"/>
  <c r="W11" i="118"/>
  <c r="V11" i="118"/>
  <c r="U11" i="118"/>
  <c r="T11" i="118"/>
  <c r="S11" i="118"/>
  <c r="P11" i="118"/>
  <c r="O11" i="118"/>
  <c r="AD10" i="118"/>
  <c r="AC10" i="118"/>
  <c r="AB10" i="118"/>
  <c r="AB28" i="118" s="1"/>
  <c r="AA10" i="118"/>
  <c r="AA28" i="118" s="1"/>
  <c r="Z10" i="118"/>
  <c r="Y10" i="118"/>
  <c r="X10" i="118"/>
  <c r="X28" i="118" s="1"/>
  <c r="W10" i="118"/>
  <c r="W28" i="118" s="1"/>
  <c r="V10" i="118"/>
  <c r="U10" i="118"/>
  <c r="T10" i="118"/>
  <c r="T28" i="118" s="1"/>
  <c r="S10" i="118"/>
  <c r="S28" i="118" s="1"/>
  <c r="P10" i="118"/>
  <c r="O10" i="118"/>
  <c r="C3" i="118"/>
  <c r="N106" i="117"/>
  <c r="M106" i="117"/>
  <c r="L106" i="117"/>
  <c r="K106" i="117"/>
  <c r="J106" i="117"/>
  <c r="I106" i="117"/>
  <c r="H106" i="117"/>
  <c r="G106" i="117"/>
  <c r="F106" i="117"/>
  <c r="E106" i="117"/>
  <c r="D106" i="117"/>
  <c r="C106" i="117"/>
  <c r="P105" i="117"/>
  <c r="O105" i="117"/>
  <c r="P104" i="117"/>
  <c r="O104" i="117"/>
  <c r="P103" i="117"/>
  <c r="O103" i="117"/>
  <c r="P102" i="117"/>
  <c r="AF33" i="117" s="1"/>
  <c r="O102" i="117"/>
  <c r="P101" i="117"/>
  <c r="O101" i="117"/>
  <c r="P100" i="117"/>
  <c r="O100" i="117"/>
  <c r="P99" i="117"/>
  <c r="O99" i="117"/>
  <c r="P98" i="117"/>
  <c r="AF32" i="117" s="1"/>
  <c r="O98" i="117"/>
  <c r="P97" i="117"/>
  <c r="O97" i="117"/>
  <c r="P96" i="117"/>
  <c r="O96" i="117"/>
  <c r="P95" i="117"/>
  <c r="O95" i="117"/>
  <c r="P94" i="117"/>
  <c r="AF31" i="117" s="1"/>
  <c r="O94" i="117"/>
  <c r="P93" i="117"/>
  <c r="O93" i="117"/>
  <c r="P92" i="117"/>
  <c r="O92" i="117"/>
  <c r="P91" i="117"/>
  <c r="O91" i="117"/>
  <c r="P90" i="117"/>
  <c r="AF30" i="117" s="1"/>
  <c r="O90" i="117"/>
  <c r="P89" i="117"/>
  <c r="O89" i="117"/>
  <c r="P88" i="117"/>
  <c r="O88" i="117"/>
  <c r="P87" i="117"/>
  <c r="O87" i="117"/>
  <c r="P86" i="117"/>
  <c r="AF29" i="117" s="1"/>
  <c r="O86" i="117"/>
  <c r="P85" i="117"/>
  <c r="O85" i="117"/>
  <c r="P84" i="117"/>
  <c r="O84" i="117"/>
  <c r="P83" i="117"/>
  <c r="O83" i="117"/>
  <c r="P82" i="117"/>
  <c r="AF28" i="117" s="1"/>
  <c r="O82" i="117"/>
  <c r="P81" i="117"/>
  <c r="O81" i="117"/>
  <c r="P80" i="117"/>
  <c r="O80" i="117"/>
  <c r="P79" i="117"/>
  <c r="O79" i="117"/>
  <c r="P78" i="117"/>
  <c r="AF27" i="117" s="1"/>
  <c r="O78" i="117"/>
  <c r="P77" i="117"/>
  <c r="O77" i="117"/>
  <c r="P76" i="117"/>
  <c r="O76" i="117"/>
  <c r="P75" i="117"/>
  <c r="O75" i="117"/>
  <c r="P74" i="117"/>
  <c r="AF26" i="117" s="1"/>
  <c r="O74" i="117"/>
  <c r="P73" i="117"/>
  <c r="O73" i="117"/>
  <c r="P72" i="117"/>
  <c r="O72" i="117"/>
  <c r="P71" i="117"/>
  <c r="O71" i="117"/>
  <c r="P70" i="117"/>
  <c r="AF25" i="117" s="1"/>
  <c r="O70" i="117"/>
  <c r="P69" i="117"/>
  <c r="O69" i="117"/>
  <c r="P68" i="117"/>
  <c r="O68" i="117"/>
  <c r="P67" i="117"/>
  <c r="O67" i="117"/>
  <c r="P66" i="117"/>
  <c r="AF24" i="117" s="1"/>
  <c r="O66" i="117"/>
  <c r="P65" i="117"/>
  <c r="O65" i="117"/>
  <c r="P64" i="117"/>
  <c r="O64" i="117"/>
  <c r="P63" i="117"/>
  <c r="O63" i="117"/>
  <c r="P62" i="117"/>
  <c r="AF23" i="117" s="1"/>
  <c r="O62" i="117"/>
  <c r="P61" i="117"/>
  <c r="O61" i="117"/>
  <c r="P60" i="117"/>
  <c r="O60" i="117"/>
  <c r="P59" i="117"/>
  <c r="O59" i="117"/>
  <c r="P58" i="117"/>
  <c r="AF22" i="117" s="1"/>
  <c r="O58" i="117"/>
  <c r="P57" i="117"/>
  <c r="O57" i="117"/>
  <c r="P56" i="117"/>
  <c r="O56" i="117"/>
  <c r="P55" i="117"/>
  <c r="O55" i="117"/>
  <c r="P54" i="117"/>
  <c r="AF21" i="117" s="1"/>
  <c r="O54" i="117"/>
  <c r="P53" i="117"/>
  <c r="O53" i="117"/>
  <c r="P52" i="117"/>
  <c r="O52" i="117"/>
  <c r="P51" i="117"/>
  <c r="O51" i="117"/>
  <c r="P50" i="117"/>
  <c r="AF20" i="117" s="1"/>
  <c r="O50" i="117"/>
  <c r="P49" i="117"/>
  <c r="O49" i="117"/>
  <c r="P48" i="117"/>
  <c r="O48" i="117"/>
  <c r="P47" i="117"/>
  <c r="O47" i="117"/>
  <c r="P46" i="117"/>
  <c r="AF19" i="117" s="1"/>
  <c r="AF39" i="117" s="1"/>
  <c r="O46" i="117"/>
  <c r="P45" i="117"/>
  <c r="O45" i="117"/>
  <c r="P44" i="117"/>
  <c r="O44" i="117"/>
  <c r="P43" i="117"/>
  <c r="O43" i="117"/>
  <c r="P42" i="117"/>
  <c r="AF18" i="117" s="1"/>
  <c r="O42" i="117"/>
  <c r="P41" i="117"/>
  <c r="O41" i="117"/>
  <c r="P40" i="117"/>
  <c r="O40" i="117"/>
  <c r="P39" i="117"/>
  <c r="O39" i="117"/>
  <c r="P38" i="117"/>
  <c r="AF17" i="117" s="1"/>
  <c r="O38" i="117"/>
  <c r="AE17" i="117" s="1"/>
  <c r="P37" i="117"/>
  <c r="O37" i="117"/>
  <c r="P36" i="117"/>
  <c r="O36" i="117"/>
  <c r="P35" i="117"/>
  <c r="O35" i="117"/>
  <c r="P34" i="117"/>
  <c r="AF16" i="117" s="1"/>
  <c r="O34" i="117"/>
  <c r="AE16" i="117" s="1"/>
  <c r="AE33" i="117"/>
  <c r="AD33" i="117"/>
  <c r="AC33" i="117"/>
  <c r="AB33" i="117"/>
  <c r="AA33" i="117"/>
  <c r="Z33" i="117"/>
  <c r="Y33" i="117"/>
  <c r="X33" i="117"/>
  <c r="W33" i="117"/>
  <c r="V33" i="117"/>
  <c r="U33" i="117"/>
  <c r="T33" i="117"/>
  <c r="S33" i="117"/>
  <c r="P33" i="117"/>
  <c r="O33" i="117"/>
  <c r="AE32" i="117"/>
  <c r="AD32" i="117"/>
  <c r="AC32" i="117"/>
  <c r="AB32" i="117"/>
  <c r="AA32" i="117"/>
  <c r="Z32" i="117"/>
  <c r="Y32" i="117"/>
  <c r="X32" i="117"/>
  <c r="W32" i="117"/>
  <c r="V32" i="117"/>
  <c r="U32" i="117"/>
  <c r="T32" i="117"/>
  <c r="S32" i="117"/>
  <c r="P32" i="117"/>
  <c r="O32" i="117"/>
  <c r="AE31" i="117"/>
  <c r="AD31" i="117"/>
  <c r="AC31" i="117"/>
  <c r="AB31" i="117"/>
  <c r="AA31" i="117"/>
  <c r="Z31" i="117"/>
  <c r="Y31" i="117"/>
  <c r="X31" i="117"/>
  <c r="W31" i="117"/>
  <c r="V31" i="117"/>
  <c r="U31" i="117"/>
  <c r="T31" i="117"/>
  <c r="S31" i="117"/>
  <c r="P31" i="117"/>
  <c r="O31" i="117"/>
  <c r="AE30" i="117"/>
  <c r="AD30" i="117"/>
  <c r="AC30" i="117"/>
  <c r="AB30" i="117"/>
  <c r="AA30" i="117"/>
  <c r="Z30" i="117"/>
  <c r="Y30" i="117"/>
  <c r="X30" i="117"/>
  <c r="W30" i="117"/>
  <c r="V30" i="117"/>
  <c r="U30" i="117"/>
  <c r="T30" i="117"/>
  <c r="S30" i="117"/>
  <c r="P30" i="117"/>
  <c r="AF15" i="117" s="1"/>
  <c r="O30" i="117"/>
  <c r="AE29" i="117"/>
  <c r="AD29" i="117"/>
  <c r="AC29" i="117"/>
  <c r="AB29" i="117"/>
  <c r="AA29" i="117"/>
  <c r="Z29" i="117"/>
  <c r="Y29" i="117"/>
  <c r="X29" i="117"/>
  <c r="W29" i="117"/>
  <c r="V29" i="117"/>
  <c r="U29" i="117"/>
  <c r="T29" i="117"/>
  <c r="S29" i="117"/>
  <c r="P29" i="117"/>
  <c r="O29" i="117"/>
  <c r="AE28" i="117"/>
  <c r="AD28" i="117"/>
  <c r="AC28" i="117"/>
  <c r="AB28" i="117"/>
  <c r="AA28" i="117"/>
  <c r="Z28" i="117"/>
  <c r="Y28" i="117"/>
  <c r="X28" i="117"/>
  <c r="W28" i="117"/>
  <c r="V28" i="117"/>
  <c r="U28" i="117"/>
  <c r="T28" i="117"/>
  <c r="S28" i="117"/>
  <c r="P28" i="117"/>
  <c r="O28" i="117"/>
  <c r="AE27" i="117"/>
  <c r="AD27" i="117"/>
  <c r="AC27" i="117"/>
  <c r="AB27" i="117"/>
  <c r="AA27" i="117"/>
  <c r="Z27" i="117"/>
  <c r="Y27" i="117"/>
  <c r="X27" i="117"/>
  <c r="W27" i="117"/>
  <c r="V27" i="117"/>
  <c r="U27" i="117"/>
  <c r="T27" i="117"/>
  <c r="S27" i="117"/>
  <c r="P27" i="117"/>
  <c r="O27" i="117"/>
  <c r="AE26" i="117"/>
  <c r="AD26" i="117"/>
  <c r="AC26" i="117"/>
  <c r="AB26" i="117"/>
  <c r="AA26" i="117"/>
  <c r="Z26" i="117"/>
  <c r="Y26" i="117"/>
  <c r="X26" i="117"/>
  <c r="W26" i="117"/>
  <c r="V26" i="117"/>
  <c r="U26" i="117"/>
  <c r="T26" i="117"/>
  <c r="S26" i="117"/>
  <c r="P26" i="117"/>
  <c r="AF14" i="117" s="1"/>
  <c r="O26" i="117"/>
  <c r="AE25" i="117"/>
  <c r="AD25" i="117"/>
  <c r="AC25" i="117"/>
  <c r="AB25" i="117"/>
  <c r="AA25" i="117"/>
  <c r="Z25" i="117"/>
  <c r="Y25" i="117"/>
  <c r="X25" i="117"/>
  <c r="W25" i="117"/>
  <c r="V25" i="117"/>
  <c r="U25" i="117"/>
  <c r="T25" i="117"/>
  <c r="S25" i="117"/>
  <c r="P25" i="117"/>
  <c r="O25" i="117"/>
  <c r="AE24" i="117"/>
  <c r="AD24" i="117"/>
  <c r="AC24" i="117"/>
  <c r="AB24" i="117"/>
  <c r="AA24" i="117"/>
  <c r="Z24" i="117"/>
  <c r="Y24" i="117"/>
  <c r="X24" i="117"/>
  <c r="W24" i="117"/>
  <c r="V24" i="117"/>
  <c r="U24" i="117"/>
  <c r="T24" i="117"/>
  <c r="S24" i="117"/>
  <c r="P24" i="117"/>
  <c r="O24" i="117"/>
  <c r="AE23" i="117"/>
  <c r="AD23" i="117"/>
  <c r="AC23" i="117"/>
  <c r="AB23" i="117"/>
  <c r="AA23" i="117"/>
  <c r="Z23" i="117"/>
  <c r="Y23" i="117"/>
  <c r="X23" i="117"/>
  <c r="W23" i="117"/>
  <c r="V23" i="117"/>
  <c r="U23" i="117"/>
  <c r="T23" i="117"/>
  <c r="S23" i="117"/>
  <c r="P23" i="117"/>
  <c r="O23" i="117"/>
  <c r="AE22" i="117"/>
  <c r="AD22" i="117"/>
  <c r="AC22" i="117"/>
  <c r="AB22" i="117"/>
  <c r="AA22" i="117"/>
  <c r="Z22" i="117"/>
  <c r="Y22" i="117"/>
  <c r="X22" i="117"/>
  <c r="W22" i="117"/>
  <c r="V22" i="117"/>
  <c r="U22" i="117"/>
  <c r="T22" i="117"/>
  <c r="S22" i="117"/>
  <c r="P22" i="117"/>
  <c r="AF13" i="117" s="1"/>
  <c r="AF38" i="117" s="1"/>
  <c r="O22" i="117"/>
  <c r="AE21" i="117"/>
  <c r="AD21" i="117"/>
  <c r="AC21" i="117"/>
  <c r="AB21" i="117"/>
  <c r="AA21" i="117"/>
  <c r="Z21" i="117"/>
  <c r="Y21" i="117"/>
  <c r="X21" i="117"/>
  <c r="W21" i="117"/>
  <c r="V21" i="117"/>
  <c r="U21" i="117"/>
  <c r="T21" i="117"/>
  <c r="S21" i="117"/>
  <c r="P21" i="117"/>
  <c r="O21" i="117"/>
  <c r="AE20" i="117"/>
  <c r="AD20" i="117"/>
  <c r="AC20" i="117"/>
  <c r="AB20" i="117"/>
  <c r="AA20" i="117"/>
  <c r="Z20" i="117"/>
  <c r="Y20" i="117"/>
  <c r="X20" i="117"/>
  <c r="W20" i="117"/>
  <c r="V20" i="117"/>
  <c r="U20" i="117"/>
  <c r="T20" i="117"/>
  <c r="S20" i="117"/>
  <c r="P20" i="117"/>
  <c r="O20" i="117"/>
  <c r="AE19" i="117"/>
  <c r="AE39" i="117" s="1"/>
  <c r="AD19" i="117"/>
  <c r="AC19" i="117"/>
  <c r="AC39" i="117" s="1"/>
  <c r="AB19" i="117"/>
  <c r="AA19" i="117"/>
  <c r="AA39" i="117" s="1"/>
  <c r="Z19" i="117"/>
  <c r="Y19" i="117"/>
  <c r="Y39" i="117" s="1"/>
  <c r="X19" i="117"/>
  <c r="W19" i="117"/>
  <c r="W39" i="117" s="1"/>
  <c r="V19" i="117"/>
  <c r="U19" i="117"/>
  <c r="U39" i="117" s="1"/>
  <c r="T19" i="117"/>
  <c r="S19" i="117"/>
  <c r="S39" i="117" s="1"/>
  <c r="P19" i="117"/>
  <c r="O19" i="117"/>
  <c r="AE18" i="117"/>
  <c r="AD18" i="117"/>
  <c r="AC18" i="117"/>
  <c r="AB18" i="117"/>
  <c r="AA18" i="117"/>
  <c r="Z18" i="117"/>
  <c r="Y18" i="117"/>
  <c r="X18" i="117"/>
  <c r="W18" i="117"/>
  <c r="V18" i="117"/>
  <c r="U18" i="117"/>
  <c r="T18" i="117"/>
  <c r="S18" i="117"/>
  <c r="P18" i="117"/>
  <c r="AF12" i="117" s="1"/>
  <c r="O18" i="117"/>
  <c r="AD17" i="117"/>
  <c r="AC17" i="117"/>
  <c r="AB17" i="117"/>
  <c r="AA17" i="117"/>
  <c r="Z17" i="117"/>
  <c r="Y17" i="117"/>
  <c r="X17" i="117"/>
  <c r="W17" i="117"/>
  <c r="V17" i="117"/>
  <c r="U17" i="117"/>
  <c r="T17" i="117"/>
  <c r="S17" i="117"/>
  <c r="P17" i="117"/>
  <c r="O17" i="117"/>
  <c r="AD16" i="117"/>
  <c r="AC16" i="117"/>
  <c r="AB16" i="117"/>
  <c r="AA16" i="117"/>
  <c r="Z16" i="117"/>
  <c r="Y16" i="117"/>
  <c r="X16" i="117"/>
  <c r="W16" i="117"/>
  <c r="V16" i="117"/>
  <c r="U16" i="117"/>
  <c r="T16" i="117"/>
  <c r="S16" i="117"/>
  <c r="P16" i="117"/>
  <c r="O16" i="117"/>
  <c r="AD15" i="117"/>
  <c r="AC15" i="117"/>
  <c r="AB15" i="117"/>
  <c r="AA15" i="117"/>
  <c r="Z15" i="117"/>
  <c r="Y15" i="117"/>
  <c r="X15" i="117"/>
  <c r="W15" i="117"/>
  <c r="V15" i="117"/>
  <c r="U15" i="117"/>
  <c r="T15" i="117"/>
  <c r="S15" i="117"/>
  <c r="P15" i="117"/>
  <c r="O15" i="117"/>
  <c r="AD14" i="117"/>
  <c r="AC14" i="117"/>
  <c r="AB14" i="117"/>
  <c r="AA14" i="117"/>
  <c r="Z14" i="117"/>
  <c r="Y14" i="117"/>
  <c r="X14" i="117"/>
  <c r="W14" i="117"/>
  <c r="V14" i="117"/>
  <c r="U14" i="117"/>
  <c r="T14" i="117"/>
  <c r="S14" i="117"/>
  <c r="P14" i="117"/>
  <c r="AF11" i="117" s="1"/>
  <c r="O14" i="117"/>
  <c r="AE11" i="117" s="1"/>
  <c r="AD13" i="117"/>
  <c r="AD38" i="117" s="1"/>
  <c r="AC13" i="117"/>
  <c r="AC38" i="117" s="1"/>
  <c r="AB13" i="117"/>
  <c r="AB38" i="117" s="1"/>
  <c r="AA13" i="117"/>
  <c r="AA38" i="117" s="1"/>
  <c r="Z13" i="117"/>
  <c r="Z38" i="117" s="1"/>
  <c r="Y13" i="117"/>
  <c r="Y38" i="117" s="1"/>
  <c r="X13" i="117"/>
  <c r="X38" i="117" s="1"/>
  <c r="W13" i="117"/>
  <c r="W38" i="117" s="1"/>
  <c r="V13" i="117"/>
  <c r="V38" i="117" s="1"/>
  <c r="U13" i="117"/>
  <c r="U38" i="117" s="1"/>
  <c r="T13" i="117"/>
  <c r="T38" i="117" s="1"/>
  <c r="S13" i="117"/>
  <c r="S38" i="117" s="1"/>
  <c r="P13" i="117"/>
  <c r="O13" i="117"/>
  <c r="AD12" i="117"/>
  <c r="AC12" i="117"/>
  <c r="AB12" i="117"/>
  <c r="AA12" i="117"/>
  <c r="Z12" i="117"/>
  <c r="Y12" i="117"/>
  <c r="X12" i="117"/>
  <c r="W12" i="117"/>
  <c r="V12" i="117"/>
  <c r="U12" i="117"/>
  <c r="T12" i="117"/>
  <c r="S12" i="117"/>
  <c r="P12" i="117"/>
  <c r="O12" i="117"/>
  <c r="AD11" i="117"/>
  <c r="AC11" i="117"/>
  <c r="AB11" i="117"/>
  <c r="AA11" i="117"/>
  <c r="Z11" i="117"/>
  <c r="Y11" i="117"/>
  <c r="X11" i="117"/>
  <c r="W11" i="117"/>
  <c r="V11" i="117"/>
  <c r="U11" i="117"/>
  <c r="T11" i="117"/>
  <c r="S11" i="117"/>
  <c r="P11" i="117"/>
  <c r="O11" i="117"/>
  <c r="AD10" i="117"/>
  <c r="AC10" i="117"/>
  <c r="AB10" i="117"/>
  <c r="AB41" i="117" s="1"/>
  <c r="AA10" i="117"/>
  <c r="Z10" i="117"/>
  <c r="Y10" i="117"/>
  <c r="X10" i="117"/>
  <c r="X41" i="117" s="1"/>
  <c r="W10" i="117"/>
  <c r="V10" i="117"/>
  <c r="U10" i="117"/>
  <c r="T10" i="117"/>
  <c r="T41" i="117" s="1"/>
  <c r="S10" i="117"/>
  <c r="P10" i="117"/>
  <c r="O10" i="117"/>
  <c r="K6" i="117"/>
  <c r="G6" i="117"/>
  <c r="D6" i="117"/>
  <c r="K5" i="117"/>
  <c r="C3" i="117"/>
  <c r="N58" i="115"/>
  <c r="M58" i="115"/>
  <c r="L58" i="115"/>
  <c r="K58" i="115"/>
  <c r="J58" i="115"/>
  <c r="I58" i="115"/>
  <c r="H58" i="115"/>
  <c r="G58" i="115"/>
  <c r="F58" i="115"/>
  <c r="E58" i="115"/>
  <c r="D58" i="115"/>
  <c r="C58" i="115"/>
  <c r="P57" i="115"/>
  <c r="O57" i="115"/>
  <c r="P56" i="115"/>
  <c r="O56" i="115"/>
  <c r="P55" i="115"/>
  <c r="O55" i="115"/>
  <c r="P54" i="115"/>
  <c r="AF21" i="115" s="1"/>
  <c r="O54" i="115"/>
  <c r="AE21" i="115" s="1"/>
  <c r="P53" i="115"/>
  <c r="O53" i="115"/>
  <c r="P52" i="115"/>
  <c r="O52" i="115"/>
  <c r="P51" i="115"/>
  <c r="O51" i="115"/>
  <c r="P50" i="115"/>
  <c r="AF20" i="115" s="1"/>
  <c r="O50" i="115"/>
  <c r="AE20" i="115" s="1"/>
  <c r="P49" i="115"/>
  <c r="O49" i="115"/>
  <c r="P48" i="115"/>
  <c r="O48" i="115"/>
  <c r="P47" i="115"/>
  <c r="O47" i="115"/>
  <c r="P46" i="115"/>
  <c r="AF19" i="115" s="1"/>
  <c r="AF27" i="115" s="1"/>
  <c r="O46" i="115"/>
  <c r="AE19" i="115" s="1"/>
  <c r="AE27" i="115" s="1"/>
  <c r="P45" i="115"/>
  <c r="O45" i="115"/>
  <c r="P44" i="115"/>
  <c r="O44" i="115"/>
  <c r="P43" i="115"/>
  <c r="O43" i="115"/>
  <c r="P42" i="115"/>
  <c r="AF18" i="115" s="1"/>
  <c r="O42" i="115"/>
  <c r="AE18" i="115" s="1"/>
  <c r="P41" i="115"/>
  <c r="O41" i="115"/>
  <c r="P40" i="115"/>
  <c r="O40" i="115"/>
  <c r="P39" i="115"/>
  <c r="O39" i="115"/>
  <c r="P38" i="115"/>
  <c r="AF17" i="115" s="1"/>
  <c r="O38" i="115"/>
  <c r="AE17" i="115" s="1"/>
  <c r="P37" i="115"/>
  <c r="O37" i="115"/>
  <c r="P36" i="115"/>
  <c r="O36" i="115"/>
  <c r="P35" i="115"/>
  <c r="O35" i="115"/>
  <c r="P34" i="115"/>
  <c r="AF16" i="115" s="1"/>
  <c r="O34" i="115"/>
  <c r="AE16" i="115" s="1"/>
  <c r="P33" i="115"/>
  <c r="O33" i="115"/>
  <c r="P32" i="115"/>
  <c r="O32" i="115"/>
  <c r="P31" i="115"/>
  <c r="O31" i="115"/>
  <c r="P30" i="115"/>
  <c r="AF15" i="115" s="1"/>
  <c r="O30" i="115"/>
  <c r="AE15" i="115" s="1"/>
  <c r="P29" i="115"/>
  <c r="O29" i="115"/>
  <c r="P28" i="115"/>
  <c r="O28" i="115"/>
  <c r="P27" i="115"/>
  <c r="O27" i="115"/>
  <c r="P26" i="115"/>
  <c r="AF14" i="115" s="1"/>
  <c r="O26" i="115"/>
  <c r="AE14" i="115" s="1"/>
  <c r="P25" i="115"/>
  <c r="O25" i="115"/>
  <c r="P24" i="115"/>
  <c r="O24" i="115"/>
  <c r="P23" i="115"/>
  <c r="O23" i="115"/>
  <c r="P22" i="115"/>
  <c r="AF13" i="115" s="1"/>
  <c r="AF26" i="115" s="1"/>
  <c r="O22" i="115"/>
  <c r="AE13" i="115" s="1"/>
  <c r="AE26" i="115" s="1"/>
  <c r="AD21" i="115"/>
  <c r="AC21" i="115"/>
  <c r="AB21" i="115"/>
  <c r="AA21" i="115"/>
  <c r="Z21" i="115"/>
  <c r="Y21" i="115"/>
  <c r="X21" i="115"/>
  <c r="W21" i="115"/>
  <c r="V21" i="115"/>
  <c r="U21" i="115"/>
  <c r="T21" i="115"/>
  <c r="S21" i="115"/>
  <c r="P21" i="115"/>
  <c r="O21" i="115"/>
  <c r="AD20" i="115"/>
  <c r="AC20" i="115"/>
  <c r="AB20" i="115"/>
  <c r="AA20" i="115"/>
  <c r="Z20" i="115"/>
  <c r="Y20" i="115"/>
  <c r="X20" i="115"/>
  <c r="W20" i="115"/>
  <c r="V20" i="115"/>
  <c r="U20" i="115"/>
  <c r="T20" i="115"/>
  <c r="S20" i="115"/>
  <c r="P20" i="115"/>
  <c r="O20" i="115"/>
  <c r="AD19" i="115"/>
  <c r="AD27" i="115" s="1"/>
  <c r="AC19" i="115"/>
  <c r="AC27" i="115" s="1"/>
  <c r="AB19" i="115"/>
  <c r="AB27" i="115" s="1"/>
  <c r="AA19" i="115"/>
  <c r="AA27" i="115" s="1"/>
  <c r="Z19" i="115"/>
  <c r="Z27" i="115" s="1"/>
  <c r="Y19" i="115"/>
  <c r="Y27" i="115" s="1"/>
  <c r="X19" i="115"/>
  <c r="X27" i="115" s="1"/>
  <c r="W19" i="115"/>
  <c r="W27" i="115" s="1"/>
  <c r="V19" i="115"/>
  <c r="V27" i="115" s="1"/>
  <c r="U19" i="115"/>
  <c r="U27" i="115" s="1"/>
  <c r="T19" i="115"/>
  <c r="T27" i="115" s="1"/>
  <c r="S19" i="115"/>
  <c r="S27" i="115" s="1"/>
  <c r="P19" i="115"/>
  <c r="O19" i="115"/>
  <c r="AD18" i="115"/>
  <c r="AC18" i="115"/>
  <c r="AB18" i="115"/>
  <c r="AA18" i="115"/>
  <c r="Z18" i="115"/>
  <c r="Y18" i="115"/>
  <c r="X18" i="115"/>
  <c r="W18" i="115"/>
  <c r="V18" i="115"/>
  <c r="U18" i="115"/>
  <c r="T18" i="115"/>
  <c r="S18" i="115"/>
  <c r="P18" i="115"/>
  <c r="AF12" i="115" s="1"/>
  <c r="O18" i="115"/>
  <c r="AE12" i="115" s="1"/>
  <c r="AD17" i="115"/>
  <c r="AC17" i="115"/>
  <c r="AB17" i="115"/>
  <c r="AA17" i="115"/>
  <c r="Z17" i="115"/>
  <c r="Y17" i="115"/>
  <c r="X17" i="115"/>
  <c r="W17" i="115"/>
  <c r="V17" i="115"/>
  <c r="U17" i="115"/>
  <c r="T17" i="115"/>
  <c r="S17" i="115"/>
  <c r="P17" i="115"/>
  <c r="O17" i="115"/>
  <c r="AD16" i="115"/>
  <c r="AC16" i="115"/>
  <c r="AB16" i="115"/>
  <c r="AA16" i="115"/>
  <c r="Z16" i="115"/>
  <c r="Y16" i="115"/>
  <c r="X16" i="115"/>
  <c r="W16" i="115"/>
  <c r="V16" i="115"/>
  <c r="U16" i="115"/>
  <c r="T16" i="115"/>
  <c r="S16" i="115"/>
  <c r="P16" i="115"/>
  <c r="O16" i="115"/>
  <c r="AD15" i="115"/>
  <c r="AC15" i="115"/>
  <c r="AB15" i="115"/>
  <c r="AA15" i="115"/>
  <c r="Z15" i="115"/>
  <c r="Y15" i="115"/>
  <c r="X15" i="115"/>
  <c r="W15" i="115"/>
  <c r="V15" i="115"/>
  <c r="U15" i="115"/>
  <c r="T15" i="115"/>
  <c r="S15" i="115"/>
  <c r="P15" i="115"/>
  <c r="O15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P14" i="115"/>
  <c r="AF11" i="115" s="1"/>
  <c r="O14" i="115"/>
  <c r="AE11" i="115" s="1"/>
  <c r="AD13" i="115"/>
  <c r="AD26" i="115" s="1"/>
  <c r="AC13" i="115"/>
  <c r="AC26" i="115" s="1"/>
  <c r="AB13" i="115"/>
  <c r="AB26" i="115" s="1"/>
  <c r="AA13" i="115"/>
  <c r="AA26" i="115" s="1"/>
  <c r="Z13" i="115"/>
  <c r="Z26" i="115" s="1"/>
  <c r="Y13" i="115"/>
  <c r="Y26" i="115" s="1"/>
  <c r="X13" i="115"/>
  <c r="X26" i="115" s="1"/>
  <c r="W13" i="115"/>
  <c r="W26" i="115" s="1"/>
  <c r="V13" i="115"/>
  <c r="V26" i="115" s="1"/>
  <c r="U13" i="115"/>
  <c r="U26" i="115" s="1"/>
  <c r="T13" i="115"/>
  <c r="T26" i="115" s="1"/>
  <c r="S13" i="115"/>
  <c r="S26" i="115" s="1"/>
  <c r="P13" i="115"/>
  <c r="O13" i="115"/>
  <c r="AD12" i="115"/>
  <c r="AC12" i="115"/>
  <c r="AB12" i="115"/>
  <c r="AA12" i="115"/>
  <c r="Z12" i="115"/>
  <c r="Y12" i="115"/>
  <c r="X12" i="115"/>
  <c r="W12" i="115"/>
  <c r="V12" i="115"/>
  <c r="U12" i="115"/>
  <c r="T12" i="115"/>
  <c r="S12" i="115"/>
  <c r="P12" i="115"/>
  <c r="O12" i="115"/>
  <c r="AD11" i="115"/>
  <c r="AC11" i="115"/>
  <c r="AB11" i="115"/>
  <c r="AA11" i="115"/>
  <c r="Z11" i="115"/>
  <c r="Y11" i="115"/>
  <c r="X11" i="115"/>
  <c r="W11" i="115"/>
  <c r="V11" i="115"/>
  <c r="U11" i="115"/>
  <c r="T11" i="115"/>
  <c r="S11" i="115"/>
  <c r="P11" i="115"/>
  <c r="O11" i="115"/>
  <c r="AD10" i="115"/>
  <c r="AC10" i="115"/>
  <c r="AB10" i="115"/>
  <c r="AB28" i="115" s="1"/>
  <c r="AA10" i="115"/>
  <c r="AA28" i="115" s="1"/>
  <c r="Z10" i="115"/>
  <c r="Y10" i="115"/>
  <c r="X10" i="115"/>
  <c r="X28" i="115" s="1"/>
  <c r="W10" i="115"/>
  <c r="W28" i="115" s="1"/>
  <c r="V10" i="115"/>
  <c r="U10" i="115"/>
  <c r="T10" i="115"/>
  <c r="T28" i="115" s="1"/>
  <c r="S10" i="115"/>
  <c r="S28" i="115" s="1"/>
  <c r="P10" i="115"/>
  <c r="O10" i="115"/>
  <c r="C3" i="115"/>
  <c r="N58" i="114"/>
  <c r="M58" i="114"/>
  <c r="L58" i="114"/>
  <c r="K58" i="114"/>
  <c r="J58" i="114"/>
  <c r="I58" i="114"/>
  <c r="H58" i="114"/>
  <c r="G58" i="114"/>
  <c r="F58" i="114"/>
  <c r="E58" i="114"/>
  <c r="D58" i="114"/>
  <c r="C58" i="114"/>
  <c r="P57" i="114"/>
  <c r="O57" i="114"/>
  <c r="P56" i="114"/>
  <c r="O56" i="114"/>
  <c r="P55" i="114"/>
  <c r="O55" i="114"/>
  <c r="P54" i="114"/>
  <c r="O54" i="114"/>
  <c r="AE21" i="114" s="1"/>
  <c r="P53" i="114"/>
  <c r="O53" i="114"/>
  <c r="P52" i="114"/>
  <c r="O52" i="114"/>
  <c r="P51" i="114"/>
  <c r="O51" i="114"/>
  <c r="P50" i="114"/>
  <c r="O50" i="114"/>
  <c r="AE20" i="114" s="1"/>
  <c r="P49" i="114"/>
  <c r="O49" i="114"/>
  <c r="P48" i="114"/>
  <c r="O48" i="114"/>
  <c r="P47" i="114"/>
  <c r="O47" i="114"/>
  <c r="P46" i="114"/>
  <c r="AF19" i="114" s="1"/>
  <c r="O46" i="114"/>
  <c r="AE19" i="114" s="1"/>
  <c r="AE27" i="114" s="1"/>
  <c r="P45" i="114"/>
  <c r="O45" i="114"/>
  <c r="P44" i="114"/>
  <c r="O44" i="114"/>
  <c r="P43" i="114"/>
  <c r="O43" i="114"/>
  <c r="P42" i="114"/>
  <c r="O42" i="114"/>
  <c r="AE18" i="114" s="1"/>
  <c r="P41" i="114"/>
  <c r="O41" i="114"/>
  <c r="P40" i="114"/>
  <c r="O40" i="114"/>
  <c r="P39" i="114"/>
  <c r="O39" i="114"/>
  <c r="P38" i="114"/>
  <c r="O38" i="114"/>
  <c r="AE17" i="114" s="1"/>
  <c r="P37" i="114"/>
  <c r="O37" i="114"/>
  <c r="P36" i="114"/>
  <c r="O36" i="114"/>
  <c r="P35" i="114"/>
  <c r="O35" i="114"/>
  <c r="P34" i="114"/>
  <c r="AF16" i="114" s="1"/>
  <c r="O34" i="114"/>
  <c r="AE16" i="114" s="1"/>
  <c r="P33" i="114"/>
  <c r="O33" i="114"/>
  <c r="P32" i="114"/>
  <c r="O32" i="114"/>
  <c r="P31" i="114"/>
  <c r="O31" i="114"/>
  <c r="P30" i="114"/>
  <c r="AF15" i="114" s="1"/>
  <c r="O30" i="114"/>
  <c r="AE15" i="114" s="1"/>
  <c r="P29" i="114"/>
  <c r="O29" i="114"/>
  <c r="P28" i="114"/>
  <c r="O28" i="114"/>
  <c r="P27" i="114"/>
  <c r="O27" i="114"/>
  <c r="P26" i="114"/>
  <c r="O26" i="114"/>
  <c r="AE14" i="114" s="1"/>
  <c r="P25" i="114"/>
  <c r="O25" i="114"/>
  <c r="P24" i="114"/>
  <c r="O24" i="114"/>
  <c r="P23" i="114"/>
  <c r="O23" i="114"/>
  <c r="P22" i="114"/>
  <c r="AF13" i="114" s="1"/>
  <c r="O22" i="114"/>
  <c r="AE13" i="114" s="1"/>
  <c r="AE26" i="114" s="1"/>
  <c r="AF21" i="114"/>
  <c r="AD21" i="114"/>
  <c r="AC21" i="114"/>
  <c r="AB21" i="114"/>
  <c r="AA21" i="114"/>
  <c r="Z21" i="114"/>
  <c r="Y21" i="114"/>
  <c r="X21" i="114"/>
  <c r="W21" i="114"/>
  <c r="V21" i="114"/>
  <c r="U21" i="114"/>
  <c r="T21" i="114"/>
  <c r="S21" i="114"/>
  <c r="P21" i="114"/>
  <c r="O21" i="114"/>
  <c r="AD20" i="114"/>
  <c r="AC20" i="114"/>
  <c r="AB20" i="114"/>
  <c r="AA20" i="114"/>
  <c r="Z20" i="114"/>
  <c r="Y20" i="114"/>
  <c r="X20" i="114"/>
  <c r="W20" i="114"/>
  <c r="V20" i="114"/>
  <c r="U20" i="114"/>
  <c r="T20" i="114"/>
  <c r="S20" i="114"/>
  <c r="P20" i="114"/>
  <c r="O20" i="114"/>
  <c r="AD19" i="114"/>
  <c r="AD27" i="114" s="1"/>
  <c r="AC19" i="114"/>
  <c r="AB19" i="114"/>
  <c r="AB27" i="114" s="1"/>
  <c r="AA19" i="114"/>
  <c r="Z19" i="114"/>
  <c r="Z27" i="114" s="1"/>
  <c r="Y19" i="114"/>
  <c r="X19" i="114"/>
  <c r="X27" i="114" s="1"/>
  <c r="W19" i="114"/>
  <c r="V19" i="114"/>
  <c r="U19" i="114"/>
  <c r="T19" i="114"/>
  <c r="T27" i="114" s="1"/>
  <c r="S19" i="114"/>
  <c r="P19" i="114"/>
  <c r="O19" i="114"/>
  <c r="AD18" i="114"/>
  <c r="AC18" i="114"/>
  <c r="AB18" i="114"/>
  <c r="AA18" i="114"/>
  <c r="Z18" i="114"/>
  <c r="Y18" i="114"/>
  <c r="X18" i="114"/>
  <c r="W18" i="114"/>
  <c r="V18" i="114"/>
  <c r="U18" i="114"/>
  <c r="T18" i="114"/>
  <c r="S18" i="114"/>
  <c r="P18" i="114"/>
  <c r="O18" i="114"/>
  <c r="AF17" i="114"/>
  <c r="AD17" i="114"/>
  <c r="AC17" i="114"/>
  <c r="AB17" i="114"/>
  <c r="AA17" i="114"/>
  <c r="Z17" i="114"/>
  <c r="Y17" i="114"/>
  <c r="X17" i="114"/>
  <c r="W17" i="114"/>
  <c r="V17" i="114"/>
  <c r="U17" i="114"/>
  <c r="T17" i="114"/>
  <c r="S17" i="114"/>
  <c r="P17" i="114"/>
  <c r="O17" i="114"/>
  <c r="AD16" i="114"/>
  <c r="AC16" i="114"/>
  <c r="AB16" i="114"/>
  <c r="AA16" i="114"/>
  <c r="Z16" i="114"/>
  <c r="Y16" i="114"/>
  <c r="X16" i="114"/>
  <c r="W16" i="114"/>
  <c r="V16" i="114"/>
  <c r="U16" i="114"/>
  <c r="T16" i="114"/>
  <c r="S16" i="114"/>
  <c r="P16" i="114"/>
  <c r="O16" i="114"/>
  <c r="AD15" i="114"/>
  <c r="AC15" i="114"/>
  <c r="AB15" i="114"/>
  <c r="AA15" i="114"/>
  <c r="Z15" i="114"/>
  <c r="Y15" i="114"/>
  <c r="X15" i="114"/>
  <c r="W15" i="114"/>
  <c r="V15" i="114"/>
  <c r="U15" i="114"/>
  <c r="T15" i="114"/>
  <c r="S15" i="114"/>
  <c r="P15" i="114"/>
  <c r="O15" i="114"/>
  <c r="AF14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P14" i="114"/>
  <c r="O14" i="114"/>
  <c r="AE11" i="114" s="1"/>
  <c r="AD13" i="114"/>
  <c r="AD26" i="114" s="1"/>
  <c r="AC13" i="114"/>
  <c r="AB13" i="114"/>
  <c r="AB26" i="114" s="1"/>
  <c r="AA13" i="114"/>
  <c r="Z13" i="114"/>
  <c r="Y13" i="114"/>
  <c r="X13" i="114"/>
  <c r="X26" i="114" s="1"/>
  <c r="W13" i="114"/>
  <c r="V13" i="114"/>
  <c r="V26" i="114" s="1"/>
  <c r="U13" i="114"/>
  <c r="T13" i="114"/>
  <c r="T26" i="114" s="1"/>
  <c r="S13" i="114"/>
  <c r="P13" i="114"/>
  <c r="O13" i="114"/>
  <c r="AD12" i="114"/>
  <c r="AC12" i="114"/>
  <c r="AB12" i="114"/>
  <c r="AA12" i="114"/>
  <c r="Z12" i="114"/>
  <c r="Y12" i="114"/>
  <c r="X12" i="114"/>
  <c r="W12" i="114"/>
  <c r="V12" i="114"/>
  <c r="U12" i="114"/>
  <c r="T12" i="114"/>
  <c r="S12" i="114"/>
  <c r="P12" i="114"/>
  <c r="O12" i="114"/>
  <c r="AF11" i="114"/>
  <c r="AD11" i="114"/>
  <c r="AC11" i="114"/>
  <c r="AB11" i="114"/>
  <c r="AA11" i="114"/>
  <c r="Z11" i="114"/>
  <c r="Y11" i="114"/>
  <c r="X11" i="114"/>
  <c r="W11" i="114"/>
  <c r="V11" i="114"/>
  <c r="U11" i="114"/>
  <c r="T11" i="114"/>
  <c r="S11" i="114"/>
  <c r="P11" i="114"/>
  <c r="O11" i="114"/>
  <c r="AD10" i="114"/>
  <c r="AC10" i="114"/>
  <c r="AB10" i="114"/>
  <c r="AA10" i="114"/>
  <c r="AA28" i="114" s="1"/>
  <c r="Z10" i="114"/>
  <c r="Y10" i="114"/>
  <c r="X10" i="114"/>
  <c r="W10" i="114"/>
  <c r="V10" i="114"/>
  <c r="U10" i="114"/>
  <c r="T10" i="114"/>
  <c r="S10" i="114"/>
  <c r="P10" i="114"/>
  <c r="O10" i="114"/>
  <c r="C3" i="114"/>
  <c r="N58" i="113"/>
  <c r="M58" i="113"/>
  <c r="L58" i="113"/>
  <c r="K58" i="113"/>
  <c r="J58" i="113"/>
  <c r="I58" i="113"/>
  <c r="H58" i="113"/>
  <c r="G58" i="113"/>
  <c r="F58" i="113"/>
  <c r="E58" i="113"/>
  <c r="D58" i="113"/>
  <c r="C58" i="113"/>
  <c r="P57" i="113"/>
  <c r="O57" i="113"/>
  <c r="P56" i="113"/>
  <c r="O56" i="113"/>
  <c r="P55" i="113"/>
  <c r="O55" i="113"/>
  <c r="P54" i="113"/>
  <c r="O54" i="113"/>
  <c r="P53" i="113"/>
  <c r="O53" i="113"/>
  <c r="P52" i="113"/>
  <c r="O52" i="113"/>
  <c r="P51" i="113"/>
  <c r="O51" i="113"/>
  <c r="P50" i="113"/>
  <c r="O50" i="113"/>
  <c r="P49" i="113"/>
  <c r="O49" i="113"/>
  <c r="P48" i="113"/>
  <c r="O48" i="113"/>
  <c r="P47" i="113"/>
  <c r="O47" i="113"/>
  <c r="P46" i="113"/>
  <c r="O46" i="113"/>
  <c r="P45" i="113"/>
  <c r="O45" i="113"/>
  <c r="P44" i="113"/>
  <c r="O44" i="113"/>
  <c r="P43" i="113"/>
  <c r="O43" i="113"/>
  <c r="P42" i="113"/>
  <c r="O42" i="113"/>
  <c r="P41" i="113"/>
  <c r="O41" i="113"/>
  <c r="P40" i="113"/>
  <c r="O40" i="113"/>
  <c r="P39" i="113"/>
  <c r="O39" i="113"/>
  <c r="P38" i="113"/>
  <c r="O38" i="113"/>
  <c r="P37" i="113"/>
  <c r="O37" i="113"/>
  <c r="P36" i="113"/>
  <c r="O36" i="113"/>
  <c r="P35" i="113"/>
  <c r="O35" i="113"/>
  <c r="P34" i="113"/>
  <c r="O34" i="113"/>
  <c r="P33" i="113"/>
  <c r="O33" i="113"/>
  <c r="P32" i="113"/>
  <c r="O32" i="113"/>
  <c r="P31" i="113"/>
  <c r="O31" i="113"/>
  <c r="P30" i="113"/>
  <c r="O30" i="113"/>
  <c r="P29" i="113"/>
  <c r="O29" i="113"/>
  <c r="P28" i="113"/>
  <c r="O28" i="113"/>
  <c r="P27" i="113"/>
  <c r="O27" i="113"/>
  <c r="P26" i="113"/>
  <c r="O26" i="113"/>
  <c r="P25" i="113"/>
  <c r="O25" i="113"/>
  <c r="P24" i="113"/>
  <c r="O24" i="113"/>
  <c r="P23" i="113"/>
  <c r="O23" i="113"/>
  <c r="P22" i="113"/>
  <c r="O22" i="113"/>
  <c r="AF21" i="113"/>
  <c r="AE21" i="113"/>
  <c r="AD21" i="113"/>
  <c r="AC21" i="113"/>
  <c r="AB21" i="113"/>
  <c r="AA21" i="113"/>
  <c r="Z21" i="113"/>
  <c r="Y21" i="113"/>
  <c r="X21" i="113"/>
  <c r="W21" i="113"/>
  <c r="V21" i="113"/>
  <c r="U21" i="113"/>
  <c r="T21" i="113"/>
  <c r="S21" i="113"/>
  <c r="P21" i="113"/>
  <c r="O21" i="113"/>
  <c r="AF20" i="113"/>
  <c r="AE20" i="113"/>
  <c r="AD20" i="113"/>
  <c r="AC20" i="113"/>
  <c r="AB20" i="113"/>
  <c r="AA20" i="113"/>
  <c r="Z20" i="113"/>
  <c r="Y20" i="113"/>
  <c r="X20" i="113"/>
  <c r="W20" i="113"/>
  <c r="V20" i="113"/>
  <c r="U20" i="113"/>
  <c r="T20" i="113"/>
  <c r="S20" i="113"/>
  <c r="P20" i="113"/>
  <c r="O20" i="113"/>
  <c r="AF19" i="113"/>
  <c r="AF27" i="113" s="1"/>
  <c r="AE19" i="113"/>
  <c r="AE27" i="113" s="1"/>
  <c r="AD19" i="113"/>
  <c r="AD27" i="113" s="1"/>
  <c r="AC19" i="113"/>
  <c r="AC27" i="113" s="1"/>
  <c r="AB19" i="113"/>
  <c r="AB27" i="113" s="1"/>
  <c r="AA19" i="113"/>
  <c r="AA27" i="113" s="1"/>
  <c r="Z19" i="113"/>
  <c r="Z27" i="113" s="1"/>
  <c r="Y19" i="113"/>
  <c r="Y27" i="113" s="1"/>
  <c r="X19" i="113"/>
  <c r="X27" i="113" s="1"/>
  <c r="W19" i="113"/>
  <c r="W27" i="113" s="1"/>
  <c r="V19" i="113"/>
  <c r="V27" i="113" s="1"/>
  <c r="U19" i="113"/>
  <c r="U27" i="113" s="1"/>
  <c r="T19" i="113"/>
  <c r="T27" i="113" s="1"/>
  <c r="S19" i="113"/>
  <c r="S27" i="113" s="1"/>
  <c r="P19" i="113"/>
  <c r="O19" i="113"/>
  <c r="AF18" i="113"/>
  <c r="AE18" i="113"/>
  <c r="AD18" i="113"/>
  <c r="AC18" i="113"/>
  <c r="AB18" i="113"/>
  <c r="AA18" i="113"/>
  <c r="Z18" i="113"/>
  <c r="Y18" i="113"/>
  <c r="X18" i="113"/>
  <c r="W18" i="113"/>
  <c r="V18" i="113"/>
  <c r="U18" i="113"/>
  <c r="T18" i="113"/>
  <c r="S18" i="113"/>
  <c r="P18" i="113"/>
  <c r="O18" i="113"/>
  <c r="AF17" i="113"/>
  <c r="AE17" i="113"/>
  <c r="AD17" i="113"/>
  <c r="AC17" i="113"/>
  <c r="AB17" i="113"/>
  <c r="AA17" i="113"/>
  <c r="Z17" i="113"/>
  <c r="Y17" i="113"/>
  <c r="X17" i="113"/>
  <c r="W17" i="113"/>
  <c r="V17" i="113"/>
  <c r="U17" i="113"/>
  <c r="T17" i="113"/>
  <c r="S17" i="113"/>
  <c r="P17" i="113"/>
  <c r="O17" i="113"/>
  <c r="AF16" i="113"/>
  <c r="AE16" i="113"/>
  <c r="AD16" i="113"/>
  <c r="AC16" i="113"/>
  <c r="AB16" i="113"/>
  <c r="AA16" i="113"/>
  <c r="Z16" i="113"/>
  <c r="Y16" i="113"/>
  <c r="X16" i="113"/>
  <c r="W16" i="113"/>
  <c r="V16" i="113"/>
  <c r="U16" i="113"/>
  <c r="T16" i="113"/>
  <c r="S16" i="113"/>
  <c r="P16" i="113"/>
  <c r="O16" i="113"/>
  <c r="AF15" i="113"/>
  <c r="AE15" i="113"/>
  <c r="AD15" i="113"/>
  <c r="AC15" i="113"/>
  <c r="AB15" i="113"/>
  <c r="AA15" i="113"/>
  <c r="Z15" i="113"/>
  <c r="Y15" i="113"/>
  <c r="X15" i="113"/>
  <c r="W15" i="113"/>
  <c r="V15" i="113"/>
  <c r="U15" i="113"/>
  <c r="T15" i="113"/>
  <c r="S15" i="113"/>
  <c r="P15" i="113"/>
  <c r="O15" i="113"/>
  <c r="AF14" i="113"/>
  <c r="AE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P14" i="113"/>
  <c r="O14" i="113"/>
  <c r="AF13" i="113"/>
  <c r="AF26" i="113" s="1"/>
  <c r="AE13" i="113"/>
  <c r="AE26" i="113" s="1"/>
  <c r="AD13" i="113"/>
  <c r="AD26" i="113" s="1"/>
  <c r="AC13" i="113"/>
  <c r="AC26" i="113" s="1"/>
  <c r="AB13" i="113"/>
  <c r="AB26" i="113" s="1"/>
  <c r="AA13" i="113"/>
  <c r="AA26" i="113" s="1"/>
  <c r="Z13" i="113"/>
  <c r="Z26" i="113" s="1"/>
  <c r="Y13" i="113"/>
  <c r="Y26" i="113" s="1"/>
  <c r="X13" i="113"/>
  <c r="X26" i="113" s="1"/>
  <c r="W13" i="113"/>
  <c r="W26" i="113" s="1"/>
  <c r="V13" i="113"/>
  <c r="V26" i="113" s="1"/>
  <c r="U13" i="113"/>
  <c r="U26" i="113" s="1"/>
  <c r="T13" i="113"/>
  <c r="T26" i="113" s="1"/>
  <c r="S13" i="113"/>
  <c r="S26" i="113" s="1"/>
  <c r="P13" i="113"/>
  <c r="O13" i="113"/>
  <c r="AF12" i="113"/>
  <c r="AE12" i="113"/>
  <c r="AD12" i="113"/>
  <c r="AC12" i="113"/>
  <c r="AB12" i="113"/>
  <c r="AA12" i="113"/>
  <c r="Z12" i="113"/>
  <c r="Y12" i="113"/>
  <c r="X12" i="113"/>
  <c r="W12" i="113"/>
  <c r="V12" i="113"/>
  <c r="U12" i="113"/>
  <c r="T12" i="113"/>
  <c r="S12" i="113"/>
  <c r="P12" i="113"/>
  <c r="O12" i="113"/>
  <c r="AF11" i="113"/>
  <c r="AD11" i="113"/>
  <c r="AC11" i="113"/>
  <c r="AB11" i="113"/>
  <c r="AA11" i="113"/>
  <c r="Z11" i="113"/>
  <c r="Y11" i="113"/>
  <c r="X11" i="113"/>
  <c r="W11" i="113"/>
  <c r="V11" i="113"/>
  <c r="U11" i="113"/>
  <c r="T11" i="113"/>
  <c r="S11" i="113"/>
  <c r="P11" i="113"/>
  <c r="O11" i="113"/>
  <c r="AD10" i="113"/>
  <c r="AC10" i="113"/>
  <c r="AC28" i="113" s="1"/>
  <c r="AB10" i="113"/>
  <c r="AA10" i="113"/>
  <c r="Z10" i="113"/>
  <c r="Y10" i="113"/>
  <c r="Y28" i="113" s="1"/>
  <c r="X10" i="113"/>
  <c r="W10" i="113"/>
  <c r="V10" i="113"/>
  <c r="U10" i="113"/>
  <c r="U28" i="113" s="1"/>
  <c r="T10" i="113"/>
  <c r="S10" i="113"/>
  <c r="P10" i="113"/>
  <c r="O10" i="113"/>
  <c r="G6" i="113"/>
  <c r="D6" i="113"/>
  <c r="C3" i="113"/>
  <c r="C58" i="112"/>
  <c r="D58" i="112"/>
  <c r="N58" i="112"/>
  <c r="M58" i="112"/>
  <c r="L58" i="112"/>
  <c r="K58" i="112"/>
  <c r="J58" i="112"/>
  <c r="I58" i="112"/>
  <c r="H58" i="112"/>
  <c r="G58" i="112"/>
  <c r="F58" i="112"/>
  <c r="E58" i="112"/>
  <c r="P57" i="112"/>
  <c r="O57" i="112"/>
  <c r="P56" i="112"/>
  <c r="O56" i="112"/>
  <c r="P55" i="112"/>
  <c r="O55" i="112"/>
  <c r="P54" i="112"/>
  <c r="O54" i="112"/>
  <c r="P53" i="112"/>
  <c r="O53" i="112"/>
  <c r="P52" i="112"/>
  <c r="O52" i="112"/>
  <c r="P51" i="112"/>
  <c r="O51" i="112"/>
  <c r="P50" i="112"/>
  <c r="O50" i="112"/>
  <c r="P49" i="112"/>
  <c r="O49" i="112"/>
  <c r="P48" i="112"/>
  <c r="O48" i="112"/>
  <c r="P47" i="112"/>
  <c r="O47" i="112"/>
  <c r="P46" i="112"/>
  <c r="O46" i="112"/>
  <c r="P45" i="112"/>
  <c r="O45" i="112"/>
  <c r="P44" i="112"/>
  <c r="O44" i="112"/>
  <c r="P43" i="112"/>
  <c r="O43" i="112"/>
  <c r="P42" i="112"/>
  <c r="O42" i="112"/>
  <c r="P41" i="112"/>
  <c r="O41" i="112"/>
  <c r="P40" i="112"/>
  <c r="O40" i="112"/>
  <c r="P39" i="112"/>
  <c r="O39" i="112"/>
  <c r="P38" i="112"/>
  <c r="O38" i="112"/>
  <c r="P37" i="112"/>
  <c r="O37" i="112"/>
  <c r="P36" i="112"/>
  <c r="O36" i="112"/>
  <c r="P35" i="112"/>
  <c r="O35" i="112"/>
  <c r="P34" i="112"/>
  <c r="O34" i="112"/>
  <c r="P33" i="112"/>
  <c r="O33" i="112"/>
  <c r="P32" i="112"/>
  <c r="O32" i="112"/>
  <c r="P31" i="112"/>
  <c r="O31" i="112"/>
  <c r="P30" i="112"/>
  <c r="O30" i="112"/>
  <c r="P29" i="112"/>
  <c r="O29" i="112"/>
  <c r="P28" i="112"/>
  <c r="O28" i="112"/>
  <c r="P27" i="112"/>
  <c r="O27" i="112"/>
  <c r="P26" i="112"/>
  <c r="O26" i="112"/>
  <c r="P25" i="112"/>
  <c r="O25" i="112"/>
  <c r="P24" i="112"/>
  <c r="O24" i="112"/>
  <c r="P23" i="112"/>
  <c r="O23" i="112"/>
  <c r="P22" i="112"/>
  <c r="O22" i="112"/>
  <c r="AF21" i="112"/>
  <c r="AE21" i="112"/>
  <c r="AD21" i="112"/>
  <c r="AC21" i="112"/>
  <c r="AB21" i="112"/>
  <c r="AA21" i="112"/>
  <c r="Z21" i="112"/>
  <c r="Y21" i="112"/>
  <c r="X21" i="112"/>
  <c r="W21" i="112"/>
  <c r="V21" i="112"/>
  <c r="U21" i="112"/>
  <c r="T21" i="112"/>
  <c r="S21" i="112"/>
  <c r="P21" i="112"/>
  <c r="O21" i="112"/>
  <c r="AF20" i="112"/>
  <c r="AE20" i="112"/>
  <c r="AD20" i="112"/>
  <c r="AC20" i="112"/>
  <c r="AB20" i="112"/>
  <c r="AA20" i="112"/>
  <c r="Z20" i="112"/>
  <c r="Y20" i="112"/>
  <c r="X20" i="112"/>
  <c r="W20" i="112"/>
  <c r="V20" i="112"/>
  <c r="U20" i="112"/>
  <c r="T20" i="112"/>
  <c r="S20" i="112"/>
  <c r="P20" i="112"/>
  <c r="O20" i="112"/>
  <c r="AF19" i="112"/>
  <c r="AF27" i="112" s="1"/>
  <c r="AE19" i="112"/>
  <c r="AE27" i="112" s="1"/>
  <c r="AD19" i="112"/>
  <c r="AD27" i="112" s="1"/>
  <c r="AC19" i="112"/>
  <c r="AC27" i="112" s="1"/>
  <c r="AB19" i="112"/>
  <c r="AB27" i="112" s="1"/>
  <c r="AA19" i="112"/>
  <c r="AA27" i="112" s="1"/>
  <c r="Z19" i="112"/>
  <c r="Z27" i="112" s="1"/>
  <c r="Y19" i="112"/>
  <c r="Y27" i="112" s="1"/>
  <c r="X19" i="112"/>
  <c r="X27" i="112" s="1"/>
  <c r="W19" i="112"/>
  <c r="W27" i="112" s="1"/>
  <c r="V19" i="112"/>
  <c r="V27" i="112" s="1"/>
  <c r="U19" i="112"/>
  <c r="U27" i="112" s="1"/>
  <c r="T19" i="112"/>
  <c r="T27" i="112" s="1"/>
  <c r="S19" i="112"/>
  <c r="S27" i="112" s="1"/>
  <c r="P19" i="112"/>
  <c r="O19" i="112"/>
  <c r="AF18" i="112"/>
  <c r="AE18" i="112"/>
  <c r="AD18" i="112"/>
  <c r="AC18" i="112"/>
  <c r="AB18" i="112"/>
  <c r="AA18" i="112"/>
  <c r="Z18" i="112"/>
  <c r="Y18" i="112"/>
  <c r="X18" i="112"/>
  <c r="W18" i="112"/>
  <c r="V18" i="112"/>
  <c r="U18" i="112"/>
  <c r="T18" i="112"/>
  <c r="S18" i="112"/>
  <c r="P18" i="112"/>
  <c r="O18" i="112"/>
  <c r="AF17" i="112"/>
  <c r="AE17" i="112"/>
  <c r="AD17" i="112"/>
  <c r="AC17" i="112"/>
  <c r="AB17" i="112"/>
  <c r="AA17" i="112"/>
  <c r="Z17" i="112"/>
  <c r="Y17" i="112"/>
  <c r="X17" i="112"/>
  <c r="W17" i="112"/>
  <c r="V17" i="112"/>
  <c r="U17" i="112"/>
  <c r="T17" i="112"/>
  <c r="S17" i="112"/>
  <c r="P17" i="112"/>
  <c r="O17" i="112"/>
  <c r="AF16" i="112"/>
  <c r="AE16" i="112"/>
  <c r="AD16" i="112"/>
  <c r="AC16" i="112"/>
  <c r="AB16" i="112"/>
  <c r="AA16" i="112"/>
  <c r="Z16" i="112"/>
  <c r="Y16" i="112"/>
  <c r="X16" i="112"/>
  <c r="W16" i="112"/>
  <c r="V16" i="112"/>
  <c r="U16" i="112"/>
  <c r="T16" i="112"/>
  <c r="S16" i="112"/>
  <c r="P16" i="112"/>
  <c r="O16" i="112"/>
  <c r="AF15" i="112"/>
  <c r="AE15" i="112"/>
  <c r="AD15" i="112"/>
  <c r="AC15" i="112"/>
  <c r="AB15" i="112"/>
  <c r="AA15" i="112"/>
  <c r="Z15" i="112"/>
  <c r="Y15" i="112"/>
  <c r="X15" i="112"/>
  <c r="W15" i="112"/>
  <c r="V15" i="112"/>
  <c r="U15" i="112"/>
  <c r="T15" i="112"/>
  <c r="S15" i="112"/>
  <c r="P15" i="112"/>
  <c r="O15" i="112"/>
  <c r="AF14" i="112"/>
  <c r="AE14" i="112"/>
  <c r="AD14" i="112"/>
  <c r="AC14" i="112"/>
  <c r="AB14" i="112"/>
  <c r="AA14" i="112"/>
  <c r="Z14" i="112"/>
  <c r="Y14" i="112"/>
  <c r="X14" i="112"/>
  <c r="W14" i="112"/>
  <c r="V14" i="112"/>
  <c r="U14" i="112"/>
  <c r="T14" i="112"/>
  <c r="S14" i="112"/>
  <c r="P14" i="112"/>
  <c r="O14" i="112"/>
  <c r="AF13" i="112"/>
  <c r="AF26" i="112" s="1"/>
  <c r="AE13" i="112"/>
  <c r="AE26" i="112" s="1"/>
  <c r="AD13" i="112"/>
  <c r="AD26" i="112" s="1"/>
  <c r="AC13" i="112"/>
  <c r="AC26" i="112" s="1"/>
  <c r="AB13" i="112"/>
  <c r="AB26" i="112" s="1"/>
  <c r="AA13" i="112"/>
  <c r="AA26" i="112" s="1"/>
  <c r="Z13" i="112"/>
  <c r="Z26" i="112" s="1"/>
  <c r="Y13" i="112"/>
  <c r="Y26" i="112" s="1"/>
  <c r="X13" i="112"/>
  <c r="X26" i="112" s="1"/>
  <c r="W13" i="112"/>
  <c r="W26" i="112" s="1"/>
  <c r="V13" i="112"/>
  <c r="V26" i="112" s="1"/>
  <c r="U13" i="112"/>
  <c r="U26" i="112" s="1"/>
  <c r="T13" i="112"/>
  <c r="T26" i="112" s="1"/>
  <c r="S13" i="112"/>
  <c r="S26" i="112" s="1"/>
  <c r="P13" i="112"/>
  <c r="O13" i="112"/>
  <c r="AF12" i="112"/>
  <c r="AE12" i="112"/>
  <c r="AD12" i="112"/>
  <c r="AC12" i="112"/>
  <c r="AB12" i="112"/>
  <c r="AA12" i="112"/>
  <c r="Z12" i="112"/>
  <c r="Y12" i="112"/>
  <c r="X12" i="112"/>
  <c r="W12" i="112"/>
  <c r="V12" i="112"/>
  <c r="U12" i="112"/>
  <c r="T12" i="112"/>
  <c r="S12" i="112"/>
  <c r="P12" i="112"/>
  <c r="O12" i="112"/>
  <c r="AF11" i="112"/>
  <c r="AE11" i="112"/>
  <c r="AD11" i="112"/>
  <c r="AC11" i="112"/>
  <c r="AB11" i="112"/>
  <c r="AA11" i="112"/>
  <c r="Z11" i="112"/>
  <c r="Y11" i="112"/>
  <c r="X11" i="112"/>
  <c r="W11" i="112"/>
  <c r="V11" i="112"/>
  <c r="U11" i="112"/>
  <c r="T11" i="112"/>
  <c r="S11" i="112"/>
  <c r="P11" i="112"/>
  <c r="O11" i="112"/>
  <c r="AD10" i="112"/>
  <c r="AD28" i="112" s="1"/>
  <c r="AC10" i="112"/>
  <c r="AC28" i="112" s="1"/>
  <c r="AB10" i="112"/>
  <c r="AA10" i="112"/>
  <c r="Z10" i="112"/>
  <c r="Z28" i="112" s="1"/>
  <c r="Y10" i="112"/>
  <c r="Y28" i="112" s="1"/>
  <c r="X10" i="112"/>
  <c r="W10" i="112"/>
  <c r="V10" i="112"/>
  <c r="V28" i="112" s="1"/>
  <c r="U10" i="112"/>
  <c r="U28" i="112" s="1"/>
  <c r="T10" i="112"/>
  <c r="S10" i="112"/>
  <c r="P10" i="112"/>
  <c r="P58" i="112" s="1"/>
  <c r="O10" i="112"/>
  <c r="O58" i="112" s="1"/>
  <c r="N60" i="112" s="1"/>
  <c r="D6" i="112"/>
  <c r="D5" i="112"/>
  <c r="C3" i="112"/>
  <c r="E58" i="95"/>
  <c r="F58" i="95"/>
  <c r="AF18" i="114" l="1"/>
  <c r="AF20" i="114"/>
  <c r="V28" i="114"/>
  <c r="Z28" i="114"/>
  <c r="AD28" i="114"/>
  <c r="S26" i="114"/>
  <c r="U26" i="114"/>
  <c r="W26" i="114"/>
  <c r="Y26" i="114"/>
  <c r="AA26" i="114"/>
  <c r="AC26" i="114"/>
  <c r="AE12" i="114"/>
  <c r="S27" i="114"/>
  <c r="U27" i="114"/>
  <c r="AA27" i="114"/>
  <c r="AC27" i="114"/>
  <c r="AF12" i="114"/>
  <c r="S41" i="117"/>
  <c r="W41" i="117"/>
  <c r="AA41" i="117"/>
  <c r="AE12" i="117"/>
  <c r="T39" i="117"/>
  <c r="V39" i="117"/>
  <c r="X39" i="117"/>
  <c r="Z39" i="117"/>
  <c r="AB39" i="117"/>
  <c r="AD39" i="117"/>
  <c r="AE13" i="117"/>
  <c r="AE14" i="117"/>
  <c r="AE15" i="117"/>
  <c r="AF14" i="118"/>
  <c r="AF26" i="118" s="1"/>
  <c r="O58" i="113"/>
  <c r="D60" i="113" s="1"/>
  <c r="Y27" i="114"/>
  <c r="W27" i="114"/>
  <c r="AF27" i="114"/>
  <c r="V27" i="114"/>
  <c r="W28" i="114"/>
  <c r="AF26" i="114"/>
  <c r="Z26" i="114"/>
  <c r="S28" i="114"/>
  <c r="P58" i="114"/>
  <c r="N59" i="114" s="1"/>
  <c r="S28" i="112"/>
  <c r="AA28" i="112"/>
  <c r="V28" i="113"/>
  <c r="AD28" i="113"/>
  <c r="AE11" i="113"/>
  <c r="T28" i="114"/>
  <c r="X28" i="114"/>
  <c r="AB28" i="114"/>
  <c r="O58" i="115"/>
  <c r="U28" i="115"/>
  <c r="Y28" i="115"/>
  <c r="AC28" i="115"/>
  <c r="O106" i="117"/>
  <c r="U41" i="117"/>
  <c r="Y41" i="117"/>
  <c r="AC41" i="117"/>
  <c r="W28" i="112"/>
  <c r="T28" i="112"/>
  <c r="X28" i="112"/>
  <c r="AB28" i="112"/>
  <c r="S28" i="113"/>
  <c r="W28" i="113"/>
  <c r="AA28" i="113"/>
  <c r="O58" i="114"/>
  <c r="F60" i="114" s="1"/>
  <c r="U28" i="114"/>
  <c r="Y28" i="114"/>
  <c r="AC28" i="114"/>
  <c r="P58" i="115"/>
  <c r="E59" i="115" s="1"/>
  <c r="V28" i="115"/>
  <c r="Z28" i="115"/>
  <c r="AD28" i="115"/>
  <c r="P106" i="117"/>
  <c r="N107" i="117" s="1"/>
  <c r="V41" i="117"/>
  <c r="Z41" i="117"/>
  <c r="AD41" i="117"/>
  <c r="O58" i="118"/>
  <c r="J60" i="118" s="1"/>
  <c r="U28" i="118"/>
  <c r="Y28" i="118"/>
  <c r="AC28" i="118"/>
  <c r="T28" i="113"/>
  <c r="X28" i="113"/>
  <c r="P58" i="118"/>
  <c r="N59" i="118" s="1"/>
  <c r="V28" i="118"/>
  <c r="Z28" i="118"/>
  <c r="AD28" i="118"/>
  <c r="H60" i="118"/>
  <c r="AE10" i="118"/>
  <c r="S22" i="118"/>
  <c r="U22" i="118"/>
  <c r="W22" i="118"/>
  <c r="Y22" i="118"/>
  <c r="AA22" i="118"/>
  <c r="AC22" i="118"/>
  <c r="S23" i="118"/>
  <c r="U23" i="118"/>
  <c r="W23" i="118"/>
  <c r="Y23" i="118"/>
  <c r="AA23" i="118"/>
  <c r="AC23" i="118"/>
  <c r="AE23" i="118"/>
  <c r="S24" i="118"/>
  <c r="U24" i="118"/>
  <c r="W24" i="118"/>
  <c r="Y24" i="118"/>
  <c r="AA24" i="118"/>
  <c r="AC24" i="118"/>
  <c r="AE24" i="118"/>
  <c r="S25" i="118"/>
  <c r="U25" i="118"/>
  <c r="W25" i="118"/>
  <c r="Y25" i="118"/>
  <c r="AA25" i="118"/>
  <c r="AC25" i="118"/>
  <c r="K59" i="118"/>
  <c r="AF10" i="118"/>
  <c r="T22" i="118"/>
  <c r="V22" i="118"/>
  <c r="X22" i="118"/>
  <c r="Z22" i="118"/>
  <c r="AB22" i="118"/>
  <c r="AD22" i="118"/>
  <c r="T23" i="118"/>
  <c r="V23" i="118"/>
  <c r="X23" i="118"/>
  <c r="Z23" i="118"/>
  <c r="AB23" i="118"/>
  <c r="AD23" i="118"/>
  <c r="AF23" i="118"/>
  <c r="T24" i="118"/>
  <c r="V24" i="118"/>
  <c r="X24" i="118"/>
  <c r="Z24" i="118"/>
  <c r="AB24" i="118"/>
  <c r="AD24" i="118"/>
  <c r="AF24" i="118"/>
  <c r="T25" i="118"/>
  <c r="V25" i="118"/>
  <c r="X25" i="118"/>
  <c r="Z25" i="118"/>
  <c r="AB25" i="118"/>
  <c r="AD25" i="118"/>
  <c r="F59" i="118"/>
  <c r="D108" i="117"/>
  <c r="F108" i="117"/>
  <c r="H108" i="117"/>
  <c r="J108" i="117"/>
  <c r="L108" i="117"/>
  <c r="C108" i="117"/>
  <c r="E108" i="117"/>
  <c r="G108" i="117"/>
  <c r="I108" i="117"/>
  <c r="K108" i="117"/>
  <c r="AE10" i="117"/>
  <c r="S34" i="117"/>
  <c r="U34" i="117"/>
  <c r="W34" i="117"/>
  <c r="Y34" i="117"/>
  <c r="AA34" i="117"/>
  <c r="AC34" i="117"/>
  <c r="S35" i="117"/>
  <c r="U35" i="117"/>
  <c r="W35" i="117"/>
  <c r="Y35" i="117"/>
  <c r="AA35" i="117"/>
  <c r="AC35" i="117"/>
  <c r="AE35" i="117"/>
  <c r="S36" i="117"/>
  <c r="U36" i="117"/>
  <c r="W36" i="117"/>
  <c r="Y36" i="117"/>
  <c r="AA36" i="117"/>
  <c r="AC36" i="117"/>
  <c r="AE36" i="117"/>
  <c r="S37" i="117"/>
  <c r="U37" i="117"/>
  <c r="W37" i="117"/>
  <c r="Y37" i="117"/>
  <c r="AA37" i="117"/>
  <c r="AC37" i="117"/>
  <c r="S40" i="117"/>
  <c r="S42" i="117" s="1"/>
  <c r="U40" i="117"/>
  <c r="U42" i="117" s="1"/>
  <c r="W40" i="117"/>
  <c r="W42" i="117" s="1"/>
  <c r="Y40" i="117"/>
  <c r="Y42" i="117" s="1"/>
  <c r="AA40" i="117"/>
  <c r="AA42" i="117" s="1"/>
  <c r="AC40" i="117"/>
  <c r="AC42" i="117" s="1"/>
  <c r="N108" i="117"/>
  <c r="AF10" i="117"/>
  <c r="T34" i="117"/>
  <c r="V34" i="117"/>
  <c r="X34" i="117"/>
  <c r="Z34" i="117"/>
  <c r="AB34" i="117"/>
  <c r="AD34" i="117"/>
  <c r="T35" i="117"/>
  <c r="V35" i="117"/>
  <c r="X35" i="117"/>
  <c r="Z35" i="117"/>
  <c r="AB35" i="117"/>
  <c r="AD35" i="117"/>
  <c r="AF35" i="117"/>
  <c r="T36" i="117"/>
  <c r="V36" i="117"/>
  <c r="X36" i="117"/>
  <c r="Z36" i="117"/>
  <c r="AB36" i="117"/>
  <c r="AD36" i="117"/>
  <c r="AF36" i="117"/>
  <c r="T37" i="117"/>
  <c r="V37" i="117"/>
  <c r="X37" i="117"/>
  <c r="Z37" i="117"/>
  <c r="AB37" i="117"/>
  <c r="AD37" i="117"/>
  <c r="T40" i="117"/>
  <c r="T42" i="117" s="1"/>
  <c r="V40" i="117"/>
  <c r="V42" i="117" s="1"/>
  <c r="X40" i="117"/>
  <c r="X42" i="117" s="1"/>
  <c r="Z40" i="117"/>
  <c r="Z42" i="117" s="1"/>
  <c r="AB40" i="117"/>
  <c r="AB42" i="117" s="1"/>
  <c r="AD40" i="117"/>
  <c r="AD42" i="117" s="1"/>
  <c r="D60" i="115"/>
  <c r="F60" i="115"/>
  <c r="H60" i="115"/>
  <c r="J60" i="115"/>
  <c r="L60" i="115"/>
  <c r="N59" i="115"/>
  <c r="C60" i="115"/>
  <c r="E60" i="115"/>
  <c r="G60" i="115"/>
  <c r="I60" i="115"/>
  <c r="K60" i="115"/>
  <c r="M59" i="115"/>
  <c r="AE10" i="115"/>
  <c r="S22" i="115"/>
  <c r="U22" i="115"/>
  <c r="W22" i="115"/>
  <c r="Y22" i="115"/>
  <c r="AA22" i="115"/>
  <c r="AC22" i="115"/>
  <c r="S23" i="115"/>
  <c r="U23" i="115"/>
  <c r="W23" i="115"/>
  <c r="Y23" i="115"/>
  <c r="AA23" i="115"/>
  <c r="AC23" i="115"/>
  <c r="AE23" i="115"/>
  <c r="S24" i="115"/>
  <c r="U24" i="115"/>
  <c r="W24" i="115"/>
  <c r="Y24" i="115"/>
  <c r="AA24" i="115"/>
  <c r="AC24" i="115"/>
  <c r="AE24" i="115"/>
  <c r="S25" i="115"/>
  <c r="U25" i="115"/>
  <c r="W25" i="115"/>
  <c r="Y25" i="115"/>
  <c r="AA25" i="115"/>
  <c r="AC25" i="115"/>
  <c r="C59" i="115"/>
  <c r="N60" i="115"/>
  <c r="AF10" i="115"/>
  <c r="T22" i="115"/>
  <c r="V22" i="115"/>
  <c r="X22" i="115"/>
  <c r="Z22" i="115"/>
  <c r="AB22" i="115"/>
  <c r="AD22" i="115"/>
  <c r="T23" i="115"/>
  <c r="V23" i="115"/>
  <c r="X23" i="115"/>
  <c r="Z23" i="115"/>
  <c r="AB23" i="115"/>
  <c r="AD23" i="115"/>
  <c r="AF23" i="115"/>
  <c r="T24" i="115"/>
  <c r="V24" i="115"/>
  <c r="X24" i="115"/>
  <c r="Z24" i="115"/>
  <c r="AB24" i="115"/>
  <c r="AD24" i="115"/>
  <c r="AF24" i="115"/>
  <c r="T25" i="115"/>
  <c r="V25" i="115"/>
  <c r="X25" i="115"/>
  <c r="Z25" i="115"/>
  <c r="AB25" i="115"/>
  <c r="AD25" i="115"/>
  <c r="D60" i="114"/>
  <c r="AE10" i="114"/>
  <c r="S22" i="114"/>
  <c r="U22" i="114"/>
  <c r="W22" i="114"/>
  <c r="Y22" i="114"/>
  <c r="AA22" i="114"/>
  <c r="AC22" i="114"/>
  <c r="S23" i="114"/>
  <c r="U23" i="114"/>
  <c r="W23" i="114"/>
  <c r="Y23" i="114"/>
  <c r="AA23" i="114"/>
  <c r="AC23" i="114"/>
  <c r="AE23" i="114"/>
  <c r="S24" i="114"/>
  <c r="U24" i="114"/>
  <c r="W24" i="114"/>
  <c r="Y24" i="114"/>
  <c r="AA24" i="114"/>
  <c r="AC24" i="114"/>
  <c r="AE24" i="114"/>
  <c r="S25" i="114"/>
  <c r="U25" i="114"/>
  <c r="W25" i="114"/>
  <c r="Y25" i="114"/>
  <c r="AA25" i="114"/>
  <c r="AC25" i="114"/>
  <c r="AF10" i="114"/>
  <c r="T22" i="114"/>
  <c r="V22" i="114"/>
  <c r="X22" i="114"/>
  <c r="Z22" i="114"/>
  <c r="AB22" i="114"/>
  <c r="AD22" i="114"/>
  <c r="T23" i="114"/>
  <c r="V23" i="114"/>
  <c r="X23" i="114"/>
  <c r="Z23" i="114"/>
  <c r="AB23" i="114"/>
  <c r="AD23" i="114"/>
  <c r="AF23" i="114"/>
  <c r="T24" i="114"/>
  <c r="V24" i="114"/>
  <c r="X24" i="114"/>
  <c r="Z24" i="114"/>
  <c r="AB24" i="114"/>
  <c r="AD24" i="114"/>
  <c r="AF24" i="114"/>
  <c r="T25" i="114"/>
  <c r="V25" i="114"/>
  <c r="X25" i="114"/>
  <c r="Z25" i="114"/>
  <c r="AB25" i="114"/>
  <c r="AD25" i="114"/>
  <c r="Z28" i="113"/>
  <c r="AB28" i="113"/>
  <c r="P58" i="113"/>
  <c r="E59" i="113" s="1"/>
  <c r="AE10" i="113"/>
  <c r="S22" i="113"/>
  <c r="U22" i="113"/>
  <c r="W22" i="113"/>
  <c r="Y22" i="113"/>
  <c r="AA22" i="113"/>
  <c r="AC22" i="113"/>
  <c r="S23" i="113"/>
  <c r="U23" i="113"/>
  <c r="W23" i="113"/>
  <c r="Y23" i="113"/>
  <c r="AA23" i="113"/>
  <c r="AC23" i="113"/>
  <c r="AE23" i="113"/>
  <c r="S24" i="113"/>
  <c r="U24" i="113"/>
  <c r="W24" i="113"/>
  <c r="Y24" i="113"/>
  <c r="AA24" i="113"/>
  <c r="AC24" i="113"/>
  <c r="AE24" i="113"/>
  <c r="S25" i="113"/>
  <c r="U25" i="113"/>
  <c r="W25" i="113"/>
  <c r="Y25" i="113"/>
  <c r="AA25" i="113"/>
  <c r="AC25" i="113"/>
  <c r="AF10" i="113"/>
  <c r="T22" i="113"/>
  <c r="V22" i="113"/>
  <c r="X22" i="113"/>
  <c r="Z22" i="113"/>
  <c r="AB22" i="113"/>
  <c r="AD22" i="113"/>
  <c r="T23" i="113"/>
  <c r="V23" i="113"/>
  <c r="X23" i="113"/>
  <c r="Z23" i="113"/>
  <c r="AB23" i="113"/>
  <c r="AD23" i="113"/>
  <c r="AF23" i="113"/>
  <c r="T24" i="113"/>
  <c r="V24" i="113"/>
  <c r="X24" i="113"/>
  <c r="Z24" i="113"/>
  <c r="AB24" i="113"/>
  <c r="AD24" i="113"/>
  <c r="AF24" i="113"/>
  <c r="T25" i="113"/>
  <c r="V25" i="113"/>
  <c r="X25" i="113"/>
  <c r="Z25" i="113"/>
  <c r="AB25" i="113"/>
  <c r="AD25" i="113"/>
  <c r="M59" i="112"/>
  <c r="C60" i="112"/>
  <c r="E60" i="112"/>
  <c r="G60" i="112"/>
  <c r="I60" i="112"/>
  <c r="K60" i="112"/>
  <c r="D60" i="112"/>
  <c r="F60" i="112"/>
  <c r="H60" i="112"/>
  <c r="J60" i="112"/>
  <c r="L60" i="112"/>
  <c r="N59" i="112"/>
  <c r="AE10" i="112"/>
  <c r="S22" i="112"/>
  <c r="U22" i="112"/>
  <c r="W22" i="112"/>
  <c r="Y22" i="112"/>
  <c r="AA22" i="112"/>
  <c r="AC22" i="112"/>
  <c r="S23" i="112"/>
  <c r="U23" i="112"/>
  <c r="W23" i="112"/>
  <c r="Y23" i="112"/>
  <c r="AA23" i="112"/>
  <c r="AC23" i="112"/>
  <c r="AE23" i="112"/>
  <c r="S24" i="112"/>
  <c r="U24" i="112"/>
  <c r="W24" i="112"/>
  <c r="Y24" i="112"/>
  <c r="AA24" i="112"/>
  <c r="AC24" i="112"/>
  <c r="AE24" i="112"/>
  <c r="S25" i="112"/>
  <c r="U25" i="112"/>
  <c r="W25" i="112"/>
  <c r="Y25" i="112"/>
  <c r="AA25" i="112"/>
  <c r="AC25" i="112"/>
  <c r="C59" i="112"/>
  <c r="E59" i="112"/>
  <c r="G59" i="112"/>
  <c r="I59" i="112"/>
  <c r="K59" i="112"/>
  <c r="AF10" i="112"/>
  <c r="T22" i="112"/>
  <c r="V22" i="112"/>
  <c r="X22" i="112"/>
  <c r="Z22" i="112"/>
  <c r="AB22" i="112"/>
  <c r="AD22" i="112"/>
  <c r="T23" i="112"/>
  <c r="V23" i="112"/>
  <c r="X23" i="112"/>
  <c r="Z23" i="112"/>
  <c r="AB23" i="112"/>
  <c r="AD23" i="112"/>
  <c r="AF23" i="112"/>
  <c r="T24" i="112"/>
  <c r="V24" i="112"/>
  <c r="X24" i="112"/>
  <c r="Z24" i="112"/>
  <c r="AB24" i="112"/>
  <c r="AD24" i="112"/>
  <c r="AF24" i="112"/>
  <c r="T25" i="112"/>
  <c r="V25" i="112"/>
  <c r="X25" i="112"/>
  <c r="Z25" i="112"/>
  <c r="AB25" i="112"/>
  <c r="AD25" i="112"/>
  <c r="D59" i="112"/>
  <c r="F59" i="112"/>
  <c r="H59" i="112"/>
  <c r="J59" i="112"/>
  <c r="L59" i="112"/>
  <c r="K6" i="105"/>
  <c r="K5" i="105"/>
  <c r="G5" i="109"/>
  <c r="G6" i="104"/>
  <c r="G6" i="108" s="1"/>
  <c r="G6" i="100"/>
  <c r="G6" i="107"/>
  <c r="G6" i="105"/>
  <c r="D6" i="104"/>
  <c r="D6" i="108" s="1"/>
  <c r="D6" i="100"/>
  <c r="D6" i="107"/>
  <c r="D6" i="105"/>
  <c r="D5" i="109"/>
  <c r="D5" i="98"/>
  <c r="AE38" i="117" l="1"/>
  <c r="J59" i="118"/>
  <c r="C59" i="118"/>
  <c r="M59" i="118"/>
  <c r="L59" i="118"/>
  <c r="H59" i="118"/>
  <c r="D59" i="118"/>
  <c r="N60" i="118"/>
  <c r="G59" i="118"/>
  <c r="G60" i="118"/>
  <c r="I59" i="118"/>
  <c r="E59" i="118"/>
  <c r="K60" i="118"/>
  <c r="C60" i="118"/>
  <c r="H107" i="117"/>
  <c r="I107" i="117"/>
  <c r="L107" i="117"/>
  <c r="D107" i="117"/>
  <c r="E107" i="117"/>
  <c r="J107" i="117"/>
  <c r="F107" i="117"/>
  <c r="K107" i="117"/>
  <c r="G107" i="117"/>
  <c r="C107" i="117"/>
  <c r="M107" i="117"/>
  <c r="J59" i="115"/>
  <c r="K59" i="115"/>
  <c r="F59" i="115"/>
  <c r="G59" i="115"/>
  <c r="L59" i="115"/>
  <c r="H59" i="115"/>
  <c r="D59" i="115"/>
  <c r="I59" i="115"/>
  <c r="G60" i="113"/>
  <c r="J60" i="113"/>
  <c r="C59" i="113"/>
  <c r="K60" i="113"/>
  <c r="C60" i="113"/>
  <c r="F60" i="113"/>
  <c r="N60" i="113"/>
  <c r="I60" i="113"/>
  <c r="E60" i="113"/>
  <c r="L60" i="113"/>
  <c r="H60" i="113"/>
  <c r="J59" i="113"/>
  <c r="M59" i="113"/>
  <c r="H59" i="114"/>
  <c r="I59" i="114"/>
  <c r="G60" i="114"/>
  <c r="L60" i="114"/>
  <c r="L59" i="114"/>
  <c r="D59" i="114"/>
  <c r="N60" i="114"/>
  <c r="E59" i="114"/>
  <c r="K60" i="114"/>
  <c r="C60" i="114"/>
  <c r="H60" i="114"/>
  <c r="J59" i="114"/>
  <c r="F59" i="114"/>
  <c r="K59" i="114"/>
  <c r="G59" i="114"/>
  <c r="C59" i="114"/>
  <c r="M59" i="114"/>
  <c r="I60" i="114"/>
  <c r="E60" i="114"/>
  <c r="J60" i="114"/>
  <c r="G5" i="105"/>
  <c r="G5" i="117"/>
  <c r="I60" i="118"/>
  <c r="F60" i="118"/>
  <c r="K6" i="115"/>
  <c r="K6" i="118"/>
  <c r="N59" i="113"/>
  <c r="L60" i="118"/>
  <c r="D60" i="118"/>
  <c r="E60" i="118"/>
  <c r="AE28" i="118"/>
  <c r="AE25" i="118"/>
  <c r="AE22" i="118"/>
  <c r="AF28" i="118"/>
  <c r="AF25" i="118"/>
  <c r="AF22" i="118"/>
  <c r="AE41" i="117"/>
  <c r="AE40" i="117"/>
  <c r="AE37" i="117"/>
  <c r="AE34" i="117"/>
  <c r="AF41" i="117"/>
  <c r="AF40" i="117"/>
  <c r="AF37" i="117"/>
  <c r="AF34" i="117"/>
  <c r="AE28" i="115"/>
  <c r="AE25" i="115"/>
  <c r="AE22" i="115"/>
  <c r="AF28" i="115"/>
  <c r="AF25" i="115"/>
  <c r="AF22" i="115"/>
  <c r="AE28" i="114"/>
  <c r="AE25" i="114"/>
  <c r="AE22" i="114"/>
  <c r="AF28" i="114"/>
  <c r="AF25" i="114"/>
  <c r="AF22" i="114"/>
  <c r="K59" i="113"/>
  <c r="F59" i="113"/>
  <c r="G59" i="113"/>
  <c r="L59" i="113"/>
  <c r="H59" i="113"/>
  <c r="D59" i="113"/>
  <c r="I59" i="113"/>
  <c r="AE28" i="113"/>
  <c r="AE25" i="113"/>
  <c r="AE22" i="113"/>
  <c r="AF28" i="113"/>
  <c r="AF25" i="113"/>
  <c r="AF22" i="113"/>
  <c r="AF28" i="112"/>
  <c r="AF25" i="112"/>
  <c r="AF22" i="112"/>
  <c r="AE28" i="112"/>
  <c r="AE25" i="112"/>
  <c r="AE22" i="112"/>
  <c r="K6" i="104"/>
  <c r="K6" i="108" s="1"/>
  <c r="K6" i="111" s="1"/>
  <c r="K6" i="107"/>
  <c r="K5" i="107"/>
  <c r="K5" i="108"/>
  <c r="K5" i="111" s="1"/>
  <c r="G5" i="107"/>
  <c r="G5" i="104"/>
  <c r="G5" i="108" s="1"/>
  <c r="G5" i="111" s="1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4"/>
  <c r="C3" i="105"/>
  <c r="C3" i="100"/>
  <c r="C3" i="98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X39" i="105" s="1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39" i="105" l="1"/>
  <c r="X26" i="98"/>
  <c r="V39" i="105"/>
  <c r="Z39" i="105"/>
  <c r="G5" i="115"/>
  <c r="G5" i="118"/>
  <c r="AE42" i="117"/>
  <c r="AF42" i="117"/>
  <c r="AA39" i="101"/>
  <c r="AA26" i="95"/>
  <c r="Z39" i="101"/>
  <c r="AB39" i="101"/>
  <c r="AD39" i="101"/>
  <c r="W26" i="95"/>
  <c r="AD26" i="95"/>
  <c r="C3" i="108"/>
  <c r="C3" i="111"/>
  <c r="C3" i="107"/>
  <c r="U20" i="100"/>
  <c r="T20" i="105"/>
  <c r="T39" i="105" s="1"/>
  <c r="AC17" i="95"/>
  <c r="AB16" i="95"/>
  <c r="T18" i="98"/>
  <c r="T26" i="98" s="1"/>
  <c r="Z21" i="98"/>
  <c r="X21" i="101"/>
  <c r="X39" i="101" s="1"/>
  <c r="U20" i="105"/>
  <c r="U39" i="105" s="1"/>
  <c r="AA33" i="105"/>
  <c r="U22" i="109"/>
  <c r="V14" i="101"/>
  <c r="V38" i="101" s="1"/>
  <c r="Y13" i="95"/>
  <c r="S17" i="101"/>
  <c r="T23" i="105"/>
  <c r="AC32" i="109"/>
  <c r="W21" i="95"/>
  <c r="AC21" i="95"/>
  <c r="AC24" i="95" s="1"/>
  <c r="AB17" i="98"/>
  <c r="AB23" i="98" s="1"/>
  <c r="AB26" i="98"/>
  <c r="AD18" i="98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W14" i="94"/>
  <c r="S17" i="94"/>
  <c r="S18" i="94"/>
  <c r="S19" i="94"/>
  <c r="AC19" i="94"/>
  <c r="S21" i="94"/>
  <c r="U21" i="94"/>
  <c r="W21" i="94"/>
  <c r="Y21" i="94"/>
  <c r="X12" i="100"/>
  <c r="AB15" i="95"/>
  <c r="AA14" i="94"/>
  <c r="AA15" i="94"/>
  <c r="AA16" i="94"/>
  <c r="AA18" i="94"/>
  <c r="Z13" i="109"/>
  <c r="T19" i="108"/>
  <c r="V19" i="108"/>
  <c r="V12" i="109"/>
  <c r="AD12" i="109"/>
  <c r="W23" i="105"/>
  <c r="S11" i="109"/>
  <c r="AC17" i="109"/>
  <c r="V14" i="109"/>
  <c r="V13" i="109"/>
  <c r="AD13" i="109"/>
  <c r="V15" i="109"/>
  <c r="AD15" i="109"/>
  <c r="AA11" i="109"/>
  <c r="Z12" i="109"/>
  <c r="Z14" i="109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V18" i="98"/>
  <c r="U18" i="94"/>
  <c r="AC16" i="95"/>
  <c r="AD20" i="98"/>
  <c r="AD27" i="98" s="1"/>
  <c r="U14" i="95"/>
  <c r="U26" i="95" s="1"/>
  <c r="T39" i="101"/>
  <c r="AC18" i="95"/>
  <c r="AC16" i="98"/>
  <c r="AC23" i="98" s="1"/>
  <c r="AD13" i="98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Z19" i="98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AC14" i="94"/>
  <c r="Y13" i="100"/>
  <c r="Y16" i="95"/>
  <c r="W20" i="98"/>
  <c r="W24" i="98" s="1"/>
  <c r="Z18" i="95"/>
  <c r="Z26" i="95" s="1"/>
  <c r="Y14" i="94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AD12" i="101"/>
  <c r="T11" i="104"/>
  <c r="X11" i="104"/>
  <c r="AB11" i="104"/>
  <c r="U12" i="101"/>
  <c r="W12" i="101"/>
  <c r="Y12" i="101"/>
  <c r="AA12" i="101"/>
  <c r="AC12" i="101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S13" i="104"/>
  <c r="S15" i="104"/>
  <c r="S19" i="104"/>
  <c r="AC36" i="101"/>
  <c r="W15" i="104"/>
  <c r="W17" i="104"/>
  <c r="W19" i="104"/>
  <c r="W21" i="104"/>
  <c r="W18" i="94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T12" i="101"/>
  <c r="V12" i="101"/>
  <c r="X12" i="101"/>
  <c r="Z12" i="101"/>
  <c r="AB12" i="101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T11" i="101"/>
  <c r="X11" i="101"/>
  <c r="Z11" i="101"/>
  <c r="AB11" i="101"/>
  <c r="AD11" i="101"/>
  <c r="Y39" i="101"/>
  <c r="Y36" i="101"/>
  <c r="AA27" i="104"/>
  <c r="AA24" i="104"/>
  <c r="AA23" i="104"/>
  <c r="P25" i="104"/>
  <c r="T13" i="104"/>
  <c r="P26" i="104"/>
  <c r="T14" i="104"/>
  <c r="H58" i="104"/>
  <c r="Z13" i="101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X11" i="98"/>
  <c r="V12" i="98"/>
  <c r="X12" i="98"/>
  <c r="Z12" i="98"/>
  <c r="AD12" i="98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P11" i="100"/>
  <c r="W10" i="100"/>
  <c r="P12" i="100"/>
  <c r="P13" i="100"/>
  <c r="P15" i="100"/>
  <c r="P16" i="100"/>
  <c r="P19" i="100"/>
  <c r="P20" i="100"/>
  <c r="P34" i="100"/>
  <c r="P42" i="100"/>
  <c r="P50" i="100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AA27" i="100"/>
  <c r="AA24" i="100"/>
  <c r="P25" i="100"/>
  <c r="T13" i="100"/>
  <c r="P26" i="100"/>
  <c r="T14" i="100"/>
  <c r="H58" i="100"/>
  <c r="T11" i="98"/>
  <c r="V11" i="98"/>
  <c r="Z11" i="98"/>
  <c r="AB11" i="98"/>
  <c r="AD11" i="98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U11" i="98"/>
  <c r="W11" i="98"/>
  <c r="Y11" i="98"/>
  <c r="AA11" i="98"/>
  <c r="AC11" i="98"/>
  <c r="S15" i="98"/>
  <c r="V12" i="94"/>
  <c r="S11" i="95"/>
  <c r="W11" i="95"/>
  <c r="AA11" i="95"/>
  <c r="Z12" i="95"/>
  <c r="P17" i="98"/>
  <c r="U12" i="98"/>
  <c r="W12" i="98"/>
  <c r="Y12" i="98"/>
  <c r="AA12" i="98"/>
  <c r="AC12" i="98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8"/>
  <c r="F58" i="98"/>
  <c r="H58" i="98"/>
  <c r="J58" i="98"/>
  <c r="L58" i="98"/>
  <c r="N58" i="98"/>
  <c r="Z26" i="98"/>
  <c r="S17" i="98"/>
  <c r="S20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T11" i="94"/>
  <c r="V11" i="94"/>
  <c r="X11" i="94"/>
  <c r="AB11" i="94"/>
  <c r="AD11" i="94"/>
  <c r="T12" i="94"/>
  <c r="X12" i="94"/>
  <c r="Z12" i="94"/>
  <c r="AB12" i="94"/>
  <c r="D58" i="95"/>
  <c r="H58" i="95"/>
  <c r="J58" i="95"/>
  <c r="L58" i="95"/>
  <c r="N58" i="95"/>
  <c r="T26" i="95"/>
  <c r="AD27" i="95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S10" i="94"/>
  <c r="W10" i="94"/>
  <c r="P18" i="95"/>
  <c r="T27" i="95"/>
  <c r="X27" i="95"/>
  <c r="AB27" i="95"/>
  <c r="P20" i="95"/>
  <c r="U12" i="95"/>
  <c r="W12" i="95"/>
  <c r="Y12" i="95"/>
  <c r="AA12" i="95"/>
  <c r="AC12" i="95"/>
  <c r="O38" i="95"/>
  <c r="S17" i="95"/>
  <c r="O46" i="95"/>
  <c r="S19" i="95"/>
  <c r="Y27" i="95"/>
  <c r="AA27" i="95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P17" i="95"/>
  <c r="P19" i="95"/>
  <c r="P49" i="95"/>
  <c r="P50" i="95"/>
  <c r="P51" i="95"/>
  <c r="P52" i="95"/>
  <c r="P53" i="95"/>
  <c r="P54" i="95"/>
  <c r="P55" i="95"/>
  <c r="P56" i="95"/>
  <c r="P57" i="95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AF32" i="101" l="1"/>
  <c r="U38" i="109"/>
  <c r="AF33" i="101"/>
  <c r="AC26" i="95"/>
  <c r="T23" i="98"/>
  <c r="Z24" i="98"/>
  <c r="V35" i="101"/>
  <c r="U36" i="105"/>
  <c r="Y26" i="95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V21" i="108"/>
  <c r="AD19" i="108"/>
  <c r="Z21" i="108"/>
  <c r="AD20" i="108"/>
  <c r="V20" i="108"/>
  <c r="V36" i="108" s="1"/>
  <c r="Z19" i="108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V10" i="108"/>
  <c r="AB21" i="108"/>
  <c r="X21" i="108"/>
  <c r="T21" i="108"/>
  <c r="AB20" i="108"/>
  <c r="X20" i="108"/>
  <c r="T20" i="108"/>
  <c r="AB19" i="108"/>
  <c r="X19" i="108"/>
  <c r="V12" i="108"/>
  <c r="V11" i="108"/>
  <c r="AD10" i="108"/>
  <c r="AC35" i="109"/>
  <c r="AD11" i="108"/>
  <c r="K10" i="111"/>
  <c r="G10" i="111"/>
  <c r="S36" i="105"/>
  <c r="T38" i="109"/>
  <c r="AD38" i="109"/>
  <c r="Z38" i="109"/>
  <c r="Z11" i="108"/>
  <c r="AA35" i="109"/>
  <c r="V35" i="109"/>
  <c r="X11" i="108"/>
  <c r="Z10" i="108"/>
  <c r="W12" i="108"/>
  <c r="S35" i="109"/>
  <c r="T11" i="108"/>
  <c r="AA12" i="108"/>
  <c r="V24" i="98"/>
  <c r="AB38" i="109"/>
  <c r="X10" i="108"/>
  <c r="AD36" i="109"/>
  <c r="Z39" i="109"/>
  <c r="T10" i="108"/>
  <c r="AB10" i="108"/>
  <c r="AF12" i="109"/>
  <c r="AD39" i="109"/>
  <c r="Z36" i="109"/>
  <c r="V36" i="109"/>
  <c r="AC38" i="109"/>
  <c r="U35" i="109"/>
  <c r="V38" i="109"/>
  <c r="X35" i="109"/>
  <c r="Z35" i="109"/>
  <c r="AD35" i="109"/>
  <c r="X34" i="109"/>
  <c r="Y38" i="109"/>
  <c r="Z38" i="101"/>
  <c r="Y35" i="109"/>
  <c r="AA38" i="109"/>
  <c r="W38" i="109"/>
  <c r="AF30" i="109"/>
  <c r="X39" i="109"/>
  <c r="X37" i="109"/>
  <c r="AF15" i="109"/>
  <c r="AF14" i="109"/>
  <c r="AF13" i="109"/>
  <c r="AF17" i="109"/>
  <c r="AF16" i="10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B36" i="109"/>
  <c r="X36" i="109"/>
  <c r="X40" i="109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AF10" i="108" s="1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U39" i="107"/>
  <c r="AC23" i="95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P106" i="101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8"/>
  <c r="Z27" i="98"/>
  <c r="T24" i="98"/>
  <c r="Y27" i="94"/>
  <c r="Y26" i="94"/>
  <c r="Y23" i="95"/>
  <c r="AF13" i="104"/>
  <c r="AC23" i="94"/>
  <c r="W27" i="98"/>
  <c r="V24" i="95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W25" i="104"/>
  <c r="W27" i="104"/>
  <c r="W26" i="104"/>
  <c r="AC27" i="104"/>
  <c r="U23" i="104"/>
  <c r="AF12" i="104"/>
  <c r="AA28" i="104"/>
  <c r="AF11" i="104"/>
  <c r="AB22" i="104"/>
  <c r="T22" i="104"/>
  <c r="W24" i="104"/>
  <c r="X22" i="104"/>
  <c r="AA38" i="101"/>
  <c r="T25" i="104"/>
  <c r="W22" i="104"/>
  <c r="S28" i="104"/>
  <c r="AA25" i="104"/>
  <c r="S27" i="104"/>
  <c r="Y27" i="104"/>
  <c r="AC38" i="101"/>
  <c r="Y35" i="101"/>
  <c r="U38" i="101"/>
  <c r="AF18" i="104"/>
  <c r="AA22" i="104"/>
  <c r="S22" i="104"/>
  <c r="AC26" i="104"/>
  <c r="U26" i="104"/>
  <c r="S26" i="104"/>
  <c r="AF20" i="104"/>
  <c r="AF16" i="104"/>
  <c r="Y23" i="100"/>
  <c r="AF21" i="104"/>
  <c r="AF19" i="104"/>
  <c r="Y24" i="104"/>
  <c r="AF17" i="104"/>
  <c r="AF15" i="104"/>
  <c r="Y26" i="104"/>
  <c r="AD23" i="104"/>
  <c r="Z26" i="104"/>
  <c r="V23" i="104"/>
  <c r="Z23" i="104"/>
  <c r="W28" i="100"/>
  <c r="AF13" i="100"/>
  <c r="Z35" i="101"/>
  <c r="AB23" i="104"/>
  <c r="X26" i="104"/>
  <c r="T28" i="104"/>
  <c r="Y23" i="104"/>
  <c r="AF14" i="104"/>
  <c r="AD26" i="104"/>
  <c r="V26" i="104"/>
  <c r="S23" i="104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X28" i="104"/>
  <c r="X23" i="104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T23" i="104"/>
  <c r="T26" i="104"/>
  <c r="AC24" i="100"/>
  <c r="U24" i="100"/>
  <c r="AC23" i="100"/>
  <c r="U23" i="100"/>
  <c r="T25" i="100"/>
  <c r="AA22" i="100"/>
  <c r="W27" i="100"/>
  <c r="AF15" i="101"/>
  <c r="AF14" i="101"/>
  <c r="AF13" i="101"/>
  <c r="AF12" i="101"/>
  <c r="AF11" i="101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Y27" i="100"/>
  <c r="Y26" i="100"/>
  <c r="T25" i="94"/>
  <c r="AB25" i="100"/>
  <c r="W23" i="100"/>
  <c r="AA28" i="100"/>
  <c r="AF12" i="100"/>
  <c r="W25" i="100"/>
  <c r="S28" i="100"/>
  <c r="AF11" i="100"/>
  <c r="W24" i="100"/>
  <c r="S23" i="100"/>
  <c r="X25" i="94"/>
  <c r="S26" i="100"/>
  <c r="AF11" i="98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S23" i="95"/>
  <c r="S25" i="94"/>
  <c r="X23" i="100"/>
  <c r="AB28" i="100"/>
  <c r="U27" i="100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D23" i="100"/>
  <c r="Z26" i="100"/>
  <c r="V23" i="100"/>
  <c r="T23" i="100"/>
  <c r="T26" i="100"/>
  <c r="AA25" i="94"/>
  <c r="AF12" i="95"/>
  <c r="AF20" i="98"/>
  <c r="AF13" i="98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X28" i="100"/>
  <c r="AF12" i="98"/>
  <c r="S24" i="98"/>
  <c r="S27" i="98"/>
  <c r="AB22" i="94"/>
  <c r="T22" i="94"/>
  <c r="AF18" i="98"/>
  <c r="AF19" i="98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AD12" i="111" l="1"/>
  <c r="T12" i="111"/>
  <c r="T13" i="111"/>
  <c r="AE24" i="9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AA10" i="111"/>
  <c r="X34" i="108"/>
  <c r="Z34" i="108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H60" i="94"/>
  <c r="C59" i="104"/>
  <c r="AE27" i="104"/>
  <c r="AE24" i="104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7" i="100"/>
  <c r="C107" i="101"/>
  <c r="AE40" i="101"/>
  <c r="AE37" i="101"/>
  <c r="AE34" i="101"/>
  <c r="AF40" i="101"/>
  <c r="AF37" i="101"/>
  <c r="AF34" i="101"/>
  <c r="AE38" i="101"/>
  <c r="AE35" i="101"/>
  <c r="AE24" i="100"/>
  <c r="AF26" i="100"/>
  <c r="AF27" i="100"/>
  <c r="D59" i="100"/>
  <c r="AE27" i="98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C60" i="100"/>
  <c r="L60" i="100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H60" i="100"/>
  <c r="C59" i="100"/>
  <c r="L59" i="100"/>
  <c r="AF23" i="98"/>
  <c r="AF27" i="98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F28" i="98"/>
  <c r="AF25" i="98"/>
  <c r="AF22" i="98"/>
  <c r="AF26" i="98"/>
  <c r="AE28" i="98"/>
  <c r="AE25" i="98"/>
  <c r="AE22" i="98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4" i="94"/>
  <c r="AF26" i="94"/>
  <c r="AF26" i="95"/>
  <c r="AF28" i="95"/>
  <c r="AF25" i="95"/>
  <c r="AF22" i="95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AF23" i="95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AE28" i="95"/>
  <c r="AE25" i="95"/>
  <c r="AE22" i="95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AD37" i="111" l="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AF34" i="111" s="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AF37" i="111" l="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<sst xmlns="http://schemas.openxmlformats.org/spreadsheetml/2006/main" count="2370" uniqueCount="192">
  <si>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</si>
  <si>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</si>
  <si>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</si>
  <si>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</si>
  <si>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</si>
  <si>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</si>
  <si>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</si>
  <si>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</si>
  <si>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</si>
  <si>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</si>
  <si>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</si>
  <si>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</si>
  <si>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</si>
  <si>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</si>
  <si>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</si>
  <si>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</si>
  <si>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</si>
  <si>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</si>
  <si>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</si>
  <si>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</si>
  <si>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</si>
  <si>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</si>
  <si>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</si>
  <si>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</si>
  <si>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</si>
  <si>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</si>
  <si>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</si>
  <si>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</si>
  <si>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</si>
  <si>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</si>
  <si>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</si>
  <si>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</si>
  <si>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</si>
  <si>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</si>
  <si>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</si>
  <si>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</si>
  <si>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</si>
  <si>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</si>
  <si>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</si>
  <si>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</si>
  <si>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</si>
  <si>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</si>
  <si>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</si>
  <si>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</si>
  <si>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</si>
  <si>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</si>
  <si>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</si>
  <si>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</si>
  <si>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</si>
  <si>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</si>
  <si>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</si>
  <si>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</si>
  <si>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</si>
  <si>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</si>
  <si>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</si>
  <si>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</si>
  <si>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</si>
  <si>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</si>
  <si>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</si>
  <si>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</si>
  <si>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</si>
  <si>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</si>
  <si>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</si>
  <si>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</si>
  <si>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</si>
  <si>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</si>
  <si>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</si>
  <si>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</si>
  <si>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</si>
  <si>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</si>
  <si>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</si>
  <si>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</si>
  <si>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</si>
  <si>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</si>
  <si>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</si>
  <si>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</si>
  <si>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</si>
  <si>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</si>
  <si>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</si>
  <si>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</si>
  <si>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</si>
  <si>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</si>
  <si>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</si>
  <si>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</si>
  <si>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</si>
  <si>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</si>
  <si>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</si>
  <si>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</si>
  <si>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</si>
  <si>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</si>
  <si>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</si>
  <si>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</si>
  <si>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</si>
  <si>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</si>
  <si>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</si>
  <si>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</si>
  <si>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</si>
  <si>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</si>
  <si>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</si>
  <si>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</si>
  <si>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</si>
  <si>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</si>
  <si>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</si>
  <si>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</si>
  <si>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</si>
  <si>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</si>
  <si>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</si>
  <si>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</si>
  <si>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</si>
  <si>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</si>
  <si>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</si>
  <si>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</si>
  <si>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</si>
  <si>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</si>
  <si>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</si>
  <si>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</si>
  <si>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</si>
  <si>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</si>
  <si>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</si>
  <si>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</si>
  <si>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</si>
  <si>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</si>
  <si>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</si>
  <si>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</si>
  <si>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</si>
  <si>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</si>
  <si>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</si>
  <si>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</si>
  <si>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</si>
  <si>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</si>
  <si>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</si>
  <si>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</si>
  <si>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</si>
  <si>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</si>
  <si>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</si>
  <si>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</si>
  <si>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</si>
  <si>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</si>
  <si>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</si>
  <si>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</si>
  <si>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</si>
  <si>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</si>
  <si>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</si>
  <si>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</si>
  <si>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</si>
  <si>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</si>
  <si>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</si>
  <si>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</si>
  <si>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</si>
  <si>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</si>
  <si>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</si>
  <si>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</si>
  <si>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</si>
  <si>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</si>
  <si>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</si>
  <si>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</si>
  <si>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</si>
  <si>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</si>
  <si>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</si>
  <si>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</si>
  <si>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</si>
  <si>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</si>
  <si>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27.07.19</t>
  </si>
  <si>
    <t>AVERAGE WEEK</t>
  </si>
  <si>
    <t>30.07.19</t>
  </si>
  <si>
    <t>Jinja RD</t>
  </si>
  <si>
    <t>Mukwano</t>
  </si>
  <si>
    <t>Mukwano RBT</t>
  </si>
  <si>
    <t>1.08.2019</t>
  </si>
  <si>
    <t>Access Road (49f)</t>
  </si>
  <si>
    <t>Erogo Isaac</t>
  </si>
  <si>
    <t>Access RD-Mukwano</t>
  </si>
  <si>
    <t>Access RD 49F</t>
  </si>
  <si>
    <t>MCC - C1 - STN049-JINJA ROAD</t>
  </si>
  <si>
    <t>30.7.2019</t>
  </si>
  <si>
    <t>Chemonges Kenneth</t>
  </si>
  <si>
    <t>Felix</t>
  </si>
  <si>
    <t>Emmanuel Egimu</t>
  </si>
  <si>
    <t>Access RD</t>
  </si>
  <si>
    <t>Jinja</t>
  </si>
  <si>
    <t>29.7.2019</t>
  </si>
  <si>
    <t>Access Road</t>
  </si>
  <si>
    <t>Chemonges</t>
  </si>
  <si>
    <t>Namugga Alice</t>
  </si>
  <si>
    <t>02.08.2019</t>
  </si>
  <si>
    <t>Joan</t>
  </si>
  <si>
    <t>2.8.2019</t>
  </si>
  <si>
    <t>Kia Florence</t>
  </si>
  <si>
    <t>4.8.2019</t>
  </si>
  <si>
    <t>04.08.2019</t>
  </si>
  <si>
    <t>Nsiimire Joan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</si>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</sst>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4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2" borderId="4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0" fillId="3" borderId="4" xfId="0" applyFill="1" applyBorder="1"/>
    <xf numFmtId="165" fontId="1" fillId="2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2" borderId="1" xfId="2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  <xf numFmtId="0" fontId="8" fillId="3" borderId="3" xfId="0" applyFont="1" applyFill="1" applyBorder="1" applyAlignment="1">
      <alignment horizontal="left" vertical="center" wrapText="1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center"/>
    </xf>
    <xf numFmtId="0" fontId="2" fillId="0" borderId="11" xfId="0" applyFont="1" applyFill="1" applyBorder="1" applyAlignment="1">
      <alignment horizontal="center"/>
    </xf>
    <xf numFmtId="0" fontId="2" fillId="0" borderId="12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7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'29.7.Mukwano-Jinja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RD'!$AE$10:$AE$21</c:f>
              <c:numCache>
                <c:formatCode>0</c:formatCode>
                <c:ptCount val="12"/>
                <c:pt idx="0">
                  <c:v>786</c:v>
                </c:pt>
                <c:pt idx="1">
                  <c:v>969</c:v>
                </c:pt>
                <c:pt idx="2">
                  <c:v>1035</c:v>
                </c:pt>
                <c:pt idx="3">
                  <c:v>1254</c:v>
                </c:pt>
                <c:pt idx="4">
                  <c:v>922</c:v>
                </c:pt>
                <c:pt idx="5">
                  <c:v>894</c:v>
                </c:pt>
                <c:pt idx="6">
                  <c:v>783</c:v>
                </c:pt>
                <c:pt idx="7">
                  <c:v>661</c:v>
                </c:pt>
                <c:pt idx="8">
                  <c:v>723</c:v>
                </c:pt>
                <c:pt idx="9">
                  <c:v>740</c:v>
                </c:pt>
                <c:pt idx="10">
                  <c:v>802</c:v>
                </c:pt>
                <c:pt idx="11">
                  <c:v>764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'29.7.Mukwano-Jinja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RD'!$AF$10:$AF$21</c:f>
              <c:numCache>
                <c:formatCode>0</c:formatCode>
                <c:ptCount val="12"/>
                <c:pt idx="0">
                  <c:v>2449</c:v>
                </c:pt>
                <c:pt idx="1">
                  <c:v>3106</c:v>
                </c:pt>
                <c:pt idx="2">
                  <c:v>3462</c:v>
                </c:pt>
                <c:pt idx="3">
                  <c:v>2872</c:v>
                </c:pt>
                <c:pt idx="4">
                  <c:v>2498</c:v>
                </c:pt>
                <c:pt idx="5">
                  <c:v>2778</c:v>
                </c:pt>
                <c:pt idx="6">
                  <c:v>2206</c:v>
                </c:pt>
                <c:pt idx="7">
                  <c:v>2040</c:v>
                </c:pt>
                <c:pt idx="8">
                  <c:v>2086</c:v>
                </c:pt>
                <c:pt idx="9">
                  <c:v>1878</c:v>
                </c:pt>
                <c:pt idx="10">
                  <c:v>2113</c:v>
                </c:pt>
                <c:pt idx="11">
                  <c:v>1901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272832"/>
        <c:axId val="92895104"/>
      </c:lineChart>
      <c:catAx>
        <c:axId val="8327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895104"/>
        <c:crosses val="autoZero"/>
        <c:auto val="1"/>
        <c:lblAlgn val="ctr"/>
        <c:lblOffset val="100"/>
        <c:noMultiLvlLbl val="0"/>
      </c:catAx>
      <c:valAx>
        <c:axId val="92895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27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'29.7.Mukwano-Jinja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'29.7.Mukwano-Jinja RD'!$C$59:$N$59</c:f>
              <c:numCache>
                <c:formatCode>0.0%</c:formatCode>
                <c:ptCount val="12"/>
                <c:pt idx="0">
                  <c:v>0.25039980945251622</c:v>
                </c:pt>
                <c:pt idx="1">
                  <c:v>2.3410119432440708E-2</c:v>
                </c:pt>
                <c:pt idx="2">
                  <c:v>3.1746571846609277E-2</c:v>
                </c:pt>
                <c:pt idx="3">
                  <c:v>2.1164381231072851E-2</c:v>
                </c:pt>
                <c:pt idx="4">
                  <c:v>1.1568954370682909E-3</c:v>
                </c:pt>
                <c:pt idx="5">
                  <c:v>1.0207900915308448E-4</c:v>
                </c:pt>
                <c:pt idx="6">
                  <c:v>1.0037769233386642E-2</c:v>
                </c:pt>
                <c:pt idx="7">
                  <c:v>6.7372146041035762E-3</c:v>
                </c:pt>
                <c:pt idx="8">
                  <c:v>2.4498962196740277E-3</c:v>
                </c:pt>
                <c:pt idx="9">
                  <c:v>4.2532920480451873E-3</c:v>
                </c:pt>
                <c:pt idx="10">
                  <c:v>0.64840586614039264</c:v>
                </c:pt>
                <c:pt idx="11">
                  <c:v>1.3610534553744599E-4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43"/>
          <c:y val="2.29602266373237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'29.7.Mukwano-Jinja RD'!$S$9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RD'!$S$10:$S$21</c:f>
              <c:numCache>
                <c:formatCode>0</c:formatCode>
                <c:ptCount val="12"/>
                <c:pt idx="0">
                  <c:v>568</c:v>
                </c:pt>
                <c:pt idx="1">
                  <c:v>634</c:v>
                </c:pt>
                <c:pt idx="2">
                  <c:v>725</c:v>
                </c:pt>
                <c:pt idx="3">
                  <c:v>942</c:v>
                </c:pt>
                <c:pt idx="4">
                  <c:v>615</c:v>
                </c:pt>
                <c:pt idx="5">
                  <c:v>642</c:v>
                </c:pt>
                <c:pt idx="6">
                  <c:v>550</c:v>
                </c:pt>
                <c:pt idx="7">
                  <c:v>460</c:v>
                </c:pt>
                <c:pt idx="8">
                  <c:v>483</c:v>
                </c:pt>
                <c:pt idx="9">
                  <c:v>543</c:v>
                </c:pt>
                <c:pt idx="10">
                  <c:v>613</c:v>
                </c:pt>
                <c:pt idx="11">
                  <c:v>584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'29.7.Mukwano-Jinja RD'!$T$9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RD'!$T$10:$T$21</c:f>
              <c:numCache>
                <c:formatCode>0</c:formatCode>
                <c:ptCount val="12"/>
                <c:pt idx="0">
                  <c:v>106</c:v>
                </c:pt>
                <c:pt idx="1">
                  <c:v>119</c:v>
                </c:pt>
                <c:pt idx="2">
                  <c:v>99</c:v>
                </c:pt>
                <c:pt idx="3">
                  <c:v>55</c:v>
                </c:pt>
                <c:pt idx="4">
                  <c:v>69</c:v>
                </c:pt>
                <c:pt idx="5">
                  <c:v>32</c:v>
                </c:pt>
                <c:pt idx="6">
                  <c:v>24</c:v>
                </c:pt>
                <c:pt idx="7">
                  <c:v>22</c:v>
                </c:pt>
                <c:pt idx="8">
                  <c:v>43</c:v>
                </c:pt>
                <c:pt idx="9">
                  <c:v>28</c:v>
                </c:pt>
                <c:pt idx="10">
                  <c:v>51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'29.7.Mukwano-Jinja RD'!$U$9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RD'!$U$10:$U$21</c:f>
              <c:numCache>
                <c:formatCode>0</c:formatCode>
                <c:ptCount val="12"/>
                <c:pt idx="0">
                  <c:v>53</c:v>
                </c:pt>
                <c:pt idx="1">
                  <c:v>94</c:v>
                </c:pt>
                <c:pt idx="2">
                  <c:v>96</c:v>
                </c:pt>
                <c:pt idx="3">
                  <c:v>109</c:v>
                </c:pt>
                <c:pt idx="4">
                  <c:v>110</c:v>
                </c:pt>
                <c:pt idx="5">
                  <c:v>95</c:v>
                </c:pt>
                <c:pt idx="6">
                  <c:v>76</c:v>
                </c:pt>
                <c:pt idx="7">
                  <c:v>74</c:v>
                </c:pt>
                <c:pt idx="8">
                  <c:v>90</c:v>
                </c:pt>
                <c:pt idx="9">
                  <c:v>62</c:v>
                </c:pt>
                <c:pt idx="10">
                  <c:v>34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'29.7.Mukwano-Jinja RD'!$V$9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RD'!$V$10:$V$21</c:f>
              <c:numCache>
                <c:formatCode>0</c:formatCode>
                <c:ptCount val="12"/>
                <c:pt idx="0">
                  <c:v>34</c:v>
                </c:pt>
                <c:pt idx="1">
                  <c:v>66</c:v>
                </c:pt>
                <c:pt idx="2">
                  <c:v>51</c:v>
                </c:pt>
                <c:pt idx="3">
                  <c:v>57</c:v>
                </c:pt>
                <c:pt idx="4">
                  <c:v>72</c:v>
                </c:pt>
                <c:pt idx="5">
                  <c:v>52</c:v>
                </c:pt>
                <c:pt idx="6">
                  <c:v>52</c:v>
                </c:pt>
                <c:pt idx="7">
                  <c:v>38</c:v>
                </c:pt>
                <c:pt idx="8">
                  <c:v>48</c:v>
                </c:pt>
                <c:pt idx="9">
                  <c:v>41</c:v>
                </c:pt>
                <c:pt idx="10">
                  <c:v>56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'29.7.Mukwano-Jinja RD'!$W$9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10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'29.7.Mukwano-Jinja RD'!$X$9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'29.7.Mukwano-Jinja RD'!$Y$9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RD'!$Y$10:$Y$21</c:f>
              <c:numCache>
                <c:formatCode>0</c:formatCode>
                <c:ptCount val="12"/>
                <c:pt idx="0">
                  <c:v>15</c:v>
                </c:pt>
                <c:pt idx="1">
                  <c:v>26</c:v>
                </c:pt>
                <c:pt idx="2">
                  <c:v>26</c:v>
                </c:pt>
                <c:pt idx="3">
                  <c:v>47</c:v>
                </c:pt>
                <c:pt idx="4">
                  <c:v>19</c:v>
                </c:pt>
                <c:pt idx="5">
                  <c:v>24</c:v>
                </c:pt>
                <c:pt idx="6">
                  <c:v>31</c:v>
                </c:pt>
                <c:pt idx="7">
                  <c:v>21</c:v>
                </c:pt>
                <c:pt idx="8">
                  <c:v>19</c:v>
                </c:pt>
                <c:pt idx="9">
                  <c:v>27</c:v>
                </c:pt>
                <c:pt idx="10">
                  <c:v>21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'29.7.Mukwano-Jinja RD'!$Z$9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RD'!$Z$10:$Z$21</c:f>
              <c:numCache>
                <c:formatCode>0</c:formatCode>
                <c:ptCount val="12"/>
                <c:pt idx="0">
                  <c:v>3</c:v>
                </c:pt>
                <c:pt idx="1">
                  <c:v>11</c:v>
                </c:pt>
                <c:pt idx="2">
                  <c:v>19</c:v>
                </c:pt>
                <c:pt idx="3">
                  <c:v>23</c:v>
                </c:pt>
                <c:pt idx="4">
                  <c:v>20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24</c:v>
                </c:pt>
                <c:pt idx="9">
                  <c:v>16</c:v>
                </c:pt>
                <c:pt idx="10">
                  <c:v>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'29.7.Mukwano-Jinja RD'!$AA$9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RD'!$AA$10:$AA$21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5</c:v>
                </c:pt>
                <c:pt idx="3">
                  <c:v>6</c:v>
                </c:pt>
                <c:pt idx="4">
                  <c:v>2</c:v>
                </c:pt>
                <c:pt idx="5">
                  <c:v>10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7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'29.7.Mukwano-Jinja RD'!$AB$9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RD'!$AB$10:$AB$21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10</c:v>
                </c:pt>
                <c:pt idx="3">
                  <c:v>13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14</c:v>
                </c:pt>
                <c:pt idx="8">
                  <c:v>13</c:v>
                </c:pt>
                <c:pt idx="9">
                  <c:v>13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'29.7.Mukwano-Jinja RD'!$AC$9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RD'!$AC$10:$AC$21</c:f>
              <c:numCache>
                <c:formatCode>0</c:formatCode>
                <c:ptCount val="12"/>
                <c:pt idx="0">
                  <c:v>1663</c:v>
                </c:pt>
                <c:pt idx="1">
                  <c:v>2137</c:v>
                </c:pt>
                <c:pt idx="2">
                  <c:v>2427</c:v>
                </c:pt>
                <c:pt idx="3">
                  <c:v>1618</c:v>
                </c:pt>
                <c:pt idx="4">
                  <c:v>1576</c:v>
                </c:pt>
                <c:pt idx="5">
                  <c:v>1884</c:v>
                </c:pt>
                <c:pt idx="6">
                  <c:v>1423</c:v>
                </c:pt>
                <c:pt idx="7">
                  <c:v>1379</c:v>
                </c:pt>
                <c:pt idx="8">
                  <c:v>1363</c:v>
                </c:pt>
                <c:pt idx="9">
                  <c:v>1138</c:v>
                </c:pt>
                <c:pt idx="10">
                  <c:v>1311</c:v>
                </c:pt>
                <c:pt idx="11">
                  <c:v>1137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'29.7.Mukwano-Jinja RD'!$AD$9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'29.7.Mukwano-Jinja RD'!$AD$10:$AD$21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58048"/>
        <c:axId val="49859584"/>
      </c:lineChart>
      <c:catAx>
        <c:axId val="4985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9859584"/>
        <c:crosses val="autoZero"/>
        <c:auto val="1"/>
        <c:lblAlgn val="ctr"/>
        <c:lblOffset val="100"/>
        <c:noMultiLvlLbl val="0"/>
      </c:catAx>
      <c:valAx>
        <c:axId val="4985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985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'29.7.Mukwano-Jinja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'29.7.Mukwano-Jinja RD'!$C$60:$N$60</c:f>
              <c:numCache>
                <c:formatCode>0.00%</c:formatCode>
                <c:ptCount val="12"/>
                <c:pt idx="0">
                  <c:v>0.71218426400851642</c:v>
                </c:pt>
                <c:pt idx="1">
                  <c:v>6.6582792993322371E-2</c:v>
                </c:pt>
                <c:pt idx="2">
                  <c:v>9.0293235265653735E-2</c:v>
                </c:pt>
                <c:pt idx="3">
                  <c:v>6.019549017710249E-2</c:v>
                </c:pt>
                <c:pt idx="4">
                  <c:v>3.2904287235072101E-3</c:v>
                </c:pt>
                <c:pt idx="5">
                  <c:v>2.9033194619181263E-4</c:v>
                </c:pt>
                <c:pt idx="6">
                  <c:v>2.854930804219491E-2</c:v>
                </c:pt>
                <c:pt idx="7">
                  <c:v>1.9161908448659636E-2</c:v>
                </c:pt>
                <c:pt idx="8">
                  <c:v>6.967966708603503E-3</c:v>
                </c:pt>
                <c:pt idx="9">
                  <c:v>1.2097164424658861E-2</c:v>
                </c:pt>
                <c:pt idx="11">
                  <c:v>3.8710926158908352E-4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7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'29.07.Jinja RD-Mukwano'!$AE$9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RD-Mukwano'!$AE$10:$AE$21</c:f>
              <c:numCache>
                <c:formatCode>0</c:formatCode>
                <c:ptCount val="12"/>
                <c:pt idx="0">
                  <c:v>456</c:v>
                </c:pt>
                <c:pt idx="1">
                  <c:v>671</c:v>
                </c:pt>
                <c:pt idx="2">
                  <c:v>590</c:v>
                </c:pt>
                <c:pt idx="3">
                  <c:v>803</c:v>
                </c:pt>
                <c:pt idx="4">
                  <c:v>696</c:v>
                </c:pt>
                <c:pt idx="5">
                  <c:v>1094</c:v>
                </c:pt>
                <c:pt idx="6">
                  <c:v>1039</c:v>
                </c:pt>
                <c:pt idx="7">
                  <c:v>908</c:v>
                </c:pt>
                <c:pt idx="8">
                  <c:v>763</c:v>
                </c:pt>
                <c:pt idx="9">
                  <c:v>854</c:v>
                </c:pt>
                <c:pt idx="10">
                  <c:v>1033</c:v>
                </c:pt>
                <c:pt idx="11">
                  <c:v>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'29.07.Jinja RD-Mukwano'!$AF$9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RD-Mukwano'!$AF$10:$AF$21</c:f>
              <c:numCache>
                <c:formatCode>0</c:formatCode>
                <c:ptCount val="12"/>
                <c:pt idx="0">
                  <c:v>3515</c:v>
                </c:pt>
                <c:pt idx="1">
                  <c:v>2526</c:v>
                </c:pt>
                <c:pt idx="2">
                  <c:v>3231</c:v>
                </c:pt>
                <c:pt idx="3">
                  <c:v>3557</c:v>
                </c:pt>
                <c:pt idx="4">
                  <c:v>3287</c:v>
                </c:pt>
                <c:pt idx="5">
                  <c:v>3485</c:v>
                </c:pt>
                <c:pt idx="6">
                  <c:v>3265</c:v>
                </c:pt>
                <c:pt idx="7">
                  <c:v>3528</c:v>
                </c:pt>
                <c:pt idx="8">
                  <c:v>3959</c:v>
                </c:pt>
                <c:pt idx="9">
                  <c:v>3995</c:v>
                </c:pt>
                <c:pt idx="10">
                  <c:v>4259</c:v>
                </c:pt>
                <c:pt idx="11">
                  <c:v>3732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45216"/>
        <c:axId val="49947392"/>
      </c:lineChart>
      <c:catAx>
        <c:axId val="49945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9947392"/>
        <c:crosses val="autoZero"/>
        <c:auto val="1"/>
        <c:lblAlgn val="ctr"/>
        <c:lblOffset val="100"/>
        <c:noMultiLvlLbl val="0"/>
      </c:catAx>
      <c:valAx>
        <c:axId val="49947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994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'29.07.Jinja RD-Mukwano'!$C$9:$N$9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'29.07.Jinja RD-Mukwano'!$C$59:$N$59</c:f>
              <c:numCache>
                <c:formatCode>0.0%</c:formatCode>
                <c:ptCount val="12"/>
                <c:pt idx="0">
                  <c:v>0.17048111670091404</c:v>
                </c:pt>
                <c:pt idx="1">
                  <c:v>2.6028011998393916E-2</c:v>
                </c:pt>
                <c:pt idx="2">
                  <c:v>1.244715274333357E-2</c:v>
                </c:pt>
                <c:pt idx="3">
                  <c:v>1.0038026405914169E-2</c:v>
                </c:pt>
                <c:pt idx="4">
                  <c:v>5.6685325586338839E-4</c:v>
                </c:pt>
                <c:pt idx="5">
                  <c:v>7.0856656982923549E-5</c:v>
                </c:pt>
                <c:pt idx="6">
                  <c:v>4.0152105623656679E-3</c:v>
                </c:pt>
                <c:pt idx="7">
                  <c:v>4.0624483336876164E-3</c:v>
                </c:pt>
                <c:pt idx="8">
                  <c:v>2.621696308368171E-3</c:v>
                </c:pt>
                <c:pt idx="9">
                  <c:v>3.4011195351803304E-3</c:v>
                </c:pt>
                <c:pt idx="10">
                  <c:v>0.76617303195635234</c:v>
                </c:pt>
                <c:pt idx="11">
                  <c:v>9.4475542643898057E-5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43"/>
          <c:y val="2.29602266373237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'29.07.Jinja RD-Mukwano'!$S$9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RD-Mukwano'!$S$10:$S$21</c:f>
              <c:numCache>
                <c:formatCode>0</c:formatCode>
                <c:ptCount val="12"/>
                <c:pt idx="0">
                  <c:v>310</c:v>
                </c:pt>
                <c:pt idx="1">
                  <c:v>518</c:v>
                </c:pt>
                <c:pt idx="2">
                  <c:v>391</c:v>
                </c:pt>
                <c:pt idx="3">
                  <c:v>490</c:v>
                </c:pt>
                <c:pt idx="4">
                  <c:v>488</c:v>
                </c:pt>
                <c:pt idx="5">
                  <c:v>776</c:v>
                </c:pt>
                <c:pt idx="6">
                  <c:v>835</c:v>
                </c:pt>
                <c:pt idx="7">
                  <c:v>710</c:v>
                </c:pt>
                <c:pt idx="8">
                  <c:v>560</c:v>
                </c:pt>
                <c:pt idx="9">
                  <c:v>630</c:v>
                </c:pt>
                <c:pt idx="10">
                  <c:v>720</c:v>
                </c:pt>
                <c:pt idx="11">
                  <c:v>790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'29.07.Jinja RD-Mukwano'!$T$9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RD-Mukwano'!$T$10:$T$21</c:f>
              <c:numCache>
                <c:formatCode>0</c:formatCode>
                <c:ptCount val="12"/>
                <c:pt idx="0">
                  <c:v>78</c:v>
                </c:pt>
                <c:pt idx="1">
                  <c:v>70</c:v>
                </c:pt>
                <c:pt idx="2">
                  <c:v>54</c:v>
                </c:pt>
                <c:pt idx="3">
                  <c:v>120</c:v>
                </c:pt>
                <c:pt idx="4">
                  <c:v>73</c:v>
                </c:pt>
                <c:pt idx="5">
                  <c:v>123</c:v>
                </c:pt>
                <c:pt idx="6">
                  <c:v>90</c:v>
                </c:pt>
                <c:pt idx="7">
                  <c:v>66</c:v>
                </c:pt>
                <c:pt idx="8">
                  <c:v>91</c:v>
                </c:pt>
                <c:pt idx="9">
                  <c:v>83</c:v>
                </c:pt>
                <c:pt idx="10">
                  <c:v>143</c:v>
                </c:pt>
                <c:pt idx="11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'29.07.Jinja RD-Mukwano'!$U$9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RD-Mukwano'!$U$10:$U$21</c:f>
              <c:numCache>
                <c:formatCode>0</c:formatCode>
                <c:ptCount val="12"/>
                <c:pt idx="0">
                  <c:v>7</c:v>
                </c:pt>
                <c:pt idx="1">
                  <c:v>28</c:v>
                </c:pt>
                <c:pt idx="2">
                  <c:v>69</c:v>
                </c:pt>
                <c:pt idx="3">
                  <c:v>70</c:v>
                </c:pt>
                <c:pt idx="4">
                  <c:v>46</c:v>
                </c:pt>
                <c:pt idx="5">
                  <c:v>62</c:v>
                </c:pt>
                <c:pt idx="6">
                  <c:v>58</c:v>
                </c:pt>
                <c:pt idx="7">
                  <c:v>30</c:v>
                </c:pt>
                <c:pt idx="8">
                  <c:v>40</c:v>
                </c:pt>
                <c:pt idx="9">
                  <c:v>40</c:v>
                </c:pt>
                <c:pt idx="10">
                  <c:v>62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'29.07.Jinja RD-Mukwano'!$V$9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RD-Mukwano'!$V$10:$V$21</c:f>
              <c:numCache>
                <c:formatCode>0</c:formatCode>
                <c:ptCount val="12"/>
                <c:pt idx="0">
                  <c:v>12</c:v>
                </c:pt>
                <c:pt idx="1">
                  <c:v>26</c:v>
                </c:pt>
                <c:pt idx="2">
                  <c:v>31</c:v>
                </c:pt>
                <c:pt idx="3">
                  <c:v>54</c:v>
                </c:pt>
                <c:pt idx="4">
                  <c:v>35</c:v>
                </c:pt>
                <c:pt idx="5">
                  <c:v>48</c:v>
                </c:pt>
                <c:pt idx="6">
                  <c:v>25</c:v>
                </c:pt>
                <c:pt idx="7">
                  <c:v>38</c:v>
                </c:pt>
                <c:pt idx="8">
                  <c:v>25</c:v>
                </c:pt>
                <c:pt idx="9">
                  <c:v>50</c:v>
                </c:pt>
                <c:pt idx="10">
                  <c:v>60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'29.07.Jinja RD-Mukwano'!$W$9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RD-Mukwano'!$W$10:$W$21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6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'29.07.Jinja RD-Mukwano'!$X$9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'29.07.Jinja RD-Mukwano'!$Y$9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RD-Mukwano'!$Y$10:$Y$21</c:f>
              <c:numCache>
                <c:formatCode>0</c:formatCode>
                <c:ptCount val="12"/>
                <c:pt idx="0">
                  <c:v>11</c:v>
                </c:pt>
                <c:pt idx="1">
                  <c:v>5</c:v>
                </c:pt>
                <c:pt idx="2">
                  <c:v>16</c:v>
                </c:pt>
                <c:pt idx="3">
                  <c:v>16</c:v>
                </c:pt>
                <c:pt idx="4">
                  <c:v>19</c:v>
                </c:pt>
                <c:pt idx="5">
                  <c:v>28</c:v>
                </c:pt>
                <c:pt idx="6">
                  <c:v>8</c:v>
                </c:pt>
                <c:pt idx="7">
                  <c:v>20</c:v>
                </c:pt>
                <c:pt idx="8">
                  <c:v>7</c:v>
                </c:pt>
                <c:pt idx="9">
                  <c:v>9</c:v>
                </c:pt>
                <c:pt idx="10">
                  <c:v>12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'29.07.Jinja RD-Mukwano'!$Z$9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RD-Mukwano'!$Z$10:$Z$21</c:f>
              <c:numCache>
                <c:formatCode>0</c:formatCode>
                <c:ptCount val="12"/>
                <c:pt idx="0">
                  <c:v>13</c:v>
                </c:pt>
                <c:pt idx="1">
                  <c:v>5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23</c:v>
                </c:pt>
                <c:pt idx="6">
                  <c:v>7</c:v>
                </c:pt>
                <c:pt idx="7">
                  <c:v>11</c:v>
                </c:pt>
                <c:pt idx="8">
                  <c:v>17</c:v>
                </c:pt>
                <c:pt idx="9">
                  <c:v>18</c:v>
                </c:pt>
                <c:pt idx="10">
                  <c:v>15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'29.07.Jinja RD-Mukwano'!$AA$9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RD-Mukwano'!$AA$10:$AA$21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4</c:v>
                </c:pt>
                <c:pt idx="3">
                  <c:v>14</c:v>
                </c:pt>
                <c:pt idx="4">
                  <c:v>7</c:v>
                </c:pt>
                <c:pt idx="5">
                  <c:v>15</c:v>
                </c:pt>
                <c:pt idx="6">
                  <c:v>8</c:v>
                </c:pt>
                <c:pt idx="7">
                  <c:v>9</c:v>
                </c:pt>
                <c:pt idx="8">
                  <c:v>17</c:v>
                </c:pt>
                <c:pt idx="9">
                  <c:v>7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'29.07.Jinja RD-Mukwano'!$AB$9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RD-Mukwano'!$AB$10:$AB$21</c:f>
              <c:numCache>
                <c:formatCode>0</c:formatCode>
                <c:ptCount val="12"/>
                <c:pt idx="0">
                  <c:v>13</c:v>
                </c:pt>
                <c:pt idx="1">
                  <c:v>3</c:v>
                </c:pt>
                <c:pt idx="2">
                  <c:v>11</c:v>
                </c:pt>
                <c:pt idx="3">
                  <c:v>20</c:v>
                </c:pt>
                <c:pt idx="4">
                  <c:v>9</c:v>
                </c:pt>
                <c:pt idx="5">
                  <c:v>13</c:v>
                </c:pt>
                <c:pt idx="6">
                  <c:v>8</c:v>
                </c:pt>
                <c:pt idx="7">
                  <c:v>21</c:v>
                </c:pt>
                <c:pt idx="8">
                  <c:v>5</c:v>
                </c:pt>
                <c:pt idx="9">
                  <c:v>16</c:v>
                </c:pt>
                <c:pt idx="10">
                  <c:v>12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'29.07.Jinja RD-Mukwano'!$AC$9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RD-Mukwano'!$AC$10:$AC$21</c:f>
              <c:numCache>
                <c:formatCode>0</c:formatCode>
                <c:ptCount val="12"/>
                <c:pt idx="0">
                  <c:v>3059</c:v>
                </c:pt>
                <c:pt idx="1">
                  <c:v>1855</c:v>
                </c:pt>
                <c:pt idx="2">
                  <c:v>2641</c:v>
                </c:pt>
                <c:pt idx="3">
                  <c:v>2754</c:v>
                </c:pt>
                <c:pt idx="4">
                  <c:v>2591</c:v>
                </c:pt>
                <c:pt idx="5">
                  <c:v>2391</c:v>
                </c:pt>
                <c:pt idx="6">
                  <c:v>2226</c:v>
                </c:pt>
                <c:pt idx="7">
                  <c:v>2620</c:v>
                </c:pt>
                <c:pt idx="8">
                  <c:v>3196</c:v>
                </c:pt>
                <c:pt idx="9">
                  <c:v>3141</c:v>
                </c:pt>
                <c:pt idx="10">
                  <c:v>3226</c:v>
                </c:pt>
                <c:pt idx="11">
                  <c:v>2739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'29.07.Jinja RD-Mukwano'!$AD$9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'29.07.Jinja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'29.07.Jinja RD-Mukwano'!$AD$10:$AD$21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5216"/>
        <c:axId val="50026752"/>
      </c:lineChart>
      <c:catAx>
        <c:axId val="5002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026752"/>
        <c:crosses val="autoZero"/>
        <c:auto val="1"/>
        <c:lblAlgn val="ctr"/>
        <c:lblOffset val="100"/>
        <c:noMultiLvlLbl val="0"/>
      </c:catAx>
      <c:valAx>
        <c:axId val="5002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02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'29.07.Jinja RD-Mukwano'!$C$9:$N$9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'29.07.Jinja RD-Mukwano'!$C$60:$N$60</c:f>
              <c:numCache>
                <c:formatCode>0.00%</c:formatCode>
                <c:ptCount val="12"/>
                <c:pt idx="0">
                  <c:v>0.72909090909090912</c:v>
                </c:pt>
                <c:pt idx="1">
                  <c:v>0.11131313131313131</c:v>
                </c:pt>
                <c:pt idx="2">
                  <c:v>5.3232323232323235E-2</c:v>
                </c:pt>
                <c:pt idx="3">
                  <c:v>4.2929292929292928E-2</c:v>
                </c:pt>
                <c:pt idx="4">
                  <c:v>2.4242424242424242E-3</c:v>
                </c:pt>
                <c:pt idx="5">
                  <c:v>3.0303030303030303E-4</c:v>
                </c:pt>
                <c:pt idx="6">
                  <c:v>1.7171717171717171E-2</c:v>
                </c:pt>
                <c:pt idx="7">
                  <c:v>1.7373737373737375E-2</c:v>
                </c:pt>
                <c:pt idx="8">
                  <c:v>1.1212121212121211E-2</c:v>
                </c:pt>
                <c:pt idx="9">
                  <c:v>1.4545454545454545E-2</c:v>
                </c:pt>
                <c:pt idx="11">
                  <c:v>4.0404040404040404E-4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5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'30.7.Mukwano-Jinja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'30.7.Mukwano-Jinja RD'!$AE$10:$AE$21</c:f>
              <c:numCache>
                <c:formatCode>0</c:formatCode>
                <c:ptCount val="12"/>
                <c:pt idx="0">
                  <c:v>723</c:v>
                </c:pt>
                <c:pt idx="1">
                  <c:v>1035</c:v>
                </c:pt>
                <c:pt idx="2">
                  <c:v>1333</c:v>
                </c:pt>
                <c:pt idx="3">
                  <c:v>858</c:v>
                </c:pt>
                <c:pt idx="4">
                  <c:v>817</c:v>
                </c:pt>
                <c:pt idx="5">
                  <c:v>1035</c:v>
                </c:pt>
                <c:pt idx="6">
                  <c:v>822</c:v>
                </c:pt>
                <c:pt idx="7">
                  <c:v>919</c:v>
                </c:pt>
                <c:pt idx="8">
                  <c:v>826</c:v>
                </c:pt>
                <c:pt idx="9">
                  <c:v>745</c:v>
                </c:pt>
                <c:pt idx="10">
                  <c:v>940</c:v>
                </c:pt>
                <c:pt idx="11">
                  <c:v>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'30.7.Mukwano-Jinja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'30.7.Mukwano-Jinja RD'!$AF$10:$AF$21</c:f>
              <c:numCache>
                <c:formatCode>0</c:formatCode>
                <c:ptCount val="12"/>
                <c:pt idx="0">
                  <c:v>2482</c:v>
                </c:pt>
                <c:pt idx="1">
                  <c:v>2796</c:v>
                </c:pt>
                <c:pt idx="2">
                  <c:v>3564</c:v>
                </c:pt>
                <c:pt idx="3">
                  <c:v>2551</c:v>
                </c:pt>
                <c:pt idx="4">
                  <c:v>2450</c:v>
                </c:pt>
                <c:pt idx="5">
                  <c:v>2951</c:v>
                </c:pt>
                <c:pt idx="6">
                  <c:v>2425</c:v>
                </c:pt>
                <c:pt idx="7">
                  <c:v>2434</c:v>
                </c:pt>
                <c:pt idx="8">
                  <c:v>2260</c:v>
                </c:pt>
                <c:pt idx="9">
                  <c:v>2080</c:v>
                </c:pt>
                <c:pt idx="10">
                  <c:v>2312</c:v>
                </c:pt>
                <c:pt idx="11">
                  <c:v>1900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34112"/>
        <c:axId val="50236032"/>
      </c:lineChart>
      <c:catAx>
        <c:axId val="5023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236032"/>
        <c:crosses val="autoZero"/>
        <c:auto val="1"/>
        <c:lblAlgn val="ctr"/>
        <c:lblOffset val="100"/>
        <c:noMultiLvlLbl val="0"/>
      </c:catAx>
      <c:valAx>
        <c:axId val="50236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23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'30.7.Mukwano-Jinja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'30.7.Mukwano-Jinja RD'!$C$59:$N$59</c:f>
              <c:numCache>
                <c:formatCode>0.0%</c:formatCode>
                <c:ptCount val="12"/>
                <c:pt idx="0">
                  <c:v>0.25154775699387516</c:v>
                </c:pt>
                <c:pt idx="1">
                  <c:v>3.5987419301440157E-2</c:v>
                </c:pt>
                <c:pt idx="2">
                  <c:v>2.8141036252276114E-2</c:v>
                </c:pt>
                <c:pt idx="3">
                  <c:v>1.8506869723555704E-2</c:v>
                </c:pt>
                <c:pt idx="4">
                  <c:v>1.0594272471445125E-3</c:v>
                </c:pt>
                <c:pt idx="5">
                  <c:v>1.6553550736633007E-4</c:v>
                </c:pt>
                <c:pt idx="6">
                  <c:v>8.8064889918887598E-3</c:v>
                </c:pt>
                <c:pt idx="7">
                  <c:v>6.0585995696076809E-3</c:v>
                </c:pt>
                <c:pt idx="8">
                  <c:v>1.3904982618771727E-3</c:v>
                </c:pt>
                <c:pt idx="9">
                  <c:v>3.5093527561661977E-3</c:v>
                </c:pt>
                <c:pt idx="10">
                  <c:v>0.64469458698890914</c:v>
                </c:pt>
                <c:pt idx="11">
                  <c:v>1.3242840589306406E-4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26"/>
          <c:y val="2.296022663732376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'30.7.Mukwano-Jinja RD'!$S$9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'30.7.Mukwano-Jinja RD'!$S$10:$S$21</c:f>
              <c:numCache>
                <c:formatCode>0</c:formatCode>
                <c:ptCount val="12"/>
                <c:pt idx="0">
                  <c:v>497</c:v>
                </c:pt>
                <c:pt idx="1">
                  <c:v>744</c:v>
                </c:pt>
                <c:pt idx="2">
                  <c:v>990</c:v>
                </c:pt>
                <c:pt idx="3">
                  <c:v>555</c:v>
                </c:pt>
                <c:pt idx="4">
                  <c:v>552</c:v>
                </c:pt>
                <c:pt idx="5">
                  <c:v>799</c:v>
                </c:pt>
                <c:pt idx="6">
                  <c:v>622</c:v>
                </c:pt>
                <c:pt idx="7">
                  <c:v>695</c:v>
                </c:pt>
                <c:pt idx="8">
                  <c:v>575</c:v>
                </c:pt>
                <c:pt idx="9">
                  <c:v>449</c:v>
                </c:pt>
                <c:pt idx="10">
                  <c:v>649</c:v>
                </c:pt>
                <c:pt idx="11">
                  <c:v>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'30.7.Mukwano-Jinja RD'!$T$9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'30.7.Mukwano-Jinja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'30.7.Mukwano-Jinja RD'!$T$10:$T$21</c:f>
              <c:numCache>
                <c:formatCode>0</c:formatCode>
                <c:ptCount val="12"/>
                <c:pt idx="0">
                  <c:v>100</c:v>
                </c:pt>
                <c:pt idx="1">
                  <c:v>124</c:v>
                </c:pt>
                <c:pt idx="2">
                  <c:v>139</c:v>
                </c:pt>
                <c:pt idx="3">
                  <c:v>84</c:v>
                </c:pt>
                <c:pt idx="4">
                  <c:v>92</c:v>
                </c:pt>
                <c:pt idx="5">
                  <c:v>72</c:v>
                </c:pt>
                <c:pt idx="6">
                  <c:v>72</c:v>
                </c:pt>
                <c:pt idx="7">
                  <c:v>52</c:v>
                </c:pt>
                <c:pt idx="8">
                  <c:v>61</c:v>
                </c:pt>
                <c:pt idx="9">
                  <c:v>80</c:v>
                </c:pt>
                <c:pt idx="10">
                  <c:v>136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'30.7.Mukwano-Jinja RD'!$U$9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RD'!$U$10:$U$21</c:f>
              <c:numCache>
                <c:formatCode>0</c:formatCode>
                <c:ptCount val="12"/>
                <c:pt idx="0">
                  <c:v>58</c:v>
                </c:pt>
                <c:pt idx="1">
                  <c:v>67</c:v>
                </c:pt>
                <c:pt idx="2">
                  <c:v>94</c:v>
                </c:pt>
                <c:pt idx="3">
                  <c:v>87</c:v>
                </c:pt>
                <c:pt idx="4">
                  <c:v>68</c:v>
                </c:pt>
                <c:pt idx="5">
                  <c:v>66</c:v>
                </c:pt>
                <c:pt idx="6">
                  <c:v>51</c:v>
                </c:pt>
                <c:pt idx="7">
                  <c:v>70</c:v>
                </c:pt>
                <c:pt idx="8">
                  <c:v>82</c:v>
                </c:pt>
                <c:pt idx="9">
                  <c:v>106</c:v>
                </c:pt>
                <c:pt idx="10">
                  <c:v>53</c:v>
                </c:pt>
                <c:pt idx="1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'30.7.Mukwano-Jinja RD'!$V$9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RD'!$V$10:$V$21</c:f>
              <c:numCache>
                <c:formatCode>0</c:formatCode>
                <c:ptCount val="12"/>
                <c:pt idx="0">
                  <c:v>45</c:v>
                </c:pt>
                <c:pt idx="1">
                  <c:v>62</c:v>
                </c:pt>
                <c:pt idx="2">
                  <c:v>48</c:v>
                </c:pt>
                <c:pt idx="3">
                  <c:v>64</c:v>
                </c:pt>
                <c:pt idx="4">
                  <c:v>46</c:v>
                </c:pt>
                <c:pt idx="5">
                  <c:v>40</c:v>
                </c:pt>
                <c:pt idx="6">
                  <c:v>24</c:v>
                </c:pt>
                <c:pt idx="7">
                  <c:v>45</c:v>
                </c:pt>
                <c:pt idx="8">
                  <c:v>50</c:v>
                </c:pt>
                <c:pt idx="9">
                  <c:v>49</c:v>
                </c:pt>
                <c:pt idx="10">
                  <c:v>47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'30.7.Mukwano-Jinja RD'!$W$9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RD'!$W$10:$W$21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'30.7.Mukwano-Jinja RD'!$X$9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'30.7.Mukwano-Jinja RD'!$Y$9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RD'!$Y$10:$Y$21</c:f>
              <c:numCache>
                <c:formatCode>0</c:formatCode>
                <c:ptCount val="12"/>
                <c:pt idx="0">
                  <c:v>10</c:v>
                </c:pt>
                <c:pt idx="1">
                  <c:v>19</c:v>
                </c:pt>
                <c:pt idx="2">
                  <c:v>30</c:v>
                </c:pt>
                <c:pt idx="3">
                  <c:v>30</c:v>
                </c:pt>
                <c:pt idx="4">
                  <c:v>31</c:v>
                </c:pt>
                <c:pt idx="5">
                  <c:v>22</c:v>
                </c:pt>
                <c:pt idx="6">
                  <c:v>18</c:v>
                </c:pt>
                <c:pt idx="7">
                  <c:v>28</c:v>
                </c:pt>
                <c:pt idx="8">
                  <c:v>20</c:v>
                </c:pt>
                <c:pt idx="9">
                  <c:v>21</c:v>
                </c:pt>
                <c:pt idx="10">
                  <c:v>19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'30.7.Mukwano-Jinja RD'!$Z$9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RD'!$Z$10:$Z$21</c:f>
              <c:numCache>
                <c:formatCode>0</c:formatCode>
                <c:ptCount val="12"/>
                <c:pt idx="0">
                  <c:v>5</c:v>
                </c:pt>
                <c:pt idx="1">
                  <c:v>11</c:v>
                </c:pt>
                <c:pt idx="2">
                  <c:v>15</c:v>
                </c:pt>
                <c:pt idx="3">
                  <c:v>22</c:v>
                </c:pt>
                <c:pt idx="4">
                  <c:v>15</c:v>
                </c:pt>
                <c:pt idx="5">
                  <c:v>20</c:v>
                </c:pt>
                <c:pt idx="6">
                  <c:v>13</c:v>
                </c:pt>
                <c:pt idx="7">
                  <c:v>15</c:v>
                </c:pt>
                <c:pt idx="8">
                  <c:v>19</c:v>
                </c:pt>
                <c:pt idx="9">
                  <c:v>22</c:v>
                </c:pt>
                <c:pt idx="10">
                  <c:v>15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'30.7.Mukwano-Jinja RD'!$AA$9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7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9</c:v>
                </c:pt>
                <c:pt idx="9">
                  <c:v>1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'30.7.Mukwano-Jinja RD'!$AB$9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RD'!$AB$10:$AB$21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18</c:v>
                </c:pt>
                <c:pt idx="7">
                  <c:v>11</c:v>
                </c:pt>
                <c:pt idx="8">
                  <c:v>7</c:v>
                </c:pt>
                <c:pt idx="9">
                  <c:v>14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'30.7.Mukwano-Jinja RD'!$AC$9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RD'!$AC$10:$AC$21</c:f>
              <c:numCache>
                <c:formatCode>0</c:formatCode>
                <c:ptCount val="12"/>
                <c:pt idx="0">
                  <c:v>1759</c:v>
                </c:pt>
                <c:pt idx="1">
                  <c:v>1761</c:v>
                </c:pt>
                <c:pt idx="2">
                  <c:v>2231</c:v>
                </c:pt>
                <c:pt idx="3">
                  <c:v>1693</c:v>
                </c:pt>
                <c:pt idx="4">
                  <c:v>1633</c:v>
                </c:pt>
                <c:pt idx="5">
                  <c:v>1916</c:v>
                </c:pt>
                <c:pt idx="6">
                  <c:v>1603</c:v>
                </c:pt>
                <c:pt idx="7">
                  <c:v>1515</c:v>
                </c:pt>
                <c:pt idx="8">
                  <c:v>1434</c:v>
                </c:pt>
                <c:pt idx="9">
                  <c:v>1335</c:v>
                </c:pt>
                <c:pt idx="10">
                  <c:v>1372</c:v>
                </c:pt>
                <c:pt idx="11">
                  <c:v>1221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'30.7.Mukwano-Jinja RD'!$AD$9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'30.7.Mukwano-Jinja RD'!$AD$10:$AD$21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338432"/>
        <c:axId val="50348416"/>
      </c:lineChart>
      <c:catAx>
        <c:axId val="5033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348416"/>
        <c:crosses val="autoZero"/>
        <c:auto val="1"/>
        <c:lblAlgn val="ctr"/>
        <c:lblOffset val="100"/>
        <c:noMultiLvlLbl val="0"/>
      </c:catAx>
      <c:valAx>
        <c:axId val="5034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33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'30.7.Mukwano-Jinja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'30.7.Mukwano-Jinja RD'!$C$60:$N$60</c:f>
              <c:numCache>
                <c:formatCode>0.00%</c:formatCode>
                <c:ptCount val="12"/>
                <c:pt idx="0">
                  <c:v>0.70797614610510617</c:v>
                </c:pt>
                <c:pt idx="1">
                  <c:v>0.10128587402161759</c:v>
                </c:pt>
                <c:pt idx="2">
                  <c:v>7.9202385389489371E-2</c:v>
                </c:pt>
                <c:pt idx="3">
                  <c:v>5.2087215803205369E-2</c:v>
                </c:pt>
                <c:pt idx="4">
                  <c:v>2.9817368617219529E-3</c:v>
                </c:pt>
                <c:pt idx="5">
                  <c:v>4.6589638464405515E-4</c:v>
                </c:pt>
                <c:pt idx="6">
                  <c:v>2.4785687663063733E-2</c:v>
                </c:pt>
                <c:pt idx="7">
                  <c:v>1.705180767797242E-2</c:v>
                </c:pt>
                <c:pt idx="8">
                  <c:v>3.9135296310100634E-3</c:v>
                </c:pt>
                <c:pt idx="9">
                  <c:v>9.8770033544539702E-3</c:v>
                </c:pt>
                <c:pt idx="11">
                  <c:v>3.7271710771524412E-4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5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'30.7.Jinja RD-Mukwano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'30.7.Jinja RD-Mukwano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'30.7.Jinja RD-Mukwano RD'!$AE$10:$AE$21</c:f>
              <c:numCache>
                <c:formatCode>0</c:formatCode>
                <c:ptCount val="12"/>
                <c:pt idx="0">
                  <c:v>809</c:v>
                </c:pt>
                <c:pt idx="1">
                  <c:v>1000</c:v>
                </c:pt>
                <c:pt idx="2">
                  <c:v>879</c:v>
                </c:pt>
                <c:pt idx="3">
                  <c:v>1000</c:v>
                </c:pt>
                <c:pt idx="4">
                  <c:v>1058</c:v>
                </c:pt>
                <c:pt idx="5">
                  <c:v>1173</c:v>
                </c:pt>
                <c:pt idx="6">
                  <c:v>982</c:v>
                </c:pt>
                <c:pt idx="7">
                  <c:v>1052</c:v>
                </c:pt>
                <c:pt idx="8">
                  <c:v>880</c:v>
                </c:pt>
                <c:pt idx="9">
                  <c:v>1191</c:v>
                </c:pt>
                <c:pt idx="10">
                  <c:v>1003</c:v>
                </c:pt>
                <c:pt idx="11">
                  <c:v>1246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'30.7.Jinja RD-Mukwano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'30.7.Jinja RD-Mukwano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'30.7.Jinja RD-Mukwano RD'!$AF$10:$AF$21</c:f>
              <c:numCache>
                <c:formatCode>0</c:formatCode>
                <c:ptCount val="12"/>
                <c:pt idx="0">
                  <c:v>4086</c:v>
                </c:pt>
                <c:pt idx="1">
                  <c:v>4213</c:v>
                </c:pt>
                <c:pt idx="2">
                  <c:v>3464</c:v>
                </c:pt>
                <c:pt idx="3">
                  <c:v>4087</c:v>
                </c:pt>
                <c:pt idx="4">
                  <c:v>4124</c:v>
                </c:pt>
                <c:pt idx="5">
                  <c:v>3809</c:v>
                </c:pt>
                <c:pt idx="6">
                  <c:v>3393</c:v>
                </c:pt>
                <c:pt idx="7">
                  <c:v>3771</c:v>
                </c:pt>
                <c:pt idx="8">
                  <c:v>3900</c:v>
                </c:pt>
                <c:pt idx="9">
                  <c:v>4232</c:v>
                </c:pt>
                <c:pt idx="10">
                  <c:v>4335</c:v>
                </c:pt>
                <c:pt idx="11">
                  <c:v>3521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8288"/>
        <c:axId val="50110464"/>
      </c:lineChart>
      <c:catAx>
        <c:axId val="5010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110464"/>
        <c:crosses val="autoZero"/>
        <c:auto val="1"/>
        <c:lblAlgn val="ctr"/>
        <c:lblOffset val="100"/>
        <c:noMultiLvlLbl val="0"/>
      </c:catAx>
      <c:valAx>
        <c:axId val="50110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10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'30.7.Jinja RD-Mukwano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'30.7.Jinja RD-Mukwano RD'!$C$59:$N$59</c:f>
              <c:numCache>
                <c:formatCode>0.0%</c:formatCode>
                <c:ptCount val="12"/>
                <c:pt idx="0">
                  <c:v>0.1912219026312986</c:v>
                </c:pt>
                <c:pt idx="1">
                  <c:v>2.9082774049217001E-2</c:v>
                </c:pt>
                <c:pt idx="2">
                  <c:v>1.0525194417811868E-2</c:v>
                </c:pt>
                <c:pt idx="3">
                  <c:v>7.2440609353361029E-3</c:v>
                </c:pt>
                <c:pt idx="4">
                  <c:v>7.4571215510812821E-4</c:v>
                </c:pt>
                <c:pt idx="5">
                  <c:v>2.130606157451795E-4</c:v>
                </c:pt>
                <c:pt idx="6">
                  <c:v>1.2996697560455951E-2</c:v>
                </c:pt>
                <c:pt idx="7">
                  <c:v>4.9856184084372005E-3</c:v>
                </c:pt>
                <c:pt idx="8">
                  <c:v>1.4914243102162564E-3</c:v>
                </c:pt>
                <c:pt idx="9">
                  <c:v>2.8550122509854053E-3</c:v>
                </c:pt>
                <c:pt idx="10">
                  <c:v>0.73851070629594118</c:v>
                </c:pt>
                <c:pt idx="11">
                  <c:v>1.2783636944710771E-4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26"/>
          <c:y val="2.296022663732376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'30.7.Jinja RD-Mukwano RD'!$S$9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'30.7.Jinja RD-Mukwano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'30.7.Jinja RD-Mukwano RD'!$S$10:$S$21</c:f>
              <c:numCache>
                <c:formatCode>0</c:formatCode>
                <c:ptCount val="12"/>
                <c:pt idx="0">
                  <c:v>695</c:v>
                </c:pt>
                <c:pt idx="1">
                  <c:v>770</c:v>
                </c:pt>
                <c:pt idx="2">
                  <c:v>685</c:v>
                </c:pt>
                <c:pt idx="3">
                  <c:v>700</c:v>
                </c:pt>
                <c:pt idx="4">
                  <c:v>770</c:v>
                </c:pt>
                <c:pt idx="5">
                  <c:v>775</c:v>
                </c:pt>
                <c:pt idx="6">
                  <c:v>695</c:v>
                </c:pt>
                <c:pt idx="7">
                  <c:v>760</c:v>
                </c:pt>
                <c:pt idx="8">
                  <c:v>630</c:v>
                </c:pt>
                <c:pt idx="9">
                  <c:v>820</c:v>
                </c:pt>
                <c:pt idx="10">
                  <c:v>740</c:v>
                </c:pt>
                <c:pt idx="11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'30.7.Jinja RD-Mukwano RD'!$T$9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'30.7.Jinja RD-Mukwano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'30.7.Jinja RD-Mukwano RD'!$T$10:$T$21</c:f>
              <c:numCache>
                <c:formatCode>0</c:formatCode>
                <c:ptCount val="12"/>
                <c:pt idx="0">
                  <c:v>72</c:v>
                </c:pt>
                <c:pt idx="1">
                  <c:v>110</c:v>
                </c:pt>
                <c:pt idx="2">
                  <c:v>53</c:v>
                </c:pt>
                <c:pt idx="3">
                  <c:v>120</c:v>
                </c:pt>
                <c:pt idx="4">
                  <c:v>108</c:v>
                </c:pt>
                <c:pt idx="5">
                  <c:v>205</c:v>
                </c:pt>
                <c:pt idx="6">
                  <c:v>115</c:v>
                </c:pt>
                <c:pt idx="7">
                  <c:v>100</c:v>
                </c:pt>
                <c:pt idx="8">
                  <c:v>78</c:v>
                </c:pt>
                <c:pt idx="9">
                  <c:v>152</c:v>
                </c:pt>
                <c:pt idx="10">
                  <c:v>103</c:v>
                </c:pt>
                <c:pt idx="11">
                  <c:v>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'30.7.Jinja RD-Mukwano RD'!$U$9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RD'!$U$10:$U$21</c:f>
              <c:numCache>
                <c:formatCode>0</c:formatCode>
                <c:ptCount val="12"/>
                <c:pt idx="0">
                  <c:v>17</c:v>
                </c:pt>
                <c:pt idx="1">
                  <c:v>38</c:v>
                </c:pt>
                <c:pt idx="2">
                  <c:v>33</c:v>
                </c:pt>
                <c:pt idx="3">
                  <c:v>41</c:v>
                </c:pt>
                <c:pt idx="4">
                  <c:v>20</c:v>
                </c:pt>
                <c:pt idx="5">
                  <c:v>41</c:v>
                </c:pt>
                <c:pt idx="6">
                  <c:v>67</c:v>
                </c:pt>
                <c:pt idx="7">
                  <c:v>28</c:v>
                </c:pt>
                <c:pt idx="8">
                  <c:v>40</c:v>
                </c:pt>
                <c:pt idx="9">
                  <c:v>84</c:v>
                </c:pt>
                <c:pt idx="10">
                  <c:v>41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'30.7.Jinja RD-Mukwano RD'!$V$9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RD'!$V$10:$V$21</c:f>
              <c:numCache>
                <c:formatCode>0</c:formatCode>
                <c:ptCount val="12"/>
                <c:pt idx="0">
                  <c:v>13</c:v>
                </c:pt>
                <c:pt idx="1">
                  <c:v>15</c:v>
                </c:pt>
                <c:pt idx="2">
                  <c:v>22</c:v>
                </c:pt>
                <c:pt idx="3">
                  <c:v>35</c:v>
                </c:pt>
                <c:pt idx="4">
                  <c:v>36</c:v>
                </c:pt>
                <c:pt idx="5">
                  <c:v>40</c:v>
                </c:pt>
                <c:pt idx="6">
                  <c:v>26</c:v>
                </c:pt>
                <c:pt idx="7">
                  <c:v>39</c:v>
                </c:pt>
                <c:pt idx="8">
                  <c:v>24</c:v>
                </c:pt>
                <c:pt idx="9">
                  <c:v>35</c:v>
                </c:pt>
                <c:pt idx="10">
                  <c:v>27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'30.7.Jinja RD-Mukwano RD'!$W$9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'30.7.Jinja RD-Mukwano RD'!$X$9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'30.7.Jinja RD-Mukwano RD'!$Y$9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RD'!$Y$10:$Y$21</c:f>
              <c:numCache>
                <c:formatCode>0</c:formatCode>
                <c:ptCount val="12"/>
                <c:pt idx="0">
                  <c:v>6</c:v>
                </c:pt>
                <c:pt idx="1">
                  <c:v>25</c:v>
                </c:pt>
                <c:pt idx="2">
                  <c:v>49</c:v>
                </c:pt>
                <c:pt idx="3">
                  <c:v>57</c:v>
                </c:pt>
                <c:pt idx="4">
                  <c:v>69</c:v>
                </c:pt>
                <c:pt idx="5">
                  <c:v>63</c:v>
                </c:pt>
                <c:pt idx="6">
                  <c:v>44</c:v>
                </c:pt>
                <c:pt idx="7">
                  <c:v>63</c:v>
                </c:pt>
                <c:pt idx="8">
                  <c:v>65</c:v>
                </c:pt>
                <c:pt idx="9">
                  <c:v>55</c:v>
                </c:pt>
                <c:pt idx="10">
                  <c:v>54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'30.7.Jinja RD-Mukwano RD'!$Z$9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RD'!$Z$10:$Z$21</c:f>
              <c:numCache>
                <c:formatCode>0</c:formatCode>
                <c:ptCount val="12"/>
                <c:pt idx="0">
                  <c:v>5</c:v>
                </c:pt>
                <c:pt idx="1">
                  <c:v>16</c:v>
                </c:pt>
                <c:pt idx="2">
                  <c:v>17</c:v>
                </c:pt>
                <c:pt idx="3">
                  <c:v>24</c:v>
                </c:pt>
                <c:pt idx="4">
                  <c:v>24</c:v>
                </c:pt>
                <c:pt idx="5">
                  <c:v>30</c:v>
                </c:pt>
                <c:pt idx="6">
                  <c:v>18</c:v>
                </c:pt>
                <c:pt idx="7">
                  <c:v>32</c:v>
                </c:pt>
                <c:pt idx="8">
                  <c:v>20</c:v>
                </c:pt>
                <c:pt idx="9">
                  <c:v>21</c:v>
                </c:pt>
                <c:pt idx="10">
                  <c:v>16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'30.7.Jinja RD-Mukwano RD'!$AA$9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RD'!$AA$10:$AA$21</c:f>
              <c:numCache>
                <c:formatCode>0</c:formatCode>
                <c:ptCount val="12"/>
                <c:pt idx="0">
                  <c:v>0</c:v>
                </c:pt>
                <c:pt idx="1">
                  <c:v>9</c:v>
                </c:pt>
                <c:pt idx="2">
                  <c:v>5</c:v>
                </c:pt>
                <c:pt idx="3">
                  <c:v>7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9</c:v>
                </c:pt>
                <c:pt idx="8">
                  <c:v>6</c:v>
                </c:pt>
                <c:pt idx="9">
                  <c:v>5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'30.7.Jinja RD-Mukwano RD'!$AB$9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RD'!$AB$10:$AB$21</c:f>
              <c:numCache>
                <c:formatCode>0</c:formatCode>
                <c:ptCount val="12"/>
                <c:pt idx="0">
                  <c:v>1</c:v>
                </c:pt>
                <c:pt idx="1">
                  <c:v>15</c:v>
                </c:pt>
                <c:pt idx="2">
                  <c:v>5</c:v>
                </c:pt>
                <c:pt idx="3">
                  <c:v>9</c:v>
                </c:pt>
                <c:pt idx="4">
                  <c:v>22</c:v>
                </c:pt>
                <c:pt idx="5">
                  <c:v>10</c:v>
                </c:pt>
                <c:pt idx="6">
                  <c:v>9</c:v>
                </c:pt>
                <c:pt idx="7">
                  <c:v>17</c:v>
                </c:pt>
                <c:pt idx="8">
                  <c:v>14</c:v>
                </c:pt>
                <c:pt idx="9">
                  <c:v>14</c:v>
                </c:pt>
                <c:pt idx="10">
                  <c:v>13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'30.7.Jinja RD-Mukwano RD'!$AC$9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RD'!$AC$10:$AC$21</c:f>
              <c:numCache>
                <c:formatCode>0</c:formatCode>
                <c:ptCount val="12"/>
                <c:pt idx="0">
                  <c:v>3277</c:v>
                </c:pt>
                <c:pt idx="1">
                  <c:v>3213</c:v>
                </c:pt>
                <c:pt idx="2">
                  <c:v>2585</c:v>
                </c:pt>
                <c:pt idx="3">
                  <c:v>3087</c:v>
                </c:pt>
                <c:pt idx="4">
                  <c:v>3066</c:v>
                </c:pt>
                <c:pt idx="5">
                  <c:v>2636</c:v>
                </c:pt>
                <c:pt idx="6">
                  <c:v>2411</c:v>
                </c:pt>
                <c:pt idx="7">
                  <c:v>2719</c:v>
                </c:pt>
                <c:pt idx="8">
                  <c:v>3020</c:v>
                </c:pt>
                <c:pt idx="9">
                  <c:v>3041</c:v>
                </c:pt>
                <c:pt idx="10">
                  <c:v>3332</c:v>
                </c:pt>
                <c:pt idx="11">
                  <c:v>2275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'30.7.Jinja RD-Mukwano RD'!$AD$9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'30.7.Jinja RD-Mukwano RD'!$AD$10:$AD$21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80096"/>
        <c:axId val="50181632"/>
      </c:lineChart>
      <c:catAx>
        <c:axId val="50180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181632"/>
        <c:crosses val="autoZero"/>
        <c:auto val="1"/>
        <c:lblAlgn val="ctr"/>
        <c:lblOffset val="100"/>
        <c:noMultiLvlLbl val="0"/>
      </c:catAx>
      <c:valAx>
        <c:axId val="5018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18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'30.7.Jinja RD-Mukwano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'30.7.Jinja RD-Mukwano RD'!$C$60:$N$60</c:f>
              <c:numCache>
                <c:formatCode>0.00%</c:formatCode>
                <c:ptCount val="12"/>
                <c:pt idx="0">
                  <c:v>0.7312800456286157</c:v>
                </c:pt>
                <c:pt idx="1">
                  <c:v>0.11121975067220728</c:v>
                </c:pt>
                <c:pt idx="2">
                  <c:v>4.0250957386132158E-2</c:v>
                </c:pt>
                <c:pt idx="3">
                  <c:v>2.7703088079524159E-2</c:v>
                </c:pt>
                <c:pt idx="4">
                  <c:v>2.8517884787745457E-3</c:v>
                </c:pt>
                <c:pt idx="5">
                  <c:v>8.1479670822129878E-4</c:v>
                </c:pt>
                <c:pt idx="6">
                  <c:v>4.9702599201499227E-2</c:v>
                </c:pt>
                <c:pt idx="7">
                  <c:v>1.906624297237839E-2</c:v>
                </c:pt>
                <c:pt idx="8">
                  <c:v>5.7035769575490914E-3</c:v>
                </c:pt>
                <c:pt idx="9">
                  <c:v>1.0918275890165403E-2</c:v>
                </c:pt>
                <c:pt idx="11">
                  <c:v>4.8887802493277925E-4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5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'31.07.Mukwano RBT-JinjaRD'!$AE$9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'31.07.Mukwano RBT-JinjaRD'!$R$10:$R$21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'31.07.Mukwano RBT-JinjaRD'!$AE$10:$AE$21</c:f>
              <c:numCache>
                <c:formatCode>0</c:formatCode>
                <c:ptCount val="12"/>
                <c:pt idx="0">
                  <c:v>770</c:v>
                </c:pt>
                <c:pt idx="1">
                  <c:v>1055</c:v>
                </c:pt>
                <c:pt idx="2">
                  <c:v>1143</c:v>
                </c:pt>
                <c:pt idx="3">
                  <c:v>1267</c:v>
                </c:pt>
                <c:pt idx="4">
                  <c:v>978</c:v>
                </c:pt>
                <c:pt idx="5">
                  <c:v>1102</c:v>
                </c:pt>
                <c:pt idx="6">
                  <c:v>737</c:v>
                </c:pt>
                <c:pt idx="7">
                  <c:v>707</c:v>
                </c:pt>
                <c:pt idx="8">
                  <c:v>578</c:v>
                </c:pt>
                <c:pt idx="9">
                  <c:v>658</c:v>
                </c:pt>
                <c:pt idx="10">
                  <c:v>830</c:v>
                </c:pt>
                <c:pt idx="11">
                  <c:v>813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'31.07.Mukwano RBT-JinjaRD'!$AF$9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'31.07.Mukwano RBT-JinjaRD'!$R$10:$R$21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'31.07.Mukwano RBT-JinjaRD'!$AF$10:$AF$21</c:f>
              <c:numCache>
                <c:formatCode>0</c:formatCode>
                <c:ptCount val="12"/>
                <c:pt idx="0">
                  <c:v>2529</c:v>
                </c:pt>
                <c:pt idx="1">
                  <c:v>2816</c:v>
                </c:pt>
                <c:pt idx="2">
                  <c:v>3374</c:v>
                </c:pt>
                <c:pt idx="3">
                  <c:v>2960</c:v>
                </c:pt>
                <c:pt idx="4">
                  <c:v>2611</c:v>
                </c:pt>
                <c:pt idx="5">
                  <c:v>3018</c:v>
                </c:pt>
                <c:pt idx="6">
                  <c:v>2340</c:v>
                </c:pt>
                <c:pt idx="7">
                  <c:v>2222</c:v>
                </c:pt>
                <c:pt idx="8">
                  <c:v>2012</c:v>
                </c:pt>
                <c:pt idx="9">
                  <c:v>1993</c:v>
                </c:pt>
                <c:pt idx="10">
                  <c:v>2202</c:v>
                </c:pt>
                <c:pt idx="11">
                  <c:v>2034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53888"/>
        <c:axId val="50664960"/>
      </c:lineChart>
      <c:catAx>
        <c:axId val="504538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664960"/>
        <c:crosses val="autoZero"/>
        <c:auto val="1"/>
        <c:lblAlgn val="ctr"/>
        <c:lblOffset val="100"/>
        <c:noMultiLvlLbl val="0"/>
      </c:catAx>
      <c:valAx>
        <c:axId val="50664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45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'31.07.Mukwano RBT-JinjaRD'!$C$9:$N$9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'31.07.Mukwano RBT-JinjaRD'!$C$59:$N$59</c:f>
              <c:numCache>
                <c:formatCode>0.0%</c:formatCode>
                <c:ptCount val="12"/>
                <c:pt idx="0">
                  <c:v>4.9815681976686258E-3</c:v>
                </c:pt>
                <c:pt idx="1">
                  <c:v>7.7646042974328325E-2</c:v>
                </c:pt>
                <c:pt idx="2">
                  <c:v>2.7896781906944307E-2</c:v>
                </c:pt>
                <c:pt idx="3">
                  <c:v>1.8631065059280662E-2</c:v>
                </c:pt>
                <c:pt idx="4">
                  <c:v>1.0627345488359735E-3</c:v>
                </c:pt>
                <c:pt idx="5">
                  <c:v>2.6568363720899337E-4</c:v>
                </c:pt>
                <c:pt idx="6">
                  <c:v>8.8007704825479056E-3</c:v>
                </c:pt>
                <c:pt idx="7">
                  <c:v>5.9446713825512271E-3</c:v>
                </c:pt>
                <c:pt idx="8">
                  <c:v>1.6605227325562086E-3</c:v>
                </c:pt>
                <c:pt idx="9">
                  <c:v>3.2878350104612931E-3</c:v>
                </c:pt>
                <c:pt idx="10">
                  <c:v>0.64670718342134104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'31.07.Mukwano RBT-JinjaRD'!$C$9:$N$9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'31.07.Mukwano RBT-JinjaRD'!$C$60:$N$60</c:f>
              <c:numCache>
                <c:formatCode>0.00%</c:formatCode>
                <c:ptCount val="12"/>
                <c:pt idx="0">
                  <c:v>1.410039481105471E-2</c:v>
                </c:pt>
                <c:pt idx="1">
                  <c:v>0.21977815378830606</c:v>
                </c:pt>
                <c:pt idx="2">
                  <c:v>7.8962210941906377E-2</c:v>
                </c:pt>
                <c:pt idx="3">
                  <c:v>5.2735476593344613E-2</c:v>
                </c:pt>
                <c:pt idx="4">
                  <c:v>3.0080842263583382E-3</c:v>
                </c:pt>
                <c:pt idx="5">
                  <c:v>7.5202105658958454E-4</c:v>
                </c:pt>
                <c:pt idx="6">
                  <c:v>2.4910697499529986E-2</c:v>
                </c:pt>
                <c:pt idx="7">
                  <c:v>1.6826471141191953E-2</c:v>
                </c:pt>
                <c:pt idx="8">
                  <c:v>4.700131603684903E-3</c:v>
                </c:pt>
                <c:pt idx="9">
                  <c:v>9.3062605752961079E-3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7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'31.07.Jinja RD-Mukwano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'31.07.Jinja RD-Mukwano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'31.07.Jinja RD-Mukwano RD'!$AE$10:$AE$21</c:f>
              <c:numCache>
                <c:formatCode>0</c:formatCode>
                <c:ptCount val="12"/>
                <c:pt idx="0">
                  <c:v>706</c:v>
                </c:pt>
                <c:pt idx="1">
                  <c:v>867</c:v>
                </c:pt>
                <c:pt idx="2">
                  <c:v>970</c:v>
                </c:pt>
                <c:pt idx="3">
                  <c:v>994</c:v>
                </c:pt>
                <c:pt idx="4">
                  <c:v>966</c:v>
                </c:pt>
                <c:pt idx="5">
                  <c:v>858</c:v>
                </c:pt>
                <c:pt idx="6">
                  <c:v>1028</c:v>
                </c:pt>
                <c:pt idx="7">
                  <c:v>1015</c:v>
                </c:pt>
                <c:pt idx="8">
                  <c:v>1101</c:v>
                </c:pt>
                <c:pt idx="9">
                  <c:v>1185</c:v>
                </c:pt>
                <c:pt idx="10">
                  <c:v>1164</c:v>
                </c:pt>
                <c:pt idx="11">
                  <c:v>1114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'31.07.Jinja RD-Mukwano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'31.07.Jinja RD-Mukwano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'31.07.Jinja RD-Mukwano RD'!$AF$10:$AF$21</c:f>
              <c:numCache>
                <c:formatCode>0</c:formatCode>
                <c:ptCount val="12"/>
                <c:pt idx="0">
                  <c:v>2557</c:v>
                </c:pt>
                <c:pt idx="1">
                  <c:v>2629</c:v>
                </c:pt>
                <c:pt idx="2">
                  <c:v>2974</c:v>
                </c:pt>
                <c:pt idx="3">
                  <c:v>2464</c:v>
                </c:pt>
                <c:pt idx="4">
                  <c:v>2321</c:v>
                </c:pt>
                <c:pt idx="5">
                  <c:v>2550</c:v>
                </c:pt>
                <c:pt idx="6">
                  <c:v>2384</c:v>
                </c:pt>
                <c:pt idx="7">
                  <c:v>2313</c:v>
                </c:pt>
                <c:pt idx="8">
                  <c:v>2472</c:v>
                </c:pt>
                <c:pt idx="9">
                  <c:v>2434</c:v>
                </c:pt>
                <c:pt idx="10">
                  <c:v>2391</c:v>
                </c:pt>
                <c:pt idx="11">
                  <c:v>2374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54144"/>
        <c:axId val="50987392"/>
      </c:lineChart>
      <c:catAx>
        <c:axId val="50854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987392"/>
        <c:crosses val="autoZero"/>
        <c:auto val="1"/>
        <c:lblAlgn val="ctr"/>
        <c:lblOffset val="100"/>
        <c:noMultiLvlLbl val="0"/>
      </c:catAx>
      <c:valAx>
        <c:axId val="50987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85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'31.07.Jinja RD-Mukwano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'31.07.Jinja RD-Mukwano RD'!$C$59:$N$59</c:f>
              <c:numCache>
                <c:formatCode>0.0%</c:formatCode>
                <c:ptCount val="12"/>
                <c:pt idx="0">
                  <c:v>0.30676757191173021</c:v>
                </c:pt>
                <c:pt idx="1">
                  <c:v>3.5495429126343639E-2</c:v>
                </c:pt>
                <c:pt idx="2">
                  <c:v>1.3026152764290259E-2</c:v>
                </c:pt>
                <c:pt idx="3">
                  <c:v>1.1820647624150287E-2</c:v>
                </c:pt>
                <c:pt idx="4">
                  <c:v>1.2724776479255265E-3</c:v>
                </c:pt>
                <c:pt idx="5">
                  <c:v>2.344037772494391E-4</c:v>
                </c:pt>
                <c:pt idx="6">
                  <c:v>1.8819274687740681E-2</c:v>
                </c:pt>
                <c:pt idx="7">
                  <c:v>7.3669758564109435E-3</c:v>
                </c:pt>
                <c:pt idx="8">
                  <c:v>2.1766065030305059E-3</c:v>
                </c:pt>
                <c:pt idx="9">
                  <c:v>3.7504604359910256E-3</c:v>
                </c:pt>
                <c:pt idx="10">
                  <c:v>0.59923651341124473</c:v>
                </c:pt>
                <c:pt idx="11">
                  <c:v>3.3486253892777012E-5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'31.07.Jinja RD-Mukwano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'31.07.Jinja RD-Mukwano RD'!$C$60:$N$60</c:f>
              <c:numCache>
                <c:formatCode>0.00%</c:formatCode>
                <c:ptCount val="12"/>
                <c:pt idx="0">
                  <c:v>0.7654578877005348</c:v>
                </c:pt>
                <c:pt idx="1">
                  <c:v>8.8569518716577533E-2</c:v>
                </c:pt>
                <c:pt idx="2">
                  <c:v>3.2503342245989303E-2</c:v>
                </c:pt>
                <c:pt idx="3">
                  <c:v>2.9495320855614973E-2</c:v>
                </c:pt>
                <c:pt idx="4">
                  <c:v>3.1751336898395723E-3</c:v>
                </c:pt>
                <c:pt idx="5">
                  <c:v>5.848930481283422E-4</c:v>
                </c:pt>
                <c:pt idx="6">
                  <c:v>4.6958556149732621E-2</c:v>
                </c:pt>
                <c:pt idx="7">
                  <c:v>1.8382352941176471E-2</c:v>
                </c:pt>
                <c:pt idx="8">
                  <c:v>5.4311497326203209E-3</c:v>
                </c:pt>
                <c:pt idx="9">
                  <c:v>9.3582887700534752E-3</c:v>
                </c:pt>
                <c:pt idx="11">
                  <c:v>8.3556149732620316E-5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'01.08. Mukwano RBT-Jinja RD 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'01.08. Mukwano RBT-Jinja RD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'01.08. Mukwano RBT-Jinja RD 24h'!$AE$10:$AE$33</c:f>
              <c:numCache>
                <c:formatCode>0</c:formatCode>
                <c:ptCount val="24"/>
                <c:pt idx="0">
                  <c:v>986</c:v>
                </c:pt>
                <c:pt idx="1">
                  <c:v>1557</c:v>
                </c:pt>
                <c:pt idx="2">
                  <c:v>1623</c:v>
                </c:pt>
                <c:pt idx="3">
                  <c:v>1210</c:v>
                </c:pt>
                <c:pt idx="4">
                  <c:v>1214</c:v>
                </c:pt>
                <c:pt idx="5">
                  <c:v>1245</c:v>
                </c:pt>
                <c:pt idx="6">
                  <c:v>867</c:v>
                </c:pt>
                <c:pt idx="7">
                  <c:v>971</c:v>
                </c:pt>
                <c:pt idx="8">
                  <c:v>1015</c:v>
                </c:pt>
                <c:pt idx="9">
                  <c:v>817</c:v>
                </c:pt>
                <c:pt idx="10">
                  <c:v>1043</c:v>
                </c:pt>
                <c:pt idx="11">
                  <c:v>838</c:v>
                </c:pt>
                <c:pt idx="12">
                  <c:v>768</c:v>
                </c:pt>
                <c:pt idx="13">
                  <c:v>668</c:v>
                </c:pt>
                <c:pt idx="14">
                  <c:v>512</c:v>
                </c:pt>
                <c:pt idx="15">
                  <c:v>373</c:v>
                </c:pt>
                <c:pt idx="16">
                  <c:v>220</c:v>
                </c:pt>
                <c:pt idx="17">
                  <c:v>103</c:v>
                </c:pt>
                <c:pt idx="18">
                  <c:v>73</c:v>
                </c:pt>
                <c:pt idx="19">
                  <c:v>79</c:v>
                </c:pt>
                <c:pt idx="20">
                  <c:v>42</c:v>
                </c:pt>
                <c:pt idx="21">
                  <c:v>34</c:v>
                </c:pt>
                <c:pt idx="22">
                  <c:v>154</c:v>
                </c:pt>
                <c:pt idx="23">
                  <c:v>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'01.08. Mukwano RBT-Jinja RD 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'01.08. Mukwano RBT-Jinja RD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'01.08. Mukwano RBT-Jinja RD 24h'!$AF$10:$AF$33</c:f>
              <c:numCache>
                <c:formatCode>0</c:formatCode>
                <c:ptCount val="24"/>
                <c:pt idx="0">
                  <c:v>1811</c:v>
                </c:pt>
                <c:pt idx="1">
                  <c:v>2658</c:v>
                </c:pt>
                <c:pt idx="2">
                  <c:v>2868</c:v>
                </c:pt>
                <c:pt idx="3">
                  <c:v>2708</c:v>
                </c:pt>
                <c:pt idx="4">
                  <c:v>2530</c:v>
                </c:pt>
                <c:pt idx="5">
                  <c:v>2537</c:v>
                </c:pt>
                <c:pt idx="6">
                  <c:v>1949</c:v>
                </c:pt>
                <c:pt idx="7">
                  <c:v>2086</c:v>
                </c:pt>
                <c:pt idx="8">
                  <c:v>2405</c:v>
                </c:pt>
                <c:pt idx="9">
                  <c:v>2151</c:v>
                </c:pt>
                <c:pt idx="10">
                  <c:v>2355</c:v>
                </c:pt>
                <c:pt idx="11">
                  <c:v>1844</c:v>
                </c:pt>
                <c:pt idx="12">
                  <c:v>1407</c:v>
                </c:pt>
                <c:pt idx="13">
                  <c:v>1521</c:v>
                </c:pt>
                <c:pt idx="14">
                  <c:v>1122</c:v>
                </c:pt>
                <c:pt idx="15">
                  <c:v>1488</c:v>
                </c:pt>
                <c:pt idx="16">
                  <c:v>604</c:v>
                </c:pt>
                <c:pt idx="17">
                  <c:v>356</c:v>
                </c:pt>
                <c:pt idx="18">
                  <c:v>199</c:v>
                </c:pt>
                <c:pt idx="19">
                  <c:v>167</c:v>
                </c:pt>
                <c:pt idx="20">
                  <c:v>118</c:v>
                </c:pt>
                <c:pt idx="21">
                  <c:v>131</c:v>
                </c:pt>
                <c:pt idx="22">
                  <c:v>239</c:v>
                </c:pt>
                <c:pt idx="23">
                  <c:v>1410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83552"/>
        <c:axId val="51789824"/>
      </c:lineChart>
      <c:catAx>
        <c:axId val="517835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1789824"/>
        <c:crosses val="autoZero"/>
        <c:auto val="1"/>
        <c:lblAlgn val="ctr"/>
        <c:lblOffset val="100"/>
        <c:noMultiLvlLbl val="0"/>
      </c:catAx>
      <c:valAx>
        <c:axId val="5178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178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'01.08. Mukwano RBT-Jinja RD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'01.08. Mukwano RBT-Jinja RD 24h'!$C$107:$N$107</c:f>
              <c:numCache>
                <c:formatCode>0.0%</c:formatCode>
                <c:ptCount val="12"/>
                <c:pt idx="0">
                  <c:v>0.32208706087715472</c:v>
                </c:pt>
                <c:pt idx="1">
                  <c:v>7.5687322714379224E-2</c:v>
                </c:pt>
                <c:pt idx="2">
                  <c:v>2.6647392537639102E-2</c:v>
                </c:pt>
                <c:pt idx="3">
                  <c:v>2.2174339951996507E-2</c:v>
                </c:pt>
                <c:pt idx="4">
                  <c:v>1.6092079423958106E-3</c:v>
                </c:pt>
                <c:pt idx="5">
                  <c:v>3.8184595243290421E-4</c:v>
                </c:pt>
                <c:pt idx="6">
                  <c:v>7.7460178922103429E-3</c:v>
                </c:pt>
                <c:pt idx="7">
                  <c:v>4.6912502727471089E-3</c:v>
                </c:pt>
                <c:pt idx="8">
                  <c:v>1.9910538948287146E-3</c:v>
                </c:pt>
                <c:pt idx="9">
                  <c:v>3.9002836569932359E-3</c:v>
                </c:pt>
                <c:pt idx="10">
                  <c:v>0.53294785075278206</c:v>
                </c:pt>
                <c:pt idx="11">
                  <c:v>1.3637355444032293E-4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'01.08. Mukwano RBT-Jinja RD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'01.08. Mukwano RBT-Jinja RD 24h'!$C$108:$N$108</c:f>
              <c:numCache>
                <c:formatCode>0.00%</c:formatCode>
                <c:ptCount val="12"/>
                <c:pt idx="0">
                  <c:v>0.68961691193646346</c:v>
                </c:pt>
                <c:pt idx="1">
                  <c:v>0.16205325858444289</c:v>
                </c:pt>
                <c:pt idx="2">
                  <c:v>5.7054426535856108E-2</c:v>
                </c:pt>
                <c:pt idx="3">
                  <c:v>4.7477224947442186E-2</c:v>
                </c:pt>
                <c:pt idx="4">
                  <c:v>3.4454566690025694E-3</c:v>
                </c:pt>
                <c:pt idx="5">
                  <c:v>8.1756598925484701E-4</c:v>
                </c:pt>
                <c:pt idx="6">
                  <c:v>1.6584910067741182E-2</c:v>
                </c:pt>
                <c:pt idx="7">
                  <c:v>1.0044382153702406E-2</c:v>
                </c:pt>
                <c:pt idx="8">
                  <c:v>4.2630226582574164E-3</c:v>
                </c:pt>
                <c:pt idx="9">
                  <c:v>8.3508526045316511E-3</c:v>
                </c:pt>
                <c:pt idx="11">
                  <c:v>2.9198785330530251E-4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'1.08.Jinja RD-Mukwano RBT 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'1.08.Jinja RD-Mukwano RBT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'1.08.Jinja RD-Mukwano RBT 24h'!$AE$10:$AE$33</c:f>
              <c:numCache>
                <c:formatCode>0</c:formatCode>
                <c:ptCount val="24"/>
                <c:pt idx="0">
                  <c:v>842</c:v>
                </c:pt>
                <c:pt idx="1">
                  <c:v>821</c:v>
                </c:pt>
                <c:pt idx="2">
                  <c:v>810</c:v>
                </c:pt>
                <c:pt idx="3">
                  <c:v>838</c:v>
                </c:pt>
                <c:pt idx="4">
                  <c:v>983</c:v>
                </c:pt>
                <c:pt idx="5">
                  <c:v>849</c:v>
                </c:pt>
                <c:pt idx="6">
                  <c:v>682</c:v>
                </c:pt>
                <c:pt idx="7">
                  <c:v>934</c:v>
                </c:pt>
                <c:pt idx="8">
                  <c:v>1069</c:v>
                </c:pt>
                <c:pt idx="9">
                  <c:v>1092</c:v>
                </c:pt>
                <c:pt idx="10">
                  <c:v>1037</c:v>
                </c:pt>
                <c:pt idx="11">
                  <c:v>1107</c:v>
                </c:pt>
                <c:pt idx="12">
                  <c:v>1181</c:v>
                </c:pt>
                <c:pt idx="13">
                  <c:v>1093</c:v>
                </c:pt>
                <c:pt idx="14">
                  <c:v>970</c:v>
                </c:pt>
                <c:pt idx="15">
                  <c:v>505</c:v>
                </c:pt>
                <c:pt idx="16">
                  <c:v>280</c:v>
                </c:pt>
                <c:pt idx="17">
                  <c:v>164</c:v>
                </c:pt>
                <c:pt idx="18">
                  <c:v>78</c:v>
                </c:pt>
                <c:pt idx="19">
                  <c:v>54</c:v>
                </c:pt>
                <c:pt idx="20">
                  <c:v>73</c:v>
                </c:pt>
                <c:pt idx="21">
                  <c:v>89</c:v>
                </c:pt>
                <c:pt idx="22">
                  <c:v>52</c:v>
                </c:pt>
                <c:pt idx="23">
                  <c:v>329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'1.08.Jinja RD-Mukwano RBT 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'1.08.Jinja RD-Mukwano RBT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'1.08.Jinja RD-Mukwano RBT 24h'!$AF$10:$AF$33</c:f>
              <c:numCache>
                <c:formatCode>0</c:formatCode>
                <c:ptCount val="24"/>
                <c:pt idx="0">
                  <c:v>3092</c:v>
                </c:pt>
                <c:pt idx="1">
                  <c:v>3211</c:v>
                </c:pt>
                <c:pt idx="2">
                  <c:v>3232</c:v>
                </c:pt>
                <c:pt idx="3">
                  <c:v>3327</c:v>
                </c:pt>
                <c:pt idx="4">
                  <c:v>3313</c:v>
                </c:pt>
                <c:pt idx="5">
                  <c:v>2859</c:v>
                </c:pt>
                <c:pt idx="6">
                  <c:v>3722</c:v>
                </c:pt>
                <c:pt idx="7">
                  <c:v>3440</c:v>
                </c:pt>
                <c:pt idx="8">
                  <c:v>3662</c:v>
                </c:pt>
                <c:pt idx="9">
                  <c:v>3492</c:v>
                </c:pt>
                <c:pt idx="10">
                  <c:v>3392</c:v>
                </c:pt>
                <c:pt idx="11">
                  <c:v>3196</c:v>
                </c:pt>
                <c:pt idx="12">
                  <c:v>2500</c:v>
                </c:pt>
                <c:pt idx="13">
                  <c:v>1720</c:v>
                </c:pt>
                <c:pt idx="14">
                  <c:v>1166</c:v>
                </c:pt>
                <c:pt idx="15">
                  <c:v>750</c:v>
                </c:pt>
                <c:pt idx="16">
                  <c:v>500</c:v>
                </c:pt>
                <c:pt idx="17">
                  <c:v>300</c:v>
                </c:pt>
                <c:pt idx="18">
                  <c:v>157</c:v>
                </c:pt>
                <c:pt idx="19">
                  <c:v>136</c:v>
                </c:pt>
                <c:pt idx="20">
                  <c:v>173</c:v>
                </c:pt>
                <c:pt idx="21">
                  <c:v>159</c:v>
                </c:pt>
                <c:pt idx="22">
                  <c:v>169</c:v>
                </c:pt>
                <c:pt idx="23">
                  <c:v>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18400"/>
        <c:axId val="53320320"/>
      </c:lineChart>
      <c:catAx>
        <c:axId val="533184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3320320"/>
        <c:crosses val="autoZero"/>
        <c:auto val="1"/>
        <c:lblAlgn val="ctr"/>
        <c:lblOffset val="100"/>
        <c:noMultiLvlLbl val="0"/>
      </c:catAx>
      <c:valAx>
        <c:axId val="53320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331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'1.08.Jinja RD-Mukwano RBT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'1.08.Jinja RD-Mukwano RBT 24h'!$C$107:$N$107</c:f>
              <c:numCache>
                <c:formatCode>0.0%</c:formatCode>
                <c:ptCount val="12"/>
                <c:pt idx="0">
                  <c:v>0.23638098003027602</c:v>
                </c:pt>
                <c:pt idx="1">
                  <c:v>4.676191858656658E-2</c:v>
                </c:pt>
                <c:pt idx="2">
                  <c:v>1.8808452398233207E-2</c:v>
                </c:pt>
                <c:pt idx="3">
                  <c:v>2.4677021338365512E-3</c:v>
                </c:pt>
                <c:pt idx="4">
                  <c:v>1.1405345996723555E-3</c:v>
                </c:pt>
                <c:pt idx="5">
                  <c:v>3.1105489081973331E-4</c:v>
                </c:pt>
                <c:pt idx="6">
                  <c:v>1.2628828567281173E-2</c:v>
                </c:pt>
                <c:pt idx="7">
                  <c:v>5.3916181075420446E-3</c:v>
                </c:pt>
                <c:pt idx="8">
                  <c:v>3.8570806461646931E-3</c:v>
                </c:pt>
                <c:pt idx="9">
                  <c:v>2.6335980756070753E-3</c:v>
                </c:pt>
                <c:pt idx="10">
                  <c:v>0.66961823196400061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'1.08.Jinja RD-Mukwano RBT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'1.08.Jinja RD-Mukwano RBT 24h'!$C$108:$N$108</c:f>
              <c:numCache>
                <c:formatCode>0.00%</c:formatCode>
                <c:ptCount val="12"/>
                <c:pt idx="0">
                  <c:v>0.71547828270148128</c:v>
                </c:pt>
                <c:pt idx="1">
                  <c:v>0.14153904092392669</c:v>
                </c:pt>
                <c:pt idx="2">
                  <c:v>5.6929450163193569E-2</c:v>
                </c:pt>
                <c:pt idx="3">
                  <c:v>7.4692442882249559E-3</c:v>
                </c:pt>
                <c:pt idx="4">
                  <c:v>3.4521717298518703E-3</c:v>
                </c:pt>
                <c:pt idx="5">
                  <c:v>9.4150138086869191E-4</c:v>
                </c:pt>
                <c:pt idx="6">
                  <c:v>3.8224956063268895E-2</c:v>
                </c:pt>
                <c:pt idx="7">
                  <c:v>1.631935726839066E-2</c:v>
                </c:pt>
                <c:pt idx="8">
                  <c:v>1.1674617122771781E-2</c:v>
                </c:pt>
                <c:pt idx="9">
                  <c:v>7.971378358021591E-3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5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'02.08.Jinja-Mukwano'!$AE$9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'02.08.Jinja-Mukwano'!$R$10:$R$21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'02.08.Jinja-Mukwano'!$AE$10:$AE$21</c:f>
              <c:numCache>
                <c:formatCode>0</c:formatCode>
                <c:ptCount val="12"/>
                <c:pt idx="0">
                  <c:v>703</c:v>
                </c:pt>
                <c:pt idx="1">
                  <c:v>753</c:v>
                </c:pt>
                <c:pt idx="2">
                  <c:v>831</c:v>
                </c:pt>
                <c:pt idx="3">
                  <c:v>991</c:v>
                </c:pt>
                <c:pt idx="4">
                  <c:v>997</c:v>
                </c:pt>
                <c:pt idx="5">
                  <c:v>888</c:v>
                </c:pt>
                <c:pt idx="6">
                  <c:v>681</c:v>
                </c:pt>
                <c:pt idx="7">
                  <c:v>649</c:v>
                </c:pt>
                <c:pt idx="8">
                  <c:v>953</c:v>
                </c:pt>
                <c:pt idx="9">
                  <c:v>1031</c:v>
                </c:pt>
                <c:pt idx="10">
                  <c:v>1066</c:v>
                </c:pt>
                <c:pt idx="11">
                  <c:v>890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'02.08.Jinja-Mukwano'!$AF$9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'02.08.Jinja-Mukwano'!$R$10:$R$21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'02.08.Jinja-Mukwano'!$AF$10:$AF$21</c:f>
              <c:numCache>
                <c:formatCode>0</c:formatCode>
                <c:ptCount val="12"/>
                <c:pt idx="0">
                  <c:v>2953</c:v>
                </c:pt>
                <c:pt idx="1">
                  <c:v>2873</c:v>
                </c:pt>
                <c:pt idx="2">
                  <c:v>3356</c:v>
                </c:pt>
                <c:pt idx="3">
                  <c:v>3641</c:v>
                </c:pt>
                <c:pt idx="4">
                  <c:v>3647</c:v>
                </c:pt>
                <c:pt idx="5">
                  <c:v>3398</c:v>
                </c:pt>
                <c:pt idx="6">
                  <c:v>2900</c:v>
                </c:pt>
                <c:pt idx="7">
                  <c:v>2904</c:v>
                </c:pt>
                <c:pt idx="8">
                  <c:v>3100</c:v>
                </c:pt>
                <c:pt idx="9">
                  <c:v>3131</c:v>
                </c:pt>
                <c:pt idx="10">
                  <c:v>3045</c:v>
                </c:pt>
                <c:pt idx="11">
                  <c:v>2385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01664"/>
        <c:axId val="70807936"/>
      </c:lineChart>
      <c:catAx>
        <c:axId val="7080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807936"/>
        <c:crosses val="autoZero"/>
        <c:auto val="1"/>
        <c:lblAlgn val="ctr"/>
        <c:lblOffset val="100"/>
        <c:noMultiLvlLbl val="0"/>
      </c:catAx>
      <c:valAx>
        <c:axId val="70807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80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'02.08.Jinja-Mukwano'!$C$9:$N$9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'02.08.Jinja-Mukwano'!$C$59:$N$59</c:f>
              <c:numCache>
                <c:formatCode>0.0%</c:formatCode>
                <c:ptCount val="12"/>
                <c:pt idx="0">
                  <c:v>0.18675166742560201</c:v>
                </c:pt>
                <c:pt idx="1">
                  <c:v>4.0875364958615705E-2</c:v>
                </c:pt>
                <c:pt idx="2">
                  <c:v>2.0357324618969812E-2</c:v>
                </c:pt>
                <c:pt idx="3">
                  <c:v>3.1607425066295233E-3</c:v>
                </c:pt>
                <c:pt idx="4">
                  <c:v>1.6607291136528004E-3</c:v>
                </c:pt>
                <c:pt idx="5">
                  <c:v>4.0178930169019366E-4</c:v>
                </c:pt>
                <c:pt idx="6">
                  <c:v>1.4625130581523049E-2</c:v>
                </c:pt>
                <c:pt idx="7">
                  <c:v>5.6786221305547375E-3</c:v>
                </c:pt>
                <c:pt idx="8">
                  <c:v>2.8125251118313556E-3</c:v>
                </c:pt>
                <c:pt idx="9">
                  <c:v>3.0535986928454718E-3</c:v>
                </c:pt>
                <c:pt idx="10">
                  <c:v>0.72054214769774727</c:v>
                </c:pt>
                <c:pt idx="11">
                  <c:v>8.0357860338038729E-5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26"/>
          <c:y val="2.296022663732376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'02.08.Jinja-Mukwano'!$S$9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'02.08.Jinja-Mukwano'!$R$10:$R$21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'02.08.Jinja-Mukwano'!$S$10:$S$21</c:f>
              <c:numCache>
                <c:formatCode>0</c:formatCode>
                <c:ptCount val="12"/>
                <c:pt idx="0">
                  <c:v>536</c:v>
                </c:pt>
                <c:pt idx="1">
                  <c:v>540</c:v>
                </c:pt>
                <c:pt idx="2">
                  <c:v>595</c:v>
                </c:pt>
                <c:pt idx="3">
                  <c:v>610</c:v>
                </c:pt>
                <c:pt idx="4">
                  <c:v>660</c:v>
                </c:pt>
                <c:pt idx="5">
                  <c:v>560</c:v>
                </c:pt>
                <c:pt idx="6">
                  <c:v>415</c:v>
                </c:pt>
                <c:pt idx="7">
                  <c:v>399</c:v>
                </c:pt>
                <c:pt idx="8">
                  <c:v>630</c:v>
                </c:pt>
                <c:pt idx="9">
                  <c:v>660</c:v>
                </c:pt>
                <c:pt idx="10">
                  <c:v>785</c:v>
                </c:pt>
                <c:pt idx="11">
                  <c:v>582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'02.08.Jinja-Mukwano'!$T$9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'02.08.Jinja-Mukwano'!$R$10:$R$21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'02.08.Jinja-Mukwano'!$T$10:$T$21</c:f>
              <c:numCache>
                <c:formatCode>0</c:formatCode>
                <c:ptCount val="12"/>
                <c:pt idx="0">
                  <c:v>91</c:v>
                </c:pt>
                <c:pt idx="1">
                  <c:v>76</c:v>
                </c:pt>
                <c:pt idx="2">
                  <c:v>116</c:v>
                </c:pt>
                <c:pt idx="3">
                  <c:v>132</c:v>
                </c:pt>
                <c:pt idx="4">
                  <c:v>183</c:v>
                </c:pt>
                <c:pt idx="5">
                  <c:v>143</c:v>
                </c:pt>
                <c:pt idx="6">
                  <c:v>106</c:v>
                </c:pt>
                <c:pt idx="7">
                  <c:v>85</c:v>
                </c:pt>
                <c:pt idx="8">
                  <c:v>170</c:v>
                </c:pt>
                <c:pt idx="9">
                  <c:v>173</c:v>
                </c:pt>
                <c:pt idx="10">
                  <c:v>119</c:v>
                </c:pt>
                <c:pt idx="11">
                  <c:v>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'02.08.Jinja-Mukwano'!$U$9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'02.08.Jinja-Mukwano'!$U$10:$U$21</c:f>
              <c:numCache>
                <c:formatCode>0</c:formatCode>
                <c:ptCount val="12"/>
                <c:pt idx="0">
                  <c:v>36</c:v>
                </c:pt>
                <c:pt idx="1">
                  <c:v>61</c:v>
                </c:pt>
                <c:pt idx="2">
                  <c:v>45</c:v>
                </c:pt>
                <c:pt idx="3">
                  <c:v>98</c:v>
                </c:pt>
                <c:pt idx="4">
                  <c:v>52</c:v>
                </c:pt>
                <c:pt idx="5">
                  <c:v>65</c:v>
                </c:pt>
                <c:pt idx="6">
                  <c:v>58</c:v>
                </c:pt>
                <c:pt idx="7">
                  <c:v>60</c:v>
                </c:pt>
                <c:pt idx="8">
                  <c:v>60</c:v>
                </c:pt>
                <c:pt idx="9">
                  <c:v>87</c:v>
                </c:pt>
                <c:pt idx="10">
                  <c:v>73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'02.08.Jinja-Mukwano'!$V$9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'02.08.Jinja-Mukwano'!$V$10:$V$21</c:f>
              <c:numCache>
                <c:formatCode>0</c:formatCode>
                <c:ptCount val="12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13</c:v>
                </c:pt>
                <c:pt idx="4">
                  <c:v>5</c:v>
                </c:pt>
                <c:pt idx="5">
                  <c:v>20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'02.08.Jinja-Mukwano'!$W$9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'02.08.Jinja-Mukwano'!$W$10:$W$21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</c:v>
                </c:pt>
                <c:pt idx="5">
                  <c:v>10</c:v>
                </c:pt>
                <c:pt idx="6">
                  <c:v>11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'02.08.Jinja-Mukwano'!$X$9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'02.08.Jinja-Mukwano'!$X$10:$X$21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4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'02.08.Jinja-Mukwano'!$Y$9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'02.08.Jinja-Mukwano'!$Y$10:$Y$21</c:f>
              <c:numCache>
                <c:formatCode>0</c:formatCode>
                <c:ptCount val="12"/>
                <c:pt idx="0">
                  <c:v>19</c:v>
                </c:pt>
                <c:pt idx="1">
                  <c:v>29</c:v>
                </c:pt>
                <c:pt idx="2">
                  <c:v>27</c:v>
                </c:pt>
                <c:pt idx="3">
                  <c:v>81</c:v>
                </c:pt>
                <c:pt idx="4">
                  <c:v>54</c:v>
                </c:pt>
                <c:pt idx="5">
                  <c:v>54</c:v>
                </c:pt>
                <c:pt idx="6">
                  <c:v>58</c:v>
                </c:pt>
                <c:pt idx="7">
                  <c:v>61</c:v>
                </c:pt>
                <c:pt idx="8">
                  <c:v>36</c:v>
                </c:pt>
                <c:pt idx="9">
                  <c:v>50</c:v>
                </c:pt>
                <c:pt idx="10">
                  <c:v>32</c:v>
                </c:pt>
                <c:pt idx="1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'02.08.Jinja-Mukwano'!$Z$9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'02.08.Jinja-Mukwano'!$Z$10:$Z$21</c:f>
              <c:numCache>
                <c:formatCode>0</c:formatCode>
                <c:ptCount val="12"/>
                <c:pt idx="0">
                  <c:v>0</c:v>
                </c:pt>
                <c:pt idx="1">
                  <c:v>18</c:v>
                </c:pt>
                <c:pt idx="2">
                  <c:v>15</c:v>
                </c:pt>
                <c:pt idx="3">
                  <c:v>28</c:v>
                </c:pt>
                <c:pt idx="4">
                  <c:v>21</c:v>
                </c:pt>
                <c:pt idx="5">
                  <c:v>18</c:v>
                </c:pt>
                <c:pt idx="6">
                  <c:v>13</c:v>
                </c:pt>
                <c:pt idx="7">
                  <c:v>11</c:v>
                </c:pt>
                <c:pt idx="8">
                  <c:v>25</c:v>
                </c:pt>
                <c:pt idx="9">
                  <c:v>32</c:v>
                </c:pt>
                <c:pt idx="10">
                  <c:v>19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'02.08.Jinja-Mukwano'!$AA$9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'02.08.Jinja-Mukwano'!$AA$10:$AA$21</c:f>
              <c:numCache>
                <c:formatCode>0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12</c:v>
                </c:pt>
                <c:pt idx="3">
                  <c:v>13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8</c:v>
                </c:pt>
                <c:pt idx="8">
                  <c:v>13</c:v>
                </c:pt>
                <c:pt idx="9">
                  <c:v>11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'02.08.Jinja-Mukwano'!$AB$9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'02.08.Jinja-Mukwano'!$AB$10:$AB$21</c:f>
              <c:numCache>
                <c:formatCode>0</c:formatCode>
                <c:ptCount val="12"/>
                <c:pt idx="0">
                  <c:v>15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6</c:v>
                </c:pt>
                <c:pt idx="6">
                  <c:v>5</c:v>
                </c:pt>
                <c:pt idx="7">
                  <c:v>11</c:v>
                </c:pt>
                <c:pt idx="8">
                  <c:v>10</c:v>
                </c:pt>
                <c:pt idx="9">
                  <c:v>6</c:v>
                </c:pt>
                <c:pt idx="10">
                  <c:v>17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'02.08.Jinja-Mukwano'!$AC$9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'02.08.Jinja-Mukwano'!$AC$10:$AC$21</c:f>
              <c:numCache>
                <c:formatCode>0</c:formatCode>
                <c:ptCount val="12"/>
                <c:pt idx="0">
                  <c:v>2250</c:v>
                </c:pt>
                <c:pt idx="1">
                  <c:v>2120</c:v>
                </c:pt>
                <c:pt idx="2">
                  <c:v>2525</c:v>
                </c:pt>
                <c:pt idx="3">
                  <c:v>2650</c:v>
                </c:pt>
                <c:pt idx="4">
                  <c:v>2650</c:v>
                </c:pt>
                <c:pt idx="5">
                  <c:v>2510</c:v>
                </c:pt>
                <c:pt idx="6">
                  <c:v>2219</c:v>
                </c:pt>
                <c:pt idx="7">
                  <c:v>2255</c:v>
                </c:pt>
                <c:pt idx="8">
                  <c:v>2147</c:v>
                </c:pt>
                <c:pt idx="9">
                  <c:v>2100</c:v>
                </c:pt>
                <c:pt idx="10">
                  <c:v>1979</c:v>
                </c:pt>
                <c:pt idx="11">
                  <c:v>1495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'02.08.Jinja-Mukwano'!$AD$9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'02.08.Jinja-Mukwano'!$AD$10:$AD$21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195328"/>
        <c:axId val="74196864"/>
      </c:lineChart>
      <c:catAx>
        <c:axId val="7419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4196864"/>
        <c:crosses val="autoZero"/>
        <c:auto val="1"/>
        <c:lblAlgn val="ctr"/>
        <c:lblOffset val="100"/>
        <c:noMultiLvlLbl val="0"/>
      </c:catAx>
      <c:valAx>
        <c:axId val="7419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419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'02.08.Jinja-Mukwano'!$C$9:$N$9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'02.08.Jinja-Mukwano'!$C$60:$N$60</c:f>
              <c:numCache>
                <c:formatCode>0.00%</c:formatCode>
                <c:ptCount val="12"/>
                <c:pt idx="0">
                  <c:v>0.66826416179430648</c:v>
                </c:pt>
                <c:pt idx="1">
                  <c:v>0.14626665388670565</c:v>
                </c:pt>
                <c:pt idx="2">
                  <c:v>7.2845777820377641E-2</c:v>
                </c:pt>
                <c:pt idx="3">
                  <c:v>1.1310265503690214E-2</c:v>
                </c:pt>
                <c:pt idx="4">
                  <c:v>5.9426818748202822E-3</c:v>
                </c:pt>
                <c:pt idx="5">
                  <c:v>1.4377456148758746E-3</c:v>
                </c:pt>
                <c:pt idx="6">
                  <c:v>5.2333940381481835E-2</c:v>
                </c:pt>
                <c:pt idx="7">
                  <c:v>2.0320138023579029E-2</c:v>
                </c:pt>
                <c:pt idx="8">
                  <c:v>1.0064219304131122E-2</c:v>
                </c:pt>
                <c:pt idx="9">
                  <c:v>1.0926866673056647E-2</c:v>
                </c:pt>
                <c:pt idx="11">
                  <c:v>2.8754912297517492E-4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7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'02.08.Mukwano-Jinja'!$AE$9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'02.08.Mukwano-Jinja'!$AE$10:$AE$21</c:f>
              <c:numCache>
                <c:formatCode>0</c:formatCode>
                <c:ptCount val="12"/>
                <c:pt idx="0">
                  <c:v>1208</c:v>
                </c:pt>
                <c:pt idx="1">
                  <c:v>1079</c:v>
                </c:pt>
                <c:pt idx="2">
                  <c:v>1144</c:v>
                </c:pt>
                <c:pt idx="3">
                  <c:v>967</c:v>
                </c:pt>
                <c:pt idx="4">
                  <c:v>1190</c:v>
                </c:pt>
                <c:pt idx="5">
                  <c:v>1105</c:v>
                </c:pt>
                <c:pt idx="6">
                  <c:v>686</c:v>
                </c:pt>
                <c:pt idx="7">
                  <c:v>725</c:v>
                </c:pt>
                <c:pt idx="8">
                  <c:v>691</c:v>
                </c:pt>
                <c:pt idx="9">
                  <c:v>824</c:v>
                </c:pt>
                <c:pt idx="10">
                  <c:v>724</c:v>
                </c:pt>
                <c:pt idx="11">
                  <c:v>523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'02.08.Mukwano-Jinja'!$AF$9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'02.08.Mukwano-Jinja'!$AF$10:$AF$21</c:f>
              <c:numCache>
                <c:formatCode>0</c:formatCode>
                <c:ptCount val="12"/>
                <c:pt idx="0">
                  <c:v>2433</c:v>
                </c:pt>
                <c:pt idx="1">
                  <c:v>2377</c:v>
                </c:pt>
                <c:pt idx="2">
                  <c:v>2363</c:v>
                </c:pt>
                <c:pt idx="3">
                  <c:v>2264</c:v>
                </c:pt>
                <c:pt idx="4">
                  <c:v>2384</c:v>
                </c:pt>
                <c:pt idx="5">
                  <c:v>2373</c:v>
                </c:pt>
                <c:pt idx="6">
                  <c:v>1671</c:v>
                </c:pt>
                <c:pt idx="7">
                  <c:v>2264</c:v>
                </c:pt>
                <c:pt idx="8">
                  <c:v>1638</c:v>
                </c:pt>
                <c:pt idx="9">
                  <c:v>1855</c:v>
                </c:pt>
                <c:pt idx="10">
                  <c:v>2143</c:v>
                </c:pt>
                <c:pt idx="11">
                  <c:v>1366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111872"/>
        <c:axId val="78113792"/>
      </c:lineChart>
      <c:catAx>
        <c:axId val="78111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113792"/>
        <c:crosses val="autoZero"/>
        <c:auto val="1"/>
        <c:lblAlgn val="ctr"/>
        <c:lblOffset val="100"/>
        <c:noMultiLvlLbl val="0"/>
      </c:catAx>
      <c:valAx>
        <c:axId val="78113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1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'02.08.Mukwano-Jinja'!$C$9:$N$9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'02.08.Mukwano-Jinja'!$C$59:$N$59</c:f>
              <c:numCache>
                <c:formatCode>0.0%</c:formatCode>
                <c:ptCount val="12"/>
                <c:pt idx="0">
                  <c:v>0.29135330866260795</c:v>
                </c:pt>
                <c:pt idx="1">
                  <c:v>7.7474036051092279E-2</c:v>
                </c:pt>
                <c:pt idx="2">
                  <c:v>2.3596355099279775E-2</c:v>
                </c:pt>
                <c:pt idx="3">
                  <c:v>1.7945963153077872E-2</c:v>
                </c:pt>
                <c:pt idx="4">
                  <c:v>2.1089491066809915E-3</c:v>
                </c:pt>
                <c:pt idx="5">
                  <c:v>2.3874895547331979E-4</c:v>
                </c:pt>
                <c:pt idx="6">
                  <c:v>7.6399665751462334E-3</c:v>
                </c:pt>
                <c:pt idx="7">
                  <c:v>6.0483068719907685E-3</c:v>
                </c:pt>
                <c:pt idx="8">
                  <c:v>1.8304086586287851E-3</c:v>
                </c:pt>
                <c:pt idx="9">
                  <c:v>4.0587322430464369E-3</c:v>
                </c:pt>
                <c:pt idx="10">
                  <c:v>0.56762564163781781</c:v>
                </c:pt>
                <c:pt idx="11">
                  <c:v>7.9582985157773269E-5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43"/>
          <c:y val="2.29602266373237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'02.08.Mukwano-Jinja'!$S$9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'02.08.Mukwano-Jinja'!$S$10:$S$21</c:f>
              <c:numCache>
                <c:formatCode>0</c:formatCode>
                <c:ptCount val="12"/>
                <c:pt idx="0">
                  <c:v>823</c:v>
                </c:pt>
                <c:pt idx="1">
                  <c:v>757</c:v>
                </c:pt>
                <c:pt idx="2">
                  <c:v>765</c:v>
                </c:pt>
                <c:pt idx="3">
                  <c:v>648</c:v>
                </c:pt>
                <c:pt idx="4">
                  <c:v>823</c:v>
                </c:pt>
                <c:pt idx="5">
                  <c:v>767</c:v>
                </c:pt>
                <c:pt idx="6">
                  <c:v>492</c:v>
                </c:pt>
                <c:pt idx="7">
                  <c:v>469</c:v>
                </c:pt>
                <c:pt idx="8">
                  <c:v>443</c:v>
                </c:pt>
                <c:pt idx="9">
                  <c:v>545</c:v>
                </c:pt>
                <c:pt idx="10">
                  <c:v>450</c:v>
                </c:pt>
                <c:pt idx="11">
                  <c:v>340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'02.08.Mukwano-Jinja'!$T$9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'02.08.Mukwano-Jinja'!$T$10:$T$21</c:f>
              <c:numCache>
                <c:formatCode>0</c:formatCode>
                <c:ptCount val="12"/>
                <c:pt idx="0">
                  <c:v>225</c:v>
                </c:pt>
                <c:pt idx="1">
                  <c:v>209</c:v>
                </c:pt>
                <c:pt idx="2">
                  <c:v>243</c:v>
                </c:pt>
                <c:pt idx="3">
                  <c:v>214</c:v>
                </c:pt>
                <c:pt idx="4">
                  <c:v>190</c:v>
                </c:pt>
                <c:pt idx="5">
                  <c:v>207</c:v>
                </c:pt>
                <c:pt idx="6">
                  <c:v>95</c:v>
                </c:pt>
                <c:pt idx="7">
                  <c:v>135</c:v>
                </c:pt>
                <c:pt idx="8">
                  <c:v>111</c:v>
                </c:pt>
                <c:pt idx="9">
                  <c:v>124</c:v>
                </c:pt>
                <c:pt idx="10">
                  <c:v>123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'02.08.Mukwano-Jinja'!$U$9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'02.08.Mukwano-Jinja'!$U$10:$U$21</c:f>
              <c:numCache>
                <c:formatCode>0</c:formatCode>
                <c:ptCount val="12"/>
                <c:pt idx="0">
                  <c:v>68</c:v>
                </c:pt>
                <c:pt idx="1">
                  <c:v>43</c:v>
                </c:pt>
                <c:pt idx="2">
                  <c:v>54</c:v>
                </c:pt>
                <c:pt idx="3">
                  <c:v>44</c:v>
                </c:pt>
                <c:pt idx="4">
                  <c:v>59</c:v>
                </c:pt>
                <c:pt idx="5">
                  <c:v>42</c:v>
                </c:pt>
                <c:pt idx="6">
                  <c:v>35</c:v>
                </c:pt>
                <c:pt idx="7">
                  <c:v>45</c:v>
                </c:pt>
                <c:pt idx="8">
                  <c:v>55</c:v>
                </c:pt>
                <c:pt idx="9">
                  <c:v>59</c:v>
                </c:pt>
                <c:pt idx="10">
                  <c:v>57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'02.08.Mukwano-Jinja'!$V$9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'02.08.Mukwano-Jinja'!$V$10:$V$21</c:f>
              <c:numCache>
                <c:formatCode>0</c:formatCode>
                <c:ptCount val="12"/>
                <c:pt idx="0">
                  <c:v>64</c:v>
                </c:pt>
                <c:pt idx="1">
                  <c:v>48</c:v>
                </c:pt>
                <c:pt idx="2">
                  <c:v>36</c:v>
                </c:pt>
                <c:pt idx="3">
                  <c:v>16</c:v>
                </c:pt>
                <c:pt idx="4">
                  <c:v>42</c:v>
                </c:pt>
                <c:pt idx="5">
                  <c:v>43</c:v>
                </c:pt>
                <c:pt idx="6">
                  <c:v>19</c:v>
                </c:pt>
                <c:pt idx="7">
                  <c:v>31</c:v>
                </c:pt>
                <c:pt idx="8">
                  <c:v>31</c:v>
                </c:pt>
                <c:pt idx="9">
                  <c:v>38</c:v>
                </c:pt>
                <c:pt idx="10">
                  <c:v>49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'02.08.Mukwano-Jinja'!$W$9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'02.08.Mukwano-Jinja'!$W$10:$W$21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7</c:v>
                </c:pt>
                <c:pt idx="3">
                  <c:v>2</c:v>
                </c:pt>
                <c:pt idx="4">
                  <c:v>10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3</c:v>
                </c:pt>
                <c:pt idx="9">
                  <c:v>7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'02.08.Mukwano-Jinja'!$X$9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'02.08.Mukwano-Jinja'!$Y$9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'02.08.Mukwano-Jinja'!$Y$10:$Y$21</c:f>
              <c:numCache>
                <c:formatCode>0</c:formatCode>
                <c:ptCount val="12"/>
                <c:pt idx="0">
                  <c:v>14</c:v>
                </c:pt>
                <c:pt idx="1">
                  <c:v>12</c:v>
                </c:pt>
                <c:pt idx="2">
                  <c:v>9</c:v>
                </c:pt>
                <c:pt idx="3">
                  <c:v>18</c:v>
                </c:pt>
                <c:pt idx="4">
                  <c:v>18</c:v>
                </c:pt>
                <c:pt idx="5">
                  <c:v>19</c:v>
                </c:pt>
                <c:pt idx="6">
                  <c:v>25</c:v>
                </c:pt>
                <c:pt idx="7">
                  <c:v>15</c:v>
                </c:pt>
                <c:pt idx="8">
                  <c:v>21</c:v>
                </c:pt>
                <c:pt idx="9">
                  <c:v>16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'02.08.Mukwano-Jinja'!$Z$9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'02.08.Mukwano-Jinja'!$Z$10:$Z$21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21</c:v>
                </c:pt>
                <c:pt idx="3">
                  <c:v>12</c:v>
                </c:pt>
                <c:pt idx="4">
                  <c:v>28</c:v>
                </c:pt>
                <c:pt idx="5">
                  <c:v>14</c:v>
                </c:pt>
                <c:pt idx="6">
                  <c:v>8</c:v>
                </c:pt>
                <c:pt idx="7">
                  <c:v>10</c:v>
                </c:pt>
                <c:pt idx="8">
                  <c:v>10</c:v>
                </c:pt>
                <c:pt idx="9">
                  <c:v>15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'02.08.Mukwano-Jinja'!$AA$9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'02.08.Mukwano-Jinja'!$AA$10:$AA$21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9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2</c:v>
                </c:pt>
                <c:pt idx="9">
                  <c:v>7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'02.08.Mukwano-Jinja'!$AB$9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'02.08.Mukwano-Jinja'!$AB$10:$AB$21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3</c:v>
                </c:pt>
                <c:pt idx="3">
                  <c:v>6</c:v>
                </c:pt>
                <c:pt idx="4">
                  <c:v>11</c:v>
                </c:pt>
                <c:pt idx="5">
                  <c:v>9</c:v>
                </c:pt>
                <c:pt idx="6">
                  <c:v>6</c:v>
                </c:pt>
                <c:pt idx="7">
                  <c:v>14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'02.08.Mukwano-Jinja'!$AC$9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'02.08.Mukwano-Jinja'!$AC$10:$AC$21</c:f>
              <c:numCache>
                <c:formatCode>0</c:formatCode>
                <c:ptCount val="12"/>
                <c:pt idx="0">
                  <c:v>1225</c:v>
                </c:pt>
                <c:pt idx="1">
                  <c:v>1298</c:v>
                </c:pt>
                <c:pt idx="2">
                  <c:v>1219</c:v>
                </c:pt>
                <c:pt idx="3">
                  <c:v>1297</c:v>
                </c:pt>
                <c:pt idx="4">
                  <c:v>1194</c:v>
                </c:pt>
                <c:pt idx="5">
                  <c:v>1268</c:v>
                </c:pt>
                <c:pt idx="6">
                  <c:v>985</c:v>
                </c:pt>
                <c:pt idx="7">
                  <c:v>1539</c:v>
                </c:pt>
                <c:pt idx="8">
                  <c:v>947</c:v>
                </c:pt>
                <c:pt idx="9">
                  <c:v>1031</c:v>
                </c:pt>
                <c:pt idx="10">
                  <c:v>1419</c:v>
                </c:pt>
                <c:pt idx="11">
                  <c:v>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'02.08.Mukwano-Jinja'!$AD$9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'02.08.Mukwano-Jinja'!$AD$10:$AD$21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747520"/>
        <c:axId val="80769792"/>
      </c:lineChart>
      <c:catAx>
        <c:axId val="8074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769792"/>
        <c:crosses val="autoZero"/>
        <c:auto val="1"/>
        <c:lblAlgn val="ctr"/>
        <c:lblOffset val="100"/>
        <c:noMultiLvlLbl val="0"/>
      </c:catAx>
      <c:valAx>
        <c:axId val="8076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74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'02.08.Mukwano-Jinja'!$C$9:$N$9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'02.08.Mukwano-Jinja'!$C$60:$N$60</c:f>
              <c:numCache>
                <c:formatCode>0.00%</c:formatCode>
                <c:ptCount val="12"/>
                <c:pt idx="0">
                  <c:v>0.67384502116694278</c:v>
                </c:pt>
                <c:pt idx="1">
                  <c:v>0.17918277194919935</c:v>
                </c:pt>
                <c:pt idx="2">
                  <c:v>5.4573900239278481E-2</c:v>
                </c:pt>
                <c:pt idx="3">
                  <c:v>4.150561384133996E-2</c:v>
                </c:pt>
                <c:pt idx="4">
                  <c:v>4.8775998527517024E-3</c:v>
                </c:pt>
                <c:pt idx="5">
                  <c:v>5.5218111540585317E-4</c:v>
                </c:pt>
                <c:pt idx="6">
                  <c:v>1.7669795692987302E-2</c:v>
                </c:pt>
                <c:pt idx="7">
                  <c:v>1.3988588256948278E-2</c:v>
                </c:pt>
                <c:pt idx="8">
                  <c:v>4.2333885514448735E-3</c:v>
                </c:pt>
                <c:pt idx="9">
                  <c:v>9.3870789618995028E-3</c:v>
                </c:pt>
                <c:pt idx="11">
                  <c:v>1.8406037180195104E-4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8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'03.8.Mukwano-Jinja RD 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'03.8.Mukwano-Jinja RD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'03.8.Mukwano-Jinja RD 24h'!$AE$10:$AE$33</c:f>
              <c:numCache>
                <c:formatCode>0</c:formatCode>
                <c:ptCount val="24"/>
                <c:pt idx="0">
                  <c:v>347</c:v>
                </c:pt>
                <c:pt idx="1">
                  <c:v>639</c:v>
                </c:pt>
                <c:pt idx="2">
                  <c:v>701</c:v>
                </c:pt>
                <c:pt idx="3">
                  <c:v>769</c:v>
                </c:pt>
                <c:pt idx="4">
                  <c:v>601</c:v>
                </c:pt>
                <c:pt idx="5">
                  <c:v>574</c:v>
                </c:pt>
                <c:pt idx="6">
                  <c:v>900</c:v>
                </c:pt>
                <c:pt idx="7">
                  <c:v>632</c:v>
                </c:pt>
                <c:pt idx="8">
                  <c:v>526</c:v>
                </c:pt>
                <c:pt idx="9">
                  <c:v>487</c:v>
                </c:pt>
                <c:pt idx="10">
                  <c:v>367</c:v>
                </c:pt>
                <c:pt idx="11">
                  <c:v>302</c:v>
                </c:pt>
                <c:pt idx="12">
                  <c:v>627</c:v>
                </c:pt>
                <c:pt idx="13">
                  <c:v>598</c:v>
                </c:pt>
                <c:pt idx="14">
                  <c:v>633</c:v>
                </c:pt>
                <c:pt idx="15">
                  <c:v>565</c:v>
                </c:pt>
                <c:pt idx="16">
                  <c:v>525</c:v>
                </c:pt>
                <c:pt idx="17">
                  <c:v>349</c:v>
                </c:pt>
                <c:pt idx="18">
                  <c:v>333</c:v>
                </c:pt>
                <c:pt idx="19">
                  <c:v>99</c:v>
                </c:pt>
                <c:pt idx="20">
                  <c:v>123</c:v>
                </c:pt>
                <c:pt idx="21">
                  <c:v>67</c:v>
                </c:pt>
                <c:pt idx="22">
                  <c:v>116</c:v>
                </c:pt>
                <c:pt idx="23">
                  <c:v>210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'03.8.Mukwano-Jinja RD 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'03.8.Mukwano-Jinja RD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'03.8.Mukwano-Jinja RD 24h'!$AF$10:$AF$33</c:f>
              <c:numCache>
                <c:formatCode>0</c:formatCode>
                <c:ptCount val="24"/>
                <c:pt idx="0">
                  <c:v>892</c:v>
                </c:pt>
                <c:pt idx="1">
                  <c:v>1769</c:v>
                </c:pt>
                <c:pt idx="2">
                  <c:v>1819</c:v>
                </c:pt>
                <c:pt idx="3">
                  <c:v>1859</c:v>
                </c:pt>
                <c:pt idx="4">
                  <c:v>1836</c:v>
                </c:pt>
                <c:pt idx="5">
                  <c:v>1305</c:v>
                </c:pt>
                <c:pt idx="6">
                  <c:v>1797</c:v>
                </c:pt>
                <c:pt idx="7">
                  <c:v>1412</c:v>
                </c:pt>
                <c:pt idx="8">
                  <c:v>1656</c:v>
                </c:pt>
                <c:pt idx="9">
                  <c:v>1274</c:v>
                </c:pt>
                <c:pt idx="10">
                  <c:v>1107</c:v>
                </c:pt>
                <c:pt idx="11">
                  <c:v>991</c:v>
                </c:pt>
                <c:pt idx="12">
                  <c:v>1381</c:v>
                </c:pt>
                <c:pt idx="13">
                  <c:v>1415</c:v>
                </c:pt>
                <c:pt idx="14">
                  <c:v>1509</c:v>
                </c:pt>
                <c:pt idx="15">
                  <c:v>1209</c:v>
                </c:pt>
                <c:pt idx="16">
                  <c:v>870</c:v>
                </c:pt>
                <c:pt idx="17">
                  <c:v>484</c:v>
                </c:pt>
                <c:pt idx="18">
                  <c:v>449</c:v>
                </c:pt>
                <c:pt idx="19">
                  <c:v>164</c:v>
                </c:pt>
                <c:pt idx="20">
                  <c:v>176</c:v>
                </c:pt>
                <c:pt idx="21">
                  <c:v>194</c:v>
                </c:pt>
                <c:pt idx="22">
                  <c:v>373</c:v>
                </c:pt>
                <c:pt idx="23">
                  <c:v>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21152"/>
        <c:axId val="81923072"/>
      </c:lineChart>
      <c:catAx>
        <c:axId val="81921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23072"/>
        <c:crosses val="autoZero"/>
        <c:auto val="1"/>
        <c:lblAlgn val="ctr"/>
        <c:lblOffset val="100"/>
        <c:noMultiLvlLbl val="0"/>
      </c:catAx>
      <c:valAx>
        <c:axId val="8192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2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'03.8.Mukwano-Jinja RD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'03.8.Mukwano-Jinja RD 24h'!$C$107:$N$107</c:f>
              <c:numCache>
                <c:formatCode>0.0%</c:formatCode>
                <c:ptCount val="12"/>
                <c:pt idx="0">
                  <c:v>0.26695710959212798</c:v>
                </c:pt>
                <c:pt idx="1">
                  <c:v>6.3284008112371365E-2</c:v>
                </c:pt>
                <c:pt idx="2">
                  <c:v>2.9294674378427102E-2</c:v>
                </c:pt>
                <c:pt idx="3">
                  <c:v>2.580184781792233E-2</c:v>
                </c:pt>
                <c:pt idx="4">
                  <c:v>1.5398482686096297E-3</c:v>
                </c:pt>
                <c:pt idx="5">
                  <c:v>2.6290092390896116E-4</c:v>
                </c:pt>
                <c:pt idx="6">
                  <c:v>1.3445504394201157E-2</c:v>
                </c:pt>
                <c:pt idx="7">
                  <c:v>7.2109967700743636E-3</c:v>
                </c:pt>
                <c:pt idx="8">
                  <c:v>1.7651919176744535E-3</c:v>
                </c:pt>
                <c:pt idx="9">
                  <c:v>6.6851949222564407E-3</c:v>
                </c:pt>
                <c:pt idx="10">
                  <c:v>0.58348982197851729</c:v>
                </c:pt>
                <c:pt idx="11">
                  <c:v>2.6290092390896116E-4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'03.8.Mukwano-Jinja RD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'03.8.Mukwano-Jinja RD 24h'!$C$108:$N$108</c:f>
              <c:numCache>
                <c:formatCode>0.00%</c:formatCode>
                <c:ptCount val="12"/>
                <c:pt idx="0">
                  <c:v>0.64093778178539229</c:v>
                </c:pt>
                <c:pt idx="1">
                  <c:v>0.15193868349864742</c:v>
                </c:pt>
                <c:pt idx="2">
                  <c:v>7.0333633904418394E-2</c:v>
                </c:pt>
                <c:pt idx="3">
                  <c:v>6.1947700631199282E-2</c:v>
                </c:pt>
                <c:pt idx="4">
                  <c:v>3.6970243462578901E-3</c:v>
                </c:pt>
                <c:pt idx="5">
                  <c:v>6.3119927862939585E-4</c:v>
                </c:pt>
                <c:pt idx="6">
                  <c:v>3.2281334535617677E-2</c:v>
                </c:pt>
                <c:pt idx="7">
                  <c:v>1.7312894499549144E-2</c:v>
                </c:pt>
                <c:pt idx="8">
                  <c:v>4.2380522993688005E-3</c:v>
                </c:pt>
                <c:pt idx="9">
                  <c:v>1.6050495942290351E-2</c:v>
                </c:pt>
                <c:pt idx="11">
                  <c:v>6.3119927862939585E-4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'03.8.Jinja-Mukwano 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'03.8.Jinja-Mukwano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'03.8.Jinja-Mukwano 24h'!$AE$10:$AE$33</c:f>
              <c:numCache>
                <c:formatCode>0</c:formatCode>
                <c:ptCount val="24"/>
                <c:pt idx="0">
                  <c:v>305</c:v>
                </c:pt>
                <c:pt idx="1">
                  <c:v>325</c:v>
                </c:pt>
                <c:pt idx="2">
                  <c:v>425</c:v>
                </c:pt>
                <c:pt idx="3">
                  <c:v>514</c:v>
                </c:pt>
                <c:pt idx="4">
                  <c:v>482</c:v>
                </c:pt>
                <c:pt idx="5">
                  <c:v>460</c:v>
                </c:pt>
                <c:pt idx="6">
                  <c:v>704</c:v>
                </c:pt>
                <c:pt idx="7">
                  <c:v>833</c:v>
                </c:pt>
                <c:pt idx="8">
                  <c:v>851</c:v>
                </c:pt>
                <c:pt idx="9">
                  <c:v>882</c:v>
                </c:pt>
                <c:pt idx="10">
                  <c:v>693</c:v>
                </c:pt>
                <c:pt idx="11">
                  <c:v>510</c:v>
                </c:pt>
                <c:pt idx="12">
                  <c:v>1191</c:v>
                </c:pt>
                <c:pt idx="13">
                  <c:v>1122</c:v>
                </c:pt>
                <c:pt idx="14">
                  <c:v>1010</c:v>
                </c:pt>
                <c:pt idx="15">
                  <c:v>797</c:v>
                </c:pt>
                <c:pt idx="16">
                  <c:v>559</c:v>
                </c:pt>
                <c:pt idx="17">
                  <c:v>239</c:v>
                </c:pt>
                <c:pt idx="18">
                  <c:v>144</c:v>
                </c:pt>
                <c:pt idx="19">
                  <c:v>82</c:v>
                </c:pt>
                <c:pt idx="20">
                  <c:v>102</c:v>
                </c:pt>
                <c:pt idx="21">
                  <c:v>130</c:v>
                </c:pt>
                <c:pt idx="22">
                  <c:v>114</c:v>
                </c:pt>
                <c:pt idx="23">
                  <c:v>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'03.8.Jinja-Mukwano 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'03.8.Jinja-Mukwano 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'03.8.Jinja-Mukwano 24h'!$AF$10:$AF$33</c:f>
              <c:numCache>
                <c:formatCode>0</c:formatCode>
                <c:ptCount val="24"/>
                <c:pt idx="0">
                  <c:v>1271</c:v>
                </c:pt>
                <c:pt idx="1">
                  <c:v>1625</c:v>
                </c:pt>
                <c:pt idx="2">
                  <c:v>2251</c:v>
                </c:pt>
                <c:pt idx="3">
                  <c:v>2497</c:v>
                </c:pt>
                <c:pt idx="4">
                  <c:v>2656</c:v>
                </c:pt>
                <c:pt idx="5">
                  <c:v>2500</c:v>
                </c:pt>
                <c:pt idx="6">
                  <c:v>3354</c:v>
                </c:pt>
                <c:pt idx="7">
                  <c:v>3673</c:v>
                </c:pt>
                <c:pt idx="8">
                  <c:v>3756</c:v>
                </c:pt>
                <c:pt idx="9">
                  <c:v>2847</c:v>
                </c:pt>
                <c:pt idx="10">
                  <c:v>2463</c:v>
                </c:pt>
                <c:pt idx="11">
                  <c:v>2102</c:v>
                </c:pt>
                <c:pt idx="12">
                  <c:v>2360</c:v>
                </c:pt>
                <c:pt idx="13">
                  <c:v>2907</c:v>
                </c:pt>
                <c:pt idx="14">
                  <c:v>3318</c:v>
                </c:pt>
                <c:pt idx="15">
                  <c:v>2602</c:v>
                </c:pt>
                <c:pt idx="16">
                  <c:v>902</c:v>
                </c:pt>
                <c:pt idx="17">
                  <c:v>367</c:v>
                </c:pt>
                <c:pt idx="18">
                  <c:v>228</c:v>
                </c:pt>
                <c:pt idx="19">
                  <c:v>170</c:v>
                </c:pt>
                <c:pt idx="20">
                  <c:v>138</c:v>
                </c:pt>
                <c:pt idx="21">
                  <c:v>186</c:v>
                </c:pt>
                <c:pt idx="22">
                  <c:v>327</c:v>
                </c:pt>
                <c:pt idx="23">
                  <c:v>467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411520"/>
        <c:axId val="82413440"/>
      </c:lineChart>
      <c:catAx>
        <c:axId val="82411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2413440"/>
        <c:crosses val="autoZero"/>
        <c:auto val="1"/>
        <c:lblAlgn val="ctr"/>
        <c:lblOffset val="100"/>
        <c:noMultiLvlLbl val="0"/>
      </c:catAx>
      <c:valAx>
        <c:axId val="82413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241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'03.8.Jinja-Mukwano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'03.8.Jinja-Mukwano 24h'!$C$107:$N$107</c:f>
              <c:numCache>
                <c:formatCode>0.0%</c:formatCode>
                <c:ptCount val="12"/>
                <c:pt idx="0">
                  <c:v>0.18251161963217472</c:v>
                </c:pt>
                <c:pt idx="1">
                  <c:v>4.516645540062713E-2</c:v>
                </c:pt>
                <c:pt idx="2">
                  <c:v>1.794649409567016E-2</c:v>
                </c:pt>
                <c:pt idx="3">
                  <c:v>6.2935041252474037E-3</c:v>
                </c:pt>
                <c:pt idx="4">
                  <c:v>1.0229724019836768E-3</c:v>
                </c:pt>
                <c:pt idx="5">
                  <c:v>4.670091400360264E-4</c:v>
                </c:pt>
                <c:pt idx="6">
                  <c:v>1.4455044810638912E-2</c:v>
                </c:pt>
                <c:pt idx="7">
                  <c:v>6.2267885338136856E-3</c:v>
                </c:pt>
                <c:pt idx="8">
                  <c:v>3.3135410412079968E-3</c:v>
                </c:pt>
                <c:pt idx="9">
                  <c:v>2.8020548402161584E-3</c:v>
                </c:pt>
                <c:pt idx="10">
                  <c:v>0.71961660773456093</c:v>
                </c:pt>
                <c:pt idx="11">
                  <c:v>1.7790824382324816E-4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'03.8.Jinja-Mukwano 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'03.8.Jinja-Mukwano 24h'!$C$108:$N$108</c:f>
              <c:numCache>
                <c:formatCode>0.00%</c:formatCode>
                <c:ptCount val="12"/>
                <c:pt idx="0">
                  <c:v>0.65093591370558379</c:v>
                </c:pt>
                <c:pt idx="1">
                  <c:v>0.16108819796954316</c:v>
                </c:pt>
                <c:pt idx="2">
                  <c:v>6.4006979695431468E-2</c:v>
                </c:pt>
                <c:pt idx="3">
                  <c:v>2.2446065989847715E-2</c:v>
                </c:pt>
                <c:pt idx="4">
                  <c:v>3.6484771573604062E-3</c:v>
                </c:pt>
                <c:pt idx="5">
                  <c:v>1.6656091370558376E-3</c:v>
                </c:pt>
                <c:pt idx="6">
                  <c:v>5.155456852791878E-2</c:v>
                </c:pt>
                <c:pt idx="7">
                  <c:v>2.2208121827411168E-2</c:v>
                </c:pt>
                <c:pt idx="8">
                  <c:v>1.1817893401015229E-2</c:v>
                </c:pt>
                <c:pt idx="9">
                  <c:v>9.9936548223350258E-3</c:v>
                </c:pt>
                <c:pt idx="11">
                  <c:v>6.3451776649746188E-4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7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'04.08.Mukwano-Jinja'!$AE$9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'04.08.Mukwano-Jinja'!$AE$10:$AE$21</c:f>
              <c:numCache>
                <c:formatCode>0</c:formatCode>
                <c:ptCount val="12"/>
                <c:pt idx="0">
                  <c:v>311</c:v>
                </c:pt>
                <c:pt idx="1">
                  <c:v>426</c:v>
                </c:pt>
                <c:pt idx="2">
                  <c:v>632</c:v>
                </c:pt>
                <c:pt idx="3">
                  <c:v>649</c:v>
                </c:pt>
                <c:pt idx="4">
                  <c:v>702</c:v>
                </c:pt>
                <c:pt idx="5">
                  <c:v>669</c:v>
                </c:pt>
                <c:pt idx="6">
                  <c:v>643</c:v>
                </c:pt>
                <c:pt idx="7">
                  <c:v>690</c:v>
                </c:pt>
                <c:pt idx="8">
                  <c:v>708</c:v>
                </c:pt>
                <c:pt idx="9">
                  <c:v>718</c:v>
                </c:pt>
                <c:pt idx="10">
                  <c:v>678</c:v>
                </c:pt>
                <c:pt idx="11">
                  <c:v>701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'04.08.Mukwano-Jinja'!$AF$9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'04.08.Mukwano-Jinja'!$AF$10:$AF$21</c:f>
              <c:numCache>
                <c:formatCode>0</c:formatCode>
                <c:ptCount val="12"/>
                <c:pt idx="0">
                  <c:v>721</c:v>
                </c:pt>
                <c:pt idx="1">
                  <c:v>993</c:v>
                </c:pt>
                <c:pt idx="2">
                  <c:v>1477</c:v>
                </c:pt>
                <c:pt idx="3">
                  <c:v>1289</c:v>
                </c:pt>
                <c:pt idx="4">
                  <c:v>1374</c:v>
                </c:pt>
                <c:pt idx="5">
                  <c:v>1414</c:v>
                </c:pt>
                <c:pt idx="6">
                  <c:v>1283</c:v>
                </c:pt>
                <c:pt idx="7">
                  <c:v>1495</c:v>
                </c:pt>
                <c:pt idx="8">
                  <c:v>1263</c:v>
                </c:pt>
                <c:pt idx="9">
                  <c:v>1373</c:v>
                </c:pt>
                <c:pt idx="10">
                  <c:v>1208</c:v>
                </c:pt>
                <c:pt idx="11">
                  <c:v>1531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359616"/>
        <c:axId val="83820544"/>
      </c:lineChart>
      <c:catAx>
        <c:axId val="83359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820544"/>
        <c:crosses val="autoZero"/>
        <c:auto val="1"/>
        <c:lblAlgn val="ctr"/>
        <c:lblOffset val="100"/>
        <c:noMultiLvlLbl val="0"/>
      </c:catAx>
      <c:valAx>
        <c:axId val="83820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35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'04.08.Mukwano-Jinja'!$C$9:$N$9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'04.08.Mukwano-Jinja'!$C$59:$N$59</c:f>
              <c:numCache>
                <c:formatCode>0.0%</c:formatCode>
                <c:ptCount val="12"/>
                <c:pt idx="0">
                  <c:v>0.33733220932494651</c:v>
                </c:pt>
                <c:pt idx="1">
                  <c:v>6.1733999092147072E-2</c:v>
                </c:pt>
                <c:pt idx="2">
                  <c:v>2.7365281110174437E-2</c:v>
                </c:pt>
                <c:pt idx="3">
                  <c:v>2.9570066792036834E-2</c:v>
                </c:pt>
                <c:pt idx="4">
                  <c:v>1.7508592179495493E-3</c:v>
                </c:pt>
                <c:pt idx="5">
                  <c:v>1.2969327540367031E-4</c:v>
                </c:pt>
                <c:pt idx="6">
                  <c:v>1.3617793917385384E-2</c:v>
                </c:pt>
                <c:pt idx="7">
                  <c:v>1.0699695220802802E-2</c:v>
                </c:pt>
                <c:pt idx="8">
                  <c:v>2.0102457687568901E-3</c:v>
                </c:pt>
                <c:pt idx="9">
                  <c:v>3.8907982621101097E-3</c:v>
                </c:pt>
                <c:pt idx="10">
                  <c:v>0.51189935801828679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43"/>
          <c:y val="2.29602266373237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'04.08.Mukwano-Jinja'!$S$9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'04.08.Mukwano-Jinja'!$S$10:$S$21</c:f>
              <c:numCache>
                <c:formatCode>0</c:formatCode>
                <c:ptCount val="12"/>
                <c:pt idx="0">
                  <c:v>183</c:v>
                </c:pt>
                <c:pt idx="1">
                  <c:v>261</c:v>
                </c:pt>
                <c:pt idx="2">
                  <c:v>427</c:v>
                </c:pt>
                <c:pt idx="3">
                  <c:v>457</c:v>
                </c:pt>
                <c:pt idx="4">
                  <c:v>474</c:v>
                </c:pt>
                <c:pt idx="5">
                  <c:v>446</c:v>
                </c:pt>
                <c:pt idx="6">
                  <c:v>436</c:v>
                </c:pt>
                <c:pt idx="7">
                  <c:v>489</c:v>
                </c:pt>
                <c:pt idx="8">
                  <c:v>498</c:v>
                </c:pt>
                <c:pt idx="9">
                  <c:v>526</c:v>
                </c:pt>
                <c:pt idx="10">
                  <c:v>492</c:v>
                </c:pt>
                <c:pt idx="11">
                  <c:v>513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'04.08.Mukwano-Jinja'!$T$9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'04.08.Mukwano-Jinja'!$T$10:$T$21</c:f>
              <c:numCache>
                <c:formatCode>0</c:formatCode>
                <c:ptCount val="12"/>
                <c:pt idx="0">
                  <c:v>44</c:v>
                </c:pt>
                <c:pt idx="1">
                  <c:v>51</c:v>
                </c:pt>
                <c:pt idx="2">
                  <c:v>77</c:v>
                </c:pt>
                <c:pt idx="3">
                  <c:v>74</c:v>
                </c:pt>
                <c:pt idx="4">
                  <c:v>90</c:v>
                </c:pt>
                <c:pt idx="5">
                  <c:v>97</c:v>
                </c:pt>
                <c:pt idx="6">
                  <c:v>91</c:v>
                </c:pt>
                <c:pt idx="7">
                  <c:v>84</c:v>
                </c:pt>
                <c:pt idx="8">
                  <c:v>102</c:v>
                </c:pt>
                <c:pt idx="9">
                  <c:v>91</c:v>
                </c:pt>
                <c:pt idx="10">
                  <c:v>58</c:v>
                </c:pt>
                <c:pt idx="11">
                  <c:v>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'04.08.Mukwano-Jinja'!$U$9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'04.08.Mukwano-Jinja'!$U$10:$U$21</c:f>
              <c:numCache>
                <c:formatCode>0</c:formatCode>
                <c:ptCount val="12"/>
                <c:pt idx="0">
                  <c:v>19</c:v>
                </c:pt>
                <c:pt idx="1">
                  <c:v>25</c:v>
                </c:pt>
                <c:pt idx="2">
                  <c:v>34</c:v>
                </c:pt>
                <c:pt idx="3">
                  <c:v>33</c:v>
                </c:pt>
                <c:pt idx="4">
                  <c:v>35</c:v>
                </c:pt>
                <c:pt idx="5">
                  <c:v>40</c:v>
                </c:pt>
                <c:pt idx="6">
                  <c:v>41</c:v>
                </c:pt>
                <c:pt idx="7">
                  <c:v>39</c:v>
                </c:pt>
                <c:pt idx="8">
                  <c:v>44</c:v>
                </c:pt>
                <c:pt idx="9">
                  <c:v>30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'04.08.Mukwano-Jinja'!$V$9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'04.08.Mukwano-Jinja'!$V$10:$V$21</c:f>
              <c:numCache>
                <c:formatCode>0</c:formatCode>
                <c:ptCount val="12"/>
                <c:pt idx="0">
                  <c:v>34</c:v>
                </c:pt>
                <c:pt idx="1">
                  <c:v>49</c:v>
                </c:pt>
                <c:pt idx="2">
                  <c:v>44</c:v>
                </c:pt>
                <c:pt idx="3">
                  <c:v>38</c:v>
                </c:pt>
                <c:pt idx="4">
                  <c:v>43</c:v>
                </c:pt>
                <c:pt idx="5">
                  <c:v>36</c:v>
                </c:pt>
                <c:pt idx="6">
                  <c:v>38</c:v>
                </c:pt>
                <c:pt idx="7">
                  <c:v>31</c:v>
                </c:pt>
                <c:pt idx="8">
                  <c:v>29</c:v>
                </c:pt>
                <c:pt idx="9">
                  <c:v>37</c:v>
                </c:pt>
                <c:pt idx="10">
                  <c:v>49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'04.08.Mukwano-Jinja'!$W$9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'04.08.Mukwano-Jinja'!$X$9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'04.08.Mukwano-Jinja'!$Y$9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'04.08.Mukwano-Jinja'!$Y$10:$Y$21</c:f>
              <c:numCache>
                <c:formatCode>0</c:formatCode>
                <c:ptCount val="12"/>
                <c:pt idx="0">
                  <c:v>11</c:v>
                </c:pt>
                <c:pt idx="1">
                  <c:v>15</c:v>
                </c:pt>
                <c:pt idx="2">
                  <c:v>18</c:v>
                </c:pt>
                <c:pt idx="3">
                  <c:v>17</c:v>
                </c:pt>
                <c:pt idx="4">
                  <c:v>19</c:v>
                </c:pt>
                <c:pt idx="5">
                  <c:v>26</c:v>
                </c:pt>
                <c:pt idx="6">
                  <c:v>15</c:v>
                </c:pt>
                <c:pt idx="7">
                  <c:v>22</c:v>
                </c:pt>
                <c:pt idx="8">
                  <c:v>17</c:v>
                </c:pt>
                <c:pt idx="9">
                  <c:v>15</c:v>
                </c:pt>
                <c:pt idx="10">
                  <c:v>21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'04.08.Mukwano-Jinja'!$Z$9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'04.08.Mukwano-Jinja'!$Z$10:$Z$21</c:f>
              <c:numCache>
                <c:formatCode>0</c:formatCode>
                <c:ptCount val="12"/>
                <c:pt idx="0">
                  <c:v>11</c:v>
                </c:pt>
                <c:pt idx="1">
                  <c:v>11</c:v>
                </c:pt>
                <c:pt idx="2">
                  <c:v>18</c:v>
                </c:pt>
                <c:pt idx="3">
                  <c:v>13</c:v>
                </c:pt>
                <c:pt idx="4">
                  <c:v>22</c:v>
                </c:pt>
                <c:pt idx="5">
                  <c:v>15</c:v>
                </c:pt>
                <c:pt idx="6">
                  <c:v>12</c:v>
                </c:pt>
                <c:pt idx="7">
                  <c:v>16</c:v>
                </c:pt>
                <c:pt idx="8">
                  <c:v>15</c:v>
                </c:pt>
                <c:pt idx="9">
                  <c:v>14</c:v>
                </c:pt>
                <c:pt idx="10">
                  <c:v>7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'04.08.Mukwano-Jinja'!$AA$9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'04.08.Mukwano-Jinja'!$AA$10:$AA$21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5</c:v>
                </c:pt>
                <c:pt idx="3">
                  <c:v>1</c:v>
                </c:pt>
                <c:pt idx="4">
                  <c:v>4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'04.08.Mukwano-Jinja'!$AB$9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'04.08.Mukwano-Jinja'!$AB$10:$AB$21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10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  <c:pt idx="8">
                  <c:v>2</c:v>
                </c:pt>
                <c:pt idx="9">
                  <c:v>4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'04.08.Mukwano-Jinja'!$AC$9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'04.08.Mukwano-Jinja'!$AC$10:$AC$21</c:f>
              <c:numCache>
                <c:formatCode>0</c:formatCode>
                <c:ptCount val="12"/>
                <c:pt idx="0">
                  <c:v>410</c:v>
                </c:pt>
                <c:pt idx="1">
                  <c:v>567</c:v>
                </c:pt>
                <c:pt idx="2">
                  <c:v>845</c:v>
                </c:pt>
                <c:pt idx="3">
                  <c:v>640</c:v>
                </c:pt>
                <c:pt idx="4">
                  <c:v>672</c:v>
                </c:pt>
                <c:pt idx="5">
                  <c:v>745</c:v>
                </c:pt>
                <c:pt idx="6">
                  <c:v>640</c:v>
                </c:pt>
                <c:pt idx="7">
                  <c:v>805</c:v>
                </c:pt>
                <c:pt idx="8">
                  <c:v>555</c:v>
                </c:pt>
                <c:pt idx="9">
                  <c:v>655</c:v>
                </c:pt>
                <c:pt idx="10">
                  <c:v>530</c:v>
                </c:pt>
                <c:pt idx="11">
                  <c:v>830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'04.08.Mukwano-Jinja'!$AD$9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'04.08.Mukwano-Jinja'!$R$10:$R$21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'04.08.Mukwano-Jinja'!$AD$10:$AD$21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615168"/>
        <c:axId val="84616704"/>
      </c:lineChart>
      <c:catAx>
        <c:axId val="84615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616704"/>
        <c:crosses val="autoZero"/>
        <c:auto val="1"/>
        <c:lblAlgn val="ctr"/>
        <c:lblOffset val="100"/>
        <c:noMultiLvlLbl val="0"/>
      </c:catAx>
      <c:valAx>
        <c:axId val="8461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6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'04.08.Mukwano-Jinja'!$C$9:$N$9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'04.08.Mukwano-Jinja'!$C$60:$N$60</c:f>
              <c:numCache>
                <c:formatCode>0.00%</c:formatCode>
                <c:ptCount val="12"/>
                <c:pt idx="0">
                  <c:v>0.69111199681147872</c:v>
                </c:pt>
                <c:pt idx="1">
                  <c:v>0.12647801248837517</c:v>
                </c:pt>
                <c:pt idx="2">
                  <c:v>5.6064833266905804E-2</c:v>
                </c:pt>
                <c:pt idx="3">
                  <c:v>6.0581905141490637E-2</c:v>
                </c:pt>
                <c:pt idx="4">
                  <c:v>3.5870864886408927E-3</c:v>
                </c:pt>
                <c:pt idx="5">
                  <c:v>2.6571011026969577E-4</c:v>
                </c:pt>
                <c:pt idx="6">
                  <c:v>2.7899561578318056E-2</c:v>
                </c:pt>
                <c:pt idx="7">
                  <c:v>2.19210840972499E-2</c:v>
                </c:pt>
                <c:pt idx="8">
                  <c:v>4.118506709180284E-3</c:v>
                </c:pt>
                <c:pt idx="9">
                  <c:v>7.971303308090873E-3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5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'04.08.Jinja RD-Mukwano'!$AE$9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'04.08.Jinja RD-Mukwano'!$AE$10:$AE$21</c:f>
              <c:numCache>
                <c:formatCode>0</c:formatCode>
                <c:ptCount val="12"/>
                <c:pt idx="0">
                  <c:v>187</c:v>
                </c:pt>
                <c:pt idx="1">
                  <c:v>290</c:v>
                </c:pt>
                <c:pt idx="2">
                  <c:v>377</c:v>
                </c:pt>
                <c:pt idx="3">
                  <c:v>438</c:v>
                </c:pt>
                <c:pt idx="4">
                  <c:v>505</c:v>
                </c:pt>
                <c:pt idx="5">
                  <c:v>558</c:v>
                </c:pt>
                <c:pt idx="6">
                  <c:v>426</c:v>
                </c:pt>
                <c:pt idx="7">
                  <c:v>401</c:v>
                </c:pt>
                <c:pt idx="8">
                  <c:v>416</c:v>
                </c:pt>
                <c:pt idx="9">
                  <c:v>511</c:v>
                </c:pt>
                <c:pt idx="10">
                  <c:v>457</c:v>
                </c:pt>
                <c:pt idx="11">
                  <c:v>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'04.08.Jinja RD-Mukwano'!$AF$9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'04.08.Jinja RD-Mukwano'!$AF$10:$AF$21</c:f>
              <c:numCache>
                <c:formatCode>0</c:formatCode>
                <c:ptCount val="12"/>
                <c:pt idx="0">
                  <c:v>808</c:v>
                </c:pt>
                <c:pt idx="1">
                  <c:v>1099</c:v>
                </c:pt>
                <c:pt idx="2">
                  <c:v>1164</c:v>
                </c:pt>
                <c:pt idx="3">
                  <c:v>1226</c:v>
                </c:pt>
                <c:pt idx="4">
                  <c:v>1375</c:v>
                </c:pt>
                <c:pt idx="5">
                  <c:v>1372</c:v>
                </c:pt>
                <c:pt idx="6">
                  <c:v>1172</c:v>
                </c:pt>
                <c:pt idx="7">
                  <c:v>1170</c:v>
                </c:pt>
                <c:pt idx="8">
                  <c:v>1184</c:v>
                </c:pt>
                <c:pt idx="9">
                  <c:v>1340</c:v>
                </c:pt>
                <c:pt idx="10">
                  <c:v>1436</c:v>
                </c:pt>
                <c:pt idx="11">
                  <c:v>1400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45120"/>
        <c:axId val="85847040"/>
      </c:lineChart>
      <c:catAx>
        <c:axId val="85845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847040"/>
        <c:crosses val="autoZero"/>
        <c:auto val="1"/>
        <c:lblAlgn val="ctr"/>
        <c:lblOffset val="100"/>
        <c:noMultiLvlLbl val="0"/>
      </c:catAx>
      <c:valAx>
        <c:axId val="858470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84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'04.08.Jinja RD-Mukwano'!$C$9:$N$9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'04.08.Jinja RD-Mukwano'!$C$59:$N$59</c:f>
              <c:numCache>
                <c:formatCode>0.0%</c:formatCode>
                <c:ptCount val="12"/>
                <c:pt idx="0">
                  <c:v>0.19401871694018716</c:v>
                </c:pt>
                <c:pt idx="1">
                  <c:v>7.6698765766987656E-2</c:v>
                </c:pt>
                <c:pt idx="2">
                  <c:v>2.6651295266512953E-2</c:v>
                </c:pt>
                <c:pt idx="3">
                  <c:v>9.2228400922284015E-3</c:v>
                </c:pt>
                <c:pt idx="4">
                  <c:v>2.0344500203445001E-3</c:v>
                </c:pt>
                <c:pt idx="5">
                  <c:v>4.0689000406890003E-4</c:v>
                </c:pt>
                <c:pt idx="6">
                  <c:v>1.5394005153940052E-2</c:v>
                </c:pt>
                <c:pt idx="7">
                  <c:v>8.1378000813780004E-3</c:v>
                </c:pt>
                <c:pt idx="8">
                  <c:v>3.7298250372982504E-3</c:v>
                </c:pt>
                <c:pt idx="9">
                  <c:v>1.8310050183100502E-3</c:v>
                </c:pt>
                <c:pt idx="10">
                  <c:v>0.66180659161806588</c:v>
                </c:pt>
                <c:pt idx="11">
                  <c:v>6.7815000678150001E-5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26"/>
          <c:y val="2.296022663732376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'04.08.Jinja RD-Mukwano'!$S$9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'04.08.Jinja RD-Mukwano'!$S$10:$S$21</c:f>
              <c:numCache>
                <c:formatCode>0</c:formatCode>
                <c:ptCount val="12"/>
                <c:pt idx="0">
                  <c:v>122</c:v>
                </c:pt>
                <c:pt idx="1">
                  <c:v>179</c:v>
                </c:pt>
                <c:pt idx="2">
                  <c:v>214</c:v>
                </c:pt>
                <c:pt idx="3">
                  <c:v>259</c:v>
                </c:pt>
                <c:pt idx="4">
                  <c:v>300</c:v>
                </c:pt>
                <c:pt idx="5">
                  <c:v>340</c:v>
                </c:pt>
                <c:pt idx="6">
                  <c:v>238</c:v>
                </c:pt>
                <c:pt idx="7">
                  <c:v>219</c:v>
                </c:pt>
                <c:pt idx="8">
                  <c:v>218</c:v>
                </c:pt>
                <c:pt idx="9">
                  <c:v>318</c:v>
                </c:pt>
                <c:pt idx="10">
                  <c:v>236</c:v>
                </c:pt>
                <c:pt idx="11">
                  <c:v>218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'04.08.Jinja RD-Mukwano'!$T$9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'04.08.Jinja RD-Mukwano'!$R$10:$R$21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'04.08.Jinja RD-Mukwano'!$T$10:$T$21</c:f>
              <c:numCache>
                <c:formatCode>0</c:formatCode>
                <c:ptCount val="12"/>
                <c:pt idx="0">
                  <c:v>21</c:v>
                </c:pt>
                <c:pt idx="1">
                  <c:v>46</c:v>
                </c:pt>
                <c:pt idx="2">
                  <c:v>78</c:v>
                </c:pt>
                <c:pt idx="3">
                  <c:v>79</c:v>
                </c:pt>
                <c:pt idx="4">
                  <c:v>117</c:v>
                </c:pt>
                <c:pt idx="5">
                  <c:v>103</c:v>
                </c:pt>
                <c:pt idx="6">
                  <c:v>120</c:v>
                </c:pt>
                <c:pt idx="7">
                  <c:v>109</c:v>
                </c:pt>
                <c:pt idx="8">
                  <c:v>102</c:v>
                </c:pt>
                <c:pt idx="9">
                  <c:v>114</c:v>
                </c:pt>
                <c:pt idx="10">
                  <c:v>134</c:v>
                </c:pt>
                <c:pt idx="11">
                  <c:v>108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'04.08.Jinja RD-Mukwano'!$U$9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RD-Mukwano'!$U$10:$U$21</c:f>
              <c:numCache>
                <c:formatCode>0</c:formatCode>
                <c:ptCount val="12"/>
                <c:pt idx="0">
                  <c:v>17</c:v>
                </c:pt>
                <c:pt idx="1">
                  <c:v>18</c:v>
                </c:pt>
                <c:pt idx="2">
                  <c:v>25</c:v>
                </c:pt>
                <c:pt idx="3">
                  <c:v>44</c:v>
                </c:pt>
                <c:pt idx="4">
                  <c:v>26</c:v>
                </c:pt>
                <c:pt idx="5">
                  <c:v>45</c:v>
                </c:pt>
                <c:pt idx="6">
                  <c:v>24</c:v>
                </c:pt>
                <c:pt idx="7">
                  <c:v>35</c:v>
                </c:pt>
                <c:pt idx="8">
                  <c:v>40</c:v>
                </c:pt>
                <c:pt idx="9">
                  <c:v>38</c:v>
                </c:pt>
                <c:pt idx="10">
                  <c:v>38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'04.08.Jinja RD-Mukwano'!$V$9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RD-Mukwano'!$V$10:$V$21</c:f>
              <c:numCache>
                <c:formatCode>0</c:formatCode>
                <c:ptCount val="12"/>
                <c:pt idx="0">
                  <c:v>14</c:v>
                </c:pt>
                <c:pt idx="1">
                  <c:v>9</c:v>
                </c:pt>
                <c:pt idx="2">
                  <c:v>16</c:v>
                </c:pt>
                <c:pt idx="3">
                  <c:v>11</c:v>
                </c:pt>
                <c:pt idx="4">
                  <c:v>19</c:v>
                </c:pt>
                <c:pt idx="5">
                  <c:v>24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3</c:v>
                </c:pt>
                <c:pt idx="10">
                  <c:v>10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'04.08.Jinja RD-Mukwano'!$W$9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RD-Mukwano'!$W$10:$W$21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'04.08.Jinja RD-Mukwano'!$X$9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'04.08.Jinja RD-Mukwano'!$Y$9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RD-Mukwano'!$Y$10:$Y$21</c:f>
              <c:numCache>
                <c:formatCode>0</c:formatCode>
                <c:ptCount val="12"/>
                <c:pt idx="0">
                  <c:v>3</c:v>
                </c:pt>
                <c:pt idx="1">
                  <c:v>15</c:v>
                </c:pt>
                <c:pt idx="2">
                  <c:v>16</c:v>
                </c:pt>
                <c:pt idx="3">
                  <c:v>14</c:v>
                </c:pt>
                <c:pt idx="4">
                  <c:v>22</c:v>
                </c:pt>
                <c:pt idx="5">
                  <c:v>24</c:v>
                </c:pt>
                <c:pt idx="6">
                  <c:v>24</c:v>
                </c:pt>
                <c:pt idx="7">
                  <c:v>18</c:v>
                </c:pt>
                <c:pt idx="8">
                  <c:v>27</c:v>
                </c:pt>
                <c:pt idx="9">
                  <c:v>23</c:v>
                </c:pt>
                <c:pt idx="10">
                  <c:v>20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'04.08.Jinja RD-Mukwano'!$Z$9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RD-Mukwano'!$Z$10:$Z$21</c:f>
              <c:numCache>
                <c:formatCode>0</c:formatCode>
                <c:ptCount val="12"/>
                <c:pt idx="0">
                  <c:v>3</c:v>
                </c:pt>
                <c:pt idx="1">
                  <c:v>10</c:v>
                </c:pt>
                <c:pt idx="2">
                  <c:v>16</c:v>
                </c:pt>
                <c:pt idx="3">
                  <c:v>5</c:v>
                </c:pt>
                <c:pt idx="4">
                  <c:v>12</c:v>
                </c:pt>
                <c:pt idx="5">
                  <c:v>12</c:v>
                </c:pt>
                <c:pt idx="6">
                  <c:v>7</c:v>
                </c:pt>
                <c:pt idx="7">
                  <c:v>8</c:v>
                </c:pt>
                <c:pt idx="8">
                  <c:v>13</c:v>
                </c:pt>
                <c:pt idx="9">
                  <c:v>12</c:v>
                </c:pt>
                <c:pt idx="10">
                  <c:v>13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'04.08.Jinja RD-Mukwano'!$AA$9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RD-Mukwano'!$AA$10:$AA$21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4</c:v>
                </c:pt>
                <c:pt idx="3">
                  <c:v>15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'04.08.Jinja RD-Mukwano'!$AB$9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RD-Mukwano'!$AB$10:$AB$21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'04.08.Jinja RD-Mukwano'!$AC$9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RD-Mukwano'!$AC$10:$AC$21</c:f>
              <c:numCache>
                <c:formatCode>0</c:formatCode>
                <c:ptCount val="12"/>
                <c:pt idx="0">
                  <c:v>621</c:v>
                </c:pt>
                <c:pt idx="1">
                  <c:v>809</c:v>
                </c:pt>
                <c:pt idx="2">
                  <c:v>787</c:v>
                </c:pt>
                <c:pt idx="3">
                  <c:v>788</c:v>
                </c:pt>
                <c:pt idx="4">
                  <c:v>870</c:v>
                </c:pt>
                <c:pt idx="5">
                  <c:v>814</c:v>
                </c:pt>
                <c:pt idx="6">
                  <c:v>746</c:v>
                </c:pt>
                <c:pt idx="7">
                  <c:v>769</c:v>
                </c:pt>
                <c:pt idx="8">
                  <c:v>768</c:v>
                </c:pt>
                <c:pt idx="9">
                  <c:v>829</c:v>
                </c:pt>
                <c:pt idx="10">
                  <c:v>979</c:v>
                </c:pt>
                <c:pt idx="11">
                  <c:v>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'04.08.Jinja RD-Mukwano'!$AD$9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'04.08.Jinja RD-Mukwano'!$AD$10:$AD$21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284736"/>
        <c:axId val="92869376"/>
      </c:lineChart>
      <c:catAx>
        <c:axId val="87284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869376"/>
        <c:crosses val="autoZero"/>
        <c:auto val="1"/>
        <c:lblAlgn val="ctr"/>
        <c:lblOffset val="100"/>
        <c:noMultiLvlLbl val="0"/>
      </c:catAx>
      <c:valAx>
        <c:axId val="9286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28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'04.08.Jinja RD-Mukwano'!$C$9:$N$9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'04.08.Jinja RD-Mukwano'!$C$60:$N$60</c:f>
              <c:numCache>
                <c:formatCode>0.00%</c:formatCode>
                <c:ptCount val="12"/>
                <c:pt idx="0">
                  <c:v>0.57369159815520354</c:v>
                </c:pt>
                <c:pt idx="1">
                  <c:v>0.22678965309805493</c:v>
                </c:pt>
                <c:pt idx="2">
                  <c:v>7.8804892721074798E-2</c:v>
                </c:pt>
                <c:pt idx="3">
                  <c:v>2.7270904351313414E-2</c:v>
                </c:pt>
                <c:pt idx="4">
                  <c:v>6.0156406657309001E-3</c:v>
                </c:pt>
                <c:pt idx="5">
                  <c:v>1.20312813314618E-3</c:v>
                </c:pt>
                <c:pt idx="6">
                  <c:v>4.551834770403048E-2</c:v>
                </c:pt>
                <c:pt idx="7">
                  <c:v>2.4062562662923601E-2</c:v>
                </c:pt>
                <c:pt idx="8">
                  <c:v>1.1028674553839985E-2</c:v>
                </c:pt>
                <c:pt idx="9">
                  <c:v>5.4140765991578105E-3</c:v>
                </c:pt>
                <c:pt idx="11">
                  <c:v>2.0052135552436334E-4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5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Mukwano-Jinja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Mukwano-Jinja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Mukwano-Jinja '!$AE$10:$AE$33</c:f>
              <c:numCache>
                <c:formatCode>0</c:formatCode>
                <c:ptCount val="24"/>
                <c:pt idx="0">
                  <c:v>660.85714285714289</c:v>
                </c:pt>
                <c:pt idx="1">
                  <c:v>919.14285714285722</c:v>
                </c:pt>
                <c:pt idx="2">
                  <c:v>1042.5714285714287</c:v>
                </c:pt>
                <c:pt idx="3">
                  <c:v>999.71428571428567</c:v>
                </c:pt>
                <c:pt idx="4">
                  <c:v>890.14285714285711</c:v>
                </c:pt>
                <c:pt idx="5">
                  <c:v>915.28571428571433</c:v>
                </c:pt>
                <c:pt idx="6">
                  <c:v>776.14285714285711</c:v>
                </c:pt>
                <c:pt idx="7">
                  <c:v>747</c:v>
                </c:pt>
                <c:pt idx="8">
                  <c:v>761.28571428571422</c:v>
                </c:pt>
                <c:pt idx="9">
                  <c:v>742.28571428571422</c:v>
                </c:pt>
                <c:pt idx="10">
                  <c:v>818</c:v>
                </c:pt>
                <c:pt idx="11">
                  <c:v>712.42857142857133</c:v>
                </c:pt>
                <c:pt idx="12">
                  <c:v>697.5</c:v>
                </c:pt>
                <c:pt idx="13">
                  <c:v>633</c:v>
                </c:pt>
                <c:pt idx="14">
                  <c:v>572.5</c:v>
                </c:pt>
                <c:pt idx="15">
                  <c:v>469</c:v>
                </c:pt>
                <c:pt idx="16">
                  <c:v>372.5</c:v>
                </c:pt>
                <c:pt idx="17">
                  <c:v>226</c:v>
                </c:pt>
                <c:pt idx="18">
                  <c:v>203</c:v>
                </c:pt>
                <c:pt idx="19">
                  <c:v>89</c:v>
                </c:pt>
                <c:pt idx="20">
                  <c:v>82.5</c:v>
                </c:pt>
                <c:pt idx="21">
                  <c:v>50.5</c:v>
                </c:pt>
                <c:pt idx="22">
                  <c:v>135</c:v>
                </c:pt>
                <c:pt idx="23">
                  <c:v>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Mukwano-Jinja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Mukwano-Jinja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Mukwano-Jinja '!$AF$10:$AF$33</c:f>
              <c:numCache>
                <c:formatCode>0</c:formatCode>
                <c:ptCount val="24"/>
                <c:pt idx="0">
                  <c:v>1976.7142857142858</c:v>
                </c:pt>
                <c:pt idx="1">
                  <c:v>2430.1428571428569</c:v>
                </c:pt>
                <c:pt idx="2">
                  <c:v>2845.7142857142858</c:v>
                </c:pt>
                <c:pt idx="3">
                  <c:v>2554.2857142857142</c:v>
                </c:pt>
                <c:pt idx="4">
                  <c:v>2420.8571428571427</c:v>
                </c:pt>
                <c:pt idx="5">
                  <c:v>2485.8571428571427</c:v>
                </c:pt>
                <c:pt idx="6">
                  <c:v>2128.5714285714284</c:v>
                </c:pt>
                <c:pt idx="7">
                  <c:v>2084.7142857142858</c:v>
                </c:pt>
                <c:pt idx="8">
                  <c:v>2111.7142857142853</c:v>
                </c:pt>
                <c:pt idx="9">
                  <c:v>1982.8571428571431</c:v>
                </c:pt>
                <c:pt idx="10">
                  <c:v>2048.8571428571431</c:v>
                </c:pt>
                <c:pt idx="11">
                  <c:v>1798</c:v>
                </c:pt>
                <c:pt idx="12">
                  <c:v>1394</c:v>
                </c:pt>
                <c:pt idx="13">
                  <c:v>1468</c:v>
                </c:pt>
                <c:pt idx="14">
                  <c:v>1315.5</c:v>
                </c:pt>
                <c:pt idx="15">
                  <c:v>1348.5</c:v>
                </c:pt>
                <c:pt idx="16">
                  <c:v>737</c:v>
                </c:pt>
                <c:pt idx="17">
                  <c:v>420</c:v>
                </c:pt>
                <c:pt idx="18">
                  <c:v>324</c:v>
                </c:pt>
                <c:pt idx="19">
                  <c:v>165.5</c:v>
                </c:pt>
                <c:pt idx="20">
                  <c:v>147</c:v>
                </c:pt>
                <c:pt idx="21">
                  <c:v>162.5</c:v>
                </c:pt>
                <c:pt idx="22">
                  <c:v>306</c:v>
                </c:pt>
                <c:pt idx="23">
                  <c:v>1047.5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787264"/>
        <c:axId val="115789184"/>
      </c:lineChart>
      <c:catAx>
        <c:axId val="115787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789184"/>
        <c:crosses val="autoZero"/>
        <c:auto val="1"/>
        <c:lblAlgn val="ctr"/>
        <c:lblOffset val="100"/>
        <c:noMultiLvlLbl val="0"/>
      </c:catAx>
      <c:valAx>
        <c:axId val="115789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78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8684210526315784E-3"/>
          <c:y val="4.6909694540609601E-2"/>
          <c:w val="0.81710526315789478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Mukwano-Jinja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Mukwano-Jinja '!$C$107:$N$107</c:f>
              <c:numCache>
                <c:formatCode>0.0%</c:formatCode>
                <c:ptCount val="12"/>
                <c:pt idx="0">
                  <c:v>0.26419367293984425</c:v>
                </c:pt>
                <c:pt idx="1">
                  <c:v>5.6060481781643801E-2</c:v>
                </c:pt>
                <c:pt idx="2">
                  <c:v>2.6185698595387042E-2</c:v>
                </c:pt>
                <c:pt idx="3">
                  <c:v>2.0269959368054209E-2</c:v>
                </c:pt>
                <c:pt idx="4">
                  <c:v>1.4584287780607501E-3</c:v>
                </c:pt>
                <c:pt idx="5">
                  <c:v>2.6607822699873773E-4</c:v>
                </c:pt>
                <c:pt idx="6">
                  <c:v>1.049908673149906E-2</c:v>
                </c:pt>
                <c:pt idx="7">
                  <c:v>6.1558098080835765E-3</c:v>
                </c:pt>
                <c:pt idx="8">
                  <c:v>2.0405999363812969E-3</c:v>
                </c:pt>
                <c:pt idx="9">
                  <c:v>4.2112381040025765E-3</c:v>
                </c:pt>
                <c:pt idx="10">
                  <c:v>0.60854691279236106</c:v>
                </c:pt>
                <c:pt idx="11">
                  <c:v>1.1203293768367899E-4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1476584913290672"/>
          <c:y val="0.28577696539303704"/>
          <c:w val="0.77348944977044021"/>
          <c:h val="0.7140156854802460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Mukwano-Jinja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Mukwano-Jinja '!$C$108:$N$108</c:f>
              <c:numCache>
                <c:formatCode>0.00%</c:formatCode>
                <c:ptCount val="12"/>
                <c:pt idx="0">
                  <c:v>0.67490506927515304</c:v>
                </c:pt>
                <c:pt idx="1">
                  <c:v>0.14321123938896804</c:v>
                </c:pt>
                <c:pt idx="2">
                  <c:v>6.6893580485411552E-2</c:v>
                </c:pt>
                <c:pt idx="3">
                  <c:v>5.1781324583863544E-2</c:v>
                </c:pt>
                <c:pt idx="4">
                  <c:v>3.7256795915551252E-3</c:v>
                </c:pt>
                <c:pt idx="5">
                  <c:v>6.7971932191609292E-4</c:v>
                </c:pt>
                <c:pt idx="6">
                  <c:v>2.6820804521922214E-2</c:v>
                </c:pt>
                <c:pt idx="7">
                  <c:v>1.5725536492750505E-2</c:v>
                </c:pt>
                <c:pt idx="8">
                  <c:v>5.2128850252211641E-3</c:v>
                </c:pt>
                <c:pt idx="9">
                  <c:v>1.0757963704010338E-2</c:v>
                </c:pt>
                <c:pt idx="11">
                  <c:v>2.8619760922782847E-4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5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Jinja-Mukwano'!$AE$9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Jinja-Mukwano'!$R$10:$R$33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Jinja-Mukwano'!$AE$10:$AE$33</c:f>
              <c:numCache>
                <c:formatCode>0</c:formatCode>
                <c:ptCount val="24"/>
                <c:pt idx="0">
                  <c:v>644.71428571428567</c:v>
                </c:pt>
                <c:pt idx="1">
                  <c:v>721.857142857143</c:v>
                </c:pt>
                <c:pt idx="2">
                  <c:v>742.14285714285711</c:v>
                </c:pt>
                <c:pt idx="3">
                  <c:v>793.42857142857144</c:v>
                </c:pt>
                <c:pt idx="4">
                  <c:v>839.99999999999989</c:v>
                </c:pt>
                <c:pt idx="5">
                  <c:v>871</c:v>
                </c:pt>
                <c:pt idx="6">
                  <c:v>792.42857142857144</c:v>
                </c:pt>
                <c:pt idx="7">
                  <c:v>838.28571428571422</c:v>
                </c:pt>
                <c:pt idx="8">
                  <c:v>824.42857142857156</c:v>
                </c:pt>
                <c:pt idx="9">
                  <c:v>934.14285714285711</c:v>
                </c:pt>
                <c:pt idx="10">
                  <c:v>873</c:v>
                </c:pt>
                <c:pt idx="11">
                  <c:v>844.85714285714278</c:v>
                </c:pt>
                <c:pt idx="12">
                  <c:v>1186</c:v>
                </c:pt>
                <c:pt idx="13">
                  <c:v>1107.5</c:v>
                </c:pt>
                <c:pt idx="14">
                  <c:v>990</c:v>
                </c:pt>
                <c:pt idx="15">
                  <c:v>651</c:v>
                </c:pt>
                <c:pt idx="16">
                  <c:v>419.5</c:v>
                </c:pt>
                <c:pt idx="17">
                  <c:v>201.5</c:v>
                </c:pt>
                <c:pt idx="18">
                  <c:v>111</c:v>
                </c:pt>
                <c:pt idx="19">
                  <c:v>68</c:v>
                </c:pt>
                <c:pt idx="20">
                  <c:v>87.5</c:v>
                </c:pt>
                <c:pt idx="21">
                  <c:v>109.5</c:v>
                </c:pt>
                <c:pt idx="22">
                  <c:v>83</c:v>
                </c:pt>
                <c:pt idx="23">
                  <c:v>231.5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Jinja-Mukwano'!$AF$9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Jinja-Mukwano'!$R$10:$R$33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Jinja-Mukwano'!$AF$10:$AF$33</c:f>
              <c:numCache>
                <c:formatCode>0</c:formatCode>
                <c:ptCount val="24"/>
                <c:pt idx="0">
                  <c:v>2537.4285714285716</c:v>
                </c:pt>
                <c:pt idx="1">
                  <c:v>2525.7142857142858</c:v>
                </c:pt>
                <c:pt idx="2">
                  <c:v>2668.4285714285716</c:v>
                </c:pt>
                <c:pt idx="3">
                  <c:v>2774.5714285714284</c:v>
                </c:pt>
                <c:pt idx="4">
                  <c:v>2780</c:v>
                </c:pt>
                <c:pt idx="5">
                  <c:v>2706.8571428571431</c:v>
                </c:pt>
                <c:pt idx="6">
                  <c:v>2708.7142857142858</c:v>
                </c:pt>
                <c:pt idx="7">
                  <c:v>2879.8571428571431</c:v>
                </c:pt>
                <c:pt idx="8">
                  <c:v>2938.7142857142853</c:v>
                </c:pt>
                <c:pt idx="9">
                  <c:v>2885</c:v>
                </c:pt>
                <c:pt idx="10">
                  <c:v>2917</c:v>
                </c:pt>
                <c:pt idx="11">
                  <c:v>2527.2857142857142</c:v>
                </c:pt>
                <c:pt idx="12">
                  <c:v>2430</c:v>
                </c:pt>
                <c:pt idx="13">
                  <c:v>2313.5</c:v>
                </c:pt>
                <c:pt idx="14">
                  <c:v>2242</c:v>
                </c:pt>
                <c:pt idx="15">
                  <c:v>1676</c:v>
                </c:pt>
                <c:pt idx="16">
                  <c:v>701</c:v>
                </c:pt>
                <c:pt idx="17">
                  <c:v>333.5</c:v>
                </c:pt>
                <c:pt idx="18">
                  <c:v>192.5</c:v>
                </c:pt>
                <c:pt idx="19">
                  <c:v>153</c:v>
                </c:pt>
                <c:pt idx="20">
                  <c:v>155.5</c:v>
                </c:pt>
                <c:pt idx="21">
                  <c:v>172.5</c:v>
                </c:pt>
                <c:pt idx="22">
                  <c:v>248</c:v>
                </c:pt>
                <c:pt idx="23">
                  <c:v>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71840"/>
        <c:axId val="116373760"/>
      </c:lineChart>
      <c:catAx>
        <c:axId val="116371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73760"/>
        <c:crosses val="autoZero"/>
        <c:auto val="1"/>
        <c:lblAlgn val="ctr"/>
        <c:lblOffset val="100"/>
        <c:noMultiLvlLbl val="0"/>
      </c:catAx>
      <c:valAx>
        <c:axId val="116373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26638957015619E-2"/>
          <c:y val="7.6546123640550162E-2"/>
          <c:w val="0.80155745449851556"/>
          <c:h val="0.749792973006311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Jinja-Mukwano'!$C$9:$N$9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Jinja-Mukwano'!$C$107:$N$107</c:f>
              <c:numCache>
                <c:formatCode>0.0%</c:formatCode>
                <c:ptCount val="12"/>
                <c:pt idx="0">
                  <c:v>0.23677547089214923</c:v>
                </c:pt>
                <c:pt idx="1">
                  <c:v>5.3130375040807684E-2</c:v>
                </c:pt>
                <c:pt idx="2">
                  <c:v>1.7110800350174527E-2</c:v>
                </c:pt>
                <c:pt idx="3">
                  <c:v>8.4035387766305623E-3</c:v>
                </c:pt>
                <c:pt idx="4">
                  <c:v>1.0508483935987582E-3</c:v>
                </c:pt>
                <c:pt idx="5">
                  <c:v>3.3458233242866179E-4</c:v>
                </c:pt>
                <c:pt idx="6">
                  <c:v>1.2213879319725904E-2</c:v>
                </c:pt>
                <c:pt idx="7">
                  <c:v>5.2071405716810175E-3</c:v>
                </c:pt>
                <c:pt idx="8">
                  <c:v>2.9056688966741556E-3</c:v>
                </c:pt>
                <c:pt idx="9">
                  <c:v>3.108692156643003E-3</c:v>
                </c:pt>
                <c:pt idx="10">
                  <c:v>0.65968753908197775</c:v>
                </c:pt>
                <c:pt idx="11">
                  <c:v>7.1464187509034523E-5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508435632758926"/>
          <c:y val="0.23342725200499242"/>
          <c:w val="0.82101228366016787"/>
          <c:h val="0.7653155813525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Jinja-Mukwano'!$C$9:$N$9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Jinja-Mukwano'!$C$108:$N$108</c:f>
              <c:numCache>
                <c:formatCode>0.00%</c:formatCode>
                <c:ptCount val="12"/>
                <c:pt idx="0">
                  <c:v>0.69575903936466732</c:v>
                </c:pt>
                <c:pt idx="1">
                  <c:v>0.15612233209881257</c:v>
                </c:pt>
                <c:pt idx="2">
                  <c:v>5.0279676224657344E-2</c:v>
                </c:pt>
                <c:pt idx="3">
                  <c:v>2.4693597037150166E-2</c:v>
                </c:pt>
                <c:pt idx="4">
                  <c:v>3.087892787598794E-3</c:v>
                </c:pt>
                <c:pt idx="5">
                  <c:v>9.831621549387195E-4</c:v>
                </c:pt>
                <c:pt idx="6">
                  <c:v>3.5890191287083345E-2</c:v>
                </c:pt>
                <c:pt idx="7">
                  <c:v>1.5301057615211333E-2</c:v>
                </c:pt>
                <c:pt idx="8">
                  <c:v>8.5382383261425714E-3</c:v>
                </c:pt>
                <c:pt idx="9">
                  <c:v>9.1348173036539283E-3</c:v>
                </c:pt>
                <c:pt idx="11">
                  <c:v>2.0999580008399825E-4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7819065170045237E-2"/>
          <c:y val="0.12273210603919267"/>
          <c:w val="0.82819165689395213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Mukwano-Jinja-2Dir'!$C$9:$N$9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Mukwano-Jinja-2Dir'!$C$107:$N$107</c:f>
              <c:numCache>
                <c:formatCode>0.0%</c:formatCode>
                <c:ptCount val="12"/>
                <c:pt idx="0">
                  <c:v>0.24906099793285078</c:v>
                </c:pt>
                <c:pt idx="1">
                  <c:v>5.4443295032208426E-2</c:v>
                </c:pt>
                <c:pt idx="2">
                  <c:v>2.1177073827524817E-2</c:v>
                </c:pt>
                <c:pt idx="3">
                  <c:v>1.3720635455642345E-2</c:v>
                </c:pt>
                <c:pt idx="4">
                  <c:v>1.2334767010952479E-3</c:v>
                </c:pt>
                <c:pt idx="5">
                  <c:v>3.0388706516808802E-4</c:v>
                </c:pt>
                <c:pt idx="6">
                  <c:v>1.1445516365976837E-2</c:v>
                </c:pt>
                <c:pt idx="7">
                  <c:v>5.6322195588527921E-3</c:v>
                </c:pt>
                <c:pt idx="8">
                  <c:v>2.5180494573957498E-3</c:v>
                </c:pt>
                <c:pt idx="9">
                  <c:v>3.6027201029809608E-3</c:v>
                </c:pt>
                <c:pt idx="10">
                  <c:v>0.63677248629818928</c:v>
                </c:pt>
                <c:pt idx="11">
                  <c:v>8.9642202114480283E-5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3367867314458035"/>
          <c:y val="0.26610345581802275"/>
          <c:w val="0.75931010219467243"/>
          <c:h val="0.73091447944006993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Mukwano-Jinja-2Dir'!$C$9:$N$9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Mukwano-Jinja-2Dir'!$C$108:$N$108</c:f>
              <c:numCache>
                <c:formatCode>0.00%</c:formatCode>
                <c:ptCount val="12"/>
                <c:pt idx="0">
                  <c:v>0.68568868969908481</c:v>
                </c:pt>
                <c:pt idx="1">
                  <c:v>0.14988758554480908</c:v>
                </c:pt>
                <c:pt idx="2">
                  <c:v>5.8302504707586703E-2</c:v>
                </c:pt>
                <c:pt idx="3">
                  <c:v>3.7774218466573056E-2</c:v>
                </c:pt>
                <c:pt idx="4">
                  <c:v>3.3958790415526273E-3</c:v>
                </c:pt>
                <c:pt idx="5">
                  <c:v>8.3663008363832922E-4</c:v>
                </c:pt>
                <c:pt idx="6">
                  <c:v>3.1510598548360427E-2</c:v>
                </c:pt>
                <c:pt idx="7">
                  <c:v>1.5506037803833689E-2</c:v>
                </c:pt>
                <c:pt idx="8">
                  <c:v>6.9324303980532924E-3</c:v>
                </c:pt>
                <c:pt idx="9">
                  <c:v>9.9186321715116366E-3</c:v>
                </c:pt>
                <c:pt idx="11">
                  <c:v>2.467935349965574E-4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Mukwano-Jinja-2Dir'!$AE$9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Mukwano-Jinja-2Dir'!$R$10:$R$33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Mukwano-Jinja-2Dir'!$AE$10:$AE$33</c:f>
              <c:numCache>
                <c:formatCode>0</c:formatCode>
                <c:ptCount val="24"/>
                <c:pt idx="0">
                  <c:v>1305.5714285714284</c:v>
                </c:pt>
                <c:pt idx="1">
                  <c:v>1641</c:v>
                </c:pt>
                <c:pt idx="2">
                  <c:v>1784.7142857142856</c:v>
                </c:pt>
                <c:pt idx="3">
                  <c:v>1793.1428571428569</c:v>
                </c:pt>
                <c:pt idx="4">
                  <c:v>1730.1428571428571</c:v>
                </c:pt>
                <c:pt idx="5">
                  <c:v>1786.2857142857147</c:v>
                </c:pt>
                <c:pt idx="6">
                  <c:v>1568.5714285714284</c:v>
                </c:pt>
                <c:pt idx="7">
                  <c:v>1585.2857142857142</c:v>
                </c:pt>
                <c:pt idx="8">
                  <c:v>1585.7142857142858</c:v>
                </c:pt>
                <c:pt idx="9">
                  <c:v>1676.4285714285713</c:v>
                </c:pt>
                <c:pt idx="10">
                  <c:v>1691</c:v>
                </c:pt>
                <c:pt idx="11">
                  <c:v>1557.2857142857142</c:v>
                </c:pt>
                <c:pt idx="12">
                  <c:v>1883.5</c:v>
                </c:pt>
                <c:pt idx="13">
                  <c:v>1740.5</c:v>
                </c:pt>
                <c:pt idx="14">
                  <c:v>1562.5</c:v>
                </c:pt>
                <c:pt idx="15">
                  <c:v>1120</c:v>
                </c:pt>
                <c:pt idx="16">
                  <c:v>792</c:v>
                </c:pt>
                <c:pt idx="17">
                  <c:v>427.5</c:v>
                </c:pt>
                <c:pt idx="18">
                  <c:v>314</c:v>
                </c:pt>
                <c:pt idx="19">
                  <c:v>157</c:v>
                </c:pt>
                <c:pt idx="20">
                  <c:v>170</c:v>
                </c:pt>
                <c:pt idx="21">
                  <c:v>160</c:v>
                </c:pt>
                <c:pt idx="22">
                  <c:v>218</c:v>
                </c:pt>
                <c:pt idx="23">
                  <c:v>692.5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59-4792-A7D3-26132D476076}"/>
            </c:ext>
          </c:extLst>
        </c:ser>
        <c:ser>
          <c:idx val="1"/>
          <c:order val="1"/>
          <c:tx>
            <c:strRef>
              <c:f>'Avg Week Mukwano-Jinja-2Dir'!$AF$9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Mukwano-Jinja-2Dir'!$R$10:$R$33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Mukwano-Jinja-2Dir'!$AF$10:$AF$33</c:f>
              <c:numCache>
                <c:formatCode>0</c:formatCode>
                <c:ptCount val="24"/>
                <c:pt idx="0">
                  <c:v>4514.1428571428569</c:v>
                </c:pt>
                <c:pt idx="1">
                  <c:v>4955.8571428571431</c:v>
                </c:pt>
                <c:pt idx="2">
                  <c:v>5514.1428571428569</c:v>
                </c:pt>
                <c:pt idx="3">
                  <c:v>5328.8571428571422</c:v>
                </c:pt>
                <c:pt idx="4">
                  <c:v>5200.8571428571431</c:v>
                </c:pt>
                <c:pt idx="5">
                  <c:v>5192.7142857142853</c:v>
                </c:pt>
                <c:pt idx="6">
                  <c:v>4837.2857142857138</c:v>
                </c:pt>
                <c:pt idx="7">
                  <c:v>4964.5714285714284</c:v>
                </c:pt>
                <c:pt idx="8">
                  <c:v>5050.4285714285716</c:v>
                </c:pt>
                <c:pt idx="9">
                  <c:v>4867.8571428571422</c:v>
                </c:pt>
                <c:pt idx="10">
                  <c:v>4965.8571428571431</c:v>
                </c:pt>
                <c:pt idx="11">
                  <c:v>4325.2857142857147</c:v>
                </c:pt>
                <c:pt idx="12">
                  <c:v>3824</c:v>
                </c:pt>
                <c:pt idx="13">
                  <c:v>3781.5</c:v>
                </c:pt>
                <c:pt idx="14">
                  <c:v>3557.5</c:v>
                </c:pt>
                <c:pt idx="15">
                  <c:v>3024.5</c:v>
                </c:pt>
                <c:pt idx="16">
                  <c:v>1438</c:v>
                </c:pt>
                <c:pt idx="17">
                  <c:v>753.5</c:v>
                </c:pt>
                <c:pt idx="18">
                  <c:v>516.5</c:v>
                </c:pt>
                <c:pt idx="19">
                  <c:v>318.5</c:v>
                </c:pt>
                <c:pt idx="20">
                  <c:v>302.5</c:v>
                </c:pt>
                <c:pt idx="21">
                  <c:v>335</c:v>
                </c:pt>
                <c:pt idx="22">
                  <c:v>554</c:v>
                </c:pt>
                <c:pt idx="23">
                  <c:v>1558.5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59-4792-A7D3-26132D476076}"/>
            </c:ext>
          </c:extLst>
        </c:ser>
        <c:ser>
          <c:idx val="5"/>
          <c:order val="2"/>
          <c:tx>
            <c:strRef>
              <c:f>'Avg Week Mukwano-Jinja-2Dir'!$AC$9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Mukwano-Jinja-2Dir'!$R$10:$R$33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Mukwano-Jinja-2Dir'!$AC$10:$AC$33</c:f>
              <c:numCache>
                <c:formatCode>0</c:formatCode>
                <c:ptCount val="24"/>
                <c:pt idx="0">
                  <c:v>3208.5714285714284</c:v>
                </c:pt>
                <c:pt idx="1">
                  <c:v>3314.8571428571431</c:v>
                </c:pt>
                <c:pt idx="2">
                  <c:v>3729.4285714285716</c:v>
                </c:pt>
                <c:pt idx="3">
                  <c:v>3535.7142857142862</c:v>
                </c:pt>
                <c:pt idx="4">
                  <c:v>3470.7142857142858</c:v>
                </c:pt>
                <c:pt idx="5">
                  <c:v>3406.4285714285716</c:v>
                </c:pt>
                <c:pt idx="6">
                  <c:v>3268.7142857142858</c:v>
                </c:pt>
                <c:pt idx="7">
                  <c:v>3379.2857142857142</c:v>
                </c:pt>
                <c:pt idx="8">
                  <c:v>3464.7142857142862</c:v>
                </c:pt>
                <c:pt idx="9">
                  <c:v>3191.4285714285716</c:v>
                </c:pt>
                <c:pt idx="10">
                  <c:v>3274.8571428571431</c:v>
                </c:pt>
                <c:pt idx="11">
                  <c:v>2768</c:v>
                </c:pt>
                <c:pt idx="12">
                  <c:v>1940.5</c:v>
                </c:pt>
                <c:pt idx="13">
                  <c:v>2041</c:v>
                </c:pt>
                <c:pt idx="14">
                  <c:v>1995</c:v>
                </c:pt>
                <c:pt idx="15">
                  <c:v>1904.5</c:v>
                </c:pt>
                <c:pt idx="16">
                  <c:v>646</c:v>
                </c:pt>
                <c:pt idx="17">
                  <c:v>326</c:v>
                </c:pt>
                <c:pt idx="18">
                  <c:v>202.5</c:v>
                </c:pt>
                <c:pt idx="19">
                  <c:v>161.5</c:v>
                </c:pt>
                <c:pt idx="20">
                  <c:v>132.5</c:v>
                </c:pt>
                <c:pt idx="21">
                  <c:v>175</c:v>
                </c:pt>
                <c:pt idx="22">
                  <c:v>336</c:v>
                </c:pt>
                <c:pt idx="23">
                  <c:v>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59-4792-A7D3-26132D476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Mukwano-Jinja-2Dir'!$S$9:$AF$9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Mukwano-Jinja-2Dir'!$S$41:$AF$41</c:f>
              <c:numCache>
                <c:formatCode>_(* #,##0_);_(* \(#,##0\);_(* "-"_);_(@_)</c:formatCode>
                <c:ptCount val="14"/>
                <c:pt idx="0">
                  <c:v>19845.642857142855</c:v>
                </c:pt>
                <c:pt idx="1">
                  <c:v>4338.1428571428569</c:v>
                </c:pt>
                <c:pt idx="2">
                  <c:v>1687.4285714285713</c:v>
                </c:pt>
                <c:pt idx="3">
                  <c:v>1093.2857142857142</c:v>
                </c:pt>
                <c:pt idx="4">
                  <c:v>98.285714285714292</c:v>
                </c:pt>
                <c:pt idx="5">
                  <c:v>24.214285714285715</c:v>
                </c:pt>
                <c:pt idx="6">
                  <c:v>911.99999999999989</c:v>
                </c:pt>
                <c:pt idx="7">
                  <c:v>448.78571428571428</c:v>
                </c:pt>
                <c:pt idx="8">
                  <c:v>200.64285714285711</c:v>
                </c:pt>
                <c:pt idx="9">
                  <c:v>287.07142857142856</c:v>
                </c:pt>
                <c:pt idx="10">
                  <c:v>50739.21428571429</c:v>
                </c:pt>
                <c:pt idx="11">
                  <c:v>7.1428571428571423</c:v>
                </c:pt>
                <c:pt idx="12">
                  <c:v>28942.642857142855</c:v>
                </c:pt>
                <c:pt idx="13">
                  <c:v>79681.857142857159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AB-4A39-9006-3C2141A2C7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Mukwano-Jinja-2Dir'!$S$9:$AF$9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Mukwano-Jinja-2Dir'!$S$42:$AF$42</c:f>
              <c:numCache>
                <c:formatCode>0.000</c:formatCode>
                <c:ptCount val="14"/>
                <c:pt idx="0">
                  <c:v>1.4642834556033393</c:v>
                </c:pt>
                <c:pt idx="1">
                  <c:v>1.6350958432048246</c:v>
                </c:pt>
                <c:pt idx="2">
                  <c:v>1.33983666061706</c:v>
                </c:pt>
                <c:pt idx="3">
                  <c:v>1.4630089848977252</c:v>
                </c:pt>
                <c:pt idx="4">
                  <c:v>1.323076923076923</c:v>
                </c:pt>
                <c:pt idx="5">
                  <c:v>1.645631067961165</c:v>
                </c:pt>
                <c:pt idx="6">
                  <c:v>1.3333333333333335</c:v>
                </c:pt>
                <c:pt idx="7">
                  <c:v>1.2185802948021722</c:v>
                </c:pt>
                <c:pt idx="8">
                  <c:v>1.4317023445463812</c:v>
                </c:pt>
                <c:pt idx="9">
                  <c:v>1.4032821229050281</c:v>
                </c:pt>
                <c:pt idx="10">
                  <c:v>1.2680772897186252</c:v>
                </c:pt>
                <c:pt idx="11">
                  <c:v>1.1627906976744187</c:v>
                </c:pt>
                <c:pt idx="12">
                  <c:v>1.4687862486950469</c:v>
                </c:pt>
                <c:pt idx="13">
                  <c:v>1.334305364511692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1-4DB3-8875-E458A720FF6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.xml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8.xml"/><Relationship Id="rId1" Type="http://schemas.openxmlformats.org/officeDocument/2006/relationships/chart" Target="../charts/chart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2.xml"/><Relationship Id="rId1" Type="http://schemas.openxmlformats.org/officeDocument/2006/relationships/chart" Target="../charts/chart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1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6.xml"/><Relationship Id="rId1" Type="http://schemas.openxmlformats.org/officeDocument/2006/relationships/chart" Target="../charts/chart1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5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7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1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8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0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539751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555625</xdr:colOff>
      <xdr:row>76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76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279400</xdr:rowOff>
    </xdr:from>
    <xdr:to>
      <xdr:col>25</xdr:col>
      <xdr:colOff>0</xdr:colOff>
      <xdr:row>91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25</xdr:col>
      <xdr:colOff>0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29</xdr:col>
      <xdr:colOff>47625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285750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285750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'30.7.Jinja RD-Mukwano RD'!C3:G3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180</v>
      </c>
      <c r="E5" s="3"/>
      <c r="F5" s="40" t="s">
        <v>1</v>
      </c>
      <c r="G5" s="58" t="s">
        <v>178</v>
      </c>
      <c r="H5" s="59"/>
      <c r="I5" s="14"/>
      <c r="J5" s="2" t="s">
        <v>5</v>
      </c>
      <c r="K5" s="58" t="s">
        <v>183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166</v>
      </c>
      <c r="E6" s="59"/>
      <c r="F6" s="2" t="s">
        <v>2</v>
      </c>
      <c r="G6" s="58" t="s">
        <v>165</v>
      </c>
      <c r="H6" s="59"/>
      <c r="J6" s="2" t="s">
        <v>21</v>
      </c>
      <c r="K6" s="58" t="s">
        <v>176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75</v>
      </c>
      <c r="D10" s="49">
        <v>26</v>
      </c>
      <c r="E10" s="49">
        <v>11</v>
      </c>
      <c r="F10" s="49">
        <v>4</v>
      </c>
      <c r="G10" s="49">
        <v>0</v>
      </c>
      <c r="H10" s="49">
        <v>0</v>
      </c>
      <c r="I10" s="49">
        <v>5</v>
      </c>
      <c r="J10" s="49">
        <v>0</v>
      </c>
      <c r="K10" s="49">
        <v>0</v>
      </c>
      <c r="L10" s="49">
        <v>2</v>
      </c>
      <c r="M10" s="49">
        <v>418</v>
      </c>
      <c r="N10" s="49">
        <v>0</v>
      </c>
      <c r="O10" s="15">
        <f t="shared" ref="O10:O57" si="0">SUM(C10:L10,N10)</f>
        <v>123</v>
      </c>
      <c r="P10" s="15">
        <f t="shared" ref="P10:P57" si="1">SUM(C10:N10)</f>
        <v>541</v>
      </c>
      <c r="R10" s="1" t="s">
        <v>6</v>
      </c>
      <c r="S10" s="17">
        <f t="shared" ref="S10:AF10" si="2">SUM(C10:C13)</f>
        <v>568</v>
      </c>
      <c r="T10" s="17">
        <f t="shared" si="2"/>
        <v>106</v>
      </c>
      <c r="U10" s="17">
        <f t="shared" si="2"/>
        <v>53</v>
      </c>
      <c r="V10" s="17">
        <f t="shared" si="2"/>
        <v>34</v>
      </c>
      <c r="W10" s="17">
        <f t="shared" si="2"/>
        <v>2</v>
      </c>
      <c r="X10" s="17">
        <f t="shared" si="2"/>
        <v>0</v>
      </c>
      <c r="Y10" s="17">
        <f t="shared" si="2"/>
        <v>15</v>
      </c>
      <c r="Z10" s="17">
        <f t="shared" si="2"/>
        <v>3</v>
      </c>
      <c r="AA10" s="17">
        <f t="shared" si="2"/>
        <v>3</v>
      </c>
      <c r="AB10" s="17">
        <f t="shared" si="2"/>
        <v>2</v>
      </c>
      <c r="AC10" s="17">
        <f t="shared" si="2"/>
        <v>1663</v>
      </c>
      <c r="AD10" s="17">
        <f t="shared" si="2"/>
        <v>0</v>
      </c>
      <c r="AE10" s="30">
        <f t="shared" si="2"/>
        <v>786</v>
      </c>
      <c r="AF10" s="30">
        <f t="shared" si="2"/>
        <v>2449</v>
      </c>
    </row>
    <row r="11" spans="2:32" s="6" customFormat="1" ht="23.1" customHeight="1" x14ac:dyDescent="0.25">
      <c r="B11" s="22" t="s">
        <v>38</v>
      </c>
      <c r="C11" s="49">
        <v>97</v>
      </c>
      <c r="D11" s="49">
        <v>13</v>
      </c>
      <c r="E11" s="49">
        <v>9</v>
      </c>
      <c r="F11" s="49">
        <v>6</v>
      </c>
      <c r="G11" s="49">
        <v>0</v>
      </c>
      <c r="H11" s="49">
        <v>0</v>
      </c>
      <c r="I11" s="49">
        <v>4</v>
      </c>
      <c r="J11" s="49">
        <v>0</v>
      </c>
      <c r="K11" s="49">
        <v>1</v>
      </c>
      <c r="L11" s="49">
        <v>0</v>
      </c>
      <c r="M11" s="49">
        <v>426</v>
      </c>
      <c r="N11" s="49">
        <v>0</v>
      </c>
      <c r="O11" s="15">
        <f t="shared" si="0"/>
        <v>130</v>
      </c>
      <c r="P11" s="15">
        <f t="shared" si="1"/>
        <v>556</v>
      </c>
      <c r="R11" s="1" t="s">
        <v>7</v>
      </c>
      <c r="S11" s="17">
        <f t="shared" ref="S11:AF11" si="3">SUM(C14:C17)</f>
        <v>634</v>
      </c>
      <c r="T11" s="17">
        <f t="shared" si="3"/>
        <v>119</v>
      </c>
      <c r="U11" s="17">
        <f t="shared" si="3"/>
        <v>94</v>
      </c>
      <c r="V11" s="17">
        <f t="shared" si="3"/>
        <v>66</v>
      </c>
      <c r="W11" s="17">
        <f t="shared" si="3"/>
        <v>1</v>
      </c>
      <c r="X11" s="17">
        <f t="shared" si="3"/>
        <v>0</v>
      </c>
      <c r="Y11" s="17">
        <f t="shared" si="3"/>
        <v>26</v>
      </c>
      <c r="Z11" s="17">
        <f t="shared" si="3"/>
        <v>11</v>
      </c>
      <c r="AA11" s="17">
        <f t="shared" si="3"/>
        <v>9</v>
      </c>
      <c r="AB11" s="17">
        <f t="shared" si="3"/>
        <v>9</v>
      </c>
      <c r="AC11" s="17">
        <f t="shared" si="3"/>
        <v>2137</v>
      </c>
      <c r="AD11" s="17">
        <f t="shared" si="3"/>
        <v>0</v>
      </c>
      <c r="AE11" s="30">
        <f t="shared" si="3"/>
        <v>969</v>
      </c>
      <c r="AF11" s="30">
        <f t="shared" si="3"/>
        <v>3106</v>
      </c>
    </row>
    <row r="12" spans="2:32" ht="23.1" customHeight="1" x14ac:dyDescent="0.25">
      <c r="B12" s="22" t="s">
        <v>39</v>
      </c>
      <c r="C12" s="49">
        <v>161</v>
      </c>
      <c r="D12" s="49">
        <v>25</v>
      </c>
      <c r="E12" s="49">
        <v>19</v>
      </c>
      <c r="F12" s="49">
        <v>14</v>
      </c>
      <c r="G12" s="49">
        <v>2</v>
      </c>
      <c r="H12" s="49">
        <v>0</v>
      </c>
      <c r="I12" s="49">
        <v>2</v>
      </c>
      <c r="J12" s="49">
        <v>1</v>
      </c>
      <c r="K12" s="49">
        <v>2</v>
      </c>
      <c r="L12" s="49">
        <v>0</v>
      </c>
      <c r="M12" s="49">
        <v>442</v>
      </c>
      <c r="N12" s="49">
        <v>0</v>
      </c>
      <c r="O12" s="15">
        <f t="shared" si="0"/>
        <v>226</v>
      </c>
      <c r="P12" s="15">
        <f t="shared" si="1"/>
        <v>668</v>
      </c>
      <c r="R12" s="1" t="s">
        <v>8</v>
      </c>
      <c r="S12" s="17">
        <f t="shared" ref="S12:AF12" si="4">SUM(C18:C21)</f>
        <v>725</v>
      </c>
      <c r="T12" s="17">
        <f t="shared" si="4"/>
        <v>99</v>
      </c>
      <c r="U12" s="17">
        <f t="shared" si="4"/>
        <v>96</v>
      </c>
      <c r="V12" s="17">
        <f t="shared" si="4"/>
        <v>51</v>
      </c>
      <c r="W12" s="17">
        <f t="shared" si="4"/>
        <v>1</v>
      </c>
      <c r="X12" s="17">
        <f t="shared" si="4"/>
        <v>0</v>
      </c>
      <c r="Y12" s="17">
        <f t="shared" si="4"/>
        <v>26</v>
      </c>
      <c r="Z12" s="17">
        <f t="shared" si="4"/>
        <v>19</v>
      </c>
      <c r="AA12" s="17">
        <f t="shared" si="4"/>
        <v>5</v>
      </c>
      <c r="AB12" s="17">
        <f t="shared" si="4"/>
        <v>10</v>
      </c>
      <c r="AC12" s="17">
        <f t="shared" si="4"/>
        <v>2427</v>
      </c>
      <c r="AD12" s="17">
        <f t="shared" si="4"/>
        <v>3</v>
      </c>
      <c r="AE12" s="30">
        <f t="shared" si="4"/>
        <v>1035</v>
      </c>
      <c r="AF12" s="30">
        <f t="shared" si="4"/>
        <v>3462</v>
      </c>
    </row>
    <row r="13" spans="2:32" ht="23.1" customHeight="1" x14ac:dyDescent="0.25">
      <c r="B13" s="22" t="s">
        <v>40</v>
      </c>
      <c r="C13" s="49">
        <v>235</v>
      </c>
      <c r="D13" s="49">
        <v>42</v>
      </c>
      <c r="E13" s="49">
        <v>14</v>
      </c>
      <c r="F13" s="49">
        <v>10</v>
      </c>
      <c r="G13" s="49">
        <v>0</v>
      </c>
      <c r="H13" s="49">
        <v>0</v>
      </c>
      <c r="I13" s="49">
        <v>4</v>
      </c>
      <c r="J13" s="49">
        <v>2</v>
      </c>
      <c r="K13" s="49">
        <v>0</v>
      </c>
      <c r="L13" s="49">
        <v>0</v>
      </c>
      <c r="M13" s="49">
        <v>377</v>
      </c>
      <c r="N13" s="49">
        <v>0</v>
      </c>
      <c r="O13" s="15">
        <f t="shared" si="0"/>
        <v>307</v>
      </c>
      <c r="P13" s="15">
        <f t="shared" si="1"/>
        <v>684</v>
      </c>
      <c r="R13" s="1" t="s">
        <v>9</v>
      </c>
      <c r="S13" s="17">
        <f t="shared" ref="S13:AF13" si="5">SUM(C22:C25)</f>
        <v>942</v>
      </c>
      <c r="T13" s="17">
        <f t="shared" si="5"/>
        <v>55</v>
      </c>
      <c r="U13" s="17">
        <f t="shared" si="5"/>
        <v>109</v>
      </c>
      <c r="V13" s="17">
        <f t="shared" si="5"/>
        <v>57</v>
      </c>
      <c r="W13" s="17">
        <f t="shared" si="5"/>
        <v>2</v>
      </c>
      <c r="X13" s="17">
        <f t="shared" si="5"/>
        <v>0</v>
      </c>
      <c r="Y13" s="17">
        <f t="shared" si="5"/>
        <v>47</v>
      </c>
      <c r="Z13" s="17">
        <f t="shared" si="5"/>
        <v>23</v>
      </c>
      <c r="AA13" s="17">
        <f t="shared" si="5"/>
        <v>6</v>
      </c>
      <c r="AB13" s="17">
        <f t="shared" si="5"/>
        <v>13</v>
      </c>
      <c r="AC13" s="17">
        <f t="shared" si="5"/>
        <v>1618</v>
      </c>
      <c r="AD13" s="17">
        <f t="shared" si="5"/>
        <v>0</v>
      </c>
      <c r="AE13" s="30">
        <f t="shared" si="5"/>
        <v>1254</v>
      </c>
      <c r="AF13" s="30">
        <f t="shared" si="5"/>
        <v>2872</v>
      </c>
    </row>
    <row r="14" spans="2:32" ht="23.1" customHeight="1" x14ac:dyDescent="0.25">
      <c r="B14" s="22" t="s">
        <v>41</v>
      </c>
      <c r="C14" s="49">
        <v>120</v>
      </c>
      <c r="D14" s="49">
        <v>35</v>
      </c>
      <c r="E14" s="49">
        <v>17</v>
      </c>
      <c r="F14" s="49">
        <v>14</v>
      </c>
      <c r="G14" s="49">
        <v>1</v>
      </c>
      <c r="H14" s="49">
        <v>0</v>
      </c>
      <c r="I14" s="49">
        <v>4</v>
      </c>
      <c r="J14" s="49">
        <v>3</v>
      </c>
      <c r="K14" s="49">
        <v>0</v>
      </c>
      <c r="L14" s="49">
        <v>1</v>
      </c>
      <c r="M14" s="49">
        <v>477</v>
      </c>
      <c r="N14" s="49">
        <v>0</v>
      </c>
      <c r="O14" s="15">
        <f t="shared" si="0"/>
        <v>195</v>
      </c>
      <c r="P14" s="15">
        <f t="shared" si="1"/>
        <v>672</v>
      </c>
      <c r="R14" s="1" t="s">
        <v>10</v>
      </c>
      <c r="S14" s="17">
        <f t="shared" ref="S14:AF14" si="6">SUM(C26:C29)</f>
        <v>615</v>
      </c>
      <c r="T14" s="17">
        <f t="shared" si="6"/>
        <v>69</v>
      </c>
      <c r="U14" s="17">
        <f t="shared" si="6"/>
        <v>110</v>
      </c>
      <c r="V14" s="17">
        <f t="shared" si="6"/>
        <v>72</v>
      </c>
      <c r="W14" s="17">
        <f t="shared" si="6"/>
        <v>5</v>
      </c>
      <c r="X14" s="17">
        <f t="shared" si="6"/>
        <v>0</v>
      </c>
      <c r="Y14" s="17">
        <f t="shared" si="6"/>
        <v>19</v>
      </c>
      <c r="Z14" s="17">
        <f t="shared" si="6"/>
        <v>20</v>
      </c>
      <c r="AA14" s="17">
        <f t="shared" si="6"/>
        <v>2</v>
      </c>
      <c r="AB14" s="17">
        <f t="shared" si="6"/>
        <v>10</v>
      </c>
      <c r="AC14" s="17">
        <f t="shared" si="6"/>
        <v>1576</v>
      </c>
      <c r="AD14" s="17">
        <f t="shared" si="6"/>
        <v>0</v>
      </c>
      <c r="AE14" s="30">
        <f t="shared" si="6"/>
        <v>922</v>
      </c>
      <c r="AF14" s="30">
        <f t="shared" si="6"/>
        <v>2498</v>
      </c>
    </row>
    <row r="15" spans="2:32" ht="23.1" customHeight="1" x14ac:dyDescent="0.25">
      <c r="B15" s="22" t="s">
        <v>42</v>
      </c>
      <c r="C15" s="49">
        <v>135</v>
      </c>
      <c r="D15" s="49">
        <v>12</v>
      </c>
      <c r="E15" s="49">
        <v>23</v>
      </c>
      <c r="F15" s="49">
        <v>18</v>
      </c>
      <c r="G15" s="49">
        <v>0</v>
      </c>
      <c r="H15" s="49">
        <v>0</v>
      </c>
      <c r="I15" s="49">
        <v>4</v>
      </c>
      <c r="J15" s="49">
        <v>2</v>
      </c>
      <c r="K15" s="49">
        <v>4</v>
      </c>
      <c r="L15" s="49">
        <v>2</v>
      </c>
      <c r="M15" s="49">
        <v>390</v>
      </c>
      <c r="N15" s="49">
        <v>0</v>
      </c>
      <c r="O15" s="15">
        <f t="shared" si="0"/>
        <v>200</v>
      </c>
      <c r="P15" s="15">
        <f t="shared" si="1"/>
        <v>590</v>
      </c>
      <c r="R15" s="1" t="s">
        <v>11</v>
      </c>
      <c r="S15" s="17">
        <f t="shared" ref="S15:AF15" si="7">SUM(C30:C33)</f>
        <v>642</v>
      </c>
      <c r="T15" s="17">
        <f t="shared" si="7"/>
        <v>32</v>
      </c>
      <c r="U15" s="17">
        <f t="shared" si="7"/>
        <v>95</v>
      </c>
      <c r="V15" s="17">
        <f t="shared" si="7"/>
        <v>52</v>
      </c>
      <c r="W15" s="17">
        <f t="shared" si="7"/>
        <v>1</v>
      </c>
      <c r="X15" s="17">
        <f t="shared" si="7"/>
        <v>1</v>
      </c>
      <c r="Y15" s="17">
        <f t="shared" si="7"/>
        <v>24</v>
      </c>
      <c r="Z15" s="17">
        <f t="shared" si="7"/>
        <v>26</v>
      </c>
      <c r="AA15" s="17">
        <f t="shared" si="7"/>
        <v>10</v>
      </c>
      <c r="AB15" s="17">
        <f t="shared" si="7"/>
        <v>10</v>
      </c>
      <c r="AC15" s="17">
        <f t="shared" si="7"/>
        <v>1884</v>
      </c>
      <c r="AD15" s="17">
        <f t="shared" si="7"/>
        <v>1</v>
      </c>
      <c r="AE15" s="30">
        <f t="shared" si="7"/>
        <v>894</v>
      </c>
      <c r="AF15" s="30">
        <f t="shared" si="7"/>
        <v>2778</v>
      </c>
    </row>
    <row r="16" spans="2:32" ht="23.1" customHeight="1" x14ac:dyDescent="0.25">
      <c r="B16" s="22" t="s">
        <v>43</v>
      </c>
      <c r="C16" s="49">
        <v>250</v>
      </c>
      <c r="D16" s="49">
        <v>48</v>
      </c>
      <c r="E16" s="49">
        <v>35</v>
      </c>
      <c r="F16" s="49">
        <v>21</v>
      </c>
      <c r="G16" s="49">
        <v>0</v>
      </c>
      <c r="H16" s="49">
        <v>0</v>
      </c>
      <c r="I16" s="49">
        <v>8</v>
      </c>
      <c r="J16" s="49">
        <v>4</v>
      </c>
      <c r="K16" s="49">
        <v>4</v>
      </c>
      <c r="L16" s="49">
        <v>4</v>
      </c>
      <c r="M16" s="49">
        <v>590</v>
      </c>
      <c r="N16" s="49">
        <v>0</v>
      </c>
      <c r="O16" s="15">
        <f t="shared" si="0"/>
        <v>374</v>
      </c>
      <c r="P16" s="15">
        <f t="shared" si="1"/>
        <v>964</v>
      </c>
      <c r="R16" s="1" t="s">
        <v>12</v>
      </c>
      <c r="S16" s="17">
        <f t="shared" ref="S16:AF16" si="8">SUM(C34:C37)</f>
        <v>550</v>
      </c>
      <c r="T16" s="17">
        <f t="shared" si="8"/>
        <v>24</v>
      </c>
      <c r="U16" s="17">
        <f t="shared" si="8"/>
        <v>76</v>
      </c>
      <c r="V16" s="17">
        <f t="shared" si="8"/>
        <v>52</v>
      </c>
      <c r="W16" s="17">
        <f t="shared" si="8"/>
        <v>6</v>
      </c>
      <c r="X16" s="17">
        <f t="shared" si="8"/>
        <v>0</v>
      </c>
      <c r="Y16" s="17">
        <f t="shared" si="8"/>
        <v>31</v>
      </c>
      <c r="Z16" s="17">
        <f t="shared" si="8"/>
        <v>15</v>
      </c>
      <c r="AA16" s="17">
        <f t="shared" si="8"/>
        <v>13</v>
      </c>
      <c r="AB16" s="17">
        <f t="shared" si="8"/>
        <v>16</v>
      </c>
      <c r="AC16" s="17">
        <f t="shared" si="8"/>
        <v>1423</v>
      </c>
      <c r="AD16" s="17">
        <f t="shared" si="8"/>
        <v>0</v>
      </c>
      <c r="AE16" s="30">
        <f t="shared" si="8"/>
        <v>783</v>
      </c>
      <c r="AF16" s="30">
        <f t="shared" si="8"/>
        <v>2206</v>
      </c>
    </row>
    <row r="17" spans="2:32" ht="23.1" customHeight="1" x14ac:dyDescent="0.25">
      <c r="B17" s="22" t="s">
        <v>44</v>
      </c>
      <c r="C17" s="49">
        <v>129</v>
      </c>
      <c r="D17" s="49">
        <v>24</v>
      </c>
      <c r="E17" s="49">
        <v>19</v>
      </c>
      <c r="F17" s="49">
        <v>13</v>
      </c>
      <c r="G17" s="49">
        <v>0</v>
      </c>
      <c r="H17" s="49">
        <v>0</v>
      </c>
      <c r="I17" s="49">
        <v>10</v>
      </c>
      <c r="J17" s="49">
        <v>2</v>
      </c>
      <c r="K17" s="49">
        <v>1</v>
      </c>
      <c r="L17" s="49">
        <v>2</v>
      </c>
      <c r="M17" s="49">
        <v>680</v>
      </c>
      <c r="N17" s="49">
        <v>0</v>
      </c>
      <c r="O17" s="15">
        <f t="shared" si="0"/>
        <v>200</v>
      </c>
      <c r="P17" s="15">
        <f t="shared" si="1"/>
        <v>880</v>
      </c>
      <c r="R17" s="1" t="s">
        <v>13</v>
      </c>
      <c r="S17" s="17">
        <f t="shared" ref="S17:AF17" si="9">SUM(C38:C41)</f>
        <v>460</v>
      </c>
      <c r="T17" s="17">
        <f t="shared" si="9"/>
        <v>22</v>
      </c>
      <c r="U17" s="17">
        <f t="shared" si="9"/>
        <v>74</v>
      </c>
      <c r="V17" s="17">
        <f t="shared" si="9"/>
        <v>38</v>
      </c>
      <c r="W17" s="17">
        <f t="shared" si="9"/>
        <v>1</v>
      </c>
      <c r="X17" s="17">
        <f t="shared" si="9"/>
        <v>0</v>
      </c>
      <c r="Y17" s="17">
        <f t="shared" si="9"/>
        <v>21</v>
      </c>
      <c r="Z17" s="17">
        <f t="shared" si="9"/>
        <v>25</v>
      </c>
      <c r="AA17" s="17">
        <f t="shared" si="9"/>
        <v>6</v>
      </c>
      <c r="AB17" s="17">
        <f t="shared" si="9"/>
        <v>14</v>
      </c>
      <c r="AC17" s="17">
        <f t="shared" si="9"/>
        <v>1379</v>
      </c>
      <c r="AD17" s="17">
        <f t="shared" si="9"/>
        <v>0</v>
      </c>
      <c r="AE17" s="30">
        <f t="shared" si="9"/>
        <v>661</v>
      </c>
      <c r="AF17" s="30">
        <f t="shared" si="9"/>
        <v>2040</v>
      </c>
    </row>
    <row r="18" spans="2:32" ht="23.1" customHeight="1" x14ac:dyDescent="0.25">
      <c r="B18" s="22" t="s">
        <v>45</v>
      </c>
      <c r="C18" s="49">
        <v>245</v>
      </c>
      <c r="D18" s="49">
        <v>45</v>
      </c>
      <c r="E18" s="49">
        <v>26</v>
      </c>
      <c r="F18" s="49">
        <v>13</v>
      </c>
      <c r="G18" s="49">
        <v>0</v>
      </c>
      <c r="H18" s="49">
        <v>0</v>
      </c>
      <c r="I18" s="49">
        <v>6</v>
      </c>
      <c r="J18" s="49">
        <v>7</v>
      </c>
      <c r="K18" s="49">
        <v>0</v>
      </c>
      <c r="L18" s="49">
        <v>2</v>
      </c>
      <c r="M18" s="49">
        <v>812</v>
      </c>
      <c r="N18" s="49">
        <v>2</v>
      </c>
      <c r="O18" s="15">
        <f t="shared" si="0"/>
        <v>346</v>
      </c>
      <c r="P18" s="15">
        <f t="shared" si="1"/>
        <v>1158</v>
      </c>
      <c r="R18" s="1" t="s">
        <v>14</v>
      </c>
      <c r="S18" s="17">
        <f t="shared" ref="S18:AF18" si="10">SUM(C42:C45)</f>
        <v>483</v>
      </c>
      <c r="T18" s="17">
        <f t="shared" si="10"/>
        <v>43</v>
      </c>
      <c r="U18" s="17">
        <f t="shared" si="10"/>
        <v>90</v>
      </c>
      <c r="V18" s="17">
        <f t="shared" si="10"/>
        <v>48</v>
      </c>
      <c r="W18" s="17">
        <f t="shared" si="10"/>
        <v>0</v>
      </c>
      <c r="X18" s="17">
        <f t="shared" si="10"/>
        <v>0</v>
      </c>
      <c r="Y18" s="17">
        <f t="shared" si="10"/>
        <v>19</v>
      </c>
      <c r="Z18" s="17">
        <f t="shared" si="10"/>
        <v>24</v>
      </c>
      <c r="AA18" s="17">
        <f t="shared" si="10"/>
        <v>3</v>
      </c>
      <c r="AB18" s="17">
        <f t="shared" si="10"/>
        <v>13</v>
      </c>
      <c r="AC18" s="17">
        <f t="shared" si="10"/>
        <v>1363</v>
      </c>
      <c r="AD18" s="17">
        <f t="shared" si="10"/>
        <v>0</v>
      </c>
      <c r="AE18" s="30">
        <f t="shared" si="10"/>
        <v>723</v>
      </c>
      <c r="AF18" s="30">
        <f t="shared" si="10"/>
        <v>2086</v>
      </c>
    </row>
    <row r="19" spans="2:32" ht="23.1" customHeight="1" x14ac:dyDescent="0.25">
      <c r="B19" s="22" t="s">
        <v>46</v>
      </c>
      <c r="C19" s="49">
        <v>190</v>
      </c>
      <c r="D19" s="49">
        <v>24</v>
      </c>
      <c r="E19" s="49">
        <v>18</v>
      </c>
      <c r="F19" s="49">
        <v>10</v>
      </c>
      <c r="G19" s="49">
        <v>0</v>
      </c>
      <c r="H19" s="49">
        <v>0</v>
      </c>
      <c r="I19" s="49">
        <v>4</v>
      </c>
      <c r="J19" s="49">
        <v>4</v>
      </c>
      <c r="K19" s="49">
        <v>2</v>
      </c>
      <c r="L19" s="49">
        <v>0</v>
      </c>
      <c r="M19" s="49">
        <v>648</v>
      </c>
      <c r="N19" s="49">
        <v>0</v>
      </c>
      <c r="O19" s="15">
        <f t="shared" si="0"/>
        <v>252</v>
      </c>
      <c r="P19" s="15">
        <f t="shared" si="1"/>
        <v>900</v>
      </c>
      <c r="R19" s="1" t="s">
        <v>15</v>
      </c>
      <c r="S19" s="17">
        <f t="shared" ref="S19:AF19" si="11">SUM(C46:C49)</f>
        <v>543</v>
      </c>
      <c r="T19" s="17">
        <f t="shared" si="11"/>
        <v>28</v>
      </c>
      <c r="U19" s="17">
        <f t="shared" si="11"/>
        <v>62</v>
      </c>
      <c r="V19" s="17">
        <f t="shared" si="11"/>
        <v>41</v>
      </c>
      <c r="W19" s="17">
        <f t="shared" si="11"/>
        <v>3</v>
      </c>
      <c r="X19" s="17">
        <f t="shared" si="11"/>
        <v>0</v>
      </c>
      <c r="Y19" s="17">
        <f t="shared" si="11"/>
        <v>27</v>
      </c>
      <c r="Z19" s="17">
        <f t="shared" si="11"/>
        <v>16</v>
      </c>
      <c r="AA19" s="17">
        <f t="shared" si="11"/>
        <v>7</v>
      </c>
      <c r="AB19" s="17">
        <f t="shared" si="11"/>
        <v>13</v>
      </c>
      <c r="AC19" s="17">
        <f t="shared" si="11"/>
        <v>1138</v>
      </c>
      <c r="AD19" s="17">
        <f t="shared" si="11"/>
        <v>0</v>
      </c>
      <c r="AE19" s="30">
        <f t="shared" si="11"/>
        <v>740</v>
      </c>
      <c r="AF19" s="30">
        <f t="shared" si="11"/>
        <v>1878</v>
      </c>
    </row>
    <row r="20" spans="2:32" ht="23.1" customHeight="1" x14ac:dyDescent="0.25">
      <c r="B20" s="22" t="s">
        <v>47</v>
      </c>
      <c r="C20" s="49">
        <v>125</v>
      </c>
      <c r="D20" s="49">
        <v>16</v>
      </c>
      <c r="E20" s="49">
        <v>23</v>
      </c>
      <c r="F20" s="49">
        <v>18</v>
      </c>
      <c r="G20" s="49">
        <v>1</v>
      </c>
      <c r="H20" s="49">
        <v>0</v>
      </c>
      <c r="I20" s="49">
        <v>9</v>
      </c>
      <c r="J20" s="49">
        <v>5</v>
      </c>
      <c r="K20" s="49">
        <v>1</v>
      </c>
      <c r="L20" s="49">
        <v>4</v>
      </c>
      <c r="M20" s="49">
        <v>454</v>
      </c>
      <c r="N20" s="49">
        <v>0</v>
      </c>
      <c r="O20" s="15">
        <f t="shared" si="0"/>
        <v>202</v>
      </c>
      <c r="P20" s="15">
        <f t="shared" si="1"/>
        <v>656</v>
      </c>
      <c r="R20" s="1" t="s">
        <v>16</v>
      </c>
      <c r="S20" s="17">
        <f t="shared" ref="S20:AF20" si="12">SUM(C50:C53)</f>
        <v>613</v>
      </c>
      <c r="T20" s="17">
        <f t="shared" si="12"/>
        <v>51</v>
      </c>
      <c r="U20" s="17">
        <f t="shared" si="12"/>
        <v>34</v>
      </c>
      <c r="V20" s="17">
        <f t="shared" si="12"/>
        <v>56</v>
      </c>
      <c r="W20" s="17">
        <f t="shared" si="12"/>
        <v>10</v>
      </c>
      <c r="X20" s="17">
        <f t="shared" si="12"/>
        <v>1</v>
      </c>
      <c r="Y20" s="17">
        <f t="shared" si="12"/>
        <v>21</v>
      </c>
      <c r="Z20" s="17">
        <f t="shared" si="12"/>
        <v>4</v>
      </c>
      <c r="AA20" s="17">
        <f t="shared" si="12"/>
        <v>4</v>
      </c>
      <c r="AB20" s="17">
        <f t="shared" si="12"/>
        <v>8</v>
      </c>
      <c r="AC20" s="17">
        <f t="shared" si="12"/>
        <v>1311</v>
      </c>
      <c r="AD20" s="17">
        <f t="shared" si="12"/>
        <v>0</v>
      </c>
      <c r="AE20" s="30">
        <f t="shared" si="12"/>
        <v>802</v>
      </c>
      <c r="AF20" s="30">
        <f t="shared" si="12"/>
        <v>2113</v>
      </c>
    </row>
    <row r="21" spans="2:32" ht="23.1" customHeight="1" x14ac:dyDescent="0.25">
      <c r="B21" s="22" t="s">
        <v>48</v>
      </c>
      <c r="C21" s="49">
        <v>165</v>
      </c>
      <c r="D21" s="49">
        <v>14</v>
      </c>
      <c r="E21" s="49">
        <v>29</v>
      </c>
      <c r="F21" s="49">
        <v>10</v>
      </c>
      <c r="G21" s="49">
        <v>0</v>
      </c>
      <c r="H21" s="49">
        <v>0</v>
      </c>
      <c r="I21" s="49">
        <v>7</v>
      </c>
      <c r="J21" s="49">
        <v>3</v>
      </c>
      <c r="K21" s="49">
        <v>2</v>
      </c>
      <c r="L21" s="49">
        <v>4</v>
      </c>
      <c r="M21" s="49">
        <v>513</v>
      </c>
      <c r="N21" s="49">
        <v>1</v>
      </c>
      <c r="O21" s="15">
        <f t="shared" si="0"/>
        <v>235</v>
      </c>
      <c r="P21" s="15">
        <f t="shared" si="1"/>
        <v>748</v>
      </c>
      <c r="R21" s="35" t="s">
        <v>20</v>
      </c>
      <c r="S21" s="33">
        <f t="shared" ref="S21:AF21" si="13">SUM(C54:C57)</f>
        <v>584</v>
      </c>
      <c r="T21" s="17">
        <f t="shared" si="13"/>
        <v>40</v>
      </c>
      <c r="U21" s="17">
        <f t="shared" si="13"/>
        <v>40</v>
      </c>
      <c r="V21" s="17">
        <f t="shared" si="13"/>
        <v>55</v>
      </c>
      <c r="W21" s="17">
        <f t="shared" si="13"/>
        <v>2</v>
      </c>
      <c r="X21" s="17">
        <f t="shared" si="13"/>
        <v>1</v>
      </c>
      <c r="Y21" s="17">
        <f t="shared" si="13"/>
        <v>19</v>
      </c>
      <c r="Z21" s="17">
        <f t="shared" si="13"/>
        <v>12</v>
      </c>
      <c r="AA21" s="17">
        <f t="shared" si="13"/>
        <v>4</v>
      </c>
      <c r="AB21" s="17">
        <f t="shared" si="13"/>
        <v>7</v>
      </c>
      <c r="AC21" s="17">
        <f t="shared" si="13"/>
        <v>1137</v>
      </c>
      <c r="AD21" s="17">
        <f t="shared" si="13"/>
        <v>0</v>
      </c>
      <c r="AE21" s="30">
        <f t="shared" si="13"/>
        <v>764</v>
      </c>
      <c r="AF21" s="30">
        <f t="shared" si="13"/>
        <v>1901</v>
      </c>
    </row>
    <row r="22" spans="2:32" ht="23.1" customHeight="1" x14ac:dyDescent="0.25">
      <c r="B22" s="22" t="s">
        <v>49</v>
      </c>
      <c r="C22" s="49">
        <v>235</v>
      </c>
      <c r="D22" s="49">
        <v>25</v>
      </c>
      <c r="E22" s="49">
        <v>32</v>
      </c>
      <c r="F22" s="49">
        <v>14</v>
      </c>
      <c r="G22" s="49">
        <v>0</v>
      </c>
      <c r="H22" s="49">
        <v>0</v>
      </c>
      <c r="I22" s="49">
        <v>17</v>
      </c>
      <c r="J22" s="49">
        <v>9</v>
      </c>
      <c r="K22" s="49">
        <v>4</v>
      </c>
      <c r="L22" s="49">
        <v>4</v>
      </c>
      <c r="M22" s="49">
        <v>404</v>
      </c>
      <c r="N22" s="49">
        <v>0</v>
      </c>
      <c r="O22" s="15">
        <f t="shared" si="0"/>
        <v>340</v>
      </c>
      <c r="P22" s="15">
        <f t="shared" si="1"/>
        <v>744</v>
      </c>
      <c r="R22" s="37" t="s">
        <v>90</v>
      </c>
      <c r="S22" s="38">
        <f>MAX(S10:S12)</f>
        <v>725</v>
      </c>
      <c r="T22" s="38">
        <f t="shared" ref="T22:AF22" si="14">MAX(T10:T12)</f>
        <v>119</v>
      </c>
      <c r="U22" s="38">
        <f t="shared" si="14"/>
        <v>96</v>
      </c>
      <c r="V22" s="38">
        <f t="shared" si="14"/>
        <v>66</v>
      </c>
      <c r="W22" s="38">
        <f t="shared" si="14"/>
        <v>2</v>
      </c>
      <c r="X22" s="38">
        <f t="shared" si="14"/>
        <v>0</v>
      </c>
      <c r="Y22" s="38">
        <f t="shared" si="14"/>
        <v>26</v>
      </c>
      <c r="Z22" s="38">
        <f t="shared" si="14"/>
        <v>19</v>
      </c>
      <c r="AA22" s="38">
        <f t="shared" si="14"/>
        <v>9</v>
      </c>
      <c r="AB22" s="38">
        <f t="shared" si="14"/>
        <v>10</v>
      </c>
      <c r="AC22" s="38">
        <f t="shared" si="14"/>
        <v>2427</v>
      </c>
      <c r="AD22" s="38">
        <f t="shared" si="14"/>
        <v>3</v>
      </c>
      <c r="AE22" s="39">
        <f t="shared" si="14"/>
        <v>1035</v>
      </c>
      <c r="AF22" s="39">
        <f t="shared" si="14"/>
        <v>3462</v>
      </c>
    </row>
    <row r="23" spans="2:32" ht="23.1" customHeight="1" x14ac:dyDescent="0.25">
      <c r="B23" s="22" t="s">
        <v>50</v>
      </c>
      <c r="C23" s="49">
        <v>270</v>
      </c>
      <c r="D23" s="49">
        <v>14</v>
      </c>
      <c r="E23" s="49">
        <v>36</v>
      </c>
      <c r="F23" s="49">
        <v>13</v>
      </c>
      <c r="G23" s="49">
        <v>1</v>
      </c>
      <c r="H23" s="49">
        <v>0</v>
      </c>
      <c r="I23" s="49">
        <v>14</v>
      </c>
      <c r="J23" s="49">
        <v>7</v>
      </c>
      <c r="K23" s="49">
        <v>1</v>
      </c>
      <c r="L23" s="49">
        <v>2</v>
      </c>
      <c r="M23" s="49">
        <v>436</v>
      </c>
      <c r="N23" s="49">
        <v>0</v>
      </c>
      <c r="O23" s="15">
        <f t="shared" si="0"/>
        <v>358</v>
      </c>
      <c r="P23" s="15">
        <f t="shared" si="1"/>
        <v>794</v>
      </c>
      <c r="R23" s="37" t="s">
        <v>91</v>
      </c>
      <c r="S23" s="38">
        <f>MAX(S13:S18)</f>
        <v>942</v>
      </c>
      <c r="T23" s="38">
        <f t="shared" ref="T23:AF23" si="15">MAX(T13:T18)</f>
        <v>69</v>
      </c>
      <c r="U23" s="38">
        <f t="shared" si="15"/>
        <v>110</v>
      </c>
      <c r="V23" s="38">
        <f t="shared" si="15"/>
        <v>72</v>
      </c>
      <c r="W23" s="38">
        <f t="shared" si="15"/>
        <v>6</v>
      </c>
      <c r="X23" s="38">
        <f t="shared" si="15"/>
        <v>1</v>
      </c>
      <c r="Y23" s="38">
        <f t="shared" si="15"/>
        <v>47</v>
      </c>
      <c r="Z23" s="38">
        <f t="shared" si="15"/>
        <v>26</v>
      </c>
      <c r="AA23" s="38">
        <f t="shared" si="15"/>
        <v>13</v>
      </c>
      <c r="AB23" s="38">
        <f t="shared" si="15"/>
        <v>16</v>
      </c>
      <c r="AC23" s="38">
        <f t="shared" si="15"/>
        <v>1884</v>
      </c>
      <c r="AD23" s="38">
        <f t="shared" si="15"/>
        <v>1</v>
      </c>
      <c r="AE23" s="39">
        <f t="shared" si="15"/>
        <v>1254</v>
      </c>
      <c r="AF23" s="39">
        <f t="shared" si="15"/>
        <v>2872</v>
      </c>
    </row>
    <row r="24" spans="2:32" ht="23.1" customHeight="1" x14ac:dyDescent="0.25">
      <c r="B24" s="22" t="s">
        <v>51</v>
      </c>
      <c r="C24" s="49">
        <v>250</v>
      </c>
      <c r="D24" s="49">
        <v>9</v>
      </c>
      <c r="E24" s="49">
        <v>21</v>
      </c>
      <c r="F24" s="49">
        <v>15</v>
      </c>
      <c r="G24" s="49">
        <v>0</v>
      </c>
      <c r="H24" s="49">
        <v>0</v>
      </c>
      <c r="I24" s="49">
        <v>5</v>
      </c>
      <c r="J24" s="49">
        <v>5</v>
      </c>
      <c r="K24" s="49">
        <v>0</v>
      </c>
      <c r="L24" s="49">
        <v>6</v>
      </c>
      <c r="M24" s="49">
        <v>418</v>
      </c>
      <c r="N24" s="49">
        <v>0</v>
      </c>
      <c r="O24" s="15">
        <f t="shared" si="0"/>
        <v>311</v>
      </c>
      <c r="P24" s="15">
        <f t="shared" si="1"/>
        <v>729</v>
      </c>
      <c r="R24" s="37" t="s">
        <v>92</v>
      </c>
      <c r="S24" s="38">
        <f>MAX(S19:S21)</f>
        <v>613</v>
      </c>
      <c r="T24" s="38">
        <f t="shared" ref="T24:AF24" si="16">MAX(T19:T21)</f>
        <v>51</v>
      </c>
      <c r="U24" s="38">
        <f t="shared" si="16"/>
        <v>62</v>
      </c>
      <c r="V24" s="38">
        <f t="shared" si="16"/>
        <v>56</v>
      </c>
      <c r="W24" s="38">
        <f t="shared" si="16"/>
        <v>10</v>
      </c>
      <c r="X24" s="38">
        <f t="shared" si="16"/>
        <v>1</v>
      </c>
      <c r="Y24" s="38">
        <f t="shared" si="16"/>
        <v>27</v>
      </c>
      <c r="Z24" s="38">
        <f t="shared" si="16"/>
        <v>16</v>
      </c>
      <c r="AA24" s="38">
        <f t="shared" si="16"/>
        <v>7</v>
      </c>
      <c r="AB24" s="38">
        <f t="shared" si="16"/>
        <v>13</v>
      </c>
      <c r="AC24" s="38">
        <f t="shared" si="16"/>
        <v>1311</v>
      </c>
      <c r="AD24" s="38">
        <f t="shared" si="16"/>
        <v>0</v>
      </c>
      <c r="AE24" s="39">
        <f t="shared" si="16"/>
        <v>802</v>
      </c>
      <c r="AF24" s="39">
        <f t="shared" si="16"/>
        <v>2113</v>
      </c>
    </row>
    <row r="25" spans="2:32" ht="23.1" customHeight="1" x14ac:dyDescent="0.25">
      <c r="B25" s="22" t="s">
        <v>52</v>
      </c>
      <c r="C25" s="49">
        <v>187</v>
      </c>
      <c r="D25" s="49">
        <v>7</v>
      </c>
      <c r="E25" s="49">
        <v>20</v>
      </c>
      <c r="F25" s="49">
        <v>15</v>
      </c>
      <c r="G25" s="49">
        <v>1</v>
      </c>
      <c r="H25" s="49">
        <v>0</v>
      </c>
      <c r="I25" s="49">
        <v>11</v>
      </c>
      <c r="J25" s="49">
        <v>2</v>
      </c>
      <c r="K25" s="49">
        <v>1</v>
      </c>
      <c r="L25" s="49">
        <v>1</v>
      </c>
      <c r="M25" s="49">
        <v>360</v>
      </c>
      <c r="N25" s="49">
        <v>0</v>
      </c>
      <c r="O25" s="15">
        <f t="shared" si="0"/>
        <v>245</v>
      </c>
      <c r="P25" s="15">
        <f t="shared" si="1"/>
        <v>605</v>
      </c>
      <c r="R25" s="36" t="s">
        <v>85</v>
      </c>
      <c r="S25" s="34">
        <f t="shared" ref="S25:AF25" si="17">SUM(S10:S12)</f>
        <v>1927</v>
      </c>
      <c r="T25" s="16">
        <f t="shared" si="17"/>
        <v>324</v>
      </c>
      <c r="U25" s="16">
        <f t="shared" si="17"/>
        <v>243</v>
      </c>
      <c r="V25" s="16">
        <f t="shared" si="17"/>
        <v>151</v>
      </c>
      <c r="W25" s="16">
        <f t="shared" si="17"/>
        <v>4</v>
      </c>
      <c r="X25" s="16">
        <f t="shared" si="17"/>
        <v>0</v>
      </c>
      <c r="Y25" s="16">
        <f t="shared" si="17"/>
        <v>67</v>
      </c>
      <c r="Z25" s="16">
        <f t="shared" si="17"/>
        <v>33</v>
      </c>
      <c r="AA25" s="16">
        <f t="shared" si="17"/>
        <v>17</v>
      </c>
      <c r="AB25" s="16">
        <f t="shared" si="17"/>
        <v>21</v>
      </c>
      <c r="AC25" s="16">
        <f t="shared" si="17"/>
        <v>6227</v>
      </c>
      <c r="AD25" s="16">
        <f t="shared" si="17"/>
        <v>3</v>
      </c>
      <c r="AE25" s="31">
        <f t="shared" si="17"/>
        <v>2790</v>
      </c>
      <c r="AF25" s="31">
        <f t="shared" si="17"/>
        <v>9017</v>
      </c>
    </row>
    <row r="26" spans="2:32" ht="23.1" customHeight="1" x14ac:dyDescent="0.25">
      <c r="B26" s="22" t="s">
        <v>53</v>
      </c>
      <c r="C26" s="49">
        <v>155</v>
      </c>
      <c r="D26" s="49">
        <v>17</v>
      </c>
      <c r="E26" s="49">
        <v>33</v>
      </c>
      <c r="F26" s="49">
        <v>20</v>
      </c>
      <c r="G26" s="49">
        <v>4</v>
      </c>
      <c r="H26" s="49">
        <v>0</v>
      </c>
      <c r="I26" s="49">
        <v>9</v>
      </c>
      <c r="J26" s="49">
        <v>10</v>
      </c>
      <c r="K26" s="49">
        <v>1</v>
      </c>
      <c r="L26" s="49">
        <v>1</v>
      </c>
      <c r="M26" s="49">
        <v>386</v>
      </c>
      <c r="N26" s="49">
        <v>0</v>
      </c>
      <c r="O26" s="15">
        <f t="shared" si="0"/>
        <v>250</v>
      </c>
      <c r="P26" s="15">
        <f t="shared" si="1"/>
        <v>636</v>
      </c>
      <c r="R26" s="27" t="s">
        <v>86</v>
      </c>
      <c r="S26" s="16">
        <f t="shared" ref="S26:AF26" si="18">SUM(S13:S18)</f>
        <v>3692</v>
      </c>
      <c r="T26" s="16">
        <f t="shared" si="18"/>
        <v>245</v>
      </c>
      <c r="U26" s="16">
        <f t="shared" si="18"/>
        <v>554</v>
      </c>
      <c r="V26" s="16">
        <f t="shared" si="18"/>
        <v>319</v>
      </c>
      <c r="W26" s="16">
        <f t="shared" si="18"/>
        <v>15</v>
      </c>
      <c r="X26" s="16">
        <f t="shared" si="18"/>
        <v>1</v>
      </c>
      <c r="Y26" s="16">
        <f t="shared" si="18"/>
        <v>161</v>
      </c>
      <c r="Z26" s="16">
        <f t="shared" si="18"/>
        <v>133</v>
      </c>
      <c r="AA26" s="16">
        <f t="shared" si="18"/>
        <v>40</v>
      </c>
      <c r="AB26" s="16">
        <f t="shared" si="18"/>
        <v>76</v>
      </c>
      <c r="AC26" s="16">
        <f t="shared" si="18"/>
        <v>9243</v>
      </c>
      <c r="AD26" s="16">
        <f t="shared" si="18"/>
        <v>1</v>
      </c>
      <c r="AE26" s="31">
        <f t="shared" si="18"/>
        <v>5237</v>
      </c>
      <c r="AF26" s="31">
        <f t="shared" si="18"/>
        <v>14480</v>
      </c>
    </row>
    <row r="27" spans="2:32" ht="23.1" customHeight="1" x14ac:dyDescent="0.25">
      <c r="B27" s="22" t="s">
        <v>54</v>
      </c>
      <c r="C27" s="49">
        <v>175</v>
      </c>
      <c r="D27" s="49">
        <v>21</v>
      </c>
      <c r="E27" s="49">
        <v>22</v>
      </c>
      <c r="F27" s="49">
        <v>14</v>
      </c>
      <c r="G27" s="49">
        <v>0</v>
      </c>
      <c r="H27" s="49">
        <v>0</v>
      </c>
      <c r="I27" s="49">
        <v>2</v>
      </c>
      <c r="J27" s="49">
        <v>2</v>
      </c>
      <c r="K27" s="49">
        <v>0</v>
      </c>
      <c r="L27" s="49">
        <v>0</v>
      </c>
      <c r="M27" s="49">
        <v>427</v>
      </c>
      <c r="N27" s="49">
        <v>0</v>
      </c>
      <c r="O27" s="15">
        <f t="shared" si="0"/>
        <v>236</v>
      </c>
      <c r="P27" s="15">
        <f t="shared" si="1"/>
        <v>663</v>
      </c>
      <c r="R27" s="28" t="s">
        <v>87</v>
      </c>
      <c r="S27" s="16">
        <f t="shared" ref="S27:AF27" si="19">SUM(S19:S21)</f>
        <v>1740</v>
      </c>
      <c r="T27" s="16">
        <f t="shared" si="19"/>
        <v>119</v>
      </c>
      <c r="U27" s="16">
        <f t="shared" si="19"/>
        <v>136</v>
      </c>
      <c r="V27" s="16">
        <f t="shared" si="19"/>
        <v>152</v>
      </c>
      <c r="W27" s="16">
        <f t="shared" si="19"/>
        <v>15</v>
      </c>
      <c r="X27" s="16">
        <f t="shared" si="19"/>
        <v>2</v>
      </c>
      <c r="Y27" s="16">
        <f t="shared" si="19"/>
        <v>67</v>
      </c>
      <c r="Z27" s="16">
        <f t="shared" si="19"/>
        <v>32</v>
      </c>
      <c r="AA27" s="16">
        <f t="shared" si="19"/>
        <v>15</v>
      </c>
      <c r="AB27" s="16">
        <f t="shared" si="19"/>
        <v>28</v>
      </c>
      <c r="AC27" s="16">
        <f t="shared" si="19"/>
        <v>3586</v>
      </c>
      <c r="AD27" s="16">
        <f t="shared" si="19"/>
        <v>0</v>
      </c>
      <c r="AE27" s="31">
        <f t="shared" si="19"/>
        <v>2306</v>
      </c>
      <c r="AF27" s="31">
        <f t="shared" si="19"/>
        <v>5892</v>
      </c>
    </row>
    <row r="28" spans="2:32" ht="23.1" customHeight="1" x14ac:dyDescent="0.25">
      <c r="B28" s="22" t="s">
        <v>55</v>
      </c>
      <c r="C28" s="49">
        <v>165</v>
      </c>
      <c r="D28" s="49">
        <v>13</v>
      </c>
      <c r="E28" s="49">
        <v>34</v>
      </c>
      <c r="F28" s="49">
        <v>26</v>
      </c>
      <c r="G28" s="49">
        <v>0</v>
      </c>
      <c r="H28" s="49">
        <v>0</v>
      </c>
      <c r="I28" s="49">
        <v>6</v>
      </c>
      <c r="J28" s="49">
        <v>6</v>
      </c>
      <c r="K28" s="49">
        <v>1</v>
      </c>
      <c r="L28" s="49">
        <v>1</v>
      </c>
      <c r="M28" s="49">
        <v>355</v>
      </c>
      <c r="N28" s="49">
        <v>0</v>
      </c>
      <c r="O28" s="15">
        <f t="shared" si="0"/>
        <v>252</v>
      </c>
      <c r="P28" s="15">
        <f t="shared" si="1"/>
        <v>607</v>
      </c>
      <c r="R28" s="5" t="s">
        <v>17</v>
      </c>
      <c r="S28" s="16">
        <f t="shared" ref="S28:AF28" si="20">SUM(S10:S21)</f>
        <v>7359</v>
      </c>
      <c r="T28" s="16">
        <f t="shared" si="20"/>
        <v>688</v>
      </c>
      <c r="U28" s="16">
        <f t="shared" si="20"/>
        <v>933</v>
      </c>
      <c r="V28" s="16">
        <f t="shared" si="20"/>
        <v>622</v>
      </c>
      <c r="W28" s="16">
        <f t="shared" si="20"/>
        <v>34</v>
      </c>
      <c r="X28" s="16">
        <f t="shared" si="20"/>
        <v>3</v>
      </c>
      <c r="Y28" s="16">
        <f t="shared" si="20"/>
        <v>295</v>
      </c>
      <c r="Z28" s="16">
        <f t="shared" si="20"/>
        <v>198</v>
      </c>
      <c r="AA28" s="16">
        <f t="shared" si="20"/>
        <v>72</v>
      </c>
      <c r="AB28" s="16">
        <f t="shared" si="20"/>
        <v>125</v>
      </c>
      <c r="AC28" s="16">
        <f t="shared" si="20"/>
        <v>19056</v>
      </c>
      <c r="AD28" s="16">
        <f t="shared" si="20"/>
        <v>4</v>
      </c>
      <c r="AE28" s="31">
        <f t="shared" si="20"/>
        <v>10333</v>
      </c>
      <c r="AF28" s="31">
        <f t="shared" si="20"/>
        <v>29389</v>
      </c>
    </row>
    <row r="29" spans="2:32" ht="23.1" customHeight="1" x14ac:dyDescent="0.25">
      <c r="B29" s="22" t="s">
        <v>56</v>
      </c>
      <c r="C29" s="49">
        <v>120</v>
      </c>
      <c r="D29" s="49">
        <v>18</v>
      </c>
      <c r="E29" s="49">
        <v>21</v>
      </c>
      <c r="F29" s="49">
        <v>12</v>
      </c>
      <c r="G29" s="49">
        <v>1</v>
      </c>
      <c r="H29" s="49">
        <v>0</v>
      </c>
      <c r="I29" s="49">
        <v>2</v>
      </c>
      <c r="J29" s="49">
        <v>2</v>
      </c>
      <c r="K29" s="49">
        <v>0</v>
      </c>
      <c r="L29" s="49">
        <v>8</v>
      </c>
      <c r="M29" s="49">
        <v>408</v>
      </c>
      <c r="N29" s="49">
        <v>0</v>
      </c>
      <c r="O29" s="15">
        <f t="shared" si="0"/>
        <v>184</v>
      </c>
      <c r="P29" s="15">
        <f t="shared" si="1"/>
        <v>592</v>
      </c>
      <c r="R29"/>
      <c r="S29" s="20"/>
      <c r="T29" s="19"/>
    </row>
    <row r="30" spans="2:32" ht="23.1" customHeight="1" x14ac:dyDescent="0.25">
      <c r="B30" s="22" t="s">
        <v>57</v>
      </c>
      <c r="C30" s="49">
        <v>190</v>
      </c>
      <c r="D30" s="49">
        <v>14</v>
      </c>
      <c r="E30" s="49">
        <v>26</v>
      </c>
      <c r="F30" s="49">
        <v>15</v>
      </c>
      <c r="G30" s="49">
        <v>0</v>
      </c>
      <c r="H30" s="49">
        <v>0</v>
      </c>
      <c r="I30" s="49">
        <v>6</v>
      </c>
      <c r="J30" s="49">
        <v>6</v>
      </c>
      <c r="K30" s="49">
        <v>1</v>
      </c>
      <c r="L30" s="49">
        <v>3</v>
      </c>
      <c r="M30" s="49">
        <v>491</v>
      </c>
      <c r="N30" s="49">
        <v>0</v>
      </c>
      <c r="O30" s="15">
        <f t="shared" si="0"/>
        <v>261</v>
      </c>
      <c r="P30" s="15">
        <f t="shared" si="1"/>
        <v>752</v>
      </c>
    </row>
    <row r="31" spans="2:32" ht="23.1" customHeight="1" x14ac:dyDescent="0.25">
      <c r="B31" s="23" t="s">
        <v>58</v>
      </c>
      <c r="C31" s="49">
        <v>140</v>
      </c>
      <c r="D31" s="49">
        <v>5</v>
      </c>
      <c r="E31" s="49">
        <v>18</v>
      </c>
      <c r="F31" s="49">
        <v>12</v>
      </c>
      <c r="G31" s="49">
        <v>0</v>
      </c>
      <c r="H31" s="49">
        <v>0</v>
      </c>
      <c r="I31" s="49">
        <v>5</v>
      </c>
      <c r="J31" s="49">
        <v>6</v>
      </c>
      <c r="K31" s="49">
        <v>3</v>
      </c>
      <c r="L31" s="49">
        <v>3</v>
      </c>
      <c r="M31" s="49">
        <v>564</v>
      </c>
      <c r="N31" s="49">
        <v>0</v>
      </c>
      <c r="O31" s="15">
        <f t="shared" si="0"/>
        <v>192</v>
      </c>
      <c r="P31" s="15">
        <f t="shared" si="1"/>
        <v>756</v>
      </c>
    </row>
    <row r="32" spans="2:32" ht="23.1" customHeight="1" x14ac:dyDescent="0.25">
      <c r="B32" s="23" t="s">
        <v>59</v>
      </c>
      <c r="C32" s="49">
        <v>125</v>
      </c>
      <c r="D32" s="49">
        <v>6</v>
      </c>
      <c r="E32" s="49">
        <v>30</v>
      </c>
      <c r="F32" s="49">
        <v>11</v>
      </c>
      <c r="G32" s="49">
        <v>0</v>
      </c>
      <c r="H32" s="49">
        <v>0</v>
      </c>
      <c r="I32" s="49">
        <v>5</v>
      </c>
      <c r="J32" s="49">
        <v>7</v>
      </c>
      <c r="K32" s="49">
        <v>3</v>
      </c>
      <c r="L32" s="49">
        <v>1</v>
      </c>
      <c r="M32" s="49">
        <v>451</v>
      </c>
      <c r="N32" s="49">
        <v>1</v>
      </c>
      <c r="O32" s="15">
        <f t="shared" si="0"/>
        <v>189</v>
      </c>
      <c r="P32" s="15">
        <f t="shared" si="1"/>
        <v>640</v>
      </c>
    </row>
    <row r="33" spans="2:20" ht="23.1" customHeight="1" x14ac:dyDescent="0.25">
      <c r="B33" s="22" t="s">
        <v>60</v>
      </c>
      <c r="C33" s="49">
        <v>187</v>
      </c>
      <c r="D33" s="49">
        <v>7</v>
      </c>
      <c r="E33" s="49">
        <v>21</v>
      </c>
      <c r="F33" s="49">
        <v>14</v>
      </c>
      <c r="G33" s="49">
        <v>1</v>
      </c>
      <c r="H33" s="49">
        <v>1</v>
      </c>
      <c r="I33" s="49">
        <v>8</v>
      </c>
      <c r="J33" s="49">
        <v>7</v>
      </c>
      <c r="K33" s="49">
        <v>3</v>
      </c>
      <c r="L33" s="49">
        <v>3</v>
      </c>
      <c r="M33" s="49">
        <v>378</v>
      </c>
      <c r="N33" s="49">
        <v>0</v>
      </c>
      <c r="O33" s="15">
        <f t="shared" si="0"/>
        <v>252</v>
      </c>
      <c r="P33" s="15">
        <f t="shared" si="1"/>
        <v>630</v>
      </c>
    </row>
    <row r="34" spans="2:20" ht="23.1" customHeight="1" x14ac:dyDescent="0.25">
      <c r="B34" s="23" t="s">
        <v>61</v>
      </c>
      <c r="C34" s="49">
        <v>120</v>
      </c>
      <c r="D34" s="49">
        <v>7</v>
      </c>
      <c r="E34" s="49">
        <v>13</v>
      </c>
      <c r="F34" s="49">
        <v>12</v>
      </c>
      <c r="G34" s="49">
        <v>4</v>
      </c>
      <c r="H34" s="49">
        <v>0</v>
      </c>
      <c r="I34" s="49">
        <v>7</v>
      </c>
      <c r="J34" s="49">
        <v>6</v>
      </c>
      <c r="K34" s="49">
        <v>3</v>
      </c>
      <c r="L34" s="49">
        <v>6</v>
      </c>
      <c r="M34" s="49">
        <v>450</v>
      </c>
      <c r="N34" s="49">
        <v>0</v>
      </c>
      <c r="O34" s="15">
        <f t="shared" si="0"/>
        <v>178</v>
      </c>
      <c r="P34" s="15">
        <f t="shared" si="1"/>
        <v>628</v>
      </c>
    </row>
    <row r="35" spans="2:20" ht="23.1" customHeight="1" x14ac:dyDescent="0.25">
      <c r="B35" s="23" t="s">
        <v>62</v>
      </c>
      <c r="C35" s="49">
        <v>100</v>
      </c>
      <c r="D35" s="49">
        <v>3</v>
      </c>
      <c r="E35" s="49">
        <v>20</v>
      </c>
      <c r="F35" s="49">
        <v>11</v>
      </c>
      <c r="G35" s="49">
        <v>0</v>
      </c>
      <c r="H35" s="49">
        <v>0</v>
      </c>
      <c r="I35" s="49">
        <v>11</v>
      </c>
      <c r="J35" s="49">
        <v>5</v>
      </c>
      <c r="K35" s="49">
        <v>3</v>
      </c>
      <c r="L35" s="49">
        <v>3</v>
      </c>
      <c r="M35" s="49">
        <v>480</v>
      </c>
      <c r="N35" s="49">
        <v>0</v>
      </c>
      <c r="O35" s="15">
        <f t="shared" si="0"/>
        <v>156</v>
      </c>
      <c r="P35" s="15">
        <f t="shared" si="1"/>
        <v>636</v>
      </c>
    </row>
    <row r="36" spans="2:20" ht="23.1" customHeight="1" x14ac:dyDescent="0.25">
      <c r="B36" s="23" t="s">
        <v>63</v>
      </c>
      <c r="C36" s="49">
        <v>195</v>
      </c>
      <c r="D36" s="49">
        <v>4</v>
      </c>
      <c r="E36" s="49">
        <v>22</v>
      </c>
      <c r="F36" s="49">
        <v>16</v>
      </c>
      <c r="G36" s="49">
        <v>1</v>
      </c>
      <c r="H36" s="49">
        <v>0</v>
      </c>
      <c r="I36" s="49">
        <v>7</v>
      </c>
      <c r="J36" s="49">
        <v>1</v>
      </c>
      <c r="K36" s="49">
        <v>4</v>
      </c>
      <c r="L36" s="49">
        <v>3</v>
      </c>
      <c r="M36" s="49">
        <v>283</v>
      </c>
      <c r="N36" s="49">
        <v>0</v>
      </c>
      <c r="O36" s="15">
        <f t="shared" si="0"/>
        <v>253</v>
      </c>
      <c r="P36" s="15">
        <f t="shared" si="1"/>
        <v>536</v>
      </c>
    </row>
    <row r="37" spans="2:20" ht="23.1" customHeight="1" x14ac:dyDescent="0.25">
      <c r="B37" s="22" t="s">
        <v>64</v>
      </c>
      <c r="C37" s="49">
        <v>135</v>
      </c>
      <c r="D37" s="49">
        <v>10</v>
      </c>
      <c r="E37" s="49">
        <v>21</v>
      </c>
      <c r="F37" s="49">
        <v>13</v>
      </c>
      <c r="G37" s="49">
        <v>1</v>
      </c>
      <c r="H37" s="49">
        <v>0</v>
      </c>
      <c r="I37" s="49">
        <v>6</v>
      </c>
      <c r="J37" s="49">
        <v>3</v>
      </c>
      <c r="K37" s="49">
        <v>3</v>
      </c>
      <c r="L37" s="49">
        <v>4</v>
      </c>
      <c r="M37" s="49">
        <v>210</v>
      </c>
      <c r="N37" s="49">
        <v>0</v>
      </c>
      <c r="O37" s="15">
        <f t="shared" si="0"/>
        <v>196</v>
      </c>
      <c r="P37" s="15">
        <f t="shared" si="1"/>
        <v>406</v>
      </c>
    </row>
    <row r="38" spans="2:20" ht="23.1" customHeight="1" x14ac:dyDescent="0.25">
      <c r="B38" s="23" t="s">
        <v>65</v>
      </c>
      <c r="C38" s="49">
        <v>105</v>
      </c>
      <c r="D38" s="49">
        <v>7</v>
      </c>
      <c r="E38" s="49">
        <v>15</v>
      </c>
      <c r="F38" s="49">
        <v>8</v>
      </c>
      <c r="G38" s="49">
        <v>0</v>
      </c>
      <c r="H38" s="49">
        <v>0</v>
      </c>
      <c r="I38" s="49">
        <v>3</v>
      </c>
      <c r="J38" s="49">
        <v>6</v>
      </c>
      <c r="K38" s="49">
        <v>1</v>
      </c>
      <c r="L38" s="49">
        <v>1</v>
      </c>
      <c r="M38" s="49">
        <v>257</v>
      </c>
      <c r="N38" s="49">
        <v>0</v>
      </c>
      <c r="O38" s="15">
        <f t="shared" si="0"/>
        <v>146</v>
      </c>
      <c r="P38" s="15">
        <f t="shared" si="1"/>
        <v>403</v>
      </c>
    </row>
    <row r="39" spans="2:20" ht="23.1" customHeight="1" x14ac:dyDescent="0.25">
      <c r="B39" s="23" t="s">
        <v>66</v>
      </c>
      <c r="C39" s="49">
        <v>120</v>
      </c>
      <c r="D39" s="49">
        <v>5</v>
      </c>
      <c r="E39" s="49">
        <v>16</v>
      </c>
      <c r="F39" s="49">
        <v>7</v>
      </c>
      <c r="G39" s="49">
        <v>0</v>
      </c>
      <c r="H39" s="49">
        <v>0</v>
      </c>
      <c r="I39" s="49">
        <v>6</v>
      </c>
      <c r="J39" s="49">
        <v>8</v>
      </c>
      <c r="K39" s="49">
        <v>3</v>
      </c>
      <c r="L39" s="49">
        <v>4</v>
      </c>
      <c r="M39" s="49">
        <v>436</v>
      </c>
      <c r="N39" s="49">
        <v>0</v>
      </c>
      <c r="O39" s="15">
        <f t="shared" si="0"/>
        <v>169</v>
      </c>
      <c r="P39" s="15">
        <f t="shared" si="1"/>
        <v>605</v>
      </c>
    </row>
    <row r="40" spans="2:20" ht="23.1" customHeight="1" x14ac:dyDescent="0.25">
      <c r="B40" s="23" t="s">
        <v>67</v>
      </c>
      <c r="C40" s="49">
        <v>110</v>
      </c>
      <c r="D40" s="49">
        <v>5</v>
      </c>
      <c r="E40" s="49">
        <v>13</v>
      </c>
      <c r="F40" s="49">
        <v>10</v>
      </c>
      <c r="G40" s="49">
        <v>1</v>
      </c>
      <c r="H40" s="49">
        <v>0</v>
      </c>
      <c r="I40" s="49">
        <v>4</v>
      </c>
      <c r="J40" s="49">
        <v>7</v>
      </c>
      <c r="K40" s="49">
        <v>1</v>
      </c>
      <c r="L40" s="49">
        <v>4</v>
      </c>
      <c r="M40" s="49">
        <v>350</v>
      </c>
      <c r="N40" s="49">
        <v>0</v>
      </c>
      <c r="O40" s="15">
        <f t="shared" si="0"/>
        <v>155</v>
      </c>
      <c r="P40" s="15">
        <f t="shared" si="1"/>
        <v>505</v>
      </c>
    </row>
    <row r="41" spans="2:20" ht="23.1" customHeight="1" x14ac:dyDescent="0.25">
      <c r="B41" s="22" t="s">
        <v>68</v>
      </c>
      <c r="C41" s="49">
        <v>125</v>
      </c>
      <c r="D41" s="49">
        <v>5</v>
      </c>
      <c r="E41" s="49">
        <v>30</v>
      </c>
      <c r="F41" s="49">
        <v>13</v>
      </c>
      <c r="G41" s="49">
        <v>0</v>
      </c>
      <c r="H41" s="49">
        <v>0</v>
      </c>
      <c r="I41" s="49">
        <v>8</v>
      </c>
      <c r="J41" s="49">
        <v>4</v>
      </c>
      <c r="K41" s="49">
        <v>1</v>
      </c>
      <c r="L41" s="49">
        <v>5</v>
      </c>
      <c r="M41" s="49">
        <v>336</v>
      </c>
      <c r="N41" s="49">
        <v>0</v>
      </c>
      <c r="O41" s="15">
        <f t="shared" si="0"/>
        <v>191</v>
      </c>
      <c r="P41" s="15">
        <f t="shared" si="1"/>
        <v>527</v>
      </c>
    </row>
    <row r="42" spans="2:20" ht="23.1" customHeight="1" x14ac:dyDescent="0.25">
      <c r="B42" s="23" t="s">
        <v>69</v>
      </c>
      <c r="C42" s="49">
        <v>130</v>
      </c>
      <c r="D42" s="49">
        <v>9</v>
      </c>
      <c r="E42" s="49">
        <v>23</v>
      </c>
      <c r="F42" s="49">
        <v>12</v>
      </c>
      <c r="G42" s="49">
        <v>0</v>
      </c>
      <c r="H42" s="49">
        <v>0</v>
      </c>
      <c r="I42" s="49">
        <v>6</v>
      </c>
      <c r="J42" s="49">
        <v>6</v>
      </c>
      <c r="K42" s="49">
        <v>1</v>
      </c>
      <c r="L42" s="49">
        <v>3</v>
      </c>
      <c r="M42" s="49">
        <v>349</v>
      </c>
      <c r="N42" s="49">
        <v>0</v>
      </c>
      <c r="O42" s="15">
        <f t="shared" si="0"/>
        <v>190</v>
      </c>
      <c r="P42" s="15">
        <f t="shared" si="1"/>
        <v>539</v>
      </c>
    </row>
    <row r="43" spans="2:20" ht="23.1" customHeight="1" x14ac:dyDescent="0.25">
      <c r="B43" s="22" t="s">
        <v>70</v>
      </c>
      <c r="C43" s="49">
        <v>111</v>
      </c>
      <c r="D43" s="49">
        <v>12</v>
      </c>
      <c r="E43" s="49">
        <v>20</v>
      </c>
      <c r="F43" s="49">
        <v>12</v>
      </c>
      <c r="G43" s="49">
        <v>0</v>
      </c>
      <c r="H43" s="49">
        <v>0</v>
      </c>
      <c r="I43" s="49">
        <v>5</v>
      </c>
      <c r="J43" s="49">
        <v>7</v>
      </c>
      <c r="K43" s="49">
        <v>0</v>
      </c>
      <c r="L43" s="49">
        <v>1</v>
      </c>
      <c r="M43" s="49">
        <v>452</v>
      </c>
      <c r="N43" s="49">
        <v>0</v>
      </c>
      <c r="O43" s="15">
        <f t="shared" si="0"/>
        <v>168</v>
      </c>
      <c r="P43" s="15">
        <f t="shared" si="1"/>
        <v>620</v>
      </c>
    </row>
    <row r="44" spans="2:20" ht="23.1" customHeight="1" x14ac:dyDescent="0.25">
      <c r="B44" s="24" t="s">
        <v>71</v>
      </c>
      <c r="C44" s="49">
        <v>150</v>
      </c>
      <c r="D44" s="49">
        <v>16</v>
      </c>
      <c r="E44" s="49">
        <v>24</v>
      </c>
      <c r="F44" s="49">
        <v>13</v>
      </c>
      <c r="G44" s="49">
        <v>0</v>
      </c>
      <c r="H44" s="49">
        <v>0</v>
      </c>
      <c r="I44" s="49">
        <v>3</v>
      </c>
      <c r="J44" s="49">
        <v>4</v>
      </c>
      <c r="K44" s="49">
        <v>1</v>
      </c>
      <c r="L44" s="49">
        <v>4</v>
      </c>
      <c r="M44" s="49">
        <v>320</v>
      </c>
      <c r="N44" s="49">
        <v>0</v>
      </c>
      <c r="O44" s="15">
        <f t="shared" si="0"/>
        <v>215</v>
      </c>
      <c r="P44" s="15">
        <f t="shared" si="1"/>
        <v>535</v>
      </c>
    </row>
    <row r="45" spans="2:20" ht="23.1" customHeight="1" x14ac:dyDescent="0.25">
      <c r="B45" s="22" t="s">
        <v>72</v>
      </c>
      <c r="C45" s="49">
        <v>92</v>
      </c>
      <c r="D45" s="49">
        <v>6</v>
      </c>
      <c r="E45" s="49">
        <v>23</v>
      </c>
      <c r="F45" s="49">
        <v>11</v>
      </c>
      <c r="G45" s="49">
        <v>0</v>
      </c>
      <c r="H45" s="49">
        <v>0</v>
      </c>
      <c r="I45" s="49">
        <v>5</v>
      </c>
      <c r="J45" s="49">
        <v>7</v>
      </c>
      <c r="K45" s="49">
        <v>1</v>
      </c>
      <c r="L45" s="49">
        <v>5</v>
      </c>
      <c r="M45" s="49">
        <v>242</v>
      </c>
      <c r="N45" s="49">
        <v>0</v>
      </c>
      <c r="O45" s="15">
        <f t="shared" si="0"/>
        <v>150</v>
      </c>
      <c r="P45" s="15">
        <f t="shared" si="1"/>
        <v>392</v>
      </c>
    </row>
    <row r="46" spans="2:20" ht="23.1" customHeight="1" x14ac:dyDescent="0.25">
      <c r="B46" s="23" t="s">
        <v>73</v>
      </c>
      <c r="C46" s="49">
        <v>132</v>
      </c>
      <c r="D46" s="49">
        <v>9</v>
      </c>
      <c r="E46" s="49">
        <v>12</v>
      </c>
      <c r="F46" s="49">
        <v>10</v>
      </c>
      <c r="G46" s="49">
        <v>0</v>
      </c>
      <c r="H46" s="49">
        <v>0</v>
      </c>
      <c r="I46" s="49">
        <v>3</v>
      </c>
      <c r="J46" s="49">
        <v>1</v>
      </c>
      <c r="K46" s="49">
        <v>0</v>
      </c>
      <c r="L46" s="49">
        <v>4</v>
      </c>
      <c r="M46" s="49">
        <v>231</v>
      </c>
      <c r="N46" s="49">
        <v>0</v>
      </c>
      <c r="O46" s="15">
        <f t="shared" si="0"/>
        <v>171</v>
      </c>
      <c r="P46" s="15">
        <f t="shared" si="1"/>
        <v>402</v>
      </c>
      <c r="R46" s="8"/>
      <c r="T46"/>
    </row>
    <row r="47" spans="2:20" ht="23.1" customHeight="1" x14ac:dyDescent="0.25">
      <c r="B47" s="23" t="s">
        <v>74</v>
      </c>
      <c r="C47" s="49">
        <v>140</v>
      </c>
      <c r="D47" s="49">
        <v>4</v>
      </c>
      <c r="E47" s="49">
        <v>21</v>
      </c>
      <c r="F47" s="49">
        <v>11</v>
      </c>
      <c r="G47" s="49">
        <v>2</v>
      </c>
      <c r="H47" s="49">
        <v>0</v>
      </c>
      <c r="I47" s="49">
        <v>9</v>
      </c>
      <c r="J47" s="49">
        <v>6</v>
      </c>
      <c r="K47" s="49">
        <v>1</v>
      </c>
      <c r="L47" s="49">
        <v>3</v>
      </c>
      <c r="M47" s="49">
        <v>282</v>
      </c>
      <c r="N47" s="49">
        <v>0</v>
      </c>
      <c r="O47" s="15">
        <f t="shared" si="0"/>
        <v>197</v>
      </c>
      <c r="P47" s="15">
        <f t="shared" si="1"/>
        <v>479</v>
      </c>
      <c r="R47" s="8"/>
      <c r="T47"/>
    </row>
    <row r="48" spans="2:20" ht="23.1" customHeight="1" x14ac:dyDescent="0.25">
      <c r="B48" s="23" t="s">
        <v>75</v>
      </c>
      <c r="C48" s="49">
        <v>159</v>
      </c>
      <c r="D48" s="49">
        <v>11</v>
      </c>
      <c r="E48" s="49">
        <v>14</v>
      </c>
      <c r="F48" s="49">
        <v>14</v>
      </c>
      <c r="G48" s="49">
        <v>0</v>
      </c>
      <c r="H48" s="49">
        <v>0</v>
      </c>
      <c r="I48" s="49">
        <v>12</v>
      </c>
      <c r="J48" s="49">
        <v>6</v>
      </c>
      <c r="K48" s="49">
        <v>3</v>
      </c>
      <c r="L48" s="49">
        <v>5</v>
      </c>
      <c r="M48" s="49">
        <v>325</v>
      </c>
      <c r="N48" s="49">
        <v>0</v>
      </c>
      <c r="O48" s="15">
        <f t="shared" si="0"/>
        <v>224</v>
      </c>
      <c r="P48" s="15">
        <f t="shared" si="1"/>
        <v>549</v>
      </c>
      <c r="R48" s="8"/>
      <c r="T48"/>
    </row>
    <row r="49" spans="2:20" ht="23.1" customHeight="1" x14ac:dyDescent="0.25">
      <c r="B49" s="22" t="s">
        <v>76</v>
      </c>
      <c r="C49" s="49">
        <v>112</v>
      </c>
      <c r="D49" s="49">
        <v>4</v>
      </c>
      <c r="E49" s="49">
        <v>15</v>
      </c>
      <c r="F49" s="49">
        <v>6</v>
      </c>
      <c r="G49" s="49">
        <v>1</v>
      </c>
      <c r="H49" s="49">
        <v>0</v>
      </c>
      <c r="I49" s="49">
        <v>3</v>
      </c>
      <c r="J49" s="49">
        <v>3</v>
      </c>
      <c r="K49" s="49">
        <v>3</v>
      </c>
      <c r="L49" s="49">
        <v>1</v>
      </c>
      <c r="M49" s="49">
        <v>300</v>
      </c>
      <c r="N49" s="49">
        <v>0</v>
      </c>
      <c r="O49" s="15">
        <f t="shared" si="0"/>
        <v>148</v>
      </c>
      <c r="P49" s="15">
        <f t="shared" si="1"/>
        <v>448</v>
      </c>
      <c r="R49" s="8"/>
      <c r="T49"/>
    </row>
    <row r="50" spans="2:20" ht="23.1" customHeight="1" x14ac:dyDescent="0.25">
      <c r="B50" s="23" t="s">
        <v>77</v>
      </c>
      <c r="C50" s="49">
        <v>128</v>
      </c>
      <c r="D50" s="49">
        <v>19</v>
      </c>
      <c r="E50" s="49">
        <v>15</v>
      </c>
      <c r="F50" s="49">
        <v>11</v>
      </c>
      <c r="G50" s="49">
        <v>2</v>
      </c>
      <c r="H50" s="49">
        <v>1</v>
      </c>
      <c r="I50" s="49">
        <v>5</v>
      </c>
      <c r="J50" s="49">
        <v>2</v>
      </c>
      <c r="K50" s="49">
        <v>3</v>
      </c>
      <c r="L50" s="49">
        <v>1</v>
      </c>
      <c r="M50" s="49">
        <v>298</v>
      </c>
      <c r="N50" s="49">
        <v>0</v>
      </c>
      <c r="O50" s="15">
        <f t="shared" si="0"/>
        <v>187</v>
      </c>
      <c r="P50" s="15">
        <f t="shared" si="1"/>
        <v>485</v>
      </c>
      <c r="R50" s="8"/>
      <c r="T50"/>
    </row>
    <row r="51" spans="2:20" ht="23.1" customHeight="1" x14ac:dyDescent="0.25">
      <c r="B51" s="23" t="s">
        <v>78</v>
      </c>
      <c r="C51" s="49">
        <v>180</v>
      </c>
      <c r="D51" s="49">
        <v>13</v>
      </c>
      <c r="E51" s="49">
        <v>8</v>
      </c>
      <c r="F51" s="49">
        <v>14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2</v>
      </c>
      <c r="M51" s="49">
        <v>390</v>
      </c>
      <c r="N51" s="49">
        <v>0</v>
      </c>
      <c r="O51" s="15">
        <f t="shared" si="0"/>
        <v>223</v>
      </c>
      <c r="P51" s="15">
        <f t="shared" si="1"/>
        <v>613</v>
      </c>
      <c r="R51" s="8"/>
      <c r="T51"/>
    </row>
    <row r="52" spans="2:20" ht="23.1" customHeight="1" x14ac:dyDescent="0.25">
      <c r="B52" s="23" t="s">
        <v>79</v>
      </c>
      <c r="C52" s="49">
        <v>185</v>
      </c>
      <c r="D52" s="49">
        <v>10</v>
      </c>
      <c r="E52" s="49">
        <v>7</v>
      </c>
      <c r="F52" s="49">
        <v>16</v>
      </c>
      <c r="G52" s="49">
        <v>1</v>
      </c>
      <c r="H52" s="49">
        <v>0</v>
      </c>
      <c r="I52" s="49">
        <v>7</v>
      </c>
      <c r="J52" s="49">
        <v>1</v>
      </c>
      <c r="K52" s="49">
        <v>1</v>
      </c>
      <c r="L52" s="49">
        <v>2</v>
      </c>
      <c r="M52" s="49">
        <v>306</v>
      </c>
      <c r="N52" s="49">
        <v>0</v>
      </c>
      <c r="O52" s="15">
        <f t="shared" si="0"/>
        <v>230</v>
      </c>
      <c r="P52" s="15">
        <f t="shared" si="1"/>
        <v>536</v>
      </c>
      <c r="R52" s="8"/>
      <c r="T52"/>
    </row>
    <row r="53" spans="2:20" ht="23.1" customHeight="1" x14ac:dyDescent="0.25">
      <c r="B53" s="22" t="s">
        <v>80</v>
      </c>
      <c r="C53" s="49">
        <v>120</v>
      </c>
      <c r="D53" s="49">
        <v>9</v>
      </c>
      <c r="E53" s="49">
        <v>4</v>
      </c>
      <c r="F53" s="49">
        <v>15</v>
      </c>
      <c r="G53" s="49">
        <v>4</v>
      </c>
      <c r="H53" s="49">
        <v>0</v>
      </c>
      <c r="I53" s="49">
        <v>6</v>
      </c>
      <c r="J53" s="49">
        <v>1</v>
      </c>
      <c r="K53" s="49">
        <v>0</v>
      </c>
      <c r="L53" s="49">
        <v>3</v>
      </c>
      <c r="M53" s="49">
        <v>317</v>
      </c>
      <c r="N53" s="49">
        <v>0</v>
      </c>
      <c r="O53" s="15">
        <f t="shared" si="0"/>
        <v>162</v>
      </c>
      <c r="P53" s="15">
        <f t="shared" si="1"/>
        <v>479</v>
      </c>
      <c r="R53" s="8"/>
      <c r="T53"/>
    </row>
    <row r="54" spans="2:20" ht="23.1" customHeight="1" x14ac:dyDescent="0.25">
      <c r="B54" s="22" t="s">
        <v>81</v>
      </c>
      <c r="C54" s="49">
        <v>170</v>
      </c>
      <c r="D54" s="49">
        <v>8</v>
      </c>
      <c r="E54" s="49">
        <v>9</v>
      </c>
      <c r="F54" s="49">
        <v>11</v>
      </c>
      <c r="G54" s="49">
        <v>0</v>
      </c>
      <c r="H54" s="49">
        <v>0</v>
      </c>
      <c r="I54" s="49">
        <v>4</v>
      </c>
      <c r="J54" s="49">
        <v>4</v>
      </c>
      <c r="K54" s="49">
        <v>0</v>
      </c>
      <c r="L54" s="49">
        <v>1</v>
      </c>
      <c r="M54" s="49">
        <v>329</v>
      </c>
      <c r="N54" s="49">
        <v>0</v>
      </c>
      <c r="O54" s="15">
        <f t="shared" si="0"/>
        <v>207</v>
      </c>
      <c r="P54" s="15">
        <f t="shared" si="1"/>
        <v>536</v>
      </c>
      <c r="R54" s="8"/>
      <c r="T54"/>
    </row>
    <row r="55" spans="2:20" ht="23.1" customHeight="1" x14ac:dyDescent="0.25">
      <c r="B55" s="22" t="s">
        <v>82</v>
      </c>
      <c r="C55" s="49">
        <v>131</v>
      </c>
      <c r="D55" s="49">
        <v>8</v>
      </c>
      <c r="E55" s="49">
        <v>14</v>
      </c>
      <c r="F55" s="49">
        <v>21</v>
      </c>
      <c r="G55" s="49">
        <v>1</v>
      </c>
      <c r="H55" s="49">
        <v>0</v>
      </c>
      <c r="I55" s="49">
        <v>3</v>
      </c>
      <c r="J55" s="49">
        <v>1</v>
      </c>
      <c r="K55" s="49">
        <v>0</v>
      </c>
      <c r="L55" s="49">
        <v>2</v>
      </c>
      <c r="M55" s="49">
        <v>251</v>
      </c>
      <c r="N55" s="49">
        <v>0</v>
      </c>
      <c r="O55" s="15">
        <f t="shared" si="0"/>
        <v>181</v>
      </c>
      <c r="P55" s="15">
        <f t="shared" si="1"/>
        <v>432</v>
      </c>
      <c r="R55" s="8"/>
      <c r="T55"/>
    </row>
    <row r="56" spans="2:20" ht="23.1" customHeight="1" x14ac:dyDescent="0.25">
      <c r="B56" s="22" t="s">
        <v>83</v>
      </c>
      <c r="C56" s="49">
        <v>130</v>
      </c>
      <c r="D56" s="49">
        <v>7</v>
      </c>
      <c r="E56" s="49">
        <v>13</v>
      </c>
      <c r="F56" s="49">
        <v>10</v>
      </c>
      <c r="G56" s="49">
        <v>1</v>
      </c>
      <c r="H56" s="49">
        <v>0</v>
      </c>
      <c r="I56" s="49">
        <v>4</v>
      </c>
      <c r="J56" s="49">
        <v>2</v>
      </c>
      <c r="K56" s="49">
        <v>2</v>
      </c>
      <c r="L56" s="49">
        <v>3</v>
      </c>
      <c r="M56" s="49">
        <v>285</v>
      </c>
      <c r="N56" s="49">
        <v>0</v>
      </c>
      <c r="O56" s="15">
        <f t="shared" si="0"/>
        <v>172</v>
      </c>
      <c r="P56" s="15">
        <f t="shared" si="1"/>
        <v>457</v>
      </c>
      <c r="R56" s="8"/>
      <c r="T56"/>
    </row>
    <row r="57" spans="2:20" ht="23.1" customHeight="1" x14ac:dyDescent="0.25">
      <c r="B57" s="22" t="s">
        <v>84</v>
      </c>
      <c r="C57" s="49">
        <v>153</v>
      </c>
      <c r="D57" s="49">
        <v>17</v>
      </c>
      <c r="E57" s="49">
        <v>4</v>
      </c>
      <c r="F57" s="49">
        <v>13</v>
      </c>
      <c r="G57" s="49">
        <v>0</v>
      </c>
      <c r="H57" s="49">
        <v>1</v>
      </c>
      <c r="I57" s="49">
        <v>8</v>
      </c>
      <c r="J57" s="49">
        <v>5</v>
      </c>
      <c r="K57" s="49">
        <v>2</v>
      </c>
      <c r="L57" s="49">
        <v>1</v>
      </c>
      <c r="M57" s="49">
        <v>272</v>
      </c>
      <c r="N57" s="49">
        <v>0</v>
      </c>
      <c r="O57" s="15">
        <f t="shared" si="0"/>
        <v>204</v>
      </c>
      <c r="P57" s="15">
        <f t="shared" si="1"/>
        <v>476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7359</v>
      </c>
      <c r="D58" s="16">
        <f t="shared" si="21"/>
        <v>688</v>
      </c>
      <c r="E58" s="16">
        <f t="shared" si="21"/>
        <v>933</v>
      </c>
      <c r="F58" s="16">
        <f t="shared" si="21"/>
        <v>622</v>
      </c>
      <c r="G58" s="16">
        <f t="shared" si="21"/>
        <v>34</v>
      </c>
      <c r="H58" s="16">
        <f t="shared" si="21"/>
        <v>3</v>
      </c>
      <c r="I58" s="16">
        <f t="shared" si="21"/>
        <v>295</v>
      </c>
      <c r="J58" s="16">
        <f t="shared" si="21"/>
        <v>198</v>
      </c>
      <c r="K58" s="16">
        <f t="shared" si="21"/>
        <v>72</v>
      </c>
      <c r="L58" s="16">
        <f t="shared" si="21"/>
        <v>125</v>
      </c>
      <c r="M58" s="16">
        <f t="shared" si="21"/>
        <v>19056</v>
      </c>
      <c r="N58" s="16">
        <f t="shared" si="21"/>
        <v>4</v>
      </c>
      <c r="O58" s="16">
        <f t="shared" si="21"/>
        <v>10333</v>
      </c>
      <c r="P58" s="16">
        <f t="shared" si="21"/>
        <v>29389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0.25039980945251622</v>
      </c>
      <c r="D59" s="42">
        <f t="shared" si="22"/>
        <v>2.3410119432440708E-2</v>
      </c>
      <c r="E59" s="42">
        <f t="shared" si="22"/>
        <v>3.1746571846609277E-2</v>
      </c>
      <c r="F59" s="42">
        <f t="shared" si="22"/>
        <v>2.1164381231072851E-2</v>
      </c>
      <c r="G59" s="42">
        <f t="shared" si="22"/>
        <v>1.1568954370682909E-3</v>
      </c>
      <c r="H59" s="42">
        <f t="shared" si="22"/>
        <v>1.0207900915308448E-4</v>
      </c>
      <c r="I59" s="42">
        <f t="shared" si="22"/>
        <v>1.0037769233386642E-2</v>
      </c>
      <c r="J59" s="42">
        <f t="shared" si="22"/>
        <v>6.7372146041035762E-3</v>
      </c>
      <c r="K59" s="42">
        <f t="shared" si="22"/>
        <v>2.4498962196740277E-3</v>
      </c>
      <c r="L59" s="42">
        <f t="shared" si="22"/>
        <v>4.2532920480451873E-3</v>
      </c>
      <c r="M59" s="42">
        <f t="shared" si="22"/>
        <v>0.64840586614039264</v>
      </c>
      <c r="N59" s="42">
        <f t="shared" si="22"/>
        <v>1.3610534553744599E-4</v>
      </c>
      <c r="R59" s="8"/>
      <c r="T59"/>
    </row>
    <row r="60" spans="2:20" ht="23.1" customHeight="1" x14ac:dyDescent="0.25">
      <c r="B60" s="41" t="s">
        <v>94</v>
      </c>
      <c r="C60" s="43">
        <f>C58/$O$58</f>
        <v>0.71218426400851642</v>
      </c>
      <c r="D60" s="43">
        <f t="shared" ref="D60:N60" si="23">D58/$O$58</f>
        <v>6.6582792993322371E-2</v>
      </c>
      <c r="E60" s="43">
        <f t="shared" si="23"/>
        <v>9.0293235265653735E-2</v>
      </c>
      <c r="F60" s="43">
        <f t="shared" si="23"/>
        <v>6.019549017710249E-2</v>
      </c>
      <c r="G60" s="43">
        <f t="shared" si="23"/>
        <v>3.2904287235072101E-3</v>
      </c>
      <c r="H60" s="43">
        <f t="shared" si="23"/>
        <v>2.9033194619181263E-4</v>
      </c>
      <c r="I60" s="43">
        <f t="shared" si="23"/>
        <v>2.854930804219491E-2</v>
      </c>
      <c r="J60" s="43">
        <f t="shared" si="23"/>
        <v>1.9161908448659636E-2</v>
      </c>
      <c r="K60" s="43">
        <f t="shared" si="23"/>
        <v>6.967966708603503E-3</v>
      </c>
      <c r="L60" s="43">
        <f t="shared" si="23"/>
        <v>1.2097164424658861E-2</v>
      </c>
      <c r="M60" s="43"/>
      <c r="N60" s="43">
        <f t="shared" si="23"/>
        <v>3.8710926158908352E-4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zoomScale="60" workbookViewId="0">
      <selection activeCell="G57" sqref="G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'30.7.Jinja RD-Mukwano RD'!C3:G3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180</v>
      </c>
      <c r="E5" s="3"/>
      <c r="F5" s="40" t="s">
        <v>1</v>
      </c>
      <c r="G5" s="58" t="s">
        <v>181</v>
      </c>
      <c r="H5" s="59"/>
      <c r="I5" s="14"/>
      <c r="J5" s="2" t="s">
        <v>5</v>
      </c>
      <c r="K5" s="58" t="s">
        <v>182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'30.7.Jinja RD-Mukwano RD'!D6:E6</f>
        <v>Jinja RD</v>
      </c>
      <c r="E6" s="59"/>
      <c r="F6" s="2" t="s">
        <v>2</v>
      </c>
      <c r="G6" s="58" t="str">
        <f>'30.7.Jinja RD-Mukwano RD'!G6:H6</f>
        <v>Mukwano</v>
      </c>
      <c r="H6" s="59"/>
      <c r="J6" s="2" t="s">
        <v>21</v>
      </c>
      <c r="K6" s="58" t="s">
        <v>176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90</v>
      </c>
      <c r="D10" s="49">
        <v>30</v>
      </c>
      <c r="E10" s="49">
        <v>7</v>
      </c>
      <c r="F10" s="49">
        <v>12</v>
      </c>
      <c r="G10" s="49">
        <v>1</v>
      </c>
      <c r="H10" s="49">
        <v>1</v>
      </c>
      <c r="I10" s="49">
        <v>6</v>
      </c>
      <c r="J10" s="49">
        <v>1</v>
      </c>
      <c r="K10" s="49">
        <v>2</v>
      </c>
      <c r="L10" s="49">
        <v>3</v>
      </c>
      <c r="M10" s="49">
        <v>853</v>
      </c>
      <c r="N10" s="49">
        <v>0</v>
      </c>
      <c r="O10" s="15">
        <f t="shared" ref="O10:O57" si="0">SUM(C10:L10,N10)</f>
        <v>153</v>
      </c>
      <c r="P10" s="15">
        <f t="shared" ref="P10:P57" si="1">SUM(C10:N10)</f>
        <v>1006</v>
      </c>
      <c r="R10" s="1" t="s">
        <v>6</v>
      </c>
      <c r="S10" s="17">
        <f t="shared" ref="S10:AF10" si="2">SUM(C10:C13)</f>
        <v>310</v>
      </c>
      <c r="T10" s="17">
        <f t="shared" si="2"/>
        <v>78</v>
      </c>
      <c r="U10" s="17">
        <f t="shared" si="2"/>
        <v>7</v>
      </c>
      <c r="V10" s="17">
        <f t="shared" si="2"/>
        <v>12</v>
      </c>
      <c r="W10" s="17">
        <f t="shared" si="2"/>
        <v>2</v>
      </c>
      <c r="X10" s="17">
        <f t="shared" si="2"/>
        <v>1</v>
      </c>
      <c r="Y10" s="17">
        <f t="shared" si="2"/>
        <v>11</v>
      </c>
      <c r="Z10" s="17">
        <f t="shared" si="2"/>
        <v>13</v>
      </c>
      <c r="AA10" s="17">
        <f t="shared" si="2"/>
        <v>9</v>
      </c>
      <c r="AB10" s="17">
        <f t="shared" si="2"/>
        <v>13</v>
      </c>
      <c r="AC10" s="17">
        <f t="shared" si="2"/>
        <v>3059</v>
      </c>
      <c r="AD10" s="17">
        <f t="shared" si="2"/>
        <v>0</v>
      </c>
      <c r="AE10" s="30">
        <f t="shared" si="2"/>
        <v>456</v>
      </c>
      <c r="AF10" s="30">
        <f t="shared" si="2"/>
        <v>3515</v>
      </c>
    </row>
    <row r="11" spans="2:32" s="6" customFormat="1" ht="23.1" customHeight="1" x14ac:dyDescent="0.25">
      <c r="B11" s="22" t="s">
        <v>38</v>
      </c>
      <c r="C11" s="49">
        <v>90</v>
      </c>
      <c r="D11" s="49">
        <v>15</v>
      </c>
      <c r="E11" s="49">
        <v>0</v>
      </c>
      <c r="F11" s="49">
        <v>0</v>
      </c>
      <c r="G11" s="49">
        <v>0</v>
      </c>
      <c r="H11" s="49">
        <v>0</v>
      </c>
      <c r="I11" s="49">
        <v>1</v>
      </c>
      <c r="J11" s="49">
        <v>3</v>
      </c>
      <c r="K11" s="49">
        <v>2</v>
      </c>
      <c r="L11" s="49">
        <v>5</v>
      </c>
      <c r="M11" s="49">
        <v>750</v>
      </c>
      <c r="N11" s="49">
        <v>0</v>
      </c>
      <c r="O11" s="15">
        <f t="shared" si="0"/>
        <v>116</v>
      </c>
      <c r="P11" s="15">
        <f t="shared" si="1"/>
        <v>866</v>
      </c>
      <c r="R11" s="1" t="s">
        <v>7</v>
      </c>
      <c r="S11" s="17">
        <f t="shared" ref="S11:AF11" si="3">SUM(C14:C17)</f>
        <v>518</v>
      </c>
      <c r="T11" s="17">
        <f t="shared" si="3"/>
        <v>70</v>
      </c>
      <c r="U11" s="17">
        <f t="shared" si="3"/>
        <v>28</v>
      </c>
      <c r="V11" s="17">
        <f t="shared" si="3"/>
        <v>26</v>
      </c>
      <c r="W11" s="17">
        <f t="shared" si="3"/>
        <v>3</v>
      </c>
      <c r="X11" s="17">
        <f t="shared" si="3"/>
        <v>1</v>
      </c>
      <c r="Y11" s="17">
        <f t="shared" si="3"/>
        <v>5</v>
      </c>
      <c r="Z11" s="17">
        <f t="shared" si="3"/>
        <v>5</v>
      </c>
      <c r="AA11" s="17">
        <f t="shared" si="3"/>
        <v>12</v>
      </c>
      <c r="AB11" s="17">
        <f t="shared" si="3"/>
        <v>3</v>
      </c>
      <c r="AC11" s="17">
        <f t="shared" si="3"/>
        <v>1855</v>
      </c>
      <c r="AD11" s="17">
        <f t="shared" si="3"/>
        <v>0</v>
      </c>
      <c r="AE11" s="30">
        <f t="shared" si="3"/>
        <v>671</v>
      </c>
      <c r="AF11" s="30">
        <f t="shared" si="3"/>
        <v>2526</v>
      </c>
    </row>
    <row r="12" spans="2:32" ht="23.1" customHeight="1" x14ac:dyDescent="0.25">
      <c r="B12" s="22" t="s">
        <v>39</v>
      </c>
      <c r="C12" s="49">
        <v>45</v>
      </c>
      <c r="D12" s="49">
        <v>15</v>
      </c>
      <c r="E12" s="49">
        <v>0</v>
      </c>
      <c r="F12" s="49">
        <v>0</v>
      </c>
      <c r="G12" s="49">
        <v>0</v>
      </c>
      <c r="H12" s="49">
        <v>0</v>
      </c>
      <c r="I12" s="49">
        <v>1</v>
      </c>
      <c r="J12" s="49">
        <v>3</v>
      </c>
      <c r="K12" s="49">
        <v>4</v>
      </c>
      <c r="L12" s="49">
        <v>3</v>
      </c>
      <c r="M12" s="49">
        <v>854</v>
      </c>
      <c r="N12" s="49">
        <v>0</v>
      </c>
      <c r="O12" s="15">
        <f t="shared" si="0"/>
        <v>71</v>
      </c>
      <c r="P12" s="15">
        <f t="shared" si="1"/>
        <v>925</v>
      </c>
      <c r="R12" s="1" t="s">
        <v>8</v>
      </c>
      <c r="S12" s="17">
        <f t="shared" ref="S12:AF12" si="4">SUM(C18:C21)</f>
        <v>391</v>
      </c>
      <c r="T12" s="17">
        <f t="shared" si="4"/>
        <v>54</v>
      </c>
      <c r="U12" s="17">
        <f t="shared" si="4"/>
        <v>69</v>
      </c>
      <c r="V12" s="17">
        <f t="shared" si="4"/>
        <v>31</v>
      </c>
      <c r="W12" s="17">
        <f t="shared" si="4"/>
        <v>1</v>
      </c>
      <c r="X12" s="17">
        <f t="shared" si="4"/>
        <v>0</v>
      </c>
      <c r="Y12" s="17">
        <f t="shared" si="4"/>
        <v>16</v>
      </c>
      <c r="Z12" s="17">
        <f t="shared" si="4"/>
        <v>13</v>
      </c>
      <c r="AA12" s="17">
        <f t="shared" si="4"/>
        <v>4</v>
      </c>
      <c r="AB12" s="17">
        <f t="shared" si="4"/>
        <v>11</v>
      </c>
      <c r="AC12" s="17">
        <f t="shared" si="4"/>
        <v>2641</v>
      </c>
      <c r="AD12" s="17">
        <f t="shared" si="4"/>
        <v>0</v>
      </c>
      <c r="AE12" s="30">
        <f t="shared" si="4"/>
        <v>590</v>
      </c>
      <c r="AF12" s="30">
        <f t="shared" si="4"/>
        <v>3231</v>
      </c>
    </row>
    <row r="13" spans="2:32" ht="23.1" customHeight="1" x14ac:dyDescent="0.25">
      <c r="B13" s="22" t="s">
        <v>40</v>
      </c>
      <c r="C13" s="49">
        <v>85</v>
      </c>
      <c r="D13" s="49">
        <v>18</v>
      </c>
      <c r="E13" s="49">
        <v>0</v>
      </c>
      <c r="F13" s="49">
        <v>0</v>
      </c>
      <c r="G13" s="49">
        <v>1</v>
      </c>
      <c r="H13" s="49">
        <v>0</v>
      </c>
      <c r="I13" s="49">
        <v>3</v>
      </c>
      <c r="J13" s="49">
        <v>6</v>
      </c>
      <c r="K13" s="49">
        <v>1</v>
      </c>
      <c r="L13" s="49">
        <v>2</v>
      </c>
      <c r="M13" s="49">
        <v>602</v>
      </c>
      <c r="N13" s="49">
        <v>0</v>
      </c>
      <c r="O13" s="15">
        <f t="shared" si="0"/>
        <v>116</v>
      </c>
      <c r="P13" s="15">
        <f t="shared" si="1"/>
        <v>718</v>
      </c>
      <c r="R13" s="1" t="s">
        <v>9</v>
      </c>
      <c r="S13" s="17">
        <f t="shared" ref="S13:AF13" si="5">SUM(C22:C25)</f>
        <v>490</v>
      </c>
      <c r="T13" s="17">
        <f t="shared" si="5"/>
        <v>120</v>
      </c>
      <c r="U13" s="17">
        <f t="shared" si="5"/>
        <v>70</v>
      </c>
      <c r="V13" s="17">
        <f t="shared" si="5"/>
        <v>54</v>
      </c>
      <c r="W13" s="17">
        <f t="shared" si="5"/>
        <v>2</v>
      </c>
      <c r="X13" s="17">
        <f t="shared" si="5"/>
        <v>0</v>
      </c>
      <c r="Y13" s="17">
        <f t="shared" si="5"/>
        <v>16</v>
      </c>
      <c r="Z13" s="17">
        <f t="shared" si="5"/>
        <v>15</v>
      </c>
      <c r="AA13" s="17">
        <f t="shared" si="5"/>
        <v>14</v>
      </c>
      <c r="AB13" s="17">
        <f t="shared" si="5"/>
        <v>20</v>
      </c>
      <c r="AC13" s="17">
        <f t="shared" si="5"/>
        <v>2754</v>
      </c>
      <c r="AD13" s="17">
        <f t="shared" si="5"/>
        <v>2</v>
      </c>
      <c r="AE13" s="30">
        <f t="shared" si="5"/>
        <v>803</v>
      </c>
      <c r="AF13" s="30">
        <f t="shared" si="5"/>
        <v>3557</v>
      </c>
    </row>
    <row r="14" spans="2:32" ht="23.1" customHeight="1" x14ac:dyDescent="0.25">
      <c r="B14" s="22" t="s">
        <v>41</v>
      </c>
      <c r="C14" s="49">
        <v>100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2</v>
      </c>
      <c r="L14" s="49">
        <v>2</v>
      </c>
      <c r="M14" s="49">
        <v>345</v>
      </c>
      <c r="N14" s="49">
        <v>0</v>
      </c>
      <c r="O14" s="15">
        <f t="shared" si="0"/>
        <v>104</v>
      </c>
      <c r="P14" s="15">
        <f t="shared" si="1"/>
        <v>449</v>
      </c>
      <c r="R14" s="1" t="s">
        <v>10</v>
      </c>
      <c r="S14" s="17">
        <f t="shared" ref="S14:AF14" si="6">SUM(C26:C29)</f>
        <v>488</v>
      </c>
      <c r="T14" s="17">
        <f t="shared" si="6"/>
        <v>73</v>
      </c>
      <c r="U14" s="17">
        <f t="shared" si="6"/>
        <v>46</v>
      </c>
      <c r="V14" s="17">
        <f t="shared" si="6"/>
        <v>35</v>
      </c>
      <c r="W14" s="17">
        <f t="shared" si="6"/>
        <v>1</v>
      </c>
      <c r="X14" s="17">
        <f t="shared" si="6"/>
        <v>0</v>
      </c>
      <c r="Y14" s="17">
        <f t="shared" si="6"/>
        <v>19</v>
      </c>
      <c r="Z14" s="17">
        <f t="shared" si="6"/>
        <v>17</v>
      </c>
      <c r="AA14" s="17">
        <f t="shared" si="6"/>
        <v>7</v>
      </c>
      <c r="AB14" s="17">
        <f t="shared" si="6"/>
        <v>9</v>
      </c>
      <c r="AC14" s="17">
        <f t="shared" si="6"/>
        <v>2591</v>
      </c>
      <c r="AD14" s="17">
        <f t="shared" si="6"/>
        <v>1</v>
      </c>
      <c r="AE14" s="30">
        <f t="shared" si="6"/>
        <v>696</v>
      </c>
      <c r="AF14" s="30">
        <f t="shared" si="6"/>
        <v>3287</v>
      </c>
    </row>
    <row r="15" spans="2:32" ht="23.1" customHeight="1" x14ac:dyDescent="0.25">
      <c r="B15" s="22" t="s">
        <v>42</v>
      </c>
      <c r="C15" s="49">
        <v>135</v>
      </c>
      <c r="D15" s="49">
        <v>15</v>
      </c>
      <c r="E15" s="49">
        <v>10</v>
      </c>
      <c r="F15" s="49">
        <v>10</v>
      </c>
      <c r="G15" s="49">
        <v>1</v>
      </c>
      <c r="H15" s="49">
        <v>0</v>
      </c>
      <c r="I15" s="49">
        <v>0</v>
      </c>
      <c r="J15" s="49">
        <v>0</v>
      </c>
      <c r="K15" s="49">
        <v>2</v>
      </c>
      <c r="L15" s="49">
        <v>0</v>
      </c>
      <c r="M15" s="49">
        <v>400</v>
      </c>
      <c r="N15" s="49">
        <v>0</v>
      </c>
      <c r="O15" s="15">
        <f t="shared" si="0"/>
        <v>173</v>
      </c>
      <c r="P15" s="15">
        <f t="shared" si="1"/>
        <v>573</v>
      </c>
      <c r="R15" s="1" t="s">
        <v>11</v>
      </c>
      <c r="S15" s="17">
        <f t="shared" ref="S15:AF15" si="7">SUM(C30:C33)</f>
        <v>776</v>
      </c>
      <c r="T15" s="17">
        <f t="shared" si="7"/>
        <v>123</v>
      </c>
      <c r="U15" s="17">
        <f t="shared" si="7"/>
        <v>62</v>
      </c>
      <c r="V15" s="17">
        <f t="shared" si="7"/>
        <v>48</v>
      </c>
      <c r="W15" s="17">
        <f t="shared" si="7"/>
        <v>6</v>
      </c>
      <c r="X15" s="17">
        <f t="shared" si="7"/>
        <v>0</v>
      </c>
      <c r="Y15" s="17">
        <f t="shared" si="7"/>
        <v>28</v>
      </c>
      <c r="Z15" s="17">
        <f t="shared" si="7"/>
        <v>23</v>
      </c>
      <c r="AA15" s="17">
        <f t="shared" si="7"/>
        <v>15</v>
      </c>
      <c r="AB15" s="17">
        <f t="shared" si="7"/>
        <v>13</v>
      </c>
      <c r="AC15" s="17">
        <f t="shared" si="7"/>
        <v>2391</v>
      </c>
      <c r="AD15" s="17">
        <f t="shared" si="7"/>
        <v>0</v>
      </c>
      <c r="AE15" s="30">
        <f t="shared" si="7"/>
        <v>1094</v>
      </c>
      <c r="AF15" s="30">
        <f t="shared" si="7"/>
        <v>3485</v>
      </c>
    </row>
    <row r="16" spans="2:32" ht="23.1" customHeight="1" x14ac:dyDescent="0.25">
      <c r="B16" s="22" t="s">
        <v>43</v>
      </c>
      <c r="C16" s="49">
        <v>160</v>
      </c>
      <c r="D16" s="49">
        <v>31</v>
      </c>
      <c r="E16" s="49">
        <v>10</v>
      </c>
      <c r="F16" s="49">
        <v>10</v>
      </c>
      <c r="G16" s="49">
        <v>1</v>
      </c>
      <c r="H16" s="49">
        <v>1</v>
      </c>
      <c r="I16" s="49">
        <v>2</v>
      </c>
      <c r="J16" s="49">
        <v>2</v>
      </c>
      <c r="K16" s="49">
        <v>5</v>
      </c>
      <c r="L16" s="49">
        <v>0</v>
      </c>
      <c r="M16" s="49">
        <v>480</v>
      </c>
      <c r="N16" s="49">
        <v>0</v>
      </c>
      <c r="O16" s="15">
        <f t="shared" si="0"/>
        <v>222</v>
      </c>
      <c r="P16" s="15">
        <f t="shared" si="1"/>
        <v>702</v>
      </c>
      <c r="R16" s="1" t="s">
        <v>12</v>
      </c>
      <c r="S16" s="17">
        <f t="shared" ref="S16:AF16" si="8">SUM(C34:C37)</f>
        <v>835</v>
      </c>
      <c r="T16" s="17">
        <f t="shared" si="8"/>
        <v>90</v>
      </c>
      <c r="U16" s="17">
        <f t="shared" si="8"/>
        <v>58</v>
      </c>
      <c r="V16" s="17">
        <f t="shared" si="8"/>
        <v>25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7</v>
      </c>
      <c r="AA16" s="17">
        <f t="shared" si="8"/>
        <v>8</v>
      </c>
      <c r="AB16" s="17">
        <f t="shared" si="8"/>
        <v>8</v>
      </c>
      <c r="AC16" s="17">
        <f t="shared" si="8"/>
        <v>2226</v>
      </c>
      <c r="AD16" s="17">
        <f t="shared" si="8"/>
        <v>0</v>
      </c>
      <c r="AE16" s="30">
        <f t="shared" si="8"/>
        <v>1039</v>
      </c>
      <c r="AF16" s="30">
        <f t="shared" si="8"/>
        <v>3265</v>
      </c>
    </row>
    <row r="17" spans="2:32" ht="23.1" customHeight="1" x14ac:dyDescent="0.25">
      <c r="B17" s="22" t="s">
        <v>44</v>
      </c>
      <c r="C17" s="49">
        <v>123</v>
      </c>
      <c r="D17" s="49">
        <v>24</v>
      </c>
      <c r="E17" s="49">
        <v>8</v>
      </c>
      <c r="F17" s="49">
        <v>6</v>
      </c>
      <c r="G17" s="49">
        <v>1</v>
      </c>
      <c r="H17" s="49">
        <v>0</v>
      </c>
      <c r="I17" s="49">
        <v>3</v>
      </c>
      <c r="J17" s="49">
        <v>3</v>
      </c>
      <c r="K17" s="49">
        <v>3</v>
      </c>
      <c r="L17" s="49">
        <v>1</v>
      </c>
      <c r="M17" s="49">
        <v>630</v>
      </c>
      <c r="N17" s="49">
        <v>0</v>
      </c>
      <c r="O17" s="15">
        <f t="shared" si="0"/>
        <v>172</v>
      </c>
      <c r="P17" s="15">
        <f t="shared" si="1"/>
        <v>802</v>
      </c>
      <c r="R17" s="1" t="s">
        <v>13</v>
      </c>
      <c r="S17" s="17">
        <f t="shared" ref="S17:AF17" si="9">SUM(C38:C41)</f>
        <v>710</v>
      </c>
      <c r="T17" s="17">
        <f t="shared" si="9"/>
        <v>66</v>
      </c>
      <c r="U17" s="17">
        <f t="shared" si="9"/>
        <v>30</v>
      </c>
      <c r="V17" s="17">
        <f t="shared" si="9"/>
        <v>38</v>
      </c>
      <c r="W17" s="17">
        <f t="shared" si="9"/>
        <v>3</v>
      </c>
      <c r="X17" s="17">
        <f t="shared" si="9"/>
        <v>0</v>
      </c>
      <c r="Y17" s="17">
        <f t="shared" si="9"/>
        <v>20</v>
      </c>
      <c r="Z17" s="17">
        <f t="shared" si="9"/>
        <v>11</v>
      </c>
      <c r="AA17" s="17">
        <f t="shared" si="9"/>
        <v>9</v>
      </c>
      <c r="AB17" s="17">
        <f t="shared" si="9"/>
        <v>21</v>
      </c>
      <c r="AC17" s="17">
        <f t="shared" si="9"/>
        <v>2620</v>
      </c>
      <c r="AD17" s="17">
        <f t="shared" si="9"/>
        <v>0</v>
      </c>
      <c r="AE17" s="30">
        <f t="shared" si="9"/>
        <v>908</v>
      </c>
      <c r="AF17" s="30">
        <f t="shared" si="9"/>
        <v>3528</v>
      </c>
    </row>
    <row r="18" spans="2:32" ht="23.1" customHeight="1" x14ac:dyDescent="0.25">
      <c r="B18" s="22" t="s">
        <v>45</v>
      </c>
      <c r="C18" s="49">
        <v>138</v>
      </c>
      <c r="D18" s="49">
        <v>25</v>
      </c>
      <c r="E18" s="49">
        <v>15</v>
      </c>
      <c r="F18" s="49">
        <v>3</v>
      </c>
      <c r="G18" s="49">
        <v>0</v>
      </c>
      <c r="H18" s="49">
        <v>0</v>
      </c>
      <c r="I18" s="49">
        <v>2</v>
      </c>
      <c r="J18" s="49">
        <v>4</v>
      </c>
      <c r="K18" s="49">
        <v>2</v>
      </c>
      <c r="L18" s="49">
        <v>4</v>
      </c>
      <c r="M18" s="49">
        <v>726</v>
      </c>
      <c r="N18" s="49">
        <v>0</v>
      </c>
      <c r="O18" s="15">
        <f t="shared" si="0"/>
        <v>193</v>
      </c>
      <c r="P18" s="15">
        <f t="shared" si="1"/>
        <v>919</v>
      </c>
      <c r="R18" s="1" t="s">
        <v>14</v>
      </c>
      <c r="S18" s="17">
        <f t="shared" ref="S18:AF18" si="10">SUM(C42:C45)</f>
        <v>560</v>
      </c>
      <c r="T18" s="17">
        <f t="shared" si="10"/>
        <v>91</v>
      </c>
      <c r="U18" s="17">
        <f t="shared" si="10"/>
        <v>40</v>
      </c>
      <c r="V18" s="17">
        <f t="shared" si="10"/>
        <v>25</v>
      </c>
      <c r="W18" s="17">
        <f t="shared" si="10"/>
        <v>1</v>
      </c>
      <c r="X18" s="17">
        <f t="shared" si="10"/>
        <v>0</v>
      </c>
      <c r="Y18" s="17">
        <f t="shared" si="10"/>
        <v>7</v>
      </c>
      <c r="Z18" s="17">
        <f t="shared" si="10"/>
        <v>17</v>
      </c>
      <c r="AA18" s="17">
        <f t="shared" si="10"/>
        <v>17</v>
      </c>
      <c r="AB18" s="17">
        <f t="shared" si="10"/>
        <v>5</v>
      </c>
      <c r="AC18" s="17">
        <f t="shared" si="10"/>
        <v>3196</v>
      </c>
      <c r="AD18" s="17">
        <f t="shared" si="10"/>
        <v>0</v>
      </c>
      <c r="AE18" s="30">
        <f t="shared" si="10"/>
        <v>763</v>
      </c>
      <c r="AF18" s="30">
        <f t="shared" si="10"/>
        <v>3959</v>
      </c>
    </row>
    <row r="19" spans="2:32" ht="23.1" customHeight="1" x14ac:dyDescent="0.25">
      <c r="B19" s="22" t="s">
        <v>46</v>
      </c>
      <c r="C19" s="49">
        <v>93</v>
      </c>
      <c r="D19" s="49">
        <v>11</v>
      </c>
      <c r="E19" s="49">
        <v>14</v>
      </c>
      <c r="F19" s="49">
        <v>9</v>
      </c>
      <c r="G19" s="49">
        <v>1</v>
      </c>
      <c r="H19" s="49">
        <v>0</v>
      </c>
      <c r="I19" s="49">
        <v>2</v>
      </c>
      <c r="J19" s="49">
        <v>1</v>
      </c>
      <c r="K19" s="49">
        <v>0</v>
      </c>
      <c r="L19" s="49">
        <v>1</v>
      </c>
      <c r="M19" s="49">
        <v>640</v>
      </c>
      <c r="N19" s="49">
        <v>0</v>
      </c>
      <c r="O19" s="15">
        <f t="shared" si="0"/>
        <v>132</v>
      </c>
      <c r="P19" s="15">
        <f t="shared" si="1"/>
        <v>772</v>
      </c>
      <c r="R19" s="1" t="s">
        <v>15</v>
      </c>
      <c r="S19" s="17">
        <f t="shared" ref="S19:AF19" si="11">SUM(C46:C49)</f>
        <v>630</v>
      </c>
      <c r="T19" s="17">
        <f t="shared" si="11"/>
        <v>83</v>
      </c>
      <c r="U19" s="17">
        <f t="shared" si="11"/>
        <v>40</v>
      </c>
      <c r="V19" s="17">
        <f t="shared" si="11"/>
        <v>50</v>
      </c>
      <c r="W19" s="17">
        <f t="shared" si="11"/>
        <v>0</v>
      </c>
      <c r="X19" s="17">
        <f t="shared" si="11"/>
        <v>1</v>
      </c>
      <c r="Y19" s="17">
        <f t="shared" si="11"/>
        <v>9</v>
      </c>
      <c r="Z19" s="17">
        <f t="shared" si="11"/>
        <v>18</v>
      </c>
      <c r="AA19" s="17">
        <f t="shared" si="11"/>
        <v>7</v>
      </c>
      <c r="AB19" s="17">
        <f t="shared" si="11"/>
        <v>16</v>
      </c>
      <c r="AC19" s="17">
        <f t="shared" si="11"/>
        <v>3141</v>
      </c>
      <c r="AD19" s="17">
        <f t="shared" si="11"/>
        <v>0</v>
      </c>
      <c r="AE19" s="30">
        <f t="shared" si="11"/>
        <v>854</v>
      </c>
      <c r="AF19" s="30">
        <f t="shared" si="11"/>
        <v>3995</v>
      </c>
    </row>
    <row r="20" spans="2:32" ht="23.1" customHeight="1" x14ac:dyDescent="0.25">
      <c r="B20" s="22" t="s">
        <v>47</v>
      </c>
      <c r="C20" s="49">
        <v>73</v>
      </c>
      <c r="D20" s="49">
        <v>2</v>
      </c>
      <c r="E20" s="49">
        <v>24</v>
      </c>
      <c r="F20" s="49">
        <v>5</v>
      </c>
      <c r="G20" s="49">
        <v>0</v>
      </c>
      <c r="H20" s="49">
        <v>0</v>
      </c>
      <c r="I20" s="49">
        <v>8</v>
      </c>
      <c r="J20" s="49">
        <v>0</v>
      </c>
      <c r="K20" s="49">
        <v>1</v>
      </c>
      <c r="L20" s="49">
        <v>4</v>
      </c>
      <c r="M20" s="49">
        <v>705</v>
      </c>
      <c r="N20" s="49">
        <v>0</v>
      </c>
      <c r="O20" s="15">
        <f t="shared" si="0"/>
        <v>117</v>
      </c>
      <c r="P20" s="15">
        <f t="shared" si="1"/>
        <v>822</v>
      </c>
      <c r="R20" s="1" t="s">
        <v>16</v>
      </c>
      <c r="S20" s="17">
        <f t="shared" ref="S20:AF20" si="12">SUM(C50:C53)</f>
        <v>720</v>
      </c>
      <c r="T20" s="17">
        <f t="shared" si="12"/>
        <v>143</v>
      </c>
      <c r="U20" s="17">
        <f t="shared" si="12"/>
        <v>62</v>
      </c>
      <c r="V20" s="17">
        <f t="shared" si="12"/>
        <v>60</v>
      </c>
      <c r="W20" s="17">
        <f t="shared" si="12"/>
        <v>3</v>
      </c>
      <c r="X20" s="17">
        <f t="shared" si="12"/>
        <v>0</v>
      </c>
      <c r="Y20" s="17">
        <f t="shared" si="12"/>
        <v>12</v>
      </c>
      <c r="Z20" s="17">
        <f t="shared" si="12"/>
        <v>15</v>
      </c>
      <c r="AA20" s="17">
        <f t="shared" si="12"/>
        <v>5</v>
      </c>
      <c r="AB20" s="17">
        <f t="shared" si="12"/>
        <v>12</v>
      </c>
      <c r="AC20" s="17">
        <f t="shared" si="12"/>
        <v>3226</v>
      </c>
      <c r="AD20" s="17">
        <f t="shared" si="12"/>
        <v>1</v>
      </c>
      <c r="AE20" s="30">
        <f t="shared" si="12"/>
        <v>1033</v>
      </c>
      <c r="AF20" s="30">
        <f t="shared" si="12"/>
        <v>4259</v>
      </c>
    </row>
    <row r="21" spans="2:32" ht="23.1" customHeight="1" x14ac:dyDescent="0.25">
      <c r="B21" s="22" t="s">
        <v>48</v>
      </c>
      <c r="C21" s="49">
        <v>87</v>
      </c>
      <c r="D21" s="49">
        <v>16</v>
      </c>
      <c r="E21" s="49">
        <v>16</v>
      </c>
      <c r="F21" s="49">
        <v>14</v>
      </c>
      <c r="G21" s="49">
        <v>0</v>
      </c>
      <c r="H21" s="49">
        <v>0</v>
      </c>
      <c r="I21" s="49">
        <v>4</v>
      </c>
      <c r="J21" s="49">
        <v>8</v>
      </c>
      <c r="K21" s="49">
        <v>1</v>
      </c>
      <c r="L21" s="49">
        <v>2</v>
      </c>
      <c r="M21" s="49">
        <v>570</v>
      </c>
      <c r="N21" s="49">
        <v>0</v>
      </c>
      <c r="O21" s="15">
        <f t="shared" si="0"/>
        <v>148</v>
      </c>
      <c r="P21" s="15">
        <f t="shared" si="1"/>
        <v>718</v>
      </c>
      <c r="R21" s="35" t="s">
        <v>20</v>
      </c>
      <c r="S21" s="33">
        <f t="shared" ref="S21:AF21" si="13">SUM(C54:C57)</f>
        <v>790</v>
      </c>
      <c r="T21" s="17">
        <f t="shared" si="13"/>
        <v>111</v>
      </c>
      <c r="U21" s="17">
        <f t="shared" si="13"/>
        <v>15</v>
      </c>
      <c r="V21" s="17">
        <f t="shared" si="13"/>
        <v>21</v>
      </c>
      <c r="W21" s="17">
        <f t="shared" si="13"/>
        <v>2</v>
      </c>
      <c r="X21" s="17">
        <f t="shared" si="13"/>
        <v>0</v>
      </c>
      <c r="Y21" s="17">
        <f t="shared" si="13"/>
        <v>19</v>
      </c>
      <c r="Z21" s="17">
        <f t="shared" si="13"/>
        <v>18</v>
      </c>
      <c r="AA21" s="17">
        <f t="shared" si="13"/>
        <v>4</v>
      </c>
      <c r="AB21" s="17">
        <f t="shared" si="13"/>
        <v>13</v>
      </c>
      <c r="AC21" s="17">
        <f t="shared" si="13"/>
        <v>2739</v>
      </c>
      <c r="AD21" s="17">
        <f t="shared" si="13"/>
        <v>0</v>
      </c>
      <c r="AE21" s="30">
        <f t="shared" si="13"/>
        <v>993</v>
      </c>
      <c r="AF21" s="30">
        <f t="shared" si="13"/>
        <v>3732</v>
      </c>
    </row>
    <row r="22" spans="2:32" ht="23.1" customHeight="1" x14ac:dyDescent="0.25">
      <c r="B22" s="22" t="s">
        <v>49</v>
      </c>
      <c r="C22" s="49">
        <v>90</v>
      </c>
      <c r="D22" s="49">
        <v>29</v>
      </c>
      <c r="E22" s="49">
        <v>30</v>
      </c>
      <c r="F22" s="49">
        <v>17</v>
      </c>
      <c r="G22" s="49">
        <v>2</v>
      </c>
      <c r="H22" s="49">
        <v>0</v>
      </c>
      <c r="I22" s="49">
        <v>2</v>
      </c>
      <c r="J22" s="49">
        <v>3</v>
      </c>
      <c r="K22" s="49">
        <v>2</v>
      </c>
      <c r="L22" s="49">
        <v>8</v>
      </c>
      <c r="M22" s="49">
        <v>696</v>
      </c>
      <c r="N22" s="49">
        <v>1</v>
      </c>
      <c r="O22" s="15">
        <f t="shared" si="0"/>
        <v>184</v>
      </c>
      <c r="P22" s="15">
        <f t="shared" si="1"/>
        <v>880</v>
      </c>
      <c r="R22" s="37" t="s">
        <v>90</v>
      </c>
      <c r="S22" s="38">
        <f>MAX(S10:S12)</f>
        <v>518</v>
      </c>
      <c r="T22" s="38">
        <f t="shared" ref="T22:AF22" si="14">MAX(T10:T12)</f>
        <v>78</v>
      </c>
      <c r="U22" s="38">
        <f t="shared" si="14"/>
        <v>69</v>
      </c>
      <c r="V22" s="38">
        <f t="shared" si="14"/>
        <v>31</v>
      </c>
      <c r="W22" s="38">
        <f t="shared" si="14"/>
        <v>3</v>
      </c>
      <c r="X22" s="38">
        <f t="shared" si="14"/>
        <v>1</v>
      </c>
      <c r="Y22" s="38">
        <f t="shared" si="14"/>
        <v>16</v>
      </c>
      <c r="Z22" s="38">
        <f t="shared" si="14"/>
        <v>13</v>
      </c>
      <c r="AA22" s="38">
        <f t="shared" si="14"/>
        <v>12</v>
      </c>
      <c r="AB22" s="38">
        <f t="shared" si="14"/>
        <v>13</v>
      </c>
      <c r="AC22" s="38">
        <f t="shared" si="14"/>
        <v>3059</v>
      </c>
      <c r="AD22" s="38">
        <f t="shared" si="14"/>
        <v>0</v>
      </c>
      <c r="AE22" s="39">
        <f t="shared" si="14"/>
        <v>671</v>
      </c>
      <c r="AF22" s="39">
        <f t="shared" si="14"/>
        <v>3515</v>
      </c>
    </row>
    <row r="23" spans="2:32" ht="23.1" customHeight="1" x14ac:dyDescent="0.25">
      <c r="B23" s="22" t="s">
        <v>50</v>
      </c>
      <c r="C23" s="49">
        <v>100</v>
      </c>
      <c r="D23" s="49">
        <v>36</v>
      </c>
      <c r="E23" s="49">
        <v>8</v>
      </c>
      <c r="F23" s="49">
        <v>8</v>
      </c>
      <c r="G23" s="49">
        <v>0</v>
      </c>
      <c r="H23" s="49">
        <v>0</v>
      </c>
      <c r="I23" s="49">
        <v>7</v>
      </c>
      <c r="J23" s="49">
        <v>4</v>
      </c>
      <c r="K23" s="49">
        <v>2</v>
      </c>
      <c r="L23" s="49">
        <v>4</v>
      </c>
      <c r="M23" s="49">
        <v>637</v>
      </c>
      <c r="N23" s="49">
        <v>1</v>
      </c>
      <c r="O23" s="15">
        <f t="shared" si="0"/>
        <v>170</v>
      </c>
      <c r="P23" s="15">
        <f t="shared" si="1"/>
        <v>807</v>
      </c>
      <c r="R23" s="37" t="s">
        <v>91</v>
      </c>
      <c r="S23" s="38">
        <f>MAX(S13:S18)</f>
        <v>835</v>
      </c>
      <c r="T23" s="38">
        <f t="shared" ref="T23:AF23" si="15">MAX(T13:T18)</f>
        <v>123</v>
      </c>
      <c r="U23" s="38">
        <f t="shared" si="15"/>
        <v>70</v>
      </c>
      <c r="V23" s="38">
        <f t="shared" si="15"/>
        <v>54</v>
      </c>
      <c r="W23" s="38">
        <f t="shared" si="15"/>
        <v>6</v>
      </c>
      <c r="X23" s="38">
        <f t="shared" si="15"/>
        <v>0</v>
      </c>
      <c r="Y23" s="38">
        <f t="shared" si="15"/>
        <v>28</v>
      </c>
      <c r="Z23" s="38">
        <f t="shared" si="15"/>
        <v>23</v>
      </c>
      <c r="AA23" s="38">
        <f t="shared" si="15"/>
        <v>17</v>
      </c>
      <c r="AB23" s="38">
        <f t="shared" si="15"/>
        <v>21</v>
      </c>
      <c r="AC23" s="38">
        <f t="shared" si="15"/>
        <v>3196</v>
      </c>
      <c r="AD23" s="38">
        <f t="shared" si="15"/>
        <v>2</v>
      </c>
      <c r="AE23" s="39">
        <f t="shared" si="15"/>
        <v>1094</v>
      </c>
      <c r="AF23" s="39">
        <f t="shared" si="15"/>
        <v>3959</v>
      </c>
    </row>
    <row r="24" spans="2:32" ht="23.1" customHeight="1" x14ac:dyDescent="0.25">
      <c r="B24" s="22" t="s">
        <v>51</v>
      </c>
      <c r="C24" s="49">
        <v>160</v>
      </c>
      <c r="D24" s="49">
        <v>30</v>
      </c>
      <c r="E24" s="49">
        <v>13</v>
      </c>
      <c r="F24" s="49">
        <v>18</v>
      </c>
      <c r="G24" s="49">
        <v>0</v>
      </c>
      <c r="H24" s="49">
        <v>0</v>
      </c>
      <c r="I24" s="49">
        <v>5</v>
      </c>
      <c r="J24" s="49">
        <v>4</v>
      </c>
      <c r="K24" s="49">
        <v>1</v>
      </c>
      <c r="L24" s="49">
        <v>4</v>
      </c>
      <c r="M24" s="49">
        <v>725</v>
      </c>
      <c r="N24" s="49">
        <v>0</v>
      </c>
      <c r="O24" s="15">
        <f t="shared" si="0"/>
        <v>235</v>
      </c>
      <c r="P24" s="15">
        <f t="shared" si="1"/>
        <v>960</v>
      </c>
      <c r="R24" s="37" t="s">
        <v>92</v>
      </c>
      <c r="S24" s="38">
        <f>MAX(S19:S21)</f>
        <v>790</v>
      </c>
      <c r="T24" s="38">
        <f t="shared" ref="T24:AF24" si="16">MAX(T19:T21)</f>
        <v>143</v>
      </c>
      <c r="U24" s="38">
        <f t="shared" si="16"/>
        <v>62</v>
      </c>
      <c r="V24" s="38">
        <f t="shared" si="16"/>
        <v>60</v>
      </c>
      <c r="W24" s="38">
        <f t="shared" si="16"/>
        <v>3</v>
      </c>
      <c r="X24" s="38">
        <f t="shared" si="16"/>
        <v>1</v>
      </c>
      <c r="Y24" s="38">
        <f t="shared" si="16"/>
        <v>19</v>
      </c>
      <c r="Z24" s="38">
        <f t="shared" si="16"/>
        <v>18</v>
      </c>
      <c r="AA24" s="38">
        <f t="shared" si="16"/>
        <v>7</v>
      </c>
      <c r="AB24" s="38">
        <f t="shared" si="16"/>
        <v>16</v>
      </c>
      <c r="AC24" s="38">
        <f t="shared" si="16"/>
        <v>3226</v>
      </c>
      <c r="AD24" s="38">
        <f t="shared" si="16"/>
        <v>1</v>
      </c>
      <c r="AE24" s="39">
        <f t="shared" si="16"/>
        <v>1033</v>
      </c>
      <c r="AF24" s="39">
        <f t="shared" si="16"/>
        <v>4259</v>
      </c>
    </row>
    <row r="25" spans="2:32" ht="23.1" customHeight="1" x14ac:dyDescent="0.25">
      <c r="B25" s="22" t="s">
        <v>52</v>
      </c>
      <c r="C25" s="49">
        <v>140</v>
      </c>
      <c r="D25" s="49">
        <v>25</v>
      </c>
      <c r="E25" s="49">
        <v>19</v>
      </c>
      <c r="F25" s="49">
        <v>11</v>
      </c>
      <c r="G25" s="49">
        <v>0</v>
      </c>
      <c r="H25" s="49">
        <v>0</v>
      </c>
      <c r="I25" s="49">
        <v>2</v>
      </c>
      <c r="J25" s="49">
        <v>4</v>
      </c>
      <c r="K25" s="49">
        <v>9</v>
      </c>
      <c r="L25" s="49">
        <v>4</v>
      </c>
      <c r="M25" s="49">
        <v>696</v>
      </c>
      <c r="N25" s="49">
        <v>0</v>
      </c>
      <c r="O25" s="15">
        <f t="shared" si="0"/>
        <v>214</v>
      </c>
      <c r="P25" s="15">
        <f t="shared" si="1"/>
        <v>910</v>
      </c>
      <c r="R25" s="36" t="s">
        <v>85</v>
      </c>
      <c r="S25" s="34">
        <f t="shared" ref="S25:AF25" si="17">SUM(S10:S12)</f>
        <v>1219</v>
      </c>
      <c r="T25" s="16">
        <f t="shared" si="17"/>
        <v>202</v>
      </c>
      <c r="U25" s="16">
        <f t="shared" si="17"/>
        <v>104</v>
      </c>
      <c r="V25" s="16">
        <f t="shared" si="17"/>
        <v>69</v>
      </c>
      <c r="W25" s="16">
        <f t="shared" si="17"/>
        <v>6</v>
      </c>
      <c r="X25" s="16">
        <f t="shared" si="17"/>
        <v>2</v>
      </c>
      <c r="Y25" s="16">
        <f t="shared" si="17"/>
        <v>32</v>
      </c>
      <c r="Z25" s="16">
        <f t="shared" si="17"/>
        <v>31</v>
      </c>
      <c r="AA25" s="16">
        <f t="shared" si="17"/>
        <v>25</v>
      </c>
      <c r="AB25" s="16">
        <f t="shared" si="17"/>
        <v>27</v>
      </c>
      <c r="AC25" s="16">
        <f t="shared" si="17"/>
        <v>7555</v>
      </c>
      <c r="AD25" s="16">
        <f t="shared" si="17"/>
        <v>0</v>
      </c>
      <c r="AE25" s="31">
        <f t="shared" si="17"/>
        <v>1717</v>
      </c>
      <c r="AF25" s="31">
        <f t="shared" si="17"/>
        <v>9272</v>
      </c>
    </row>
    <row r="26" spans="2:32" ht="23.1" customHeight="1" x14ac:dyDescent="0.25">
      <c r="B26" s="22" t="s">
        <v>53</v>
      </c>
      <c r="C26" s="49">
        <v>100</v>
      </c>
      <c r="D26" s="49">
        <v>5</v>
      </c>
      <c r="E26" s="49">
        <v>12</v>
      </c>
      <c r="F26" s="49">
        <v>4</v>
      </c>
      <c r="G26" s="49">
        <v>0</v>
      </c>
      <c r="H26" s="49">
        <v>0</v>
      </c>
      <c r="I26" s="49">
        <v>3</v>
      </c>
      <c r="J26" s="49">
        <v>3</v>
      </c>
      <c r="K26" s="49">
        <v>2</v>
      </c>
      <c r="L26" s="49">
        <v>2</v>
      </c>
      <c r="M26" s="49">
        <v>605</v>
      </c>
      <c r="N26" s="49">
        <v>0</v>
      </c>
      <c r="O26" s="15">
        <f t="shared" si="0"/>
        <v>131</v>
      </c>
      <c r="P26" s="15">
        <f t="shared" si="1"/>
        <v>736</v>
      </c>
      <c r="R26" s="27" t="s">
        <v>86</v>
      </c>
      <c r="S26" s="16">
        <f t="shared" ref="S26:AF26" si="18">SUM(S13:S18)</f>
        <v>3859</v>
      </c>
      <c r="T26" s="16">
        <f t="shared" si="18"/>
        <v>563</v>
      </c>
      <c r="U26" s="16">
        <f t="shared" si="18"/>
        <v>306</v>
      </c>
      <c r="V26" s="16">
        <f t="shared" si="18"/>
        <v>225</v>
      </c>
      <c r="W26" s="16">
        <f t="shared" si="18"/>
        <v>13</v>
      </c>
      <c r="X26" s="16">
        <f t="shared" si="18"/>
        <v>0</v>
      </c>
      <c r="Y26" s="16">
        <f t="shared" si="18"/>
        <v>98</v>
      </c>
      <c r="Z26" s="16">
        <f t="shared" si="18"/>
        <v>90</v>
      </c>
      <c r="AA26" s="16">
        <f t="shared" si="18"/>
        <v>70</v>
      </c>
      <c r="AB26" s="16">
        <f t="shared" si="18"/>
        <v>76</v>
      </c>
      <c r="AC26" s="16">
        <f t="shared" si="18"/>
        <v>15778</v>
      </c>
      <c r="AD26" s="16">
        <f t="shared" si="18"/>
        <v>3</v>
      </c>
      <c r="AE26" s="31">
        <f t="shared" si="18"/>
        <v>5303</v>
      </c>
      <c r="AF26" s="31">
        <f t="shared" si="18"/>
        <v>21081</v>
      </c>
    </row>
    <row r="27" spans="2:32" ht="23.1" customHeight="1" x14ac:dyDescent="0.25">
      <c r="B27" s="22" t="s">
        <v>54</v>
      </c>
      <c r="C27" s="49">
        <v>85</v>
      </c>
      <c r="D27" s="49">
        <v>9</v>
      </c>
      <c r="E27" s="49">
        <v>6</v>
      </c>
      <c r="F27" s="49">
        <v>0</v>
      </c>
      <c r="G27" s="49">
        <v>0</v>
      </c>
      <c r="H27" s="49">
        <v>0</v>
      </c>
      <c r="I27" s="49">
        <v>2</v>
      </c>
      <c r="J27" s="49">
        <v>6</v>
      </c>
      <c r="K27" s="49">
        <v>1</v>
      </c>
      <c r="L27" s="49">
        <v>1</v>
      </c>
      <c r="M27" s="49">
        <v>670</v>
      </c>
      <c r="N27" s="49">
        <v>0</v>
      </c>
      <c r="O27" s="15">
        <f t="shared" si="0"/>
        <v>110</v>
      </c>
      <c r="P27" s="15">
        <f t="shared" si="1"/>
        <v>780</v>
      </c>
      <c r="R27" s="28" t="s">
        <v>87</v>
      </c>
      <c r="S27" s="16">
        <f t="shared" ref="S27:AF27" si="19">SUM(S19:S21)</f>
        <v>2140</v>
      </c>
      <c r="T27" s="16">
        <f t="shared" si="19"/>
        <v>337</v>
      </c>
      <c r="U27" s="16">
        <f t="shared" si="19"/>
        <v>117</v>
      </c>
      <c r="V27" s="16">
        <f t="shared" si="19"/>
        <v>131</v>
      </c>
      <c r="W27" s="16">
        <f t="shared" si="19"/>
        <v>5</v>
      </c>
      <c r="X27" s="16">
        <f t="shared" si="19"/>
        <v>1</v>
      </c>
      <c r="Y27" s="16">
        <f t="shared" si="19"/>
        <v>40</v>
      </c>
      <c r="Z27" s="16">
        <f t="shared" si="19"/>
        <v>51</v>
      </c>
      <c r="AA27" s="16">
        <f t="shared" si="19"/>
        <v>16</v>
      </c>
      <c r="AB27" s="16">
        <f t="shared" si="19"/>
        <v>41</v>
      </c>
      <c r="AC27" s="16">
        <f t="shared" si="19"/>
        <v>9106</v>
      </c>
      <c r="AD27" s="16">
        <f t="shared" si="19"/>
        <v>1</v>
      </c>
      <c r="AE27" s="31">
        <f t="shared" si="19"/>
        <v>2880</v>
      </c>
      <c r="AF27" s="31">
        <f t="shared" si="19"/>
        <v>11986</v>
      </c>
    </row>
    <row r="28" spans="2:32" ht="23.1" customHeight="1" x14ac:dyDescent="0.25">
      <c r="B28" s="22" t="s">
        <v>55</v>
      </c>
      <c r="C28" s="49">
        <v>215</v>
      </c>
      <c r="D28" s="49">
        <v>37</v>
      </c>
      <c r="E28" s="49">
        <v>21</v>
      </c>
      <c r="F28" s="49">
        <v>26</v>
      </c>
      <c r="G28" s="49">
        <v>0</v>
      </c>
      <c r="H28" s="49">
        <v>0</v>
      </c>
      <c r="I28" s="49">
        <v>7</v>
      </c>
      <c r="J28" s="49">
        <v>4</v>
      </c>
      <c r="K28" s="49">
        <v>2</v>
      </c>
      <c r="L28" s="49">
        <v>3</v>
      </c>
      <c r="M28" s="49">
        <v>700</v>
      </c>
      <c r="N28" s="49">
        <v>0</v>
      </c>
      <c r="O28" s="15">
        <f t="shared" si="0"/>
        <v>315</v>
      </c>
      <c r="P28" s="15">
        <f t="shared" si="1"/>
        <v>1015</v>
      </c>
      <c r="R28" s="5" t="s">
        <v>17</v>
      </c>
      <c r="S28" s="16">
        <f t="shared" ref="S28:AF28" si="20">SUM(S10:S21)</f>
        <v>7218</v>
      </c>
      <c r="T28" s="16">
        <f t="shared" si="20"/>
        <v>1102</v>
      </c>
      <c r="U28" s="16">
        <f t="shared" si="20"/>
        <v>527</v>
      </c>
      <c r="V28" s="16">
        <f t="shared" si="20"/>
        <v>425</v>
      </c>
      <c r="W28" s="16">
        <f t="shared" si="20"/>
        <v>24</v>
      </c>
      <c r="X28" s="16">
        <f t="shared" si="20"/>
        <v>3</v>
      </c>
      <c r="Y28" s="16">
        <f t="shared" si="20"/>
        <v>170</v>
      </c>
      <c r="Z28" s="16">
        <f t="shared" si="20"/>
        <v>172</v>
      </c>
      <c r="AA28" s="16">
        <f t="shared" si="20"/>
        <v>111</v>
      </c>
      <c r="AB28" s="16">
        <f t="shared" si="20"/>
        <v>144</v>
      </c>
      <c r="AC28" s="16">
        <f t="shared" si="20"/>
        <v>32439</v>
      </c>
      <c r="AD28" s="16">
        <f t="shared" si="20"/>
        <v>4</v>
      </c>
      <c r="AE28" s="31">
        <f t="shared" si="20"/>
        <v>9900</v>
      </c>
      <c r="AF28" s="31">
        <f t="shared" si="20"/>
        <v>42339</v>
      </c>
    </row>
    <row r="29" spans="2:32" ht="23.1" customHeight="1" x14ac:dyDescent="0.25">
      <c r="B29" s="22" t="s">
        <v>56</v>
      </c>
      <c r="C29" s="49">
        <v>88</v>
      </c>
      <c r="D29" s="49">
        <v>22</v>
      </c>
      <c r="E29" s="49">
        <v>7</v>
      </c>
      <c r="F29" s="49">
        <v>5</v>
      </c>
      <c r="G29" s="49">
        <v>1</v>
      </c>
      <c r="H29" s="49">
        <v>0</v>
      </c>
      <c r="I29" s="49">
        <v>7</v>
      </c>
      <c r="J29" s="49">
        <v>4</v>
      </c>
      <c r="K29" s="49">
        <v>2</v>
      </c>
      <c r="L29" s="49">
        <v>3</v>
      </c>
      <c r="M29" s="49">
        <v>616</v>
      </c>
      <c r="N29" s="49">
        <v>1</v>
      </c>
      <c r="O29" s="15">
        <f t="shared" si="0"/>
        <v>140</v>
      </c>
      <c r="P29" s="15">
        <f t="shared" si="1"/>
        <v>756</v>
      </c>
      <c r="R29"/>
      <c r="S29" s="20"/>
      <c r="T29" s="19"/>
    </row>
    <row r="30" spans="2:32" ht="23.1" customHeight="1" x14ac:dyDescent="0.25">
      <c r="B30" s="22" t="s">
        <v>57</v>
      </c>
      <c r="C30" s="49">
        <v>136</v>
      </c>
      <c r="D30" s="49">
        <v>21</v>
      </c>
      <c r="E30" s="49">
        <v>14</v>
      </c>
      <c r="F30" s="49">
        <v>7</v>
      </c>
      <c r="G30" s="49">
        <v>0</v>
      </c>
      <c r="H30" s="49">
        <v>0</v>
      </c>
      <c r="I30" s="49">
        <v>2</v>
      </c>
      <c r="J30" s="49">
        <v>12</v>
      </c>
      <c r="K30" s="49">
        <v>6</v>
      </c>
      <c r="L30" s="49">
        <v>3</v>
      </c>
      <c r="M30" s="49">
        <v>625</v>
      </c>
      <c r="N30" s="49">
        <v>0</v>
      </c>
      <c r="O30" s="15">
        <f t="shared" si="0"/>
        <v>201</v>
      </c>
      <c r="P30" s="15">
        <f t="shared" si="1"/>
        <v>826</v>
      </c>
    </row>
    <row r="31" spans="2:32" ht="23.1" customHeight="1" x14ac:dyDescent="0.25">
      <c r="B31" s="23" t="s">
        <v>58</v>
      </c>
      <c r="C31" s="49">
        <v>190</v>
      </c>
      <c r="D31" s="49">
        <v>32</v>
      </c>
      <c r="E31" s="49">
        <v>15</v>
      </c>
      <c r="F31" s="49">
        <v>3</v>
      </c>
      <c r="G31" s="49">
        <v>4</v>
      </c>
      <c r="H31" s="49">
        <v>0</v>
      </c>
      <c r="I31" s="49">
        <v>9</v>
      </c>
      <c r="J31" s="49">
        <v>3</v>
      </c>
      <c r="K31" s="49">
        <v>3</v>
      </c>
      <c r="L31" s="49">
        <v>1</v>
      </c>
      <c r="M31" s="49">
        <v>560</v>
      </c>
      <c r="N31" s="49">
        <v>0</v>
      </c>
      <c r="O31" s="15">
        <f t="shared" si="0"/>
        <v>260</v>
      </c>
      <c r="P31" s="15">
        <f t="shared" si="1"/>
        <v>820</v>
      </c>
    </row>
    <row r="32" spans="2:32" ht="23.1" customHeight="1" x14ac:dyDescent="0.25">
      <c r="B32" s="23" t="s">
        <v>59</v>
      </c>
      <c r="C32" s="49">
        <v>200</v>
      </c>
      <c r="D32" s="49">
        <v>10</v>
      </c>
      <c r="E32" s="49">
        <v>3</v>
      </c>
      <c r="F32" s="49">
        <v>3</v>
      </c>
      <c r="G32" s="49">
        <v>2</v>
      </c>
      <c r="H32" s="49">
        <v>0</v>
      </c>
      <c r="I32" s="49">
        <v>11</v>
      </c>
      <c r="J32" s="49">
        <v>3</v>
      </c>
      <c r="K32" s="49">
        <v>5</v>
      </c>
      <c r="L32" s="49">
        <v>1</v>
      </c>
      <c r="M32" s="49">
        <v>545</v>
      </c>
      <c r="N32" s="49">
        <v>0</v>
      </c>
      <c r="O32" s="15">
        <f t="shared" si="0"/>
        <v>238</v>
      </c>
      <c r="P32" s="15">
        <f t="shared" si="1"/>
        <v>783</v>
      </c>
    </row>
    <row r="33" spans="2:20" ht="23.1" customHeight="1" x14ac:dyDescent="0.25">
      <c r="B33" s="22" t="s">
        <v>60</v>
      </c>
      <c r="C33" s="49">
        <v>250</v>
      </c>
      <c r="D33" s="49">
        <v>60</v>
      </c>
      <c r="E33" s="49">
        <v>30</v>
      </c>
      <c r="F33" s="49">
        <v>35</v>
      </c>
      <c r="G33" s="49">
        <v>0</v>
      </c>
      <c r="H33" s="49">
        <v>0</v>
      </c>
      <c r="I33" s="49">
        <v>6</v>
      </c>
      <c r="J33" s="49">
        <v>5</v>
      </c>
      <c r="K33" s="49">
        <v>1</v>
      </c>
      <c r="L33" s="49">
        <v>8</v>
      </c>
      <c r="M33" s="49">
        <v>661</v>
      </c>
      <c r="N33" s="49">
        <v>0</v>
      </c>
      <c r="O33" s="15">
        <f t="shared" si="0"/>
        <v>395</v>
      </c>
      <c r="P33" s="15">
        <f t="shared" si="1"/>
        <v>1056</v>
      </c>
    </row>
    <row r="34" spans="2:20" ht="23.1" customHeight="1" x14ac:dyDescent="0.25">
      <c r="B34" s="23" t="s">
        <v>61</v>
      </c>
      <c r="C34" s="49">
        <v>210</v>
      </c>
      <c r="D34" s="49">
        <v>30</v>
      </c>
      <c r="E34" s="49">
        <v>20</v>
      </c>
      <c r="F34" s="49">
        <v>0</v>
      </c>
      <c r="G34" s="49">
        <v>0</v>
      </c>
      <c r="H34" s="49">
        <v>0</v>
      </c>
      <c r="I34" s="49">
        <v>4</v>
      </c>
      <c r="J34" s="49">
        <v>3</v>
      </c>
      <c r="K34" s="49">
        <v>0</v>
      </c>
      <c r="L34" s="49">
        <v>7</v>
      </c>
      <c r="M34" s="49">
        <v>535</v>
      </c>
      <c r="N34" s="49">
        <v>0</v>
      </c>
      <c r="O34" s="15">
        <f t="shared" si="0"/>
        <v>274</v>
      </c>
      <c r="P34" s="15">
        <f t="shared" si="1"/>
        <v>809</v>
      </c>
    </row>
    <row r="35" spans="2:20" ht="23.1" customHeight="1" x14ac:dyDescent="0.25">
      <c r="B35" s="23" t="s">
        <v>62</v>
      </c>
      <c r="C35" s="49">
        <v>200</v>
      </c>
      <c r="D35" s="49">
        <v>32</v>
      </c>
      <c r="E35" s="49">
        <v>13</v>
      </c>
      <c r="F35" s="49">
        <v>5</v>
      </c>
      <c r="G35" s="49">
        <v>0</v>
      </c>
      <c r="H35" s="49">
        <v>0</v>
      </c>
      <c r="I35" s="49">
        <v>3</v>
      </c>
      <c r="J35" s="49">
        <v>2</v>
      </c>
      <c r="K35" s="49">
        <v>2</v>
      </c>
      <c r="L35" s="49">
        <v>0</v>
      </c>
      <c r="M35" s="49">
        <v>550</v>
      </c>
      <c r="N35" s="49">
        <v>0</v>
      </c>
      <c r="O35" s="15">
        <f t="shared" si="0"/>
        <v>257</v>
      </c>
      <c r="P35" s="15">
        <f t="shared" si="1"/>
        <v>807</v>
      </c>
    </row>
    <row r="36" spans="2:20" ht="23.1" customHeight="1" x14ac:dyDescent="0.25">
      <c r="B36" s="23" t="s">
        <v>63</v>
      </c>
      <c r="C36" s="49">
        <v>225</v>
      </c>
      <c r="D36" s="49">
        <v>13</v>
      </c>
      <c r="E36" s="49">
        <v>10</v>
      </c>
      <c r="F36" s="49">
        <v>10</v>
      </c>
      <c r="G36" s="49">
        <v>0</v>
      </c>
      <c r="H36" s="49">
        <v>0</v>
      </c>
      <c r="I36" s="49">
        <v>1</v>
      </c>
      <c r="J36" s="49">
        <v>1</v>
      </c>
      <c r="K36" s="49">
        <v>3</v>
      </c>
      <c r="L36" s="49">
        <v>0</v>
      </c>
      <c r="M36" s="49">
        <v>601</v>
      </c>
      <c r="N36" s="49">
        <v>0</v>
      </c>
      <c r="O36" s="15">
        <f t="shared" si="0"/>
        <v>263</v>
      </c>
      <c r="P36" s="15">
        <f t="shared" si="1"/>
        <v>864</v>
      </c>
    </row>
    <row r="37" spans="2:20" ht="23.1" customHeight="1" x14ac:dyDescent="0.25">
      <c r="B37" s="22" t="s">
        <v>64</v>
      </c>
      <c r="C37" s="49">
        <v>200</v>
      </c>
      <c r="D37" s="49">
        <v>15</v>
      </c>
      <c r="E37" s="49">
        <v>15</v>
      </c>
      <c r="F37" s="49">
        <v>10</v>
      </c>
      <c r="G37" s="49">
        <v>0</v>
      </c>
      <c r="H37" s="49">
        <v>0</v>
      </c>
      <c r="I37" s="49">
        <v>0</v>
      </c>
      <c r="J37" s="49">
        <v>1</v>
      </c>
      <c r="K37" s="49">
        <v>3</v>
      </c>
      <c r="L37" s="49">
        <v>1</v>
      </c>
      <c r="M37" s="49">
        <v>540</v>
      </c>
      <c r="N37" s="49">
        <v>0</v>
      </c>
      <c r="O37" s="15">
        <f t="shared" si="0"/>
        <v>245</v>
      </c>
      <c r="P37" s="15">
        <f t="shared" si="1"/>
        <v>785</v>
      </c>
    </row>
    <row r="38" spans="2:20" ht="23.1" customHeight="1" x14ac:dyDescent="0.25">
      <c r="B38" s="23" t="s">
        <v>65</v>
      </c>
      <c r="C38" s="49">
        <v>180</v>
      </c>
      <c r="D38" s="49">
        <v>31</v>
      </c>
      <c r="E38" s="49">
        <v>10</v>
      </c>
      <c r="F38" s="49">
        <v>8</v>
      </c>
      <c r="G38" s="49">
        <v>1</v>
      </c>
      <c r="H38" s="49">
        <v>0</v>
      </c>
      <c r="I38" s="49">
        <v>1</v>
      </c>
      <c r="J38" s="49">
        <v>2</v>
      </c>
      <c r="K38" s="49">
        <v>2</v>
      </c>
      <c r="L38" s="49">
        <v>6</v>
      </c>
      <c r="M38" s="49">
        <v>560</v>
      </c>
      <c r="N38" s="49">
        <v>0</v>
      </c>
      <c r="O38" s="15">
        <f t="shared" si="0"/>
        <v>241</v>
      </c>
      <c r="P38" s="15">
        <f t="shared" si="1"/>
        <v>801</v>
      </c>
    </row>
    <row r="39" spans="2:20" ht="23.1" customHeight="1" x14ac:dyDescent="0.25">
      <c r="B39" s="23" t="s">
        <v>66</v>
      </c>
      <c r="C39" s="49">
        <v>160</v>
      </c>
      <c r="D39" s="49">
        <v>5</v>
      </c>
      <c r="E39" s="49">
        <v>7</v>
      </c>
      <c r="F39" s="49">
        <v>12</v>
      </c>
      <c r="G39" s="49">
        <v>0</v>
      </c>
      <c r="H39" s="49">
        <v>0</v>
      </c>
      <c r="I39" s="49">
        <v>6</v>
      </c>
      <c r="J39" s="49">
        <v>3</v>
      </c>
      <c r="K39" s="49">
        <v>3</v>
      </c>
      <c r="L39" s="49">
        <v>13</v>
      </c>
      <c r="M39" s="49">
        <v>640</v>
      </c>
      <c r="N39" s="49">
        <v>0</v>
      </c>
      <c r="O39" s="15">
        <f t="shared" si="0"/>
        <v>209</v>
      </c>
      <c r="P39" s="15">
        <f t="shared" si="1"/>
        <v>849</v>
      </c>
    </row>
    <row r="40" spans="2:20" ht="23.1" customHeight="1" x14ac:dyDescent="0.25">
      <c r="B40" s="23" t="s">
        <v>67</v>
      </c>
      <c r="C40" s="49">
        <v>195</v>
      </c>
      <c r="D40" s="49">
        <v>20</v>
      </c>
      <c r="E40" s="49">
        <v>5</v>
      </c>
      <c r="F40" s="49">
        <v>5</v>
      </c>
      <c r="G40" s="49">
        <v>1</v>
      </c>
      <c r="H40" s="49">
        <v>0</v>
      </c>
      <c r="I40" s="49">
        <v>8</v>
      </c>
      <c r="J40" s="49">
        <v>2</v>
      </c>
      <c r="K40" s="49">
        <v>1</v>
      </c>
      <c r="L40" s="49">
        <v>0</v>
      </c>
      <c r="M40" s="49">
        <v>720</v>
      </c>
      <c r="N40" s="49">
        <v>0</v>
      </c>
      <c r="O40" s="15">
        <f t="shared" si="0"/>
        <v>237</v>
      </c>
      <c r="P40" s="15">
        <f t="shared" si="1"/>
        <v>957</v>
      </c>
    </row>
    <row r="41" spans="2:20" ht="23.1" customHeight="1" x14ac:dyDescent="0.25">
      <c r="B41" s="22" t="s">
        <v>68</v>
      </c>
      <c r="C41" s="49">
        <v>175</v>
      </c>
      <c r="D41" s="49">
        <v>10</v>
      </c>
      <c r="E41" s="49">
        <v>8</v>
      </c>
      <c r="F41" s="49">
        <v>13</v>
      </c>
      <c r="G41" s="49">
        <v>1</v>
      </c>
      <c r="H41" s="49">
        <v>0</v>
      </c>
      <c r="I41" s="49">
        <v>5</v>
      </c>
      <c r="J41" s="49">
        <v>4</v>
      </c>
      <c r="K41" s="49">
        <v>3</v>
      </c>
      <c r="L41" s="49">
        <v>2</v>
      </c>
      <c r="M41" s="49">
        <v>700</v>
      </c>
      <c r="N41" s="49">
        <v>0</v>
      </c>
      <c r="O41" s="15">
        <f t="shared" si="0"/>
        <v>221</v>
      </c>
      <c r="P41" s="15">
        <f t="shared" si="1"/>
        <v>921</v>
      </c>
    </row>
    <row r="42" spans="2:20" ht="23.1" customHeight="1" x14ac:dyDescent="0.25">
      <c r="B42" s="23" t="s">
        <v>69</v>
      </c>
      <c r="C42" s="49">
        <v>160</v>
      </c>
      <c r="D42" s="49">
        <v>30</v>
      </c>
      <c r="E42" s="49">
        <v>12</v>
      </c>
      <c r="F42" s="49">
        <v>7</v>
      </c>
      <c r="G42" s="49">
        <v>0</v>
      </c>
      <c r="H42" s="49">
        <v>0</v>
      </c>
      <c r="I42" s="49">
        <v>1</v>
      </c>
      <c r="J42" s="49">
        <v>6</v>
      </c>
      <c r="K42" s="49">
        <v>5</v>
      </c>
      <c r="L42" s="49">
        <v>0</v>
      </c>
      <c r="M42" s="49">
        <v>765</v>
      </c>
      <c r="N42" s="49">
        <v>0</v>
      </c>
      <c r="O42" s="15">
        <f t="shared" si="0"/>
        <v>221</v>
      </c>
      <c r="P42" s="15">
        <f t="shared" si="1"/>
        <v>986</v>
      </c>
    </row>
    <row r="43" spans="2:20" ht="23.1" customHeight="1" x14ac:dyDescent="0.25">
      <c r="B43" s="22" t="s">
        <v>70</v>
      </c>
      <c r="C43" s="49">
        <v>160</v>
      </c>
      <c r="D43" s="49">
        <v>35</v>
      </c>
      <c r="E43" s="49">
        <v>13</v>
      </c>
      <c r="F43" s="49">
        <v>18</v>
      </c>
      <c r="G43" s="49">
        <v>1</v>
      </c>
      <c r="H43" s="49">
        <v>0</v>
      </c>
      <c r="I43" s="49">
        <v>3</v>
      </c>
      <c r="J43" s="49">
        <v>1</v>
      </c>
      <c r="K43" s="49">
        <v>5</v>
      </c>
      <c r="L43" s="49">
        <v>3</v>
      </c>
      <c r="M43" s="49">
        <v>776</v>
      </c>
      <c r="N43" s="49">
        <v>0</v>
      </c>
      <c r="O43" s="15">
        <f t="shared" si="0"/>
        <v>239</v>
      </c>
      <c r="P43" s="15">
        <f t="shared" si="1"/>
        <v>1015</v>
      </c>
    </row>
    <row r="44" spans="2:20" ht="23.1" customHeight="1" x14ac:dyDescent="0.25">
      <c r="B44" s="24" t="s">
        <v>71</v>
      </c>
      <c r="C44" s="49">
        <v>160</v>
      </c>
      <c r="D44" s="49">
        <v>21</v>
      </c>
      <c r="E44" s="49">
        <v>15</v>
      </c>
      <c r="F44" s="49">
        <v>0</v>
      </c>
      <c r="G44" s="49">
        <v>0</v>
      </c>
      <c r="H44" s="49">
        <v>0</v>
      </c>
      <c r="I44" s="49">
        <v>1</v>
      </c>
      <c r="J44" s="49">
        <v>6</v>
      </c>
      <c r="K44" s="49">
        <v>6</v>
      </c>
      <c r="L44" s="49">
        <v>1</v>
      </c>
      <c r="M44" s="49">
        <v>855</v>
      </c>
      <c r="N44" s="49">
        <v>0</v>
      </c>
      <c r="O44" s="15">
        <f t="shared" si="0"/>
        <v>210</v>
      </c>
      <c r="P44" s="15">
        <f t="shared" si="1"/>
        <v>1065</v>
      </c>
    </row>
    <row r="45" spans="2:20" ht="23.1" customHeight="1" x14ac:dyDescent="0.25">
      <c r="B45" s="22" t="s">
        <v>72</v>
      </c>
      <c r="C45" s="49">
        <v>80</v>
      </c>
      <c r="D45" s="49">
        <v>5</v>
      </c>
      <c r="E45" s="49">
        <v>0</v>
      </c>
      <c r="F45" s="49">
        <v>0</v>
      </c>
      <c r="G45" s="49">
        <v>0</v>
      </c>
      <c r="H45" s="49">
        <v>0</v>
      </c>
      <c r="I45" s="49">
        <v>2</v>
      </c>
      <c r="J45" s="49">
        <v>4</v>
      </c>
      <c r="K45" s="49">
        <v>1</v>
      </c>
      <c r="L45" s="49">
        <v>1</v>
      </c>
      <c r="M45" s="49">
        <v>800</v>
      </c>
      <c r="N45" s="49">
        <v>0</v>
      </c>
      <c r="O45" s="15">
        <f t="shared" si="0"/>
        <v>93</v>
      </c>
      <c r="P45" s="15">
        <f t="shared" si="1"/>
        <v>893</v>
      </c>
    </row>
    <row r="46" spans="2:20" ht="23.1" customHeight="1" x14ac:dyDescent="0.25">
      <c r="B46" s="23" t="s">
        <v>73</v>
      </c>
      <c r="C46" s="49">
        <v>140</v>
      </c>
      <c r="D46" s="49">
        <v>15</v>
      </c>
      <c r="E46" s="49">
        <v>15</v>
      </c>
      <c r="F46" s="49">
        <v>10</v>
      </c>
      <c r="G46" s="49">
        <v>0</v>
      </c>
      <c r="H46" s="49">
        <v>0</v>
      </c>
      <c r="I46" s="49">
        <v>0</v>
      </c>
      <c r="J46" s="49">
        <v>1</v>
      </c>
      <c r="K46" s="49">
        <v>0</v>
      </c>
      <c r="L46" s="49">
        <v>3</v>
      </c>
      <c r="M46" s="49">
        <v>766</v>
      </c>
      <c r="N46" s="49">
        <v>0</v>
      </c>
      <c r="O46" s="15">
        <f t="shared" si="0"/>
        <v>184</v>
      </c>
      <c r="P46" s="15">
        <f t="shared" si="1"/>
        <v>950</v>
      </c>
      <c r="R46" s="8"/>
      <c r="T46"/>
    </row>
    <row r="47" spans="2:20" ht="23.1" customHeight="1" x14ac:dyDescent="0.25">
      <c r="B47" s="23" t="s">
        <v>74</v>
      </c>
      <c r="C47" s="49">
        <v>200</v>
      </c>
      <c r="D47" s="49">
        <v>40</v>
      </c>
      <c r="E47" s="49">
        <v>11</v>
      </c>
      <c r="F47" s="49">
        <v>10</v>
      </c>
      <c r="G47" s="49">
        <v>0</v>
      </c>
      <c r="H47" s="49">
        <v>1</v>
      </c>
      <c r="I47" s="49">
        <v>5</v>
      </c>
      <c r="J47" s="49">
        <v>8</v>
      </c>
      <c r="K47" s="49">
        <v>5</v>
      </c>
      <c r="L47" s="49">
        <v>4</v>
      </c>
      <c r="M47" s="49">
        <v>725</v>
      </c>
      <c r="N47" s="49">
        <v>0</v>
      </c>
      <c r="O47" s="15">
        <f t="shared" si="0"/>
        <v>284</v>
      </c>
      <c r="P47" s="15">
        <f t="shared" si="1"/>
        <v>1009</v>
      </c>
      <c r="R47" s="8"/>
      <c r="T47"/>
    </row>
    <row r="48" spans="2:20" ht="23.1" customHeight="1" x14ac:dyDescent="0.25">
      <c r="B48" s="23" t="s">
        <v>75</v>
      </c>
      <c r="C48" s="49">
        <v>150</v>
      </c>
      <c r="D48" s="49">
        <v>18</v>
      </c>
      <c r="E48" s="49">
        <v>5</v>
      </c>
      <c r="F48" s="49">
        <v>20</v>
      </c>
      <c r="G48" s="49">
        <v>0</v>
      </c>
      <c r="H48" s="49">
        <v>0</v>
      </c>
      <c r="I48" s="49">
        <v>2</v>
      </c>
      <c r="J48" s="49">
        <v>7</v>
      </c>
      <c r="K48" s="49">
        <v>0</v>
      </c>
      <c r="L48" s="49">
        <v>2</v>
      </c>
      <c r="M48" s="49">
        <v>900</v>
      </c>
      <c r="N48" s="49">
        <v>0</v>
      </c>
      <c r="O48" s="15">
        <f t="shared" si="0"/>
        <v>204</v>
      </c>
      <c r="P48" s="15">
        <f t="shared" si="1"/>
        <v>1104</v>
      </c>
      <c r="R48" s="8"/>
      <c r="T48"/>
    </row>
    <row r="49" spans="2:20" ht="23.1" customHeight="1" x14ac:dyDescent="0.25">
      <c r="B49" s="22" t="s">
        <v>76</v>
      </c>
      <c r="C49" s="49">
        <v>140</v>
      </c>
      <c r="D49" s="49">
        <v>10</v>
      </c>
      <c r="E49" s="49">
        <v>9</v>
      </c>
      <c r="F49" s="49">
        <v>10</v>
      </c>
      <c r="G49" s="49">
        <v>0</v>
      </c>
      <c r="H49" s="49">
        <v>0</v>
      </c>
      <c r="I49" s="49">
        <v>2</v>
      </c>
      <c r="J49" s="49">
        <v>2</v>
      </c>
      <c r="K49" s="49">
        <v>2</v>
      </c>
      <c r="L49" s="49">
        <v>7</v>
      </c>
      <c r="M49" s="49">
        <v>750</v>
      </c>
      <c r="N49" s="49">
        <v>0</v>
      </c>
      <c r="O49" s="15">
        <f t="shared" si="0"/>
        <v>182</v>
      </c>
      <c r="P49" s="15">
        <f t="shared" si="1"/>
        <v>932</v>
      </c>
      <c r="R49" s="8"/>
      <c r="T49"/>
    </row>
    <row r="50" spans="2:20" ht="23.1" customHeight="1" x14ac:dyDescent="0.25">
      <c r="B50" s="23" t="s">
        <v>77</v>
      </c>
      <c r="C50" s="49">
        <v>160</v>
      </c>
      <c r="D50" s="49">
        <v>20</v>
      </c>
      <c r="E50" s="49">
        <v>10</v>
      </c>
      <c r="F50" s="49">
        <v>5</v>
      </c>
      <c r="G50" s="49">
        <v>0</v>
      </c>
      <c r="H50" s="49">
        <v>0</v>
      </c>
      <c r="I50" s="49">
        <v>1</v>
      </c>
      <c r="J50" s="49">
        <v>2</v>
      </c>
      <c r="K50" s="49">
        <v>1</v>
      </c>
      <c r="L50" s="49">
        <v>2</v>
      </c>
      <c r="M50" s="49">
        <v>810</v>
      </c>
      <c r="N50" s="49">
        <v>1</v>
      </c>
      <c r="O50" s="15">
        <f t="shared" si="0"/>
        <v>202</v>
      </c>
      <c r="P50" s="15">
        <f t="shared" si="1"/>
        <v>1012</v>
      </c>
      <c r="R50" s="8"/>
      <c r="T50"/>
    </row>
    <row r="51" spans="2:20" ht="23.1" customHeight="1" x14ac:dyDescent="0.25">
      <c r="B51" s="23" t="s">
        <v>78</v>
      </c>
      <c r="C51" s="49">
        <v>160</v>
      </c>
      <c r="D51" s="49">
        <v>40</v>
      </c>
      <c r="E51" s="49">
        <v>20</v>
      </c>
      <c r="F51" s="49">
        <v>18</v>
      </c>
      <c r="G51" s="49">
        <v>0</v>
      </c>
      <c r="H51" s="49">
        <v>0</v>
      </c>
      <c r="I51" s="49">
        <v>4</v>
      </c>
      <c r="J51" s="49">
        <v>4</v>
      </c>
      <c r="K51" s="49">
        <v>2</v>
      </c>
      <c r="L51" s="49">
        <v>3</v>
      </c>
      <c r="M51" s="49">
        <v>765</v>
      </c>
      <c r="N51" s="49">
        <v>0</v>
      </c>
      <c r="O51" s="15">
        <f t="shared" si="0"/>
        <v>251</v>
      </c>
      <c r="P51" s="15">
        <f t="shared" si="1"/>
        <v>1016</v>
      </c>
      <c r="R51" s="8"/>
      <c r="T51"/>
    </row>
    <row r="52" spans="2:20" ht="23.1" customHeight="1" x14ac:dyDescent="0.25">
      <c r="B52" s="23" t="s">
        <v>79</v>
      </c>
      <c r="C52" s="49">
        <v>200</v>
      </c>
      <c r="D52" s="49">
        <v>40</v>
      </c>
      <c r="E52" s="49">
        <v>17</v>
      </c>
      <c r="F52" s="49">
        <v>25</v>
      </c>
      <c r="G52" s="49">
        <v>2</v>
      </c>
      <c r="H52" s="49">
        <v>0</v>
      </c>
      <c r="I52" s="49">
        <v>3</v>
      </c>
      <c r="J52" s="49">
        <v>3</v>
      </c>
      <c r="K52" s="49">
        <v>0</v>
      </c>
      <c r="L52" s="49">
        <v>3</v>
      </c>
      <c r="M52" s="49">
        <v>950</v>
      </c>
      <c r="N52" s="49">
        <v>0</v>
      </c>
      <c r="O52" s="15">
        <f t="shared" si="0"/>
        <v>293</v>
      </c>
      <c r="P52" s="15">
        <f t="shared" si="1"/>
        <v>1243</v>
      </c>
      <c r="R52" s="8"/>
      <c r="T52"/>
    </row>
    <row r="53" spans="2:20" ht="23.1" customHeight="1" x14ac:dyDescent="0.25">
      <c r="B53" s="22" t="s">
        <v>80</v>
      </c>
      <c r="C53" s="49">
        <v>200</v>
      </c>
      <c r="D53" s="49">
        <v>43</v>
      </c>
      <c r="E53" s="49">
        <v>15</v>
      </c>
      <c r="F53" s="49">
        <v>12</v>
      </c>
      <c r="G53" s="49">
        <v>1</v>
      </c>
      <c r="H53" s="49">
        <v>0</v>
      </c>
      <c r="I53" s="49">
        <v>4</v>
      </c>
      <c r="J53" s="49">
        <v>6</v>
      </c>
      <c r="K53" s="49">
        <v>2</v>
      </c>
      <c r="L53" s="49">
        <v>4</v>
      </c>
      <c r="M53" s="49">
        <v>701</v>
      </c>
      <c r="N53" s="49">
        <v>0</v>
      </c>
      <c r="O53" s="15">
        <f t="shared" si="0"/>
        <v>287</v>
      </c>
      <c r="P53" s="15">
        <f t="shared" si="1"/>
        <v>988</v>
      </c>
      <c r="R53" s="8"/>
      <c r="T53"/>
    </row>
    <row r="54" spans="2:20" ht="23.1" customHeight="1" x14ac:dyDescent="0.25">
      <c r="B54" s="22" t="s">
        <v>81</v>
      </c>
      <c r="C54" s="49">
        <v>190</v>
      </c>
      <c r="D54" s="49">
        <v>40</v>
      </c>
      <c r="E54" s="49">
        <v>3</v>
      </c>
      <c r="F54" s="49">
        <v>10</v>
      </c>
      <c r="G54" s="49">
        <v>0</v>
      </c>
      <c r="H54" s="49">
        <v>0</v>
      </c>
      <c r="I54" s="49">
        <v>2</v>
      </c>
      <c r="J54" s="49">
        <v>2</v>
      </c>
      <c r="K54" s="49">
        <v>3</v>
      </c>
      <c r="L54" s="49">
        <v>4</v>
      </c>
      <c r="M54" s="49">
        <v>675</v>
      </c>
      <c r="N54" s="49">
        <v>0</v>
      </c>
      <c r="O54" s="15">
        <f t="shared" si="0"/>
        <v>254</v>
      </c>
      <c r="P54" s="15">
        <f t="shared" si="1"/>
        <v>929</v>
      </c>
      <c r="R54" s="8"/>
      <c r="T54"/>
    </row>
    <row r="55" spans="2:20" ht="23.1" customHeight="1" x14ac:dyDescent="0.25">
      <c r="B55" s="22" t="s">
        <v>82</v>
      </c>
      <c r="C55" s="49">
        <v>200</v>
      </c>
      <c r="D55" s="49">
        <v>20</v>
      </c>
      <c r="E55" s="49">
        <v>2</v>
      </c>
      <c r="F55" s="49">
        <v>1</v>
      </c>
      <c r="G55" s="49">
        <v>1</v>
      </c>
      <c r="H55" s="49">
        <v>0</v>
      </c>
      <c r="I55" s="49">
        <v>5</v>
      </c>
      <c r="J55" s="49">
        <v>5</v>
      </c>
      <c r="K55" s="49">
        <v>0</v>
      </c>
      <c r="L55" s="49">
        <v>4</v>
      </c>
      <c r="M55" s="49">
        <v>679</v>
      </c>
      <c r="N55" s="49">
        <v>0</v>
      </c>
      <c r="O55" s="15">
        <f t="shared" si="0"/>
        <v>238</v>
      </c>
      <c r="P55" s="15">
        <f t="shared" si="1"/>
        <v>917</v>
      </c>
      <c r="R55" s="8"/>
      <c r="T55"/>
    </row>
    <row r="56" spans="2:20" ht="23.1" customHeight="1" x14ac:dyDescent="0.25">
      <c r="B56" s="22" t="s">
        <v>83</v>
      </c>
      <c r="C56" s="49">
        <v>200</v>
      </c>
      <c r="D56" s="49">
        <v>31</v>
      </c>
      <c r="E56" s="49">
        <v>0</v>
      </c>
      <c r="F56" s="49">
        <v>10</v>
      </c>
      <c r="G56" s="49">
        <v>0</v>
      </c>
      <c r="H56" s="49">
        <v>0</v>
      </c>
      <c r="I56" s="49">
        <v>5</v>
      </c>
      <c r="J56" s="49">
        <v>7</v>
      </c>
      <c r="K56" s="49">
        <v>0</v>
      </c>
      <c r="L56" s="49">
        <v>5</v>
      </c>
      <c r="M56" s="49">
        <v>751</v>
      </c>
      <c r="N56" s="49">
        <v>0</v>
      </c>
      <c r="O56" s="15">
        <f t="shared" si="0"/>
        <v>258</v>
      </c>
      <c r="P56" s="15">
        <f t="shared" si="1"/>
        <v>1009</v>
      </c>
      <c r="R56" s="8"/>
      <c r="T56"/>
    </row>
    <row r="57" spans="2:20" ht="23.1" customHeight="1" x14ac:dyDescent="0.25">
      <c r="B57" s="22" t="s">
        <v>84</v>
      </c>
      <c r="C57" s="49">
        <v>200</v>
      </c>
      <c r="D57" s="49">
        <v>20</v>
      </c>
      <c r="E57" s="49">
        <v>10</v>
      </c>
      <c r="F57" s="49">
        <v>0</v>
      </c>
      <c r="G57" s="49">
        <v>1</v>
      </c>
      <c r="H57" s="49">
        <v>0</v>
      </c>
      <c r="I57" s="49">
        <v>7</v>
      </c>
      <c r="J57" s="49">
        <v>4</v>
      </c>
      <c r="K57" s="49">
        <v>1</v>
      </c>
      <c r="L57" s="49">
        <v>0</v>
      </c>
      <c r="M57" s="49">
        <v>634</v>
      </c>
      <c r="N57" s="49">
        <v>0</v>
      </c>
      <c r="O57" s="15">
        <f t="shared" si="0"/>
        <v>243</v>
      </c>
      <c r="P57" s="15">
        <f t="shared" si="1"/>
        <v>877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7218</v>
      </c>
      <c r="D58" s="16">
        <f t="shared" si="21"/>
        <v>1102</v>
      </c>
      <c r="E58" s="16">
        <f t="shared" si="21"/>
        <v>527</v>
      </c>
      <c r="F58" s="16">
        <f t="shared" si="21"/>
        <v>425</v>
      </c>
      <c r="G58" s="16">
        <f t="shared" si="21"/>
        <v>24</v>
      </c>
      <c r="H58" s="16">
        <f t="shared" si="21"/>
        <v>3</v>
      </c>
      <c r="I58" s="16">
        <f t="shared" si="21"/>
        <v>170</v>
      </c>
      <c r="J58" s="16">
        <f t="shared" si="21"/>
        <v>172</v>
      </c>
      <c r="K58" s="16">
        <f t="shared" si="21"/>
        <v>111</v>
      </c>
      <c r="L58" s="16">
        <f t="shared" si="21"/>
        <v>144</v>
      </c>
      <c r="M58" s="16">
        <f t="shared" si="21"/>
        <v>32439</v>
      </c>
      <c r="N58" s="16">
        <f t="shared" si="21"/>
        <v>4</v>
      </c>
      <c r="O58" s="16">
        <f t="shared" si="21"/>
        <v>9900</v>
      </c>
      <c r="P58" s="16">
        <f t="shared" si="21"/>
        <v>42339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0.17048111670091404</v>
      </c>
      <c r="D59" s="42">
        <f t="shared" si="22"/>
        <v>2.6028011998393916E-2</v>
      </c>
      <c r="E59" s="42">
        <f t="shared" si="22"/>
        <v>1.244715274333357E-2</v>
      </c>
      <c r="F59" s="42">
        <f t="shared" si="22"/>
        <v>1.0038026405914169E-2</v>
      </c>
      <c r="G59" s="42">
        <f t="shared" si="22"/>
        <v>5.6685325586338839E-4</v>
      </c>
      <c r="H59" s="42">
        <f t="shared" si="22"/>
        <v>7.0856656982923549E-5</v>
      </c>
      <c r="I59" s="42">
        <f t="shared" si="22"/>
        <v>4.0152105623656679E-3</v>
      </c>
      <c r="J59" s="42">
        <f t="shared" si="22"/>
        <v>4.0624483336876164E-3</v>
      </c>
      <c r="K59" s="42">
        <f t="shared" si="22"/>
        <v>2.621696308368171E-3</v>
      </c>
      <c r="L59" s="42">
        <f t="shared" si="22"/>
        <v>3.4011195351803304E-3</v>
      </c>
      <c r="M59" s="42">
        <f t="shared" si="22"/>
        <v>0.76617303195635234</v>
      </c>
      <c r="N59" s="42">
        <f t="shared" si="22"/>
        <v>9.4475542643898057E-5</v>
      </c>
      <c r="R59" s="8"/>
      <c r="T59"/>
    </row>
    <row r="60" spans="2:20" ht="23.1" customHeight="1" x14ac:dyDescent="0.25">
      <c r="B60" s="41" t="s">
        <v>94</v>
      </c>
      <c r="C60" s="43">
        <f>C58/$O$58</f>
        <v>0.72909090909090912</v>
      </c>
      <c r="D60" s="43">
        <f t="shared" ref="D60:N60" si="23">D58/$O$58</f>
        <v>0.11131313131313131</v>
      </c>
      <c r="E60" s="43">
        <f t="shared" si="23"/>
        <v>5.3232323232323235E-2</v>
      </c>
      <c r="F60" s="43">
        <f t="shared" si="23"/>
        <v>4.2929292929292928E-2</v>
      </c>
      <c r="G60" s="43">
        <f t="shared" si="23"/>
        <v>2.4242424242424242E-3</v>
      </c>
      <c r="H60" s="43">
        <f t="shared" si="23"/>
        <v>3.0303030303030303E-4</v>
      </c>
      <c r="I60" s="43">
        <f t="shared" si="23"/>
        <v>1.7171717171717171E-2</v>
      </c>
      <c r="J60" s="43">
        <f t="shared" si="23"/>
        <v>1.7373737373737375E-2</v>
      </c>
      <c r="K60" s="43">
        <f t="shared" si="23"/>
        <v>1.1212121212121211E-2</v>
      </c>
      <c r="L60" s="43">
        <f t="shared" si="23"/>
        <v>1.4545454545454545E-2</v>
      </c>
      <c r="M60" s="43"/>
      <c r="N60" s="43">
        <f t="shared" si="23"/>
        <v>4.0404040404040404E-4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zoomScale="60" workbookViewId="0">
      <selection activeCell="L57" sqref="L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">
        <v>173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50" t="s">
        <v>164</v>
      </c>
      <c r="E5" s="3"/>
      <c r="F5" s="40" t="s">
        <v>1</v>
      </c>
      <c r="G5" s="60" t="s">
        <v>178</v>
      </c>
      <c r="H5" s="61"/>
      <c r="I5" s="14"/>
      <c r="J5" s="2" t="s">
        <v>5</v>
      </c>
      <c r="K5" s="60" t="s">
        <v>177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166</v>
      </c>
      <c r="E6" s="61"/>
      <c r="F6" s="2" t="s">
        <v>2</v>
      </c>
      <c r="G6" s="60" t="s">
        <v>165</v>
      </c>
      <c r="H6" s="61"/>
      <c r="J6" s="2" t="s">
        <v>21</v>
      </c>
      <c r="K6" s="60" t="s">
        <v>176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57</v>
      </c>
      <c r="D10" s="49">
        <v>12</v>
      </c>
      <c r="E10" s="49">
        <v>9</v>
      </c>
      <c r="F10" s="49">
        <v>3</v>
      </c>
      <c r="G10" s="49">
        <v>0</v>
      </c>
      <c r="H10" s="49">
        <v>0</v>
      </c>
      <c r="I10" s="49">
        <v>2</v>
      </c>
      <c r="J10" s="49">
        <v>0</v>
      </c>
      <c r="K10" s="49">
        <v>0</v>
      </c>
      <c r="L10" s="49">
        <v>0</v>
      </c>
      <c r="M10" s="49">
        <v>325</v>
      </c>
      <c r="N10" s="49">
        <v>0</v>
      </c>
      <c r="O10" s="15">
        <f t="shared" ref="O10:O57" si="0">SUM(C10:L10,N10)</f>
        <v>83</v>
      </c>
      <c r="P10" s="15">
        <f t="shared" ref="P10:P57" si="1">SUM(C10:N10)</f>
        <v>408</v>
      </c>
      <c r="R10" s="1" t="s">
        <v>6</v>
      </c>
      <c r="S10" s="17">
        <f t="shared" ref="S10:AF10" si="2">SUM(C10:C13)</f>
        <v>497</v>
      </c>
      <c r="T10" s="17">
        <f t="shared" si="2"/>
        <v>100</v>
      </c>
      <c r="U10" s="17">
        <f t="shared" si="2"/>
        <v>58</v>
      </c>
      <c r="V10" s="17">
        <f t="shared" si="2"/>
        <v>45</v>
      </c>
      <c r="W10" s="17">
        <f t="shared" si="2"/>
        <v>4</v>
      </c>
      <c r="X10" s="17">
        <f t="shared" si="2"/>
        <v>0</v>
      </c>
      <c r="Y10" s="17">
        <f t="shared" si="2"/>
        <v>10</v>
      </c>
      <c r="Z10" s="17">
        <f t="shared" si="2"/>
        <v>5</v>
      </c>
      <c r="AA10" s="17">
        <f t="shared" si="2"/>
        <v>1</v>
      </c>
      <c r="AB10" s="17">
        <f t="shared" si="2"/>
        <v>2</v>
      </c>
      <c r="AC10" s="17">
        <f t="shared" si="2"/>
        <v>1759</v>
      </c>
      <c r="AD10" s="17">
        <f t="shared" si="2"/>
        <v>1</v>
      </c>
      <c r="AE10" s="30">
        <f t="shared" si="2"/>
        <v>723</v>
      </c>
      <c r="AF10" s="30">
        <f t="shared" si="2"/>
        <v>2482</v>
      </c>
    </row>
    <row r="11" spans="2:32" s="6" customFormat="1" ht="23.1" customHeight="1" x14ac:dyDescent="0.25">
      <c r="B11" s="22" t="s">
        <v>38</v>
      </c>
      <c r="C11" s="49">
        <v>50</v>
      </c>
      <c r="D11" s="49">
        <v>8</v>
      </c>
      <c r="E11" s="49">
        <v>9</v>
      </c>
      <c r="F11" s="49">
        <v>8</v>
      </c>
      <c r="G11" s="49">
        <v>0</v>
      </c>
      <c r="H11" s="49">
        <v>0</v>
      </c>
      <c r="I11" s="49">
        <v>2</v>
      </c>
      <c r="J11" s="49">
        <v>1</v>
      </c>
      <c r="K11" s="49">
        <v>0</v>
      </c>
      <c r="L11" s="49">
        <v>1</v>
      </c>
      <c r="M11" s="49">
        <v>347</v>
      </c>
      <c r="N11" s="49">
        <v>1</v>
      </c>
      <c r="O11" s="15">
        <f t="shared" si="0"/>
        <v>80</v>
      </c>
      <c r="P11" s="15">
        <f t="shared" si="1"/>
        <v>427</v>
      </c>
      <c r="R11" s="1" t="s">
        <v>7</v>
      </c>
      <c r="S11" s="17">
        <f t="shared" ref="S11:AF11" si="3">SUM(C14:C17)</f>
        <v>744</v>
      </c>
      <c r="T11" s="17">
        <f t="shared" si="3"/>
        <v>124</v>
      </c>
      <c r="U11" s="17">
        <f t="shared" si="3"/>
        <v>67</v>
      </c>
      <c r="V11" s="17">
        <f t="shared" si="3"/>
        <v>62</v>
      </c>
      <c r="W11" s="17">
        <f t="shared" si="3"/>
        <v>3</v>
      </c>
      <c r="X11" s="17">
        <f t="shared" si="3"/>
        <v>0</v>
      </c>
      <c r="Y11" s="17">
        <f t="shared" si="3"/>
        <v>19</v>
      </c>
      <c r="Z11" s="17">
        <f t="shared" si="3"/>
        <v>11</v>
      </c>
      <c r="AA11" s="17">
        <f t="shared" si="3"/>
        <v>1</v>
      </c>
      <c r="AB11" s="17">
        <f t="shared" si="3"/>
        <v>4</v>
      </c>
      <c r="AC11" s="17">
        <f t="shared" si="3"/>
        <v>1761</v>
      </c>
      <c r="AD11" s="17">
        <f t="shared" si="3"/>
        <v>0</v>
      </c>
      <c r="AE11" s="30">
        <f t="shared" si="3"/>
        <v>1035</v>
      </c>
      <c r="AF11" s="30">
        <f t="shared" si="3"/>
        <v>2796</v>
      </c>
    </row>
    <row r="12" spans="2:32" ht="23.1" customHeight="1" x14ac:dyDescent="0.25">
      <c r="B12" s="22" t="s">
        <v>39</v>
      </c>
      <c r="C12" s="49">
        <v>160</v>
      </c>
      <c r="D12" s="49">
        <v>38</v>
      </c>
      <c r="E12" s="49">
        <v>24</v>
      </c>
      <c r="F12" s="49">
        <v>18</v>
      </c>
      <c r="G12" s="49">
        <v>4</v>
      </c>
      <c r="H12" s="49">
        <v>0</v>
      </c>
      <c r="I12" s="49">
        <v>2</v>
      </c>
      <c r="J12" s="49">
        <v>1</v>
      </c>
      <c r="K12" s="49">
        <v>1</v>
      </c>
      <c r="L12" s="49">
        <v>1</v>
      </c>
      <c r="M12" s="49">
        <v>527</v>
      </c>
      <c r="N12" s="49">
        <v>0</v>
      </c>
      <c r="O12" s="15">
        <f t="shared" si="0"/>
        <v>249</v>
      </c>
      <c r="P12" s="15">
        <f t="shared" si="1"/>
        <v>776</v>
      </c>
      <c r="R12" s="1" t="s">
        <v>8</v>
      </c>
      <c r="S12" s="17">
        <f t="shared" ref="S12:AF12" si="4">SUM(C18:C21)</f>
        <v>990</v>
      </c>
      <c r="T12" s="17">
        <f t="shared" si="4"/>
        <v>139</v>
      </c>
      <c r="U12" s="17">
        <f t="shared" si="4"/>
        <v>94</v>
      </c>
      <c r="V12" s="17">
        <f t="shared" si="4"/>
        <v>48</v>
      </c>
      <c r="W12" s="17">
        <f t="shared" si="4"/>
        <v>4</v>
      </c>
      <c r="X12" s="17">
        <f t="shared" si="4"/>
        <v>1</v>
      </c>
      <c r="Y12" s="17">
        <f t="shared" si="4"/>
        <v>30</v>
      </c>
      <c r="Z12" s="17">
        <f t="shared" si="4"/>
        <v>15</v>
      </c>
      <c r="AA12" s="17">
        <f t="shared" si="4"/>
        <v>7</v>
      </c>
      <c r="AB12" s="17">
        <f t="shared" si="4"/>
        <v>5</v>
      </c>
      <c r="AC12" s="17">
        <f t="shared" si="4"/>
        <v>2231</v>
      </c>
      <c r="AD12" s="17">
        <f t="shared" si="4"/>
        <v>0</v>
      </c>
      <c r="AE12" s="30">
        <f t="shared" si="4"/>
        <v>1333</v>
      </c>
      <c r="AF12" s="30">
        <f t="shared" si="4"/>
        <v>3564</v>
      </c>
    </row>
    <row r="13" spans="2:32" ht="23.1" customHeight="1" x14ac:dyDescent="0.25">
      <c r="B13" s="22" t="s">
        <v>40</v>
      </c>
      <c r="C13" s="49">
        <v>230</v>
      </c>
      <c r="D13" s="49">
        <v>42</v>
      </c>
      <c r="E13" s="49">
        <v>16</v>
      </c>
      <c r="F13" s="49">
        <v>16</v>
      </c>
      <c r="G13" s="49">
        <v>0</v>
      </c>
      <c r="H13" s="49">
        <v>0</v>
      </c>
      <c r="I13" s="49">
        <v>4</v>
      </c>
      <c r="J13" s="49">
        <v>3</v>
      </c>
      <c r="K13" s="49">
        <v>0</v>
      </c>
      <c r="L13" s="49">
        <v>0</v>
      </c>
      <c r="M13" s="49">
        <v>560</v>
      </c>
      <c r="N13" s="49">
        <v>0</v>
      </c>
      <c r="O13" s="15">
        <f t="shared" si="0"/>
        <v>311</v>
      </c>
      <c r="P13" s="15">
        <f t="shared" si="1"/>
        <v>871</v>
      </c>
      <c r="R13" s="1" t="s">
        <v>9</v>
      </c>
      <c r="S13" s="17">
        <f t="shared" ref="S13:AF13" si="5">SUM(C22:C25)</f>
        <v>555</v>
      </c>
      <c r="T13" s="17">
        <f t="shared" si="5"/>
        <v>84</v>
      </c>
      <c r="U13" s="17">
        <f t="shared" si="5"/>
        <v>87</v>
      </c>
      <c r="V13" s="17">
        <f t="shared" si="5"/>
        <v>64</v>
      </c>
      <c r="W13" s="17">
        <f t="shared" si="5"/>
        <v>5</v>
      </c>
      <c r="X13" s="17">
        <f t="shared" si="5"/>
        <v>1</v>
      </c>
      <c r="Y13" s="17">
        <f t="shared" si="5"/>
        <v>30</v>
      </c>
      <c r="Z13" s="17">
        <f t="shared" si="5"/>
        <v>22</v>
      </c>
      <c r="AA13" s="17">
        <f t="shared" si="5"/>
        <v>2</v>
      </c>
      <c r="AB13" s="17">
        <f t="shared" si="5"/>
        <v>8</v>
      </c>
      <c r="AC13" s="17">
        <f t="shared" si="5"/>
        <v>1693</v>
      </c>
      <c r="AD13" s="17">
        <f t="shared" si="5"/>
        <v>0</v>
      </c>
      <c r="AE13" s="30">
        <f t="shared" si="5"/>
        <v>858</v>
      </c>
      <c r="AF13" s="30">
        <f t="shared" si="5"/>
        <v>2551</v>
      </c>
    </row>
    <row r="14" spans="2:32" ht="23.1" customHeight="1" x14ac:dyDescent="0.25">
      <c r="B14" s="22" t="s">
        <v>41</v>
      </c>
      <c r="C14" s="49">
        <v>199</v>
      </c>
      <c r="D14" s="49">
        <v>31</v>
      </c>
      <c r="E14" s="49">
        <v>12</v>
      </c>
      <c r="F14" s="49">
        <v>16</v>
      </c>
      <c r="G14" s="49">
        <v>2</v>
      </c>
      <c r="H14" s="49">
        <v>0</v>
      </c>
      <c r="I14" s="49">
        <v>3</v>
      </c>
      <c r="J14" s="49">
        <v>3</v>
      </c>
      <c r="K14" s="49">
        <v>0</v>
      </c>
      <c r="L14" s="49">
        <v>1</v>
      </c>
      <c r="M14" s="49">
        <v>576</v>
      </c>
      <c r="N14" s="49">
        <v>0</v>
      </c>
      <c r="O14" s="15">
        <f t="shared" si="0"/>
        <v>267</v>
      </c>
      <c r="P14" s="15">
        <f t="shared" si="1"/>
        <v>843</v>
      </c>
      <c r="R14" s="1" t="s">
        <v>10</v>
      </c>
      <c r="S14" s="17">
        <f t="shared" ref="S14:AF14" si="6">SUM(C26:C29)</f>
        <v>552</v>
      </c>
      <c r="T14" s="17">
        <f t="shared" si="6"/>
        <v>92</v>
      </c>
      <c r="U14" s="17">
        <f t="shared" si="6"/>
        <v>68</v>
      </c>
      <c r="V14" s="17">
        <f t="shared" si="6"/>
        <v>46</v>
      </c>
      <c r="W14" s="17">
        <f t="shared" si="6"/>
        <v>0</v>
      </c>
      <c r="X14" s="17">
        <f t="shared" si="6"/>
        <v>0</v>
      </c>
      <c r="Y14" s="17">
        <f t="shared" si="6"/>
        <v>31</v>
      </c>
      <c r="Z14" s="17">
        <f t="shared" si="6"/>
        <v>15</v>
      </c>
      <c r="AA14" s="17">
        <f t="shared" si="6"/>
        <v>2</v>
      </c>
      <c r="AB14" s="17">
        <f t="shared" si="6"/>
        <v>10</v>
      </c>
      <c r="AC14" s="17">
        <f t="shared" si="6"/>
        <v>1633</v>
      </c>
      <c r="AD14" s="17">
        <f t="shared" si="6"/>
        <v>1</v>
      </c>
      <c r="AE14" s="30">
        <f t="shared" si="6"/>
        <v>817</v>
      </c>
      <c r="AF14" s="30">
        <f t="shared" si="6"/>
        <v>2450</v>
      </c>
    </row>
    <row r="15" spans="2:32" ht="23.1" customHeight="1" x14ac:dyDescent="0.25">
      <c r="B15" s="22" t="s">
        <v>42</v>
      </c>
      <c r="C15" s="49">
        <v>160</v>
      </c>
      <c r="D15" s="49">
        <v>23</v>
      </c>
      <c r="E15" s="49">
        <v>14</v>
      </c>
      <c r="F15" s="49">
        <v>12</v>
      </c>
      <c r="G15" s="49">
        <v>0</v>
      </c>
      <c r="H15" s="49">
        <v>0</v>
      </c>
      <c r="I15" s="49">
        <v>2</v>
      </c>
      <c r="J15" s="49">
        <v>4</v>
      </c>
      <c r="K15" s="49">
        <v>0</v>
      </c>
      <c r="L15" s="49">
        <v>2</v>
      </c>
      <c r="M15" s="49">
        <v>417</v>
      </c>
      <c r="N15" s="49">
        <v>0</v>
      </c>
      <c r="O15" s="15">
        <f t="shared" si="0"/>
        <v>217</v>
      </c>
      <c r="P15" s="15">
        <f t="shared" si="1"/>
        <v>634</v>
      </c>
      <c r="R15" s="1" t="s">
        <v>11</v>
      </c>
      <c r="S15" s="17">
        <f t="shared" ref="S15:AF15" si="7">SUM(C30:C33)</f>
        <v>799</v>
      </c>
      <c r="T15" s="17">
        <f t="shared" si="7"/>
        <v>72</v>
      </c>
      <c r="U15" s="17">
        <f t="shared" si="7"/>
        <v>66</v>
      </c>
      <c r="V15" s="17">
        <f t="shared" si="7"/>
        <v>40</v>
      </c>
      <c r="W15" s="17">
        <f t="shared" si="7"/>
        <v>1</v>
      </c>
      <c r="X15" s="17">
        <f t="shared" si="7"/>
        <v>0</v>
      </c>
      <c r="Y15" s="17">
        <f t="shared" si="7"/>
        <v>22</v>
      </c>
      <c r="Z15" s="17">
        <f t="shared" si="7"/>
        <v>20</v>
      </c>
      <c r="AA15" s="17">
        <f t="shared" si="7"/>
        <v>4</v>
      </c>
      <c r="AB15" s="17">
        <f t="shared" si="7"/>
        <v>10</v>
      </c>
      <c r="AC15" s="17">
        <f t="shared" si="7"/>
        <v>1916</v>
      </c>
      <c r="AD15" s="17">
        <f t="shared" si="7"/>
        <v>1</v>
      </c>
      <c r="AE15" s="30">
        <f t="shared" si="7"/>
        <v>1035</v>
      </c>
      <c r="AF15" s="30">
        <f t="shared" si="7"/>
        <v>2951</v>
      </c>
    </row>
    <row r="16" spans="2:32" ht="23.1" customHeight="1" x14ac:dyDescent="0.25">
      <c r="B16" s="22" t="s">
        <v>43</v>
      </c>
      <c r="C16" s="49">
        <v>125</v>
      </c>
      <c r="D16" s="49">
        <v>13</v>
      </c>
      <c r="E16" s="49">
        <v>25</v>
      </c>
      <c r="F16" s="49">
        <v>15</v>
      </c>
      <c r="G16" s="49">
        <v>0</v>
      </c>
      <c r="H16" s="49">
        <v>0</v>
      </c>
      <c r="I16" s="49">
        <v>7</v>
      </c>
      <c r="J16" s="49">
        <v>1</v>
      </c>
      <c r="K16" s="49">
        <v>0</v>
      </c>
      <c r="L16" s="49">
        <v>0</v>
      </c>
      <c r="M16" s="49">
        <v>480</v>
      </c>
      <c r="N16" s="49">
        <v>0</v>
      </c>
      <c r="O16" s="15">
        <f t="shared" si="0"/>
        <v>186</v>
      </c>
      <c r="P16" s="15">
        <f t="shared" si="1"/>
        <v>666</v>
      </c>
      <c r="R16" s="1" t="s">
        <v>12</v>
      </c>
      <c r="S16" s="17">
        <f t="shared" ref="S16:AF16" si="8">SUM(C34:C37)</f>
        <v>622</v>
      </c>
      <c r="T16" s="17">
        <f t="shared" si="8"/>
        <v>72</v>
      </c>
      <c r="U16" s="17">
        <f t="shared" si="8"/>
        <v>51</v>
      </c>
      <c r="V16" s="17">
        <f t="shared" si="8"/>
        <v>24</v>
      </c>
      <c r="W16" s="17">
        <f t="shared" si="8"/>
        <v>0</v>
      </c>
      <c r="X16" s="17">
        <f t="shared" si="8"/>
        <v>0</v>
      </c>
      <c r="Y16" s="17">
        <f t="shared" si="8"/>
        <v>18</v>
      </c>
      <c r="Z16" s="17">
        <f t="shared" si="8"/>
        <v>13</v>
      </c>
      <c r="AA16" s="17">
        <f t="shared" si="8"/>
        <v>4</v>
      </c>
      <c r="AB16" s="17">
        <f t="shared" si="8"/>
        <v>18</v>
      </c>
      <c r="AC16" s="17">
        <f t="shared" si="8"/>
        <v>1603</v>
      </c>
      <c r="AD16" s="17">
        <f t="shared" si="8"/>
        <v>0</v>
      </c>
      <c r="AE16" s="30">
        <f t="shared" si="8"/>
        <v>822</v>
      </c>
      <c r="AF16" s="30">
        <f t="shared" si="8"/>
        <v>2425</v>
      </c>
    </row>
    <row r="17" spans="2:32" ht="23.1" customHeight="1" x14ac:dyDescent="0.25">
      <c r="B17" s="22" t="s">
        <v>44</v>
      </c>
      <c r="C17" s="49">
        <v>260</v>
      </c>
      <c r="D17" s="49">
        <v>57</v>
      </c>
      <c r="E17" s="49">
        <v>16</v>
      </c>
      <c r="F17" s="49">
        <v>19</v>
      </c>
      <c r="G17" s="49">
        <v>1</v>
      </c>
      <c r="H17" s="49">
        <v>0</v>
      </c>
      <c r="I17" s="49">
        <v>7</v>
      </c>
      <c r="J17" s="49">
        <v>3</v>
      </c>
      <c r="K17" s="49">
        <v>1</v>
      </c>
      <c r="L17" s="49">
        <v>1</v>
      </c>
      <c r="M17" s="49">
        <v>288</v>
      </c>
      <c r="N17" s="49">
        <v>0</v>
      </c>
      <c r="O17" s="15">
        <f t="shared" si="0"/>
        <v>365</v>
      </c>
      <c r="P17" s="15">
        <f t="shared" si="1"/>
        <v>653</v>
      </c>
      <c r="R17" s="1" t="s">
        <v>13</v>
      </c>
      <c r="S17" s="17">
        <f t="shared" ref="S17:AF17" si="9">SUM(C38:C41)</f>
        <v>695</v>
      </c>
      <c r="T17" s="17">
        <f t="shared" si="9"/>
        <v>52</v>
      </c>
      <c r="U17" s="17">
        <f t="shared" si="9"/>
        <v>70</v>
      </c>
      <c r="V17" s="17">
        <f t="shared" si="9"/>
        <v>45</v>
      </c>
      <c r="W17" s="17">
        <f t="shared" si="9"/>
        <v>1</v>
      </c>
      <c r="X17" s="17">
        <f t="shared" si="9"/>
        <v>0</v>
      </c>
      <c r="Y17" s="17">
        <f t="shared" si="9"/>
        <v>28</v>
      </c>
      <c r="Z17" s="17">
        <f t="shared" si="9"/>
        <v>15</v>
      </c>
      <c r="AA17" s="17">
        <f t="shared" si="9"/>
        <v>2</v>
      </c>
      <c r="AB17" s="17">
        <f t="shared" si="9"/>
        <v>11</v>
      </c>
      <c r="AC17" s="17">
        <f t="shared" si="9"/>
        <v>1515</v>
      </c>
      <c r="AD17" s="17">
        <f t="shared" si="9"/>
        <v>0</v>
      </c>
      <c r="AE17" s="30">
        <f t="shared" si="9"/>
        <v>919</v>
      </c>
      <c r="AF17" s="30">
        <f t="shared" si="9"/>
        <v>2434</v>
      </c>
    </row>
    <row r="18" spans="2:32" ht="23.1" customHeight="1" x14ac:dyDescent="0.25">
      <c r="B18" s="22" t="s">
        <v>45</v>
      </c>
      <c r="C18" s="49">
        <v>305</v>
      </c>
      <c r="D18" s="49">
        <v>51</v>
      </c>
      <c r="E18" s="49">
        <v>32</v>
      </c>
      <c r="F18" s="49">
        <v>17</v>
      </c>
      <c r="G18" s="49">
        <v>0</v>
      </c>
      <c r="H18" s="49">
        <v>0</v>
      </c>
      <c r="I18" s="49">
        <v>8</v>
      </c>
      <c r="J18" s="49">
        <v>4</v>
      </c>
      <c r="K18" s="49">
        <v>3</v>
      </c>
      <c r="L18" s="49">
        <v>2</v>
      </c>
      <c r="M18" s="49">
        <v>560</v>
      </c>
      <c r="N18" s="49">
        <v>0</v>
      </c>
      <c r="O18" s="15">
        <f t="shared" si="0"/>
        <v>422</v>
      </c>
      <c r="P18" s="15">
        <f t="shared" si="1"/>
        <v>982</v>
      </c>
      <c r="R18" s="1" t="s">
        <v>14</v>
      </c>
      <c r="S18" s="17">
        <f t="shared" ref="S18:AF18" si="10">SUM(C42:C45)</f>
        <v>575</v>
      </c>
      <c r="T18" s="17">
        <f t="shared" si="10"/>
        <v>61</v>
      </c>
      <c r="U18" s="17">
        <f t="shared" si="10"/>
        <v>82</v>
      </c>
      <c r="V18" s="17">
        <f t="shared" si="10"/>
        <v>50</v>
      </c>
      <c r="W18" s="17">
        <f t="shared" si="10"/>
        <v>1</v>
      </c>
      <c r="X18" s="17">
        <f t="shared" si="10"/>
        <v>1</v>
      </c>
      <c r="Y18" s="17">
        <f t="shared" si="10"/>
        <v>20</v>
      </c>
      <c r="Z18" s="17">
        <f t="shared" si="10"/>
        <v>19</v>
      </c>
      <c r="AA18" s="17">
        <f t="shared" si="10"/>
        <v>9</v>
      </c>
      <c r="AB18" s="17">
        <f t="shared" si="10"/>
        <v>7</v>
      </c>
      <c r="AC18" s="17">
        <f t="shared" si="10"/>
        <v>1434</v>
      </c>
      <c r="AD18" s="17">
        <f t="shared" si="10"/>
        <v>1</v>
      </c>
      <c r="AE18" s="30">
        <f t="shared" si="10"/>
        <v>826</v>
      </c>
      <c r="AF18" s="30">
        <f t="shared" si="10"/>
        <v>2260</v>
      </c>
    </row>
    <row r="19" spans="2:32" ht="23.1" customHeight="1" x14ac:dyDescent="0.25">
      <c r="B19" s="22" t="s">
        <v>46</v>
      </c>
      <c r="C19" s="49">
        <v>217</v>
      </c>
      <c r="D19" s="49">
        <v>30</v>
      </c>
      <c r="E19" s="49">
        <v>20</v>
      </c>
      <c r="F19" s="49">
        <v>7</v>
      </c>
      <c r="G19" s="49">
        <v>1</v>
      </c>
      <c r="H19" s="49">
        <v>0</v>
      </c>
      <c r="I19" s="49">
        <v>8</v>
      </c>
      <c r="J19" s="49">
        <v>3</v>
      </c>
      <c r="K19" s="49">
        <v>0</v>
      </c>
      <c r="L19" s="49">
        <v>0</v>
      </c>
      <c r="M19" s="49">
        <v>502</v>
      </c>
      <c r="N19" s="49">
        <v>0</v>
      </c>
      <c r="O19" s="15">
        <f t="shared" si="0"/>
        <v>286</v>
      </c>
      <c r="P19" s="15">
        <f t="shared" si="1"/>
        <v>788</v>
      </c>
      <c r="R19" s="1" t="s">
        <v>15</v>
      </c>
      <c r="S19" s="17">
        <f t="shared" ref="S19:AF19" si="11">SUM(C46:C49)</f>
        <v>449</v>
      </c>
      <c r="T19" s="17">
        <f t="shared" si="11"/>
        <v>80</v>
      </c>
      <c r="U19" s="17">
        <f t="shared" si="11"/>
        <v>106</v>
      </c>
      <c r="V19" s="17">
        <f t="shared" si="11"/>
        <v>49</v>
      </c>
      <c r="W19" s="17">
        <f t="shared" si="11"/>
        <v>3</v>
      </c>
      <c r="X19" s="17">
        <f t="shared" si="11"/>
        <v>0</v>
      </c>
      <c r="Y19" s="17">
        <f t="shared" si="11"/>
        <v>21</v>
      </c>
      <c r="Z19" s="17">
        <f t="shared" si="11"/>
        <v>22</v>
      </c>
      <c r="AA19" s="17">
        <f t="shared" si="11"/>
        <v>1</v>
      </c>
      <c r="AB19" s="17">
        <f t="shared" si="11"/>
        <v>14</v>
      </c>
      <c r="AC19" s="17">
        <f t="shared" si="11"/>
        <v>1335</v>
      </c>
      <c r="AD19" s="17">
        <f t="shared" si="11"/>
        <v>0</v>
      </c>
      <c r="AE19" s="30">
        <f t="shared" si="11"/>
        <v>745</v>
      </c>
      <c r="AF19" s="30">
        <f t="shared" si="11"/>
        <v>2080</v>
      </c>
    </row>
    <row r="20" spans="2:32" ht="23.1" customHeight="1" x14ac:dyDescent="0.25">
      <c r="B20" s="22" t="s">
        <v>47</v>
      </c>
      <c r="C20" s="49">
        <v>253</v>
      </c>
      <c r="D20" s="49">
        <v>32</v>
      </c>
      <c r="E20" s="49">
        <v>16</v>
      </c>
      <c r="F20" s="49">
        <v>14</v>
      </c>
      <c r="G20" s="49">
        <v>1</v>
      </c>
      <c r="H20" s="49">
        <v>0</v>
      </c>
      <c r="I20" s="49">
        <v>6</v>
      </c>
      <c r="J20" s="49">
        <v>2</v>
      </c>
      <c r="K20" s="49">
        <v>2</v>
      </c>
      <c r="L20" s="49">
        <v>2</v>
      </c>
      <c r="M20" s="49">
        <v>643</v>
      </c>
      <c r="N20" s="49">
        <v>0</v>
      </c>
      <c r="O20" s="15">
        <f t="shared" si="0"/>
        <v>328</v>
      </c>
      <c r="P20" s="15">
        <f t="shared" si="1"/>
        <v>971</v>
      </c>
      <c r="R20" s="1" t="s">
        <v>16</v>
      </c>
      <c r="S20" s="17">
        <f t="shared" ref="S20:AF20" si="12">SUM(C50:C53)</f>
        <v>649</v>
      </c>
      <c r="T20" s="17">
        <f t="shared" si="12"/>
        <v>136</v>
      </c>
      <c r="U20" s="17">
        <f t="shared" si="12"/>
        <v>53</v>
      </c>
      <c r="V20" s="17">
        <f t="shared" si="12"/>
        <v>47</v>
      </c>
      <c r="W20" s="17">
        <f t="shared" si="12"/>
        <v>6</v>
      </c>
      <c r="X20" s="17">
        <f t="shared" si="12"/>
        <v>0</v>
      </c>
      <c r="Y20" s="17">
        <f t="shared" si="12"/>
        <v>19</v>
      </c>
      <c r="Z20" s="17">
        <f t="shared" si="12"/>
        <v>15</v>
      </c>
      <c r="AA20" s="17">
        <f t="shared" si="12"/>
        <v>5</v>
      </c>
      <c r="AB20" s="17">
        <f t="shared" si="12"/>
        <v>10</v>
      </c>
      <c r="AC20" s="17">
        <f t="shared" si="12"/>
        <v>1372</v>
      </c>
      <c r="AD20" s="17">
        <f t="shared" si="12"/>
        <v>0</v>
      </c>
      <c r="AE20" s="30">
        <f t="shared" si="12"/>
        <v>940</v>
      </c>
      <c r="AF20" s="30">
        <f t="shared" si="12"/>
        <v>2312</v>
      </c>
    </row>
    <row r="21" spans="2:32" ht="23.1" customHeight="1" x14ac:dyDescent="0.25">
      <c r="B21" s="22" t="s">
        <v>48</v>
      </c>
      <c r="C21" s="49">
        <v>215</v>
      </c>
      <c r="D21" s="49">
        <v>26</v>
      </c>
      <c r="E21" s="49">
        <v>26</v>
      </c>
      <c r="F21" s="49">
        <v>10</v>
      </c>
      <c r="G21" s="49">
        <v>2</v>
      </c>
      <c r="H21" s="49">
        <v>1</v>
      </c>
      <c r="I21" s="49">
        <v>8</v>
      </c>
      <c r="J21" s="49">
        <v>6</v>
      </c>
      <c r="K21" s="49">
        <v>2</v>
      </c>
      <c r="L21" s="49">
        <v>1</v>
      </c>
      <c r="M21" s="49">
        <v>526</v>
      </c>
      <c r="N21" s="49">
        <v>0</v>
      </c>
      <c r="O21" s="15">
        <f t="shared" si="0"/>
        <v>297</v>
      </c>
      <c r="P21" s="15">
        <f t="shared" si="1"/>
        <v>823</v>
      </c>
      <c r="R21" s="35" t="s">
        <v>20</v>
      </c>
      <c r="S21" s="33">
        <f t="shared" ref="S21:AF21" si="13">SUM(C54:C57)</f>
        <v>471</v>
      </c>
      <c r="T21" s="17">
        <f t="shared" si="13"/>
        <v>75</v>
      </c>
      <c r="U21" s="17">
        <f t="shared" si="13"/>
        <v>48</v>
      </c>
      <c r="V21" s="17">
        <f t="shared" si="13"/>
        <v>39</v>
      </c>
      <c r="W21" s="17">
        <f t="shared" si="13"/>
        <v>4</v>
      </c>
      <c r="X21" s="17">
        <f t="shared" si="13"/>
        <v>2</v>
      </c>
      <c r="Y21" s="17">
        <f t="shared" si="13"/>
        <v>18</v>
      </c>
      <c r="Z21" s="17">
        <f t="shared" si="13"/>
        <v>11</v>
      </c>
      <c r="AA21" s="17">
        <f t="shared" si="13"/>
        <v>4</v>
      </c>
      <c r="AB21" s="17">
        <f t="shared" si="13"/>
        <v>7</v>
      </c>
      <c r="AC21" s="17">
        <f t="shared" si="13"/>
        <v>1221</v>
      </c>
      <c r="AD21" s="17">
        <f t="shared" si="13"/>
        <v>0</v>
      </c>
      <c r="AE21" s="30">
        <f t="shared" si="13"/>
        <v>679</v>
      </c>
      <c r="AF21" s="30">
        <f t="shared" si="13"/>
        <v>1900</v>
      </c>
    </row>
    <row r="22" spans="2:32" ht="23.1" customHeight="1" x14ac:dyDescent="0.25">
      <c r="B22" s="22" t="s">
        <v>49</v>
      </c>
      <c r="C22" s="49">
        <v>225</v>
      </c>
      <c r="D22" s="49">
        <v>27</v>
      </c>
      <c r="E22" s="49">
        <v>30</v>
      </c>
      <c r="F22" s="49">
        <v>13</v>
      </c>
      <c r="G22" s="49">
        <v>1</v>
      </c>
      <c r="H22" s="49">
        <v>0</v>
      </c>
      <c r="I22" s="49">
        <v>11</v>
      </c>
      <c r="J22" s="49">
        <v>2</v>
      </c>
      <c r="K22" s="49">
        <v>0</v>
      </c>
      <c r="L22" s="49">
        <v>4</v>
      </c>
      <c r="M22" s="49">
        <v>422</v>
      </c>
      <c r="N22" s="49">
        <v>0</v>
      </c>
      <c r="O22" s="15">
        <f t="shared" si="0"/>
        <v>313</v>
      </c>
      <c r="P22" s="15">
        <f t="shared" si="1"/>
        <v>735</v>
      </c>
      <c r="R22" s="37" t="s">
        <v>90</v>
      </c>
      <c r="S22" s="38">
        <f>MAX(S10:S12)</f>
        <v>990</v>
      </c>
      <c r="T22" s="38">
        <f t="shared" ref="T22:AF22" si="14">MAX(T10:T12)</f>
        <v>139</v>
      </c>
      <c r="U22" s="38">
        <f t="shared" si="14"/>
        <v>94</v>
      </c>
      <c r="V22" s="38">
        <f t="shared" si="14"/>
        <v>62</v>
      </c>
      <c r="W22" s="38">
        <f t="shared" si="14"/>
        <v>4</v>
      </c>
      <c r="X22" s="38">
        <f t="shared" si="14"/>
        <v>1</v>
      </c>
      <c r="Y22" s="38">
        <f t="shared" si="14"/>
        <v>30</v>
      </c>
      <c r="Z22" s="38">
        <f t="shared" si="14"/>
        <v>15</v>
      </c>
      <c r="AA22" s="38">
        <f t="shared" si="14"/>
        <v>7</v>
      </c>
      <c r="AB22" s="38">
        <f t="shared" si="14"/>
        <v>5</v>
      </c>
      <c r="AC22" s="38">
        <f t="shared" si="14"/>
        <v>2231</v>
      </c>
      <c r="AD22" s="38">
        <f t="shared" si="14"/>
        <v>1</v>
      </c>
      <c r="AE22" s="39">
        <f t="shared" si="14"/>
        <v>1333</v>
      </c>
      <c r="AF22" s="39">
        <f t="shared" si="14"/>
        <v>3564</v>
      </c>
    </row>
    <row r="23" spans="2:32" ht="23.1" customHeight="1" x14ac:dyDescent="0.25">
      <c r="B23" s="22" t="s">
        <v>50</v>
      </c>
      <c r="C23" s="49">
        <v>110</v>
      </c>
      <c r="D23" s="49">
        <v>17</v>
      </c>
      <c r="E23" s="49">
        <v>19</v>
      </c>
      <c r="F23" s="49">
        <v>17</v>
      </c>
      <c r="G23" s="49">
        <v>0</v>
      </c>
      <c r="H23" s="49">
        <v>0</v>
      </c>
      <c r="I23" s="49">
        <v>8</v>
      </c>
      <c r="J23" s="49">
        <v>7</v>
      </c>
      <c r="K23" s="49">
        <v>0</v>
      </c>
      <c r="L23" s="49">
        <v>0</v>
      </c>
      <c r="M23" s="49">
        <v>442</v>
      </c>
      <c r="N23" s="49">
        <v>0</v>
      </c>
      <c r="O23" s="15">
        <f t="shared" si="0"/>
        <v>178</v>
      </c>
      <c r="P23" s="15">
        <f t="shared" si="1"/>
        <v>620</v>
      </c>
      <c r="R23" s="37" t="s">
        <v>91</v>
      </c>
      <c r="S23" s="38">
        <f>MAX(S13:S18)</f>
        <v>799</v>
      </c>
      <c r="T23" s="38">
        <f t="shared" ref="T23:AF23" si="15">MAX(T13:T18)</f>
        <v>92</v>
      </c>
      <c r="U23" s="38">
        <f t="shared" si="15"/>
        <v>87</v>
      </c>
      <c r="V23" s="38">
        <f t="shared" si="15"/>
        <v>64</v>
      </c>
      <c r="W23" s="38">
        <f t="shared" si="15"/>
        <v>5</v>
      </c>
      <c r="X23" s="38">
        <f t="shared" si="15"/>
        <v>1</v>
      </c>
      <c r="Y23" s="38">
        <f t="shared" si="15"/>
        <v>31</v>
      </c>
      <c r="Z23" s="38">
        <f t="shared" si="15"/>
        <v>22</v>
      </c>
      <c r="AA23" s="38">
        <f t="shared" si="15"/>
        <v>9</v>
      </c>
      <c r="AB23" s="38">
        <f t="shared" si="15"/>
        <v>18</v>
      </c>
      <c r="AC23" s="38">
        <f t="shared" si="15"/>
        <v>1916</v>
      </c>
      <c r="AD23" s="38">
        <f t="shared" si="15"/>
        <v>1</v>
      </c>
      <c r="AE23" s="39">
        <f t="shared" si="15"/>
        <v>1035</v>
      </c>
      <c r="AF23" s="39">
        <f t="shared" si="15"/>
        <v>2951</v>
      </c>
    </row>
    <row r="24" spans="2:32" ht="23.1" customHeight="1" x14ac:dyDescent="0.25">
      <c r="B24" s="22" t="s">
        <v>51</v>
      </c>
      <c r="C24" s="49">
        <v>95</v>
      </c>
      <c r="D24" s="49">
        <v>15</v>
      </c>
      <c r="E24" s="49">
        <v>17</v>
      </c>
      <c r="F24" s="49">
        <v>13</v>
      </c>
      <c r="G24" s="49">
        <v>2</v>
      </c>
      <c r="H24" s="49">
        <v>0</v>
      </c>
      <c r="I24" s="49">
        <v>6</v>
      </c>
      <c r="J24" s="49">
        <v>5</v>
      </c>
      <c r="K24" s="49">
        <v>0</v>
      </c>
      <c r="L24" s="49">
        <v>1</v>
      </c>
      <c r="M24" s="49">
        <v>453</v>
      </c>
      <c r="N24" s="49">
        <v>0</v>
      </c>
      <c r="O24" s="15">
        <f t="shared" si="0"/>
        <v>154</v>
      </c>
      <c r="P24" s="15">
        <f t="shared" si="1"/>
        <v>607</v>
      </c>
      <c r="R24" s="37" t="s">
        <v>92</v>
      </c>
      <c r="S24" s="38">
        <f>MAX(S19:S21)</f>
        <v>649</v>
      </c>
      <c r="T24" s="38">
        <f t="shared" ref="T24:AF24" si="16">MAX(T19:T21)</f>
        <v>136</v>
      </c>
      <c r="U24" s="38">
        <f t="shared" si="16"/>
        <v>106</v>
      </c>
      <c r="V24" s="38">
        <f t="shared" si="16"/>
        <v>49</v>
      </c>
      <c r="W24" s="38">
        <f t="shared" si="16"/>
        <v>6</v>
      </c>
      <c r="X24" s="38">
        <f t="shared" si="16"/>
        <v>2</v>
      </c>
      <c r="Y24" s="38">
        <f t="shared" si="16"/>
        <v>21</v>
      </c>
      <c r="Z24" s="38">
        <f t="shared" si="16"/>
        <v>22</v>
      </c>
      <c r="AA24" s="38">
        <f t="shared" si="16"/>
        <v>5</v>
      </c>
      <c r="AB24" s="38">
        <f t="shared" si="16"/>
        <v>14</v>
      </c>
      <c r="AC24" s="38">
        <f t="shared" si="16"/>
        <v>1372</v>
      </c>
      <c r="AD24" s="38">
        <f t="shared" si="16"/>
        <v>0</v>
      </c>
      <c r="AE24" s="39">
        <f t="shared" si="16"/>
        <v>940</v>
      </c>
      <c r="AF24" s="39">
        <f t="shared" si="16"/>
        <v>2312</v>
      </c>
    </row>
    <row r="25" spans="2:32" ht="23.1" customHeight="1" x14ac:dyDescent="0.25">
      <c r="B25" s="22" t="s">
        <v>52</v>
      </c>
      <c r="C25" s="49">
        <v>125</v>
      </c>
      <c r="D25" s="49">
        <v>25</v>
      </c>
      <c r="E25" s="49">
        <v>21</v>
      </c>
      <c r="F25" s="49">
        <v>21</v>
      </c>
      <c r="G25" s="49">
        <v>2</v>
      </c>
      <c r="H25" s="49">
        <v>1</v>
      </c>
      <c r="I25" s="49">
        <v>5</v>
      </c>
      <c r="J25" s="49">
        <v>8</v>
      </c>
      <c r="K25" s="49">
        <v>2</v>
      </c>
      <c r="L25" s="49">
        <v>3</v>
      </c>
      <c r="M25" s="49">
        <v>376</v>
      </c>
      <c r="N25" s="49">
        <v>0</v>
      </c>
      <c r="O25" s="15">
        <f t="shared" si="0"/>
        <v>213</v>
      </c>
      <c r="P25" s="15">
        <f t="shared" si="1"/>
        <v>589</v>
      </c>
      <c r="R25" s="36" t="s">
        <v>85</v>
      </c>
      <c r="S25" s="34">
        <f t="shared" ref="S25:AF25" si="17">SUM(S10:S12)</f>
        <v>2231</v>
      </c>
      <c r="T25" s="16">
        <f t="shared" si="17"/>
        <v>363</v>
      </c>
      <c r="U25" s="16">
        <f t="shared" si="17"/>
        <v>219</v>
      </c>
      <c r="V25" s="16">
        <f t="shared" si="17"/>
        <v>155</v>
      </c>
      <c r="W25" s="16">
        <f t="shared" si="17"/>
        <v>11</v>
      </c>
      <c r="X25" s="16">
        <f t="shared" si="17"/>
        <v>1</v>
      </c>
      <c r="Y25" s="16">
        <f t="shared" si="17"/>
        <v>59</v>
      </c>
      <c r="Z25" s="16">
        <f t="shared" si="17"/>
        <v>31</v>
      </c>
      <c r="AA25" s="16">
        <f t="shared" si="17"/>
        <v>9</v>
      </c>
      <c r="AB25" s="16">
        <f t="shared" si="17"/>
        <v>11</v>
      </c>
      <c r="AC25" s="16">
        <f t="shared" si="17"/>
        <v>5751</v>
      </c>
      <c r="AD25" s="16">
        <f t="shared" si="17"/>
        <v>1</v>
      </c>
      <c r="AE25" s="31">
        <f t="shared" si="17"/>
        <v>3091</v>
      </c>
      <c r="AF25" s="31">
        <f t="shared" si="17"/>
        <v>8842</v>
      </c>
    </row>
    <row r="26" spans="2:32" ht="23.1" customHeight="1" x14ac:dyDescent="0.25">
      <c r="B26" s="22" t="s">
        <v>53</v>
      </c>
      <c r="C26" s="49">
        <v>110</v>
      </c>
      <c r="D26" s="49">
        <v>23</v>
      </c>
      <c r="E26" s="49">
        <v>23</v>
      </c>
      <c r="F26" s="49">
        <v>8</v>
      </c>
      <c r="G26" s="49">
        <v>0</v>
      </c>
      <c r="H26" s="49">
        <v>0</v>
      </c>
      <c r="I26" s="49">
        <v>3</v>
      </c>
      <c r="J26" s="49">
        <v>4</v>
      </c>
      <c r="K26" s="49">
        <v>0</v>
      </c>
      <c r="L26" s="49">
        <v>1</v>
      </c>
      <c r="M26" s="49">
        <v>419</v>
      </c>
      <c r="N26" s="49">
        <v>0</v>
      </c>
      <c r="O26" s="15">
        <f t="shared" si="0"/>
        <v>172</v>
      </c>
      <c r="P26" s="15">
        <f t="shared" si="1"/>
        <v>591</v>
      </c>
      <c r="R26" s="27" t="s">
        <v>86</v>
      </c>
      <c r="S26" s="16">
        <f t="shared" ref="S26:AF26" si="18">SUM(S13:S18)</f>
        <v>3798</v>
      </c>
      <c r="T26" s="16">
        <f t="shared" si="18"/>
        <v>433</v>
      </c>
      <c r="U26" s="16">
        <f t="shared" si="18"/>
        <v>424</v>
      </c>
      <c r="V26" s="16">
        <f t="shared" si="18"/>
        <v>269</v>
      </c>
      <c r="W26" s="16">
        <f t="shared" si="18"/>
        <v>8</v>
      </c>
      <c r="X26" s="16">
        <f t="shared" si="18"/>
        <v>2</v>
      </c>
      <c r="Y26" s="16">
        <f t="shared" si="18"/>
        <v>149</v>
      </c>
      <c r="Z26" s="16">
        <f t="shared" si="18"/>
        <v>104</v>
      </c>
      <c r="AA26" s="16">
        <f t="shared" si="18"/>
        <v>23</v>
      </c>
      <c r="AB26" s="16">
        <f t="shared" si="18"/>
        <v>64</v>
      </c>
      <c r="AC26" s="16">
        <f t="shared" si="18"/>
        <v>9794</v>
      </c>
      <c r="AD26" s="16">
        <f t="shared" si="18"/>
        <v>3</v>
      </c>
      <c r="AE26" s="31">
        <f t="shared" si="18"/>
        <v>5277</v>
      </c>
      <c r="AF26" s="31">
        <f t="shared" si="18"/>
        <v>15071</v>
      </c>
    </row>
    <row r="27" spans="2:32" ht="23.1" customHeight="1" x14ac:dyDescent="0.25">
      <c r="B27" s="22" t="s">
        <v>54</v>
      </c>
      <c r="C27" s="49">
        <v>140</v>
      </c>
      <c r="D27" s="49">
        <v>28</v>
      </c>
      <c r="E27" s="49">
        <v>15</v>
      </c>
      <c r="F27" s="49">
        <v>12</v>
      </c>
      <c r="G27" s="49">
        <v>0</v>
      </c>
      <c r="H27" s="49">
        <v>0</v>
      </c>
      <c r="I27" s="49">
        <v>3</v>
      </c>
      <c r="J27" s="49">
        <v>5</v>
      </c>
      <c r="K27" s="49">
        <v>0</v>
      </c>
      <c r="L27" s="49">
        <v>0</v>
      </c>
      <c r="M27" s="49">
        <v>450</v>
      </c>
      <c r="N27" s="49">
        <v>0</v>
      </c>
      <c r="O27" s="15">
        <f t="shared" si="0"/>
        <v>203</v>
      </c>
      <c r="P27" s="15">
        <f t="shared" si="1"/>
        <v>653</v>
      </c>
      <c r="R27" s="28" t="s">
        <v>87</v>
      </c>
      <c r="S27" s="16">
        <f t="shared" ref="S27:AF27" si="19">SUM(S19:S21)</f>
        <v>1569</v>
      </c>
      <c r="T27" s="16">
        <f t="shared" si="19"/>
        <v>291</v>
      </c>
      <c r="U27" s="16">
        <f t="shared" si="19"/>
        <v>207</v>
      </c>
      <c r="V27" s="16">
        <f t="shared" si="19"/>
        <v>135</v>
      </c>
      <c r="W27" s="16">
        <f t="shared" si="19"/>
        <v>13</v>
      </c>
      <c r="X27" s="16">
        <f t="shared" si="19"/>
        <v>2</v>
      </c>
      <c r="Y27" s="16">
        <f t="shared" si="19"/>
        <v>58</v>
      </c>
      <c r="Z27" s="16">
        <f t="shared" si="19"/>
        <v>48</v>
      </c>
      <c r="AA27" s="16">
        <f t="shared" si="19"/>
        <v>10</v>
      </c>
      <c r="AB27" s="16">
        <f t="shared" si="19"/>
        <v>31</v>
      </c>
      <c r="AC27" s="16">
        <f t="shared" si="19"/>
        <v>3928</v>
      </c>
      <c r="AD27" s="16">
        <f t="shared" si="19"/>
        <v>0</v>
      </c>
      <c r="AE27" s="31">
        <f t="shared" si="19"/>
        <v>2364</v>
      </c>
      <c r="AF27" s="31">
        <f t="shared" si="19"/>
        <v>6292</v>
      </c>
    </row>
    <row r="28" spans="2:32" ht="23.1" customHeight="1" x14ac:dyDescent="0.25">
      <c r="B28" s="22" t="s">
        <v>55</v>
      </c>
      <c r="C28" s="49">
        <v>160</v>
      </c>
      <c r="D28" s="49">
        <v>18</v>
      </c>
      <c r="E28" s="49">
        <v>18</v>
      </c>
      <c r="F28" s="49">
        <v>13</v>
      </c>
      <c r="G28" s="49">
        <v>0</v>
      </c>
      <c r="H28" s="49">
        <v>0</v>
      </c>
      <c r="I28" s="49">
        <v>6</v>
      </c>
      <c r="J28" s="49">
        <v>3</v>
      </c>
      <c r="K28" s="49">
        <v>1</v>
      </c>
      <c r="L28" s="49">
        <v>3</v>
      </c>
      <c r="M28" s="49">
        <v>364</v>
      </c>
      <c r="N28" s="49">
        <v>0</v>
      </c>
      <c r="O28" s="15">
        <f t="shared" si="0"/>
        <v>222</v>
      </c>
      <c r="P28" s="15">
        <f t="shared" si="1"/>
        <v>586</v>
      </c>
      <c r="R28" s="5" t="s">
        <v>17</v>
      </c>
      <c r="S28" s="16">
        <f t="shared" ref="S28:AF28" si="20">SUM(S10:S21)</f>
        <v>7598</v>
      </c>
      <c r="T28" s="16">
        <f t="shared" si="20"/>
        <v>1087</v>
      </c>
      <c r="U28" s="16">
        <f t="shared" si="20"/>
        <v>850</v>
      </c>
      <c r="V28" s="16">
        <f t="shared" si="20"/>
        <v>559</v>
      </c>
      <c r="W28" s="16">
        <f t="shared" si="20"/>
        <v>32</v>
      </c>
      <c r="X28" s="16">
        <f t="shared" si="20"/>
        <v>5</v>
      </c>
      <c r="Y28" s="16">
        <f t="shared" si="20"/>
        <v>266</v>
      </c>
      <c r="Z28" s="16">
        <f t="shared" si="20"/>
        <v>183</v>
      </c>
      <c r="AA28" s="16">
        <f t="shared" si="20"/>
        <v>42</v>
      </c>
      <c r="AB28" s="16">
        <f t="shared" si="20"/>
        <v>106</v>
      </c>
      <c r="AC28" s="16">
        <f t="shared" si="20"/>
        <v>19473</v>
      </c>
      <c r="AD28" s="16">
        <f t="shared" si="20"/>
        <v>4</v>
      </c>
      <c r="AE28" s="31">
        <f t="shared" si="20"/>
        <v>10732</v>
      </c>
      <c r="AF28" s="31">
        <f t="shared" si="20"/>
        <v>30205</v>
      </c>
    </row>
    <row r="29" spans="2:32" ht="23.1" customHeight="1" x14ac:dyDescent="0.25">
      <c r="B29" s="22" t="s">
        <v>56</v>
      </c>
      <c r="C29" s="49">
        <v>142</v>
      </c>
      <c r="D29" s="49">
        <v>23</v>
      </c>
      <c r="E29" s="49">
        <v>12</v>
      </c>
      <c r="F29" s="49">
        <v>13</v>
      </c>
      <c r="G29" s="49">
        <v>0</v>
      </c>
      <c r="H29" s="49">
        <v>0</v>
      </c>
      <c r="I29" s="49">
        <v>19</v>
      </c>
      <c r="J29" s="49">
        <v>3</v>
      </c>
      <c r="K29" s="49">
        <v>1</v>
      </c>
      <c r="L29" s="49">
        <v>6</v>
      </c>
      <c r="M29" s="49">
        <v>400</v>
      </c>
      <c r="N29" s="49">
        <v>1</v>
      </c>
      <c r="O29" s="15">
        <f t="shared" si="0"/>
        <v>220</v>
      </c>
      <c r="P29" s="15">
        <f t="shared" si="1"/>
        <v>620</v>
      </c>
      <c r="R29"/>
      <c r="S29" s="20"/>
      <c r="T29" s="19"/>
    </row>
    <row r="30" spans="2:32" ht="23.1" customHeight="1" x14ac:dyDescent="0.25">
      <c r="B30" s="22" t="s">
        <v>57</v>
      </c>
      <c r="C30" s="49">
        <v>105</v>
      </c>
      <c r="D30" s="49">
        <v>15</v>
      </c>
      <c r="E30" s="49">
        <v>19</v>
      </c>
      <c r="F30" s="49">
        <v>11</v>
      </c>
      <c r="G30" s="49">
        <v>1</v>
      </c>
      <c r="H30" s="49">
        <v>0</v>
      </c>
      <c r="I30" s="49">
        <v>4</v>
      </c>
      <c r="J30" s="49">
        <v>7</v>
      </c>
      <c r="K30" s="49">
        <v>1</v>
      </c>
      <c r="L30" s="49">
        <v>2</v>
      </c>
      <c r="M30" s="49">
        <v>511</v>
      </c>
      <c r="N30" s="49">
        <v>0</v>
      </c>
      <c r="O30" s="15">
        <f t="shared" si="0"/>
        <v>165</v>
      </c>
      <c r="P30" s="15">
        <f t="shared" si="1"/>
        <v>676</v>
      </c>
    </row>
    <row r="31" spans="2:32" ht="23.1" customHeight="1" x14ac:dyDescent="0.25">
      <c r="B31" s="23" t="s">
        <v>58</v>
      </c>
      <c r="C31" s="49">
        <v>224</v>
      </c>
      <c r="D31" s="49">
        <v>22</v>
      </c>
      <c r="E31" s="49">
        <v>8</v>
      </c>
      <c r="F31" s="49">
        <v>10</v>
      </c>
      <c r="G31" s="49">
        <v>0</v>
      </c>
      <c r="H31" s="49">
        <v>0</v>
      </c>
      <c r="I31" s="49">
        <v>8</v>
      </c>
      <c r="J31" s="49">
        <v>7</v>
      </c>
      <c r="K31" s="49">
        <v>1</v>
      </c>
      <c r="L31" s="49">
        <v>3</v>
      </c>
      <c r="M31" s="49">
        <v>560</v>
      </c>
      <c r="N31" s="49">
        <v>1</v>
      </c>
      <c r="O31" s="15">
        <f t="shared" si="0"/>
        <v>284</v>
      </c>
      <c r="P31" s="15">
        <f t="shared" si="1"/>
        <v>844</v>
      </c>
    </row>
    <row r="32" spans="2:32" ht="23.1" customHeight="1" x14ac:dyDescent="0.25">
      <c r="B32" s="23" t="s">
        <v>59</v>
      </c>
      <c r="C32" s="49">
        <v>210</v>
      </c>
      <c r="D32" s="49">
        <v>22</v>
      </c>
      <c r="E32" s="49">
        <v>22</v>
      </c>
      <c r="F32" s="49">
        <v>8</v>
      </c>
      <c r="G32" s="49">
        <v>0</v>
      </c>
      <c r="H32" s="49">
        <v>0</v>
      </c>
      <c r="I32" s="49">
        <v>6</v>
      </c>
      <c r="J32" s="49">
        <v>2</v>
      </c>
      <c r="K32" s="49">
        <v>0</v>
      </c>
      <c r="L32" s="49">
        <v>1</v>
      </c>
      <c r="M32" s="49">
        <v>425</v>
      </c>
      <c r="N32" s="49">
        <v>0</v>
      </c>
      <c r="O32" s="15">
        <f t="shared" si="0"/>
        <v>271</v>
      </c>
      <c r="P32" s="15">
        <f t="shared" si="1"/>
        <v>696</v>
      </c>
    </row>
    <row r="33" spans="2:20" ht="23.1" customHeight="1" x14ac:dyDescent="0.25">
      <c r="B33" s="22" t="s">
        <v>60</v>
      </c>
      <c r="C33" s="49">
        <v>260</v>
      </c>
      <c r="D33" s="49">
        <v>13</v>
      </c>
      <c r="E33" s="49">
        <v>17</v>
      </c>
      <c r="F33" s="49">
        <v>11</v>
      </c>
      <c r="G33" s="49">
        <v>0</v>
      </c>
      <c r="H33" s="49">
        <v>0</v>
      </c>
      <c r="I33" s="49">
        <v>4</v>
      </c>
      <c r="J33" s="49">
        <v>4</v>
      </c>
      <c r="K33" s="49">
        <v>2</v>
      </c>
      <c r="L33" s="49">
        <v>4</v>
      </c>
      <c r="M33" s="49">
        <v>420</v>
      </c>
      <c r="N33" s="49">
        <v>0</v>
      </c>
      <c r="O33" s="15">
        <f t="shared" si="0"/>
        <v>315</v>
      </c>
      <c r="P33" s="15">
        <f t="shared" si="1"/>
        <v>735</v>
      </c>
    </row>
    <row r="34" spans="2:20" ht="23.1" customHeight="1" x14ac:dyDescent="0.25">
      <c r="B34" s="23" t="s">
        <v>61</v>
      </c>
      <c r="C34" s="49">
        <v>85</v>
      </c>
      <c r="D34" s="49">
        <v>9</v>
      </c>
      <c r="E34" s="49">
        <v>15</v>
      </c>
      <c r="F34" s="49">
        <v>5</v>
      </c>
      <c r="G34" s="49">
        <v>0</v>
      </c>
      <c r="H34" s="49">
        <v>0</v>
      </c>
      <c r="I34" s="49">
        <v>5</v>
      </c>
      <c r="J34" s="49">
        <v>4</v>
      </c>
      <c r="K34" s="49">
        <v>1</v>
      </c>
      <c r="L34" s="49">
        <v>8</v>
      </c>
      <c r="M34" s="49">
        <v>481</v>
      </c>
      <c r="N34" s="49">
        <v>0</v>
      </c>
      <c r="O34" s="15">
        <f t="shared" si="0"/>
        <v>132</v>
      </c>
      <c r="P34" s="15">
        <f t="shared" si="1"/>
        <v>613</v>
      </c>
    </row>
    <row r="35" spans="2:20" ht="23.1" customHeight="1" x14ac:dyDescent="0.25">
      <c r="B35" s="23" t="s">
        <v>62</v>
      </c>
      <c r="C35" s="49">
        <v>190</v>
      </c>
      <c r="D35" s="49">
        <v>31</v>
      </c>
      <c r="E35" s="49">
        <v>14</v>
      </c>
      <c r="F35" s="49">
        <v>7</v>
      </c>
      <c r="G35" s="49">
        <v>0</v>
      </c>
      <c r="H35" s="49">
        <v>0</v>
      </c>
      <c r="I35" s="49">
        <v>5</v>
      </c>
      <c r="J35" s="49">
        <v>4</v>
      </c>
      <c r="K35" s="49">
        <v>0</v>
      </c>
      <c r="L35" s="49">
        <v>5</v>
      </c>
      <c r="M35" s="49">
        <v>492</v>
      </c>
      <c r="N35" s="49">
        <v>0</v>
      </c>
      <c r="O35" s="15">
        <f t="shared" si="0"/>
        <v>256</v>
      </c>
      <c r="P35" s="15">
        <f t="shared" si="1"/>
        <v>748</v>
      </c>
    </row>
    <row r="36" spans="2:20" ht="23.1" customHeight="1" x14ac:dyDescent="0.25">
      <c r="B36" s="23" t="s">
        <v>63</v>
      </c>
      <c r="C36" s="49">
        <v>165</v>
      </c>
      <c r="D36" s="49">
        <v>13</v>
      </c>
      <c r="E36" s="49">
        <v>12</v>
      </c>
      <c r="F36" s="49">
        <v>4</v>
      </c>
      <c r="G36" s="49">
        <v>0</v>
      </c>
      <c r="H36" s="49">
        <v>0</v>
      </c>
      <c r="I36" s="49">
        <v>4</v>
      </c>
      <c r="J36" s="49">
        <v>2</v>
      </c>
      <c r="K36" s="49">
        <v>2</v>
      </c>
      <c r="L36" s="49">
        <v>3</v>
      </c>
      <c r="M36" s="49">
        <v>330</v>
      </c>
      <c r="N36" s="49">
        <v>0</v>
      </c>
      <c r="O36" s="15">
        <f t="shared" si="0"/>
        <v>205</v>
      </c>
      <c r="P36" s="15">
        <f t="shared" si="1"/>
        <v>535</v>
      </c>
    </row>
    <row r="37" spans="2:20" ht="23.1" customHeight="1" x14ac:dyDescent="0.25">
      <c r="B37" s="22" t="s">
        <v>64</v>
      </c>
      <c r="C37" s="49">
        <v>182</v>
      </c>
      <c r="D37" s="49">
        <v>19</v>
      </c>
      <c r="E37" s="49">
        <v>10</v>
      </c>
      <c r="F37" s="49">
        <v>8</v>
      </c>
      <c r="G37" s="49">
        <v>0</v>
      </c>
      <c r="H37" s="49">
        <v>0</v>
      </c>
      <c r="I37" s="49">
        <v>4</v>
      </c>
      <c r="J37" s="49">
        <v>3</v>
      </c>
      <c r="K37" s="49">
        <v>1</v>
      </c>
      <c r="L37" s="49">
        <v>2</v>
      </c>
      <c r="M37" s="49">
        <v>300</v>
      </c>
      <c r="N37" s="49">
        <v>0</v>
      </c>
      <c r="O37" s="15">
        <f t="shared" si="0"/>
        <v>229</v>
      </c>
      <c r="P37" s="15">
        <f t="shared" si="1"/>
        <v>529</v>
      </c>
    </row>
    <row r="38" spans="2:20" ht="23.1" customHeight="1" x14ac:dyDescent="0.25">
      <c r="B38" s="23" t="s">
        <v>65</v>
      </c>
      <c r="C38" s="49">
        <v>210</v>
      </c>
      <c r="D38" s="49">
        <v>12</v>
      </c>
      <c r="E38" s="49">
        <v>26</v>
      </c>
      <c r="F38" s="49">
        <v>17</v>
      </c>
      <c r="G38" s="49">
        <v>0</v>
      </c>
      <c r="H38" s="49">
        <v>0</v>
      </c>
      <c r="I38" s="49">
        <v>9</v>
      </c>
      <c r="J38" s="49">
        <v>9</v>
      </c>
      <c r="K38" s="49">
        <v>1</v>
      </c>
      <c r="L38" s="49">
        <v>4</v>
      </c>
      <c r="M38" s="49">
        <v>325</v>
      </c>
      <c r="N38" s="49">
        <v>0</v>
      </c>
      <c r="O38" s="15">
        <f t="shared" si="0"/>
        <v>288</v>
      </c>
      <c r="P38" s="15">
        <f t="shared" si="1"/>
        <v>613</v>
      </c>
    </row>
    <row r="39" spans="2:20" ht="23.1" customHeight="1" x14ac:dyDescent="0.25">
      <c r="B39" s="23" t="s">
        <v>66</v>
      </c>
      <c r="C39" s="49">
        <v>150</v>
      </c>
      <c r="D39" s="49">
        <v>21</v>
      </c>
      <c r="E39" s="49">
        <v>15</v>
      </c>
      <c r="F39" s="49">
        <v>10</v>
      </c>
      <c r="G39" s="49">
        <v>0</v>
      </c>
      <c r="H39" s="49">
        <v>0</v>
      </c>
      <c r="I39" s="49">
        <v>5</v>
      </c>
      <c r="J39" s="49">
        <v>0</v>
      </c>
      <c r="K39" s="49">
        <v>0</v>
      </c>
      <c r="L39" s="49">
        <v>1</v>
      </c>
      <c r="M39" s="49">
        <v>450</v>
      </c>
      <c r="N39" s="49">
        <v>0</v>
      </c>
      <c r="O39" s="15">
        <f t="shared" si="0"/>
        <v>202</v>
      </c>
      <c r="P39" s="15">
        <f t="shared" si="1"/>
        <v>652</v>
      </c>
    </row>
    <row r="40" spans="2:20" ht="23.1" customHeight="1" x14ac:dyDescent="0.25">
      <c r="B40" s="23" t="s">
        <v>67</v>
      </c>
      <c r="C40" s="49">
        <v>155</v>
      </c>
      <c r="D40" s="49">
        <v>7</v>
      </c>
      <c r="E40" s="49">
        <v>16</v>
      </c>
      <c r="F40" s="49">
        <v>11</v>
      </c>
      <c r="G40" s="49">
        <v>1</v>
      </c>
      <c r="H40" s="49">
        <v>0</v>
      </c>
      <c r="I40" s="49">
        <v>12</v>
      </c>
      <c r="J40" s="49">
        <v>4</v>
      </c>
      <c r="K40" s="49">
        <v>1</v>
      </c>
      <c r="L40" s="49">
        <v>3</v>
      </c>
      <c r="M40" s="49">
        <v>389</v>
      </c>
      <c r="N40" s="49">
        <v>0</v>
      </c>
      <c r="O40" s="15">
        <f t="shared" si="0"/>
        <v>210</v>
      </c>
      <c r="P40" s="15">
        <f t="shared" si="1"/>
        <v>599</v>
      </c>
    </row>
    <row r="41" spans="2:20" ht="23.1" customHeight="1" x14ac:dyDescent="0.25">
      <c r="B41" s="22" t="s">
        <v>68</v>
      </c>
      <c r="C41" s="49">
        <v>180</v>
      </c>
      <c r="D41" s="49">
        <v>12</v>
      </c>
      <c r="E41" s="49">
        <v>13</v>
      </c>
      <c r="F41" s="49">
        <v>7</v>
      </c>
      <c r="G41" s="49">
        <v>0</v>
      </c>
      <c r="H41" s="49">
        <v>0</v>
      </c>
      <c r="I41" s="49">
        <v>2</v>
      </c>
      <c r="J41" s="49">
        <v>2</v>
      </c>
      <c r="K41" s="49">
        <v>0</v>
      </c>
      <c r="L41" s="49">
        <v>3</v>
      </c>
      <c r="M41" s="49">
        <v>351</v>
      </c>
      <c r="N41" s="49">
        <v>0</v>
      </c>
      <c r="O41" s="15">
        <f t="shared" si="0"/>
        <v>219</v>
      </c>
      <c r="P41" s="15">
        <f t="shared" si="1"/>
        <v>570</v>
      </c>
    </row>
    <row r="42" spans="2:20" ht="23.1" customHeight="1" x14ac:dyDescent="0.25">
      <c r="B42" s="23" t="s">
        <v>69</v>
      </c>
      <c r="C42" s="49">
        <v>75</v>
      </c>
      <c r="D42" s="49">
        <v>9</v>
      </c>
      <c r="E42" s="49">
        <v>22</v>
      </c>
      <c r="F42" s="49">
        <v>11</v>
      </c>
      <c r="G42" s="49">
        <v>0</v>
      </c>
      <c r="H42" s="49">
        <v>0</v>
      </c>
      <c r="I42" s="49">
        <v>6</v>
      </c>
      <c r="J42" s="49">
        <v>9</v>
      </c>
      <c r="K42" s="49">
        <v>2</v>
      </c>
      <c r="L42" s="49">
        <v>3</v>
      </c>
      <c r="M42" s="49">
        <v>359</v>
      </c>
      <c r="N42" s="49">
        <v>0</v>
      </c>
      <c r="O42" s="15">
        <f t="shared" si="0"/>
        <v>137</v>
      </c>
      <c r="P42" s="15">
        <f t="shared" si="1"/>
        <v>496</v>
      </c>
    </row>
    <row r="43" spans="2:20" ht="23.1" customHeight="1" x14ac:dyDescent="0.25">
      <c r="B43" s="22" t="s">
        <v>70</v>
      </c>
      <c r="C43" s="49">
        <v>180</v>
      </c>
      <c r="D43" s="49">
        <v>13</v>
      </c>
      <c r="E43" s="49">
        <v>25</v>
      </c>
      <c r="F43" s="49">
        <v>10</v>
      </c>
      <c r="G43" s="49">
        <v>0</v>
      </c>
      <c r="H43" s="49">
        <v>0</v>
      </c>
      <c r="I43" s="49">
        <v>6</v>
      </c>
      <c r="J43" s="49">
        <v>5</v>
      </c>
      <c r="K43" s="49">
        <v>4</v>
      </c>
      <c r="L43" s="49">
        <v>1</v>
      </c>
      <c r="M43" s="49">
        <v>420</v>
      </c>
      <c r="N43" s="49">
        <v>0</v>
      </c>
      <c r="O43" s="15">
        <f t="shared" si="0"/>
        <v>244</v>
      </c>
      <c r="P43" s="15">
        <f t="shared" si="1"/>
        <v>664</v>
      </c>
    </row>
    <row r="44" spans="2:20" ht="23.1" customHeight="1" x14ac:dyDescent="0.25">
      <c r="B44" s="24" t="s">
        <v>71</v>
      </c>
      <c r="C44" s="49">
        <v>195</v>
      </c>
      <c r="D44" s="49">
        <v>27</v>
      </c>
      <c r="E44" s="49">
        <v>13</v>
      </c>
      <c r="F44" s="49">
        <v>13</v>
      </c>
      <c r="G44" s="49">
        <v>1</v>
      </c>
      <c r="H44" s="49">
        <v>0</v>
      </c>
      <c r="I44" s="49">
        <v>4</v>
      </c>
      <c r="J44" s="49">
        <v>3</v>
      </c>
      <c r="K44" s="49">
        <v>0</v>
      </c>
      <c r="L44" s="49">
        <v>1</v>
      </c>
      <c r="M44" s="49">
        <v>344</v>
      </c>
      <c r="N44" s="49">
        <v>1</v>
      </c>
      <c r="O44" s="15">
        <f t="shared" si="0"/>
        <v>258</v>
      </c>
      <c r="P44" s="15">
        <f t="shared" si="1"/>
        <v>602</v>
      </c>
    </row>
    <row r="45" spans="2:20" ht="23.1" customHeight="1" x14ac:dyDescent="0.25">
      <c r="B45" s="22" t="s">
        <v>72</v>
      </c>
      <c r="C45" s="49">
        <v>125</v>
      </c>
      <c r="D45" s="49">
        <v>12</v>
      </c>
      <c r="E45" s="49">
        <v>22</v>
      </c>
      <c r="F45" s="49">
        <v>16</v>
      </c>
      <c r="G45" s="49">
        <v>0</v>
      </c>
      <c r="H45" s="49">
        <v>1</v>
      </c>
      <c r="I45" s="49">
        <v>4</v>
      </c>
      <c r="J45" s="49">
        <v>2</v>
      </c>
      <c r="K45" s="49">
        <v>3</v>
      </c>
      <c r="L45" s="49">
        <v>2</v>
      </c>
      <c r="M45" s="49">
        <v>311</v>
      </c>
      <c r="N45" s="49">
        <v>0</v>
      </c>
      <c r="O45" s="15">
        <f t="shared" si="0"/>
        <v>187</v>
      </c>
      <c r="P45" s="15">
        <f t="shared" si="1"/>
        <v>498</v>
      </c>
    </row>
    <row r="46" spans="2:20" ht="23.1" customHeight="1" x14ac:dyDescent="0.25">
      <c r="B46" s="23" t="s">
        <v>73</v>
      </c>
      <c r="C46" s="49">
        <v>100</v>
      </c>
      <c r="D46" s="49">
        <v>12</v>
      </c>
      <c r="E46" s="49">
        <v>15</v>
      </c>
      <c r="F46" s="49">
        <v>12</v>
      </c>
      <c r="G46" s="49">
        <v>1</v>
      </c>
      <c r="H46" s="49">
        <v>0</v>
      </c>
      <c r="I46" s="49">
        <v>3</v>
      </c>
      <c r="J46" s="49">
        <v>7</v>
      </c>
      <c r="K46" s="49">
        <v>0</v>
      </c>
      <c r="L46" s="49">
        <v>4</v>
      </c>
      <c r="M46" s="49">
        <v>289</v>
      </c>
      <c r="N46" s="49">
        <v>0</v>
      </c>
      <c r="O46" s="15">
        <f t="shared" si="0"/>
        <v>154</v>
      </c>
      <c r="P46" s="15">
        <f t="shared" si="1"/>
        <v>443</v>
      </c>
      <c r="R46" s="8"/>
      <c r="T46"/>
    </row>
    <row r="47" spans="2:20" ht="23.1" customHeight="1" x14ac:dyDescent="0.25">
      <c r="B47" s="23" t="s">
        <v>74</v>
      </c>
      <c r="C47" s="49">
        <v>111</v>
      </c>
      <c r="D47" s="49">
        <v>29</v>
      </c>
      <c r="E47" s="49">
        <v>33</v>
      </c>
      <c r="F47" s="49">
        <v>13</v>
      </c>
      <c r="G47" s="49">
        <v>1</v>
      </c>
      <c r="H47" s="49">
        <v>0</v>
      </c>
      <c r="I47" s="49">
        <v>10</v>
      </c>
      <c r="J47" s="49">
        <v>4</v>
      </c>
      <c r="K47" s="49">
        <v>0</v>
      </c>
      <c r="L47" s="49">
        <v>6</v>
      </c>
      <c r="M47" s="49">
        <v>327</v>
      </c>
      <c r="N47" s="49">
        <v>0</v>
      </c>
      <c r="O47" s="15">
        <f t="shared" si="0"/>
        <v>207</v>
      </c>
      <c r="P47" s="15">
        <f t="shared" si="1"/>
        <v>534</v>
      </c>
      <c r="R47" s="8"/>
      <c r="T47"/>
    </row>
    <row r="48" spans="2:20" ht="23.1" customHeight="1" x14ac:dyDescent="0.25">
      <c r="B48" s="23" t="s">
        <v>75</v>
      </c>
      <c r="C48" s="49">
        <v>123</v>
      </c>
      <c r="D48" s="49">
        <v>19</v>
      </c>
      <c r="E48" s="49">
        <v>31</v>
      </c>
      <c r="F48" s="49">
        <v>9</v>
      </c>
      <c r="G48" s="49">
        <v>1</v>
      </c>
      <c r="H48" s="49">
        <v>0</v>
      </c>
      <c r="I48" s="49">
        <v>4</v>
      </c>
      <c r="J48" s="49">
        <v>7</v>
      </c>
      <c r="K48" s="49">
        <v>1</v>
      </c>
      <c r="L48" s="49">
        <v>2</v>
      </c>
      <c r="M48" s="49">
        <v>343</v>
      </c>
      <c r="N48" s="49">
        <v>0</v>
      </c>
      <c r="O48" s="15">
        <f t="shared" si="0"/>
        <v>197</v>
      </c>
      <c r="P48" s="15">
        <f t="shared" si="1"/>
        <v>540</v>
      </c>
      <c r="R48" s="8"/>
      <c r="T48"/>
    </row>
    <row r="49" spans="2:20" ht="23.1" customHeight="1" x14ac:dyDescent="0.25">
      <c r="B49" s="22" t="s">
        <v>76</v>
      </c>
      <c r="C49" s="49">
        <v>115</v>
      </c>
      <c r="D49" s="49">
        <v>20</v>
      </c>
      <c r="E49" s="49">
        <v>27</v>
      </c>
      <c r="F49" s="49">
        <v>15</v>
      </c>
      <c r="G49" s="49">
        <v>0</v>
      </c>
      <c r="H49" s="49">
        <v>0</v>
      </c>
      <c r="I49" s="49">
        <v>4</v>
      </c>
      <c r="J49" s="49">
        <v>4</v>
      </c>
      <c r="K49" s="49">
        <v>0</v>
      </c>
      <c r="L49" s="49">
        <v>2</v>
      </c>
      <c r="M49" s="49">
        <v>376</v>
      </c>
      <c r="N49" s="49">
        <v>0</v>
      </c>
      <c r="O49" s="15">
        <f t="shared" si="0"/>
        <v>187</v>
      </c>
      <c r="P49" s="15">
        <f t="shared" si="1"/>
        <v>563</v>
      </c>
      <c r="R49" s="8"/>
      <c r="T49"/>
    </row>
    <row r="50" spans="2:20" ht="23.1" customHeight="1" x14ac:dyDescent="0.25">
      <c r="B50" s="23" t="s">
        <v>77</v>
      </c>
      <c r="C50" s="49">
        <v>140</v>
      </c>
      <c r="D50" s="49">
        <v>55</v>
      </c>
      <c r="E50" s="49">
        <v>14</v>
      </c>
      <c r="F50" s="49">
        <v>12</v>
      </c>
      <c r="G50" s="49">
        <v>2</v>
      </c>
      <c r="H50" s="49">
        <v>0</v>
      </c>
      <c r="I50" s="49">
        <v>7</v>
      </c>
      <c r="J50" s="49">
        <v>4</v>
      </c>
      <c r="K50" s="49">
        <v>1</v>
      </c>
      <c r="L50" s="49">
        <v>5</v>
      </c>
      <c r="M50" s="49">
        <v>350</v>
      </c>
      <c r="N50" s="49">
        <v>0</v>
      </c>
      <c r="O50" s="15">
        <f t="shared" si="0"/>
        <v>240</v>
      </c>
      <c r="P50" s="15">
        <f t="shared" si="1"/>
        <v>590</v>
      </c>
      <c r="R50" s="8"/>
      <c r="T50"/>
    </row>
    <row r="51" spans="2:20" ht="23.1" customHeight="1" x14ac:dyDescent="0.25">
      <c r="B51" s="23" t="s">
        <v>78</v>
      </c>
      <c r="C51" s="49">
        <v>130</v>
      </c>
      <c r="D51" s="49">
        <v>19</v>
      </c>
      <c r="E51" s="49">
        <v>14</v>
      </c>
      <c r="F51" s="49">
        <v>10</v>
      </c>
      <c r="G51" s="49">
        <v>2</v>
      </c>
      <c r="H51" s="49">
        <v>0</v>
      </c>
      <c r="I51" s="49">
        <v>3</v>
      </c>
      <c r="J51" s="49">
        <v>1</v>
      </c>
      <c r="K51" s="49">
        <v>1</v>
      </c>
      <c r="L51" s="49">
        <v>2</v>
      </c>
      <c r="M51" s="49">
        <v>420</v>
      </c>
      <c r="N51" s="49">
        <v>0</v>
      </c>
      <c r="O51" s="15">
        <f t="shared" si="0"/>
        <v>182</v>
      </c>
      <c r="P51" s="15">
        <f t="shared" si="1"/>
        <v>602</v>
      </c>
      <c r="R51" s="8"/>
      <c r="T51"/>
    </row>
    <row r="52" spans="2:20" ht="23.1" customHeight="1" x14ac:dyDescent="0.25">
      <c r="B52" s="23" t="s">
        <v>79</v>
      </c>
      <c r="C52" s="49">
        <v>243</v>
      </c>
      <c r="D52" s="49">
        <v>40</v>
      </c>
      <c r="E52" s="49">
        <v>17</v>
      </c>
      <c r="F52" s="49">
        <v>15</v>
      </c>
      <c r="G52" s="49">
        <v>1</v>
      </c>
      <c r="H52" s="49">
        <v>0</v>
      </c>
      <c r="I52" s="49">
        <v>8</v>
      </c>
      <c r="J52" s="49">
        <v>6</v>
      </c>
      <c r="K52" s="49">
        <v>0</v>
      </c>
      <c r="L52" s="49">
        <v>2</v>
      </c>
      <c r="M52" s="49">
        <v>304</v>
      </c>
      <c r="N52" s="49">
        <v>0</v>
      </c>
      <c r="O52" s="15">
        <f t="shared" si="0"/>
        <v>332</v>
      </c>
      <c r="P52" s="15">
        <f t="shared" si="1"/>
        <v>636</v>
      </c>
      <c r="R52" s="8"/>
      <c r="T52"/>
    </row>
    <row r="53" spans="2:20" ht="23.1" customHeight="1" x14ac:dyDescent="0.25">
      <c r="B53" s="22" t="s">
        <v>80</v>
      </c>
      <c r="C53" s="49">
        <v>136</v>
      </c>
      <c r="D53" s="49">
        <v>22</v>
      </c>
      <c r="E53" s="49">
        <v>8</v>
      </c>
      <c r="F53" s="49">
        <v>10</v>
      </c>
      <c r="G53" s="49">
        <v>1</v>
      </c>
      <c r="H53" s="49">
        <v>0</v>
      </c>
      <c r="I53" s="49">
        <v>1</v>
      </c>
      <c r="J53" s="49">
        <v>4</v>
      </c>
      <c r="K53" s="49">
        <v>3</v>
      </c>
      <c r="L53" s="49">
        <v>1</v>
      </c>
      <c r="M53" s="49">
        <v>298</v>
      </c>
      <c r="N53" s="49">
        <v>0</v>
      </c>
      <c r="O53" s="15">
        <f t="shared" si="0"/>
        <v>186</v>
      </c>
      <c r="P53" s="15">
        <f t="shared" si="1"/>
        <v>484</v>
      </c>
      <c r="R53" s="8"/>
      <c r="T53"/>
    </row>
    <row r="54" spans="2:20" ht="23.1" customHeight="1" x14ac:dyDescent="0.25">
      <c r="B54" s="22" t="s">
        <v>81</v>
      </c>
      <c r="C54" s="49">
        <v>76</v>
      </c>
      <c r="D54" s="49">
        <v>17</v>
      </c>
      <c r="E54" s="49">
        <v>11</v>
      </c>
      <c r="F54" s="49">
        <v>10</v>
      </c>
      <c r="G54" s="49">
        <v>2</v>
      </c>
      <c r="H54" s="49">
        <v>0</v>
      </c>
      <c r="I54" s="49">
        <v>7</v>
      </c>
      <c r="J54" s="49">
        <v>5</v>
      </c>
      <c r="K54" s="49">
        <v>2</v>
      </c>
      <c r="L54" s="49">
        <v>1</v>
      </c>
      <c r="M54" s="49">
        <v>227</v>
      </c>
      <c r="N54" s="49">
        <v>0</v>
      </c>
      <c r="O54" s="15">
        <f t="shared" si="0"/>
        <v>131</v>
      </c>
      <c r="P54" s="15">
        <f t="shared" si="1"/>
        <v>358</v>
      </c>
      <c r="R54" s="8"/>
      <c r="T54"/>
    </row>
    <row r="55" spans="2:20" ht="23.1" customHeight="1" x14ac:dyDescent="0.25">
      <c r="B55" s="22" t="s">
        <v>82</v>
      </c>
      <c r="C55" s="49">
        <v>122</v>
      </c>
      <c r="D55" s="49">
        <v>15</v>
      </c>
      <c r="E55" s="49">
        <v>12</v>
      </c>
      <c r="F55" s="49">
        <v>12</v>
      </c>
      <c r="G55" s="49">
        <v>1</v>
      </c>
      <c r="H55" s="49">
        <v>0</v>
      </c>
      <c r="I55" s="49">
        <v>6</v>
      </c>
      <c r="J55" s="49">
        <v>1</v>
      </c>
      <c r="K55" s="49">
        <v>1</v>
      </c>
      <c r="L55" s="49">
        <v>3</v>
      </c>
      <c r="M55" s="49">
        <v>299</v>
      </c>
      <c r="N55" s="49">
        <v>0</v>
      </c>
      <c r="O55" s="15">
        <f t="shared" si="0"/>
        <v>173</v>
      </c>
      <c r="P55" s="15">
        <f t="shared" si="1"/>
        <v>472</v>
      </c>
      <c r="R55" s="8"/>
      <c r="T55"/>
    </row>
    <row r="56" spans="2:20" ht="23.1" customHeight="1" x14ac:dyDescent="0.25">
      <c r="B56" s="22" t="s">
        <v>83</v>
      </c>
      <c r="C56" s="49">
        <v>143</v>
      </c>
      <c r="D56" s="49">
        <v>22</v>
      </c>
      <c r="E56" s="49">
        <v>14</v>
      </c>
      <c r="F56" s="49">
        <v>9</v>
      </c>
      <c r="G56" s="49">
        <v>1</v>
      </c>
      <c r="H56" s="49">
        <v>0</v>
      </c>
      <c r="I56" s="49">
        <v>2</v>
      </c>
      <c r="J56" s="49">
        <v>3</v>
      </c>
      <c r="K56" s="49">
        <v>1</v>
      </c>
      <c r="L56" s="49">
        <v>1</v>
      </c>
      <c r="M56" s="49">
        <v>345</v>
      </c>
      <c r="N56" s="49">
        <v>0</v>
      </c>
      <c r="O56" s="15">
        <f t="shared" si="0"/>
        <v>196</v>
      </c>
      <c r="P56" s="15">
        <f t="shared" si="1"/>
        <v>541</v>
      </c>
      <c r="R56" s="8"/>
      <c r="T56"/>
    </row>
    <row r="57" spans="2:20" ht="23.1" customHeight="1" x14ac:dyDescent="0.25">
      <c r="B57" s="22" t="s">
        <v>84</v>
      </c>
      <c r="C57" s="49">
        <v>130</v>
      </c>
      <c r="D57" s="49">
        <v>21</v>
      </c>
      <c r="E57" s="49">
        <v>11</v>
      </c>
      <c r="F57" s="49">
        <v>8</v>
      </c>
      <c r="G57" s="49">
        <v>0</v>
      </c>
      <c r="H57" s="49">
        <v>2</v>
      </c>
      <c r="I57" s="49">
        <v>3</v>
      </c>
      <c r="J57" s="49">
        <v>2</v>
      </c>
      <c r="K57" s="49">
        <v>0</v>
      </c>
      <c r="L57" s="49">
        <v>2</v>
      </c>
      <c r="M57" s="49">
        <v>350</v>
      </c>
      <c r="N57" s="49">
        <v>0</v>
      </c>
      <c r="O57" s="15">
        <f t="shared" si="0"/>
        <v>179</v>
      </c>
      <c r="P57" s="15">
        <f t="shared" si="1"/>
        <v>529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7598</v>
      </c>
      <c r="D58" s="16">
        <f t="shared" si="21"/>
        <v>1087</v>
      </c>
      <c r="E58" s="16">
        <f t="shared" si="21"/>
        <v>850</v>
      </c>
      <c r="F58" s="16">
        <f t="shared" si="21"/>
        <v>559</v>
      </c>
      <c r="G58" s="16">
        <f t="shared" si="21"/>
        <v>32</v>
      </c>
      <c r="H58" s="16">
        <f t="shared" si="21"/>
        <v>5</v>
      </c>
      <c r="I58" s="16">
        <f t="shared" si="21"/>
        <v>266</v>
      </c>
      <c r="J58" s="16">
        <f t="shared" si="21"/>
        <v>183</v>
      </c>
      <c r="K58" s="16">
        <f t="shared" si="21"/>
        <v>42</v>
      </c>
      <c r="L58" s="16">
        <f t="shared" si="21"/>
        <v>106</v>
      </c>
      <c r="M58" s="16">
        <f t="shared" si="21"/>
        <v>19473</v>
      </c>
      <c r="N58" s="16">
        <f t="shared" si="21"/>
        <v>4</v>
      </c>
      <c r="O58" s="16">
        <f t="shared" si="21"/>
        <v>10732</v>
      </c>
      <c r="P58" s="16">
        <f t="shared" si="21"/>
        <v>30205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0.25154775699387516</v>
      </c>
      <c r="D59" s="42">
        <f t="shared" si="22"/>
        <v>3.5987419301440157E-2</v>
      </c>
      <c r="E59" s="42">
        <f t="shared" si="22"/>
        <v>2.8141036252276114E-2</v>
      </c>
      <c r="F59" s="42">
        <f t="shared" si="22"/>
        <v>1.8506869723555704E-2</v>
      </c>
      <c r="G59" s="42">
        <f t="shared" si="22"/>
        <v>1.0594272471445125E-3</v>
      </c>
      <c r="H59" s="42">
        <f t="shared" si="22"/>
        <v>1.6553550736633007E-4</v>
      </c>
      <c r="I59" s="42">
        <f t="shared" si="22"/>
        <v>8.8064889918887598E-3</v>
      </c>
      <c r="J59" s="42">
        <f t="shared" si="22"/>
        <v>6.0585995696076809E-3</v>
      </c>
      <c r="K59" s="42">
        <f t="shared" si="22"/>
        <v>1.3904982618771727E-3</v>
      </c>
      <c r="L59" s="42">
        <f t="shared" si="22"/>
        <v>3.5093527561661977E-3</v>
      </c>
      <c r="M59" s="42">
        <f t="shared" si="22"/>
        <v>0.64469458698890914</v>
      </c>
      <c r="N59" s="42">
        <f t="shared" si="22"/>
        <v>1.3242840589306406E-4</v>
      </c>
      <c r="R59" s="8"/>
      <c r="T59"/>
    </row>
    <row r="60" spans="2:20" ht="23.1" customHeight="1" x14ac:dyDescent="0.25">
      <c r="B60" s="41" t="s">
        <v>94</v>
      </c>
      <c r="C60" s="43">
        <f>C58/$O$58</f>
        <v>0.70797614610510617</v>
      </c>
      <c r="D60" s="43">
        <f t="shared" ref="D60:N60" si="23">D58/$O$58</f>
        <v>0.10128587402161759</v>
      </c>
      <c r="E60" s="43">
        <f t="shared" si="23"/>
        <v>7.9202385389489371E-2</v>
      </c>
      <c r="F60" s="43">
        <f t="shared" si="23"/>
        <v>5.2087215803205369E-2</v>
      </c>
      <c r="G60" s="43">
        <f t="shared" si="23"/>
        <v>2.9817368617219529E-3</v>
      </c>
      <c r="H60" s="43">
        <f t="shared" si="23"/>
        <v>4.6589638464405515E-4</v>
      </c>
      <c r="I60" s="43">
        <f t="shared" si="23"/>
        <v>2.4785687663063733E-2</v>
      </c>
      <c r="J60" s="43">
        <f t="shared" si="23"/>
        <v>1.705180767797242E-2</v>
      </c>
      <c r="K60" s="43">
        <f t="shared" si="23"/>
        <v>3.9135296310100634E-3</v>
      </c>
      <c r="L60" s="43">
        <f t="shared" si="23"/>
        <v>9.8770033544539702E-3</v>
      </c>
      <c r="M60" s="43"/>
      <c r="N60" s="43">
        <f t="shared" si="23"/>
        <v>3.7271710771524412E-4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topLeftCell="A4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64" t="s">
        <v>173</v>
      </c>
      <c r="D3" s="65"/>
      <c r="E3" s="65"/>
      <c r="F3" s="65"/>
      <c r="G3" s="66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174</v>
      </c>
      <c r="E5" s="3"/>
      <c r="F5" s="40" t="s">
        <v>1</v>
      </c>
      <c r="G5" s="62" t="s">
        <v>178</v>
      </c>
      <c r="H5" s="63"/>
      <c r="I5" s="14"/>
      <c r="J5" s="2" t="s">
        <v>5</v>
      </c>
      <c r="K5" s="62" t="s">
        <v>175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165</v>
      </c>
      <c r="E6" s="61"/>
      <c r="F6" s="2" t="s">
        <v>2</v>
      </c>
      <c r="G6" s="60" t="s">
        <v>166</v>
      </c>
      <c r="H6" s="61"/>
      <c r="J6" s="2" t="s">
        <v>21</v>
      </c>
      <c r="K6" s="60" t="s">
        <v>176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120</v>
      </c>
      <c r="D10" s="49">
        <v>20</v>
      </c>
      <c r="E10" s="49">
        <v>1</v>
      </c>
      <c r="F10" s="49">
        <v>1</v>
      </c>
      <c r="G10" s="49">
        <v>0</v>
      </c>
      <c r="H10" s="49">
        <v>0</v>
      </c>
      <c r="I10" s="49">
        <v>1</v>
      </c>
      <c r="J10" s="49">
        <v>0</v>
      </c>
      <c r="K10" s="49">
        <v>0</v>
      </c>
      <c r="L10" s="49">
        <v>0</v>
      </c>
      <c r="M10" s="49">
        <v>901</v>
      </c>
      <c r="N10" s="49">
        <v>0</v>
      </c>
      <c r="O10" s="15">
        <f t="shared" ref="O10:O57" si="0">SUM(C10:L10,N10)</f>
        <v>143</v>
      </c>
      <c r="P10" s="15">
        <f t="shared" ref="P10:P57" si="1">SUM(C10:N10)</f>
        <v>1044</v>
      </c>
      <c r="R10" s="1" t="s">
        <v>6</v>
      </c>
      <c r="S10" s="17">
        <f t="shared" ref="S10:AF10" si="2">SUM(C10:C13)</f>
        <v>695</v>
      </c>
      <c r="T10" s="17">
        <f t="shared" si="2"/>
        <v>72</v>
      </c>
      <c r="U10" s="17">
        <f t="shared" si="2"/>
        <v>17</v>
      </c>
      <c r="V10" s="17">
        <f t="shared" si="2"/>
        <v>13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5</v>
      </c>
      <c r="AA10" s="17">
        <f t="shared" si="2"/>
        <v>0</v>
      </c>
      <c r="AB10" s="17">
        <f t="shared" si="2"/>
        <v>1</v>
      </c>
      <c r="AC10" s="17">
        <f t="shared" si="2"/>
        <v>3277</v>
      </c>
      <c r="AD10" s="17">
        <f t="shared" si="2"/>
        <v>0</v>
      </c>
      <c r="AE10" s="30">
        <f t="shared" si="2"/>
        <v>809</v>
      </c>
      <c r="AF10" s="30">
        <f t="shared" si="2"/>
        <v>4086</v>
      </c>
    </row>
    <row r="11" spans="2:32" s="6" customFormat="1" ht="23.1" customHeight="1" x14ac:dyDescent="0.25">
      <c r="B11" s="22" t="s">
        <v>38</v>
      </c>
      <c r="C11" s="49">
        <v>120</v>
      </c>
      <c r="D11" s="49">
        <v>20</v>
      </c>
      <c r="E11" s="49">
        <v>2</v>
      </c>
      <c r="F11" s="49">
        <v>2</v>
      </c>
      <c r="G11" s="49">
        <v>0</v>
      </c>
      <c r="H11" s="49">
        <v>0</v>
      </c>
      <c r="I11" s="49">
        <v>1</v>
      </c>
      <c r="J11" s="49">
        <v>1</v>
      </c>
      <c r="K11" s="49">
        <v>0</v>
      </c>
      <c r="L11" s="49">
        <v>0</v>
      </c>
      <c r="M11" s="49">
        <v>768</v>
      </c>
      <c r="N11" s="49">
        <v>0</v>
      </c>
      <c r="O11" s="15">
        <f t="shared" si="0"/>
        <v>146</v>
      </c>
      <c r="P11" s="15">
        <f t="shared" si="1"/>
        <v>914</v>
      </c>
      <c r="R11" s="1" t="s">
        <v>7</v>
      </c>
      <c r="S11" s="17">
        <f t="shared" ref="S11:AF11" si="3">SUM(C14:C17)</f>
        <v>770</v>
      </c>
      <c r="T11" s="17">
        <f t="shared" si="3"/>
        <v>110</v>
      </c>
      <c r="U11" s="17">
        <f t="shared" si="3"/>
        <v>38</v>
      </c>
      <c r="V11" s="17">
        <f t="shared" si="3"/>
        <v>15</v>
      </c>
      <c r="W11" s="17">
        <f t="shared" si="3"/>
        <v>1</v>
      </c>
      <c r="X11" s="17">
        <f t="shared" si="3"/>
        <v>1</v>
      </c>
      <c r="Y11" s="17">
        <f t="shared" si="3"/>
        <v>25</v>
      </c>
      <c r="Z11" s="17">
        <f t="shared" si="3"/>
        <v>16</v>
      </c>
      <c r="AA11" s="17">
        <f t="shared" si="3"/>
        <v>9</v>
      </c>
      <c r="AB11" s="17">
        <f t="shared" si="3"/>
        <v>15</v>
      </c>
      <c r="AC11" s="17">
        <f t="shared" si="3"/>
        <v>3213</v>
      </c>
      <c r="AD11" s="17">
        <f t="shared" si="3"/>
        <v>0</v>
      </c>
      <c r="AE11" s="30">
        <f t="shared" si="3"/>
        <v>1000</v>
      </c>
      <c r="AF11" s="30">
        <f t="shared" si="3"/>
        <v>4213</v>
      </c>
    </row>
    <row r="12" spans="2:32" ht="23.1" customHeight="1" x14ac:dyDescent="0.25">
      <c r="B12" s="22" t="s">
        <v>39</v>
      </c>
      <c r="C12" s="49">
        <v>200</v>
      </c>
      <c r="D12" s="49">
        <v>25</v>
      </c>
      <c r="E12" s="49">
        <v>0</v>
      </c>
      <c r="F12" s="49">
        <v>3</v>
      </c>
      <c r="G12" s="49">
        <v>0</v>
      </c>
      <c r="H12" s="49">
        <v>0</v>
      </c>
      <c r="I12" s="49">
        <v>2</v>
      </c>
      <c r="J12" s="49">
        <v>2</v>
      </c>
      <c r="K12" s="49">
        <v>0</v>
      </c>
      <c r="L12" s="49">
        <v>1</v>
      </c>
      <c r="M12" s="49">
        <v>720</v>
      </c>
      <c r="N12" s="49">
        <v>0</v>
      </c>
      <c r="O12" s="15">
        <f t="shared" si="0"/>
        <v>233</v>
      </c>
      <c r="P12" s="15">
        <f t="shared" si="1"/>
        <v>953</v>
      </c>
      <c r="R12" s="1" t="s">
        <v>8</v>
      </c>
      <c r="S12" s="17">
        <f t="shared" ref="S12:AF12" si="4">SUM(C18:C21)</f>
        <v>685</v>
      </c>
      <c r="T12" s="17">
        <f t="shared" si="4"/>
        <v>53</v>
      </c>
      <c r="U12" s="17">
        <f t="shared" si="4"/>
        <v>33</v>
      </c>
      <c r="V12" s="17">
        <f t="shared" si="4"/>
        <v>22</v>
      </c>
      <c r="W12" s="17">
        <f t="shared" si="4"/>
        <v>7</v>
      </c>
      <c r="X12" s="17">
        <f t="shared" si="4"/>
        <v>2</v>
      </c>
      <c r="Y12" s="17">
        <f t="shared" si="4"/>
        <v>49</v>
      </c>
      <c r="Z12" s="17">
        <f t="shared" si="4"/>
        <v>17</v>
      </c>
      <c r="AA12" s="17">
        <f t="shared" si="4"/>
        <v>5</v>
      </c>
      <c r="AB12" s="17">
        <f t="shared" si="4"/>
        <v>5</v>
      </c>
      <c r="AC12" s="17">
        <f t="shared" si="4"/>
        <v>2585</v>
      </c>
      <c r="AD12" s="17">
        <f t="shared" si="4"/>
        <v>1</v>
      </c>
      <c r="AE12" s="30">
        <f t="shared" si="4"/>
        <v>879</v>
      </c>
      <c r="AF12" s="30">
        <f t="shared" si="4"/>
        <v>3464</v>
      </c>
    </row>
    <row r="13" spans="2:32" ht="23.1" customHeight="1" x14ac:dyDescent="0.25">
      <c r="B13" s="22" t="s">
        <v>40</v>
      </c>
      <c r="C13" s="49">
        <v>255</v>
      </c>
      <c r="D13" s="49">
        <v>7</v>
      </c>
      <c r="E13" s="49">
        <v>14</v>
      </c>
      <c r="F13" s="49">
        <v>7</v>
      </c>
      <c r="G13" s="49">
        <v>0</v>
      </c>
      <c r="H13" s="49">
        <v>0</v>
      </c>
      <c r="I13" s="49">
        <v>2</v>
      </c>
      <c r="J13" s="49">
        <v>2</v>
      </c>
      <c r="K13" s="49">
        <v>0</v>
      </c>
      <c r="L13" s="49">
        <v>0</v>
      </c>
      <c r="M13" s="49">
        <v>888</v>
      </c>
      <c r="N13" s="49">
        <v>0</v>
      </c>
      <c r="O13" s="15">
        <f t="shared" si="0"/>
        <v>287</v>
      </c>
      <c r="P13" s="15">
        <f t="shared" si="1"/>
        <v>1175</v>
      </c>
      <c r="R13" s="1" t="s">
        <v>9</v>
      </c>
      <c r="S13" s="17">
        <f t="shared" ref="S13:AF13" si="5">SUM(C22:C25)</f>
        <v>700</v>
      </c>
      <c r="T13" s="17">
        <f t="shared" si="5"/>
        <v>120</v>
      </c>
      <c r="U13" s="17">
        <f t="shared" si="5"/>
        <v>41</v>
      </c>
      <c r="V13" s="17">
        <f t="shared" si="5"/>
        <v>35</v>
      </c>
      <c r="W13" s="17">
        <f t="shared" si="5"/>
        <v>4</v>
      </c>
      <c r="X13" s="17">
        <f t="shared" si="5"/>
        <v>0</v>
      </c>
      <c r="Y13" s="17">
        <f t="shared" si="5"/>
        <v>57</v>
      </c>
      <c r="Z13" s="17">
        <f t="shared" si="5"/>
        <v>24</v>
      </c>
      <c r="AA13" s="17">
        <f t="shared" si="5"/>
        <v>7</v>
      </c>
      <c r="AB13" s="17">
        <f t="shared" si="5"/>
        <v>9</v>
      </c>
      <c r="AC13" s="17">
        <f t="shared" si="5"/>
        <v>3087</v>
      </c>
      <c r="AD13" s="17">
        <f t="shared" si="5"/>
        <v>3</v>
      </c>
      <c r="AE13" s="30">
        <f t="shared" si="5"/>
        <v>1000</v>
      </c>
      <c r="AF13" s="30">
        <f t="shared" si="5"/>
        <v>4087</v>
      </c>
    </row>
    <row r="14" spans="2:32" ht="23.1" customHeight="1" x14ac:dyDescent="0.25">
      <c r="B14" s="22" t="s">
        <v>41</v>
      </c>
      <c r="C14" s="49">
        <v>160</v>
      </c>
      <c r="D14" s="49">
        <v>40</v>
      </c>
      <c r="E14" s="49">
        <v>7</v>
      </c>
      <c r="F14" s="49">
        <v>7</v>
      </c>
      <c r="G14" s="49">
        <v>0</v>
      </c>
      <c r="H14" s="49">
        <v>1</v>
      </c>
      <c r="I14" s="49">
        <v>6</v>
      </c>
      <c r="J14" s="49">
        <v>0</v>
      </c>
      <c r="K14" s="49">
        <v>3</v>
      </c>
      <c r="L14" s="49">
        <v>4</v>
      </c>
      <c r="M14" s="49">
        <v>751</v>
      </c>
      <c r="N14" s="49">
        <v>0</v>
      </c>
      <c r="O14" s="15">
        <f t="shared" si="0"/>
        <v>228</v>
      </c>
      <c r="P14" s="15">
        <f t="shared" si="1"/>
        <v>979</v>
      </c>
      <c r="R14" s="1" t="s">
        <v>10</v>
      </c>
      <c r="S14" s="17">
        <f t="shared" ref="S14:AF14" si="6">SUM(C26:C29)</f>
        <v>770</v>
      </c>
      <c r="T14" s="17">
        <f t="shared" si="6"/>
        <v>108</v>
      </c>
      <c r="U14" s="17">
        <f t="shared" si="6"/>
        <v>20</v>
      </c>
      <c r="V14" s="17">
        <f t="shared" si="6"/>
        <v>36</v>
      </c>
      <c r="W14" s="17">
        <f t="shared" si="6"/>
        <v>4</v>
      </c>
      <c r="X14" s="17">
        <f t="shared" si="6"/>
        <v>0</v>
      </c>
      <c r="Y14" s="17">
        <f t="shared" si="6"/>
        <v>69</v>
      </c>
      <c r="Z14" s="17">
        <f t="shared" si="6"/>
        <v>24</v>
      </c>
      <c r="AA14" s="17">
        <f t="shared" si="6"/>
        <v>5</v>
      </c>
      <c r="AB14" s="17">
        <f t="shared" si="6"/>
        <v>22</v>
      </c>
      <c r="AC14" s="17">
        <f t="shared" si="6"/>
        <v>3066</v>
      </c>
      <c r="AD14" s="17">
        <f t="shared" si="6"/>
        <v>0</v>
      </c>
      <c r="AE14" s="30">
        <f t="shared" si="6"/>
        <v>1058</v>
      </c>
      <c r="AF14" s="30">
        <f t="shared" si="6"/>
        <v>4124</v>
      </c>
    </row>
    <row r="15" spans="2:32" ht="23.1" customHeight="1" x14ac:dyDescent="0.25">
      <c r="B15" s="22" t="s">
        <v>42</v>
      </c>
      <c r="C15" s="49">
        <v>200</v>
      </c>
      <c r="D15" s="49">
        <v>20</v>
      </c>
      <c r="E15" s="49">
        <v>5</v>
      </c>
      <c r="F15" s="49">
        <v>3</v>
      </c>
      <c r="G15" s="49">
        <v>0</v>
      </c>
      <c r="H15" s="49">
        <v>0</v>
      </c>
      <c r="I15" s="49">
        <v>5</v>
      </c>
      <c r="J15" s="49">
        <v>3</v>
      </c>
      <c r="K15" s="49">
        <v>2</v>
      </c>
      <c r="L15" s="49">
        <v>6</v>
      </c>
      <c r="M15" s="49">
        <v>810</v>
      </c>
      <c r="N15" s="49">
        <v>0</v>
      </c>
      <c r="O15" s="15">
        <f t="shared" si="0"/>
        <v>244</v>
      </c>
      <c r="P15" s="15">
        <f t="shared" si="1"/>
        <v>1054</v>
      </c>
      <c r="R15" s="1" t="s">
        <v>11</v>
      </c>
      <c r="S15" s="17">
        <f t="shared" ref="S15:AF15" si="7">SUM(C30:C33)</f>
        <v>775</v>
      </c>
      <c r="T15" s="17">
        <f t="shared" si="7"/>
        <v>205</v>
      </c>
      <c r="U15" s="17">
        <f t="shared" si="7"/>
        <v>41</v>
      </c>
      <c r="V15" s="17">
        <f t="shared" si="7"/>
        <v>40</v>
      </c>
      <c r="W15" s="17">
        <f t="shared" si="7"/>
        <v>2</v>
      </c>
      <c r="X15" s="17">
        <f t="shared" si="7"/>
        <v>0</v>
      </c>
      <c r="Y15" s="17">
        <f t="shared" si="7"/>
        <v>63</v>
      </c>
      <c r="Z15" s="17">
        <f t="shared" si="7"/>
        <v>30</v>
      </c>
      <c r="AA15" s="17">
        <f t="shared" si="7"/>
        <v>6</v>
      </c>
      <c r="AB15" s="17">
        <f t="shared" si="7"/>
        <v>10</v>
      </c>
      <c r="AC15" s="17">
        <f t="shared" si="7"/>
        <v>2636</v>
      </c>
      <c r="AD15" s="17">
        <f t="shared" si="7"/>
        <v>1</v>
      </c>
      <c r="AE15" s="30">
        <f t="shared" si="7"/>
        <v>1173</v>
      </c>
      <c r="AF15" s="30">
        <f t="shared" si="7"/>
        <v>3809</v>
      </c>
    </row>
    <row r="16" spans="2:32" ht="23.1" customHeight="1" x14ac:dyDescent="0.25">
      <c r="B16" s="22" t="s">
        <v>43</v>
      </c>
      <c r="C16" s="49">
        <v>200</v>
      </c>
      <c r="D16" s="49">
        <v>20</v>
      </c>
      <c r="E16" s="49">
        <v>10</v>
      </c>
      <c r="F16" s="49">
        <v>3</v>
      </c>
      <c r="G16" s="49">
        <v>0</v>
      </c>
      <c r="H16" s="49">
        <v>0</v>
      </c>
      <c r="I16" s="49">
        <v>7</v>
      </c>
      <c r="J16" s="49">
        <v>7</v>
      </c>
      <c r="K16" s="49">
        <v>2</v>
      </c>
      <c r="L16" s="49">
        <v>3</v>
      </c>
      <c r="M16" s="49">
        <v>902</v>
      </c>
      <c r="N16" s="49">
        <v>0</v>
      </c>
      <c r="O16" s="15">
        <f t="shared" si="0"/>
        <v>252</v>
      </c>
      <c r="P16" s="15">
        <f t="shared" si="1"/>
        <v>1154</v>
      </c>
      <c r="R16" s="1" t="s">
        <v>12</v>
      </c>
      <c r="S16" s="17">
        <f t="shared" ref="S16:AF16" si="8">SUM(C34:C37)</f>
        <v>695</v>
      </c>
      <c r="T16" s="17">
        <f t="shared" si="8"/>
        <v>115</v>
      </c>
      <c r="U16" s="17">
        <f t="shared" si="8"/>
        <v>67</v>
      </c>
      <c r="V16" s="17">
        <f t="shared" si="8"/>
        <v>26</v>
      </c>
      <c r="W16" s="17">
        <f t="shared" si="8"/>
        <v>4</v>
      </c>
      <c r="X16" s="17">
        <f t="shared" si="8"/>
        <v>0</v>
      </c>
      <c r="Y16" s="17">
        <f t="shared" si="8"/>
        <v>44</v>
      </c>
      <c r="Z16" s="17">
        <f t="shared" si="8"/>
        <v>18</v>
      </c>
      <c r="AA16" s="17">
        <f t="shared" si="8"/>
        <v>4</v>
      </c>
      <c r="AB16" s="17">
        <f t="shared" si="8"/>
        <v>9</v>
      </c>
      <c r="AC16" s="17">
        <f t="shared" si="8"/>
        <v>2411</v>
      </c>
      <c r="AD16" s="17">
        <f t="shared" si="8"/>
        <v>0</v>
      </c>
      <c r="AE16" s="30">
        <f t="shared" si="8"/>
        <v>982</v>
      </c>
      <c r="AF16" s="30">
        <f t="shared" si="8"/>
        <v>3393</v>
      </c>
    </row>
    <row r="17" spans="2:32" ht="23.1" customHeight="1" x14ac:dyDescent="0.25">
      <c r="B17" s="22" t="s">
        <v>44</v>
      </c>
      <c r="C17" s="49">
        <v>210</v>
      </c>
      <c r="D17" s="49">
        <v>30</v>
      </c>
      <c r="E17" s="49">
        <v>16</v>
      </c>
      <c r="F17" s="49">
        <v>2</v>
      </c>
      <c r="G17" s="49">
        <v>1</v>
      </c>
      <c r="H17" s="49">
        <v>0</v>
      </c>
      <c r="I17" s="49">
        <v>7</v>
      </c>
      <c r="J17" s="49">
        <v>6</v>
      </c>
      <c r="K17" s="49">
        <v>2</v>
      </c>
      <c r="L17" s="49">
        <v>2</v>
      </c>
      <c r="M17" s="49">
        <v>750</v>
      </c>
      <c r="N17" s="49">
        <v>0</v>
      </c>
      <c r="O17" s="15">
        <f t="shared" si="0"/>
        <v>276</v>
      </c>
      <c r="P17" s="15">
        <f t="shared" si="1"/>
        <v>1026</v>
      </c>
      <c r="R17" s="1" t="s">
        <v>13</v>
      </c>
      <c r="S17" s="17">
        <f t="shared" ref="S17:AF17" si="9">SUM(C38:C41)</f>
        <v>760</v>
      </c>
      <c r="T17" s="17">
        <f t="shared" si="9"/>
        <v>100</v>
      </c>
      <c r="U17" s="17">
        <f t="shared" si="9"/>
        <v>28</v>
      </c>
      <c r="V17" s="17">
        <f t="shared" si="9"/>
        <v>39</v>
      </c>
      <c r="W17" s="17">
        <f t="shared" si="9"/>
        <v>0</v>
      </c>
      <c r="X17" s="17">
        <f t="shared" si="9"/>
        <v>4</v>
      </c>
      <c r="Y17" s="17">
        <f t="shared" si="9"/>
        <v>63</v>
      </c>
      <c r="Z17" s="17">
        <f t="shared" si="9"/>
        <v>32</v>
      </c>
      <c r="AA17" s="17">
        <f t="shared" si="9"/>
        <v>9</v>
      </c>
      <c r="AB17" s="17">
        <f t="shared" si="9"/>
        <v>17</v>
      </c>
      <c r="AC17" s="17">
        <f t="shared" si="9"/>
        <v>2719</v>
      </c>
      <c r="AD17" s="17">
        <f t="shared" si="9"/>
        <v>0</v>
      </c>
      <c r="AE17" s="30">
        <f t="shared" si="9"/>
        <v>1052</v>
      </c>
      <c r="AF17" s="30">
        <f t="shared" si="9"/>
        <v>3771</v>
      </c>
    </row>
    <row r="18" spans="2:32" ht="23.1" customHeight="1" x14ac:dyDescent="0.25">
      <c r="B18" s="22" t="s">
        <v>45</v>
      </c>
      <c r="C18" s="49">
        <v>160</v>
      </c>
      <c r="D18" s="49">
        <v>10</v>
      </c>
      <c r="E18" s="49">
        <v>10</v>
      </c>
      <c r="F18" s="49">
        <v>5</v>
      </c>
      <c r="G18" s="49">
        <v>0</v>
      </c>
      <c r="H18" s="49">
        <v>0</v>
      </c>
      <c r="I18" s="49">
        <v>9</v>
      </c>
      <c r="J18" s="49">
        <v>4</v>
      </c>
      <c r="K18" s="49">
        <v>1</v>
      </c>
      <c r="L18" s="49">
        <v>1</v>
      </c>
      <c r="M18" s="49">
        <v>765</v>
      </c>
      <c r="N18" s="49">
        <v>0</v>
      </c>
      <c r="O18" s="15">
        <f t="shared" si="0"/>
        <v>200</v>
      </c>
      <c r="P18" s="15">
        <f t="shared" si="1"/>
        <v>965</v>
      </c>
      <c r="R18" s="1" t="s">
        <v>14</v>
      </c>
      <c r="S18" s="17">
        <f t="shared" ref="S18:AF18" si="10">SUM(C42:C45)</f>
        <v>630</v>
      </c>
      <c r="T18" s="17">
        <f t="shared" si="10"/>
        <v>78</v>
      </c>
      <c r="U18" s="17">
        <f t="shared" si="10"/>
        <v>40</v>
      </c>
      <c r="V18" s="17">
        <f t="shared" si="10"/>
        <v>24</v>
      </c>
      <c r="W18" s="17">
        <f t="shared" si="10"/>
        <v>3</v>
      </c>
      <c r="X18" s="17">
        <f t="shared" si="10"/>
        <v>0</v>
      </c>
      <c r="Y18" s="17">
        <f t="shared" si="10"/>
        <v>65</v>
      </c>
      <c r="Z18" s="17">
        <f t="shared" si="10"/>
        <v>20</v>
      </c>
      <c r="AA18" s="17">
        <f t="shared" si="10"/>
        <v>6</v>
      </c>
      <c r="AB18" s="17">
        <f t="shared" si="10"/>
        <v>14</v>
      </c>
      <c r="AC18" s="17">
        <f t="shared" si="10"/>
        <v>3020</v>
      </c>
      <c r="AD18" s="17">
        <f t="shared" si="10"/>
        <v>0</v>
      </c>
      <c r="AE18" s="30">
        <f t="shared" si="10"/>
        <v>880</v>
      </c>
      <c r="AF18" s="30">
        <f t="shared" si="10"/>
        <v>3900</v>
      </c>
    </row>
    <row r="19" spans="2:32" ht="23.1" customHeight="1" x14ac:dyDescent="0.25">
      <c r="B19" s="22" t="s">
        <v>46</v>
      </c>
      <c r="C19" s="49">
        <v>175</v>
      </c>
      <c r="D19" s="49">
        <v>15</v>
      </c>
      <c r="E19" s="49">
        <v>12</v>
      </c>
      <c r="F19" s="49">
        <v>4</v>
      </c>
      <c r="G19" s="49">
        <v>1</v>
      </c>
      <c r="H19" s="49">
        <v>1</v>
      </c>
      <c r="I19" s="49">
        <v>12</v>
      </c>
      <c r="J19" s="49">
        <v>6</v>
      </c>
      <c r="K19" s="49">
        <v>0</v>
      </c>
      <c r="L19" s="49">
        <v>2</v>
      </c>
      <c r="M19" s="49">
        <v>600</v>
      </c>
      <c r="N19" s="49">
        <v>0</v>
      </c>
      <c r="O19" s="15">
        <f t="shared" si="0"/>
        <v>228</v>
      </c>
      <c r="P19" s="15">
        <f t="shared" si="1"/>
        <v>828</v>
      </c>
      <c r="R19" s="1" t="s">
        <v>15</v>
      </c>
      <c r="S19" s="17">
        <f t="shared" ref="S19:AF19" si="11">SUM(C46:C49)</f>
        <v>820</v>
      </c>
      <c r="T19" s="17">
        <f t="shared" si="11"/>
        <v>152</v>
      </c>
      <c r="U19" s="17">
        <f t="shared" si="11"/>
        <v>84</v>
      </c>
      <c r="V19" s="17">
        <f t="shared" si="11"/>
        <v>35</v>
      </c>
      <c r="W19" s="17">
        <f t="shared" si="11"/>
        <v>2</v>
      </c>
      <c r="X19" s="17">
        <f t="shared" si="11"/>
        <v>2</v>
      </c>
      <c r="Y19" s="17">
        <f t="shared" si="11"/>
        <v>55</v>
      </c>
      <c r="Z19" s="17">
        <f t="shared" si="11"/>
        <v>21</v>
      </c>
      <c r="AA19" s="17">
        <f t="shared" si="11"/>
        <v>5</v>
      </c>
      <c r="AB19" s="17">
        <f t="shared" si="11"/>
        <v>14</v>
      </c>
      <c r="AC19" s="17">
        <f t="shared" si="11"/>
        <v>3041</v>
      </c>
      <c r="AD19" s="17">
        <f t="shared" si="11"/>
        <v>1</v>
      </c>
      <c r="AE19" s="30">
        <f t="shared" si="11"/>
        <v>1191</v>
      </c>
      <c r="AF19" s="30">
        <f t="shared" si="11"/>
        <v>4232</v>
      </c>
    </row>
    <row r="20" spans="2:32" ht="23.1" customHeight="1" x14ac:dyDescent="0.25">
      <c r="B20" s="22" t="s">
        <v>47</v>
      </c>
      <c r="C20" s="49">
        <v>150</v>
      </c>
      <c r="D20" s="49">
        <v>18</v>
      </c>
      <c r="E20" s="49">
        <v>6</v>
      </c>
      <c r="F20" s="49">
        <v>7</v>
      </c>
      <c r="G20" s="49">
        <v>3</v>
      </c>
      <c r="H20" s="49">
        <v>0</v>
      </c>
      <c r="I20" s="49">
        <v>8</v>
      </c>
      <c r="J20" s="49">
        <v>1</v>
      </c>
      <c r="K20" s="49">
        <v>4</v>
      </c>
      <c r="L20" s="49">
        <v>1</v>
      </c>
      <c r="M20" s="49">
        <v>700</v>
      </c>
      <c r="N20" s="49">
        <v>0</v>
      </c>
      <c r="O20" s="15">
        <f t="shared" si="0"/>
        <v>198</v>
      </c>
      <c r="P20" s="15">
        <f t="shared" si="1"/>
        <v>898</v>
      </c>
      <c r="R20" s="1" t="s">
        <v>16</v>
      </c>
      <c r="S20" s="17">
        <f t="shared" ref="S20:AF20" si="12">SUM(C50:C53)</f>
        <v>740</v>
      </c>
      <c r="T20" s="17">
        <f t="shared" si="12"/>
        <v>103</v>
      </c>
      <c r="U20" s="17">
        <f t="shared" si="12"/>
        <v>41</v>
      </c>
      <c r="V20" s="17">
        <f t="shared" si="12"/>
        <v>27</v>
      </c>
      <c r="W20" s="17">
        <f t="shared" si="12"/>
        <v>2</v>
      </c>
      <c r="X20" s="17">
        <f t="shared" si="12"/>
        <v>0</v>
      </c>
      <c r="Y20" s="17">
        <f t="shared" si="12"/>
        <v>54</v>
      </c>
      <c r="Z20" s="17">
        <f t="shared" si="12"/>
        <v>16</v>
      </c>
      <c r="AA20" s="17">
        <f t="shared" si="12"/>
        <v>7</v>
      </c>
      <c r="AB20" s="17">
        <f t="shared" si="12"/>
        <v>13</v>
      </c>
      <c r="AC20" s="17">
        <f t="shared" si="12"/>
        <v>3332</v>
      </c>
      <c r="AD20" s="17">
        <f t="shared" si="12"/>
        <v>0</v>
      </c>
      <c r="AE20" s="30">
        <f t="shared" si="12"/>
        <v>1003</v>
      </c>
      <c r="AF20" s="30">
        <f t="shared" si="12"/>
        <v>4335</v>
      </c>
    </row>
    <row r="21" spans="2:32" ht="23.1" customHeight="1" x14ac:dyDescent="0.25">
      <c r="B21" s="22" t="s">
        <v>48</v>
      </c>
      <c r="C21" s="49">
        <v>200</v>
      </c>
      <c r="D21" s="49">
        <v>10</v>
      </c>
      <c r="E21" s="49">
        <v>5</v>
      </c>
      <c r="F21" s="49">
        <v>6</v>
      </c>
      <c r="G21" s="49">
        <v>3</v>
      </c>
      <c r="H21" s="49">
        <v>1</v>
      </c>
      <c r="I21" s="49">
        <v>20</v>
      </c>
      <c r="J21" s="49">
        <v>6</v>
      </c>
      <c r="K21" s="49">
        <v>0</v>
      </c>
      <c r="L21" s="49">
        <v>1</v>
      </c>
      <c r="M21" s="49">
        <v>520</v>
      </c>
      <c r="N21" s="49">
        <v>1</v>
      </c>
      <c r="O21" s="15">
        <f t="shared" si="0"/>
        <v>253</v>
      </c>
      <c r="P21" s="15">
        <f t="shared" si="1"/>
        <v>773</v>
      </c>
      <c r="R21" s="35" t="s">
        <v>20</v>
      </c>
      <c r="S21" s="33">
        <f t="shared" ref="S21:AF21" si="13">SUM(C54:C57)</f>
        <v>935</v>
      </c>
      <c r="T21" s="17">
        <f t="shared" si="13"/>
        <v>149</v>
      </c>
      <c r="U21" s="17">
        <f t="shared" si="13"/>
        <v>44</v>
      </c>
      <c r="V21" s="17">
        <f t="shared" si="13"/>
        <v>28</v>
      </c>
      <c r="W21" s="17">
        <f t="shared" si="13"/>
        <v>6</v>
      </c>
      <c r="X21" s="17">
        <f t="shared" si="13"/>
        <v>1</v>
      </c>
      <c r="Y21" s="17">
        <f t="shared" si="13"/>
        <v>60</v>
      </c>
      <c r="Z21" s="17">
        <f t="shared" si="13"/>
        <v>11</v>
      </c>
      <c r="AA21" s="17">
        <f t="shared" si="13"/>
        <v>7</v>
      </c>
      <c r="AB21" s="17">
        <f t="shared" si="13"/>
        <v>5</v>
      </c>
      <c r="AC21" s="17">
        <f t="shared" si="13"/>
        <v>2275</v>
      </c>
      <c r="AD21" s="17">
        <f t="shared" si="13"/>
        <v>0</v>
      </c>
      <c r="AE21" s="30">
        <f t="shared" si="13"/>
        <v>1246</v>
      </c>
      <c r="AF21" s="30">
        <f t="shared" si="13"/>
        <v>3521</v>
      </c>
    </row>
    <row r="22" spans="2:32" ht="23.1" customHeight="1" x14ac:dyDescent="0.25">
      <c r="B22" s="22" t="s">
        <v>49</v>
      </c>
      <c r="C22" s="49">
        <v>200</v>
      </c>
      <c r="D22" s="49">
        <v>42</v>
      </c>
      <c r="E22" s="49">
        <v>25</v>
      </c>
      <c r="F22" s="49">
        <v>12</v>
      </c>
      <c r="G22" s="49">
        <v>0</v>
      </c>
      <c r="H22" s="49">
        <v>0</v>
      </c>
      <c r="I22" s="49">
        <v>13</v>
      </c>
      <c r="J22" s="49">
        <v>5</v>
      </c>
      <c r="K22" s="49">
        <v>1</v>
      </c>
      <c r="L22" s="49">
        <v>5</v>
      </c>
      <c r="M22" s="49">
        <v>800</v>
      </c>
      <c r="N22" s="49">
        <v>0</v>
      </c>
      <c r="O22" s="15">
        <f t="shared" si="0"/>
        <v>303</v>
      </c>
      <c r="P22" s="15">
        <f t="shared" si="1"/>
        <v>1103</v>
      </c>
      <c r="R22" s="37" t="s">
        <v>90</v>
      </c>
      <c r="S22" s="38">
        <f>MAX(S10:S12)</f>
        <v>770</v>
      </c>
      <c r="T22" s="38">
        <f t="shared" ref="T22:AF22" si="14">MAX(T10:T12)</f>
        <v>110</v>
      </c>
      <c r="U22" s="38">
        <f t="shared" si="14"/>
        <v>38</v>
      </c>
      <c r="V22" s="38">
        <f t="shared" si="14"/>
        <v>22</v>
      </c>
      <c r="W22" s="38">
        <f t="shared" si="14"/>
        <v>7</v>
      </c>
      <c r="X22" s="38">
        <f t="shared" si="14"/>
        <v>2</v>
      </c>
      <c r="Y22" s="38">
        <f t="shared" si="14"/>
        <v>49</v>
      </c>
      <c r="Z22" s="38">
        <f t="shared" si="14"/>
        <v>17</v>
      </c>
      <c r="AA22" s="38">
        <f t="shared" si="14"/>
        <v>9</v>
      </c>
      <c r="AB22" s="38">
        <f t="shared" si="14"/>
        <v>15</v>
      </c>
      <c r="AC22" s="38">
        <f t="shared" si="14"/>
        <v>3277</v>
      </c>
      <c r="AD22" s="38">
        <f t="shared" si="14"/>
        <v>1</v>
      </c>
      <c r="AE22" s="39">
        <f t="shared" si="14"/>
        <v>1000</v>
      </c>
      <c r="AF22" s="39">
        <f t="shared" si="14"/>
        <v>4213</v>
      </c>
    </row>
    <row r="23" spans="2:32" ht="23.1" customHeight="1" x14ac:dyDescent="0.25">
      <c r="B23" s="22" t="s">
        <v>50</v>
      </c>
      <c r="C23" s="49">
        <v>200</v>
      </c>
      <c r="D23" s="49">
        <v>15</v>
      </c>
      <c r="E23" s="49">
        <v>10</v>
      </c>
      <c r="F23" s="49">
        <v>8</v>
      </c>
      <c r="G23" s="49">
        <v>1</v>
      </c>
      <c r="H23" s="49">
        <v>0</v>
      </c>
      <c r="I23" s="49">
        <v>21</v>
      </c>
      <c r="J23" s="49">
        <v>9</v>
      </c>
      <c r="K23" s="49">
        <v>4</v>
      </c>
      <c r="L23" s="49">
        <v>1</v>
      </c>
      <c r="M23" s="49">
        <v>802</v>
      </c>
      <c r="N23" s="49">
        <v>1</v>
      </c>
      <c r="O23" s="15">
        <f t="shared" si="0"/>
        <v>270</v>
      </c>
      <c r="P23" s="15">
        <f t="shared" si="1"/>
        <v>1072</v>
      </c>
      <c r="R23" s="37" t="s">
        <v>91</v>
      </c>
      <c r="S23" s="38">
        <f>MAX(S13:S18)</f>
        <v>775</v>
      </c>
      <c r="T23" s="38">
        <f t="shared" ref="T23:AF23" si="15">MAX(T13:T18)</f>
        <v>205</v>
      </c>
      <c r="U23" s="38">
        <f t="shared" si="15"/>
        <v>67</v>
      </c>
      <c r="V23" s="38">
        <f t="shared" si="15"/>
        <v>40</v>
      </c>
      <c r="W23" s="38">
        <f t="shared" si="15"/>
        <v>4</v>
      </c>
      <c r="X23" s="38">
        <f t="shared" si="15"/>
        <v>4</v>
      </c>
      <c r="Y23" s="38">
        <f t="shared" si="15"/>
        <v>69</v>
      </c>
      <c r="Z23" s="38">
        <f t="shared" si="15"/>
        <v>32</v>
      </c>
      <c r="AA23" s="38">
        <f t="shared" si="15"/>
        <v>9</v>
      </c>
      <c r="AB23" s="38">
        <f t="shared" si="15"/>
        <v>22</v>
      </c>
      <c r="AC23" s="38">
        <f t="shared" si="15"/>
        <v>3087</v>
      </c>
      <c r="AD23" s="38">
        <f t="shared" si="15"/>
        <v>3</v>
      </c>
      <c r="AE23" s="39">
        <f t="shared" si="15"/>
        <v>1173</v>
      </c>
      <c r="AF23" s="39">
        <f t="shared" si="15"/>
        <v>4124</v>
      </c>
    </row>
    <row r="24" spans="2:32" ht="23.1" customHeight="1" x14ac:dyDescent="0.25">
      <c r="B24" s="22" t="s">
        <v>51</v>
      </c>
      <c r="C24" s="49">
        <v>140</v>
      </c>
      <c r="D24" s="49">
        <v>40</v>
      </c>
      <c r="E24" s="49">
        <v>3</v>
      </c>
      <c r="F24" s="49">
        <v>8</v>
      </c>
      <c r="G24" s="49">
        <v>0</v>
      </c>
      <c r="H24" s="49">
        <v>0</v>
      </c>
      <c r="I24" s="49">
        <v>3</v>
      </c>
      <c r="J24" s="49">
        <v>4</v>
      </c>
      <c r="K24" s="49">
        <v>1</v>
      </c>
      <c r="L24" s="49">
        <v>2</v>
      </c>
      <c r="M24" s="49">
        <v>900</v>
      </c>
      <c r="N24" s="49">
        <v>1</v>
      </c>
      <c r="O24" s="15">
        <f t="shared" si="0"/>
        <v>202</v>
      </c>
      <c r="P24" s="15">
        <f t="shared" si="1"/>
        <v>1102</v>
      </c>
      <c r="R24" s="37" t="s">
        <v>92</v>
      </c>
      <c r="S24" s="38">
        <f>MAX(S19:S21)</f>
        <v>935</v>
      </c>
      <c r="T24" s="38">
        <f t="shared" ref="T24:AF24" si="16">MAX(T19:T21)</f>
        <v>152</v>
      </c>
      <c r="U24" s="38">
        <f t="shared" si="16"/>
        <v>84</v>
      </c>
      <c r="V24" s="38">
        <f t="shared" si="16"/>
        <v>35</v>
      </c>
      <c r="W24" s="38">
        <f t="shared" si="16"/>
        <v>6</v>
      </c>
      <c r="X24" s="38">
        <f t="shared" si="16"/>
        <v>2</v>
      </c>
      <c r="Y24" s="38">
        <f t="shared" si="16"/>
        <v>60</v>
      </c>
      <c r="Z24" s="38">
        <f t="shared" si="16"/>
        <v>21</v>
      </c>
      <c r="AA24" s="38">
        <f t="shared" si="16"/>
        <v>7</v>
      </c>
      <c r="AB24" s="38">
        <f t="shared" si="16"/>
        <v>14</v>
      </c>
      <c r="AC24" s="38">
        <f t="shared" si="16"/>
        <v>3332</v>
      </c>
      <c r="AD24" s="38">
        <f t="shared" si="16"/>
        <v>1</v>
      </c>
      <c r="AE24" s="39">
        <f t="shared" si="16"/>
        <v>1246</v>
      </c>
      <c r="AF24" s="39">
        <f t="shared" si="16"/>
        <v>4335</v>
      </c>
    </row>
    <row r="25" spans="2:32" ht="23.1" customHeight="1" x14ac:dyDescent="0.25">
      <c r="B25" s="22" t="s">
        <v>52</v>
      </c>
      <c r="C25" s="49">
        <v>160</v>
      </c>
      <c r="D25" s="49">
        <v>23</v>
      </c>
      <c r="E25" s="49">
        <v>3</v>
      </c>
      <c r="F25" s="49">
        <v>7</v>
      </c>
      <c r="G25" s="49">
        <v>3</v>
      </c>
      <c r="H25" s="49">
        <v>0</v>
      </c>
      <c r="I25" s="49">
        <v>20</v>
      </c>
      <c r="J25" s="49">
        <v>6</v>
      </c>
      <c r="K25" s="49">
        <v>1</v>
      </c>
      <c r="L25" s="49">
        <v>1</v>
      </c>
      <c r="M25" s="49">
        <v>585</v>
      </c>
      <c r="N25" s="49">
        <v>1</v>
      </c>
      <c r="O25" s="15">
        <f t="shared" si="0"/>
        <v>225</v>
      </c>
      <c r="P25" s="15">
        <f t="shared" si="1"/>
        <v>810</v>
      </c>
      <c r="R25" s="36" t="s">
        <v>85</v>
      </c>
      <c r="S25" s="34">
        <f t="shared" ref="S25:AF25" si="17">SUM(S10:S12)</f>
        <v>2150</v>
      </c>
      <c r="T25" s="16">
        <f t="shared" si="17"/>
        <v>235</v>
      </c>
      <c r="U25" s="16">
        <f t="shared" si="17"/>
        <v>88</v>
      </c>
      <c r="V25" s="16">
        <f t="shared" si="17"/>
        <v>50</v>
      </c>
      <c r="W25" s="16">
        <f t="shared" si="17"/>
        <v>8</v>
      </c>
      <c r="X25" s="16">
        <f t="shared" si="17"/>
        <v>3</v>
      </c>
      <c r="Y25" s="16">
        <f t="shared" si="17"/>
        <v>80</v>
      </c>
      <c r="Z25" s="16">
        <f t="shared" si="17"/>
        <v>38</v>
      </c>
      <c r="AA25" s="16">
        <f t="shared" si="17"/>
        <v>14</v>
      </c>
      <c r="AB25" s="16">
        <f t="shared" si="17"/>
        <v>21</v>
      </c>
      <c r="AC25" s="16">
        <f t="shared" si="17"/>
        <v>9075</v>
      </c>
      <c r="AD25" s="16">
        <f t="shared" si="17"/>
        <v>1</v>
      </c>
      <c r="AE25" s="31">
        <f t="shared" si="17"/>
        <v>2688</v>
      </c>
      <c r="AF25" s="31">
        <f t="shared" si="17"/>
        <v>11763</v>
      </c>
    </row>
    <row r="26" spans="2:32" ht="23.1" customHeight="1" x14ac:dyDescent="0.25">
      <c r="B26" s="22" t="s">
        <v>53</v>
      </c>
      <c r="C26" s="49">
        <v>160</v>
      </c>
      <c r="D26" s="49">
        <v>8</v>
      </c>
      <c r="E26" s="49">
        <v>10</v>
      </c>
      <c r="F26" s="49">
        <v>10</v>
      </c>
      <c r="G26" s="49">
        <v>2</v>
      </c>
      <c r="H26" s="49">
        <v>0</v>
      </c>
      <c r="I26" s="49">
        <v>23</v>
      </c>
      <c r="J26" s="49">
        <v>10</v>
      </c>
      <c r="K26" s="49">
        <v>3</v>
      </c>
      <c r="L26" s="49">
        <v>8</v>
      </c>
      <c r="M26" s="49">
        <v>801</v>
      </c>
      <c r="N26" s="49">
        <v>0</v>
      </c>
      <c r="O26" s="15">
        <f t="shared" si="0"/>
        <v>234</v>
      </c>
      <c r="P26" s="15">
        <f t="shared" si="1"/>
        <v>1035</v>
      </c>
      <c r="R26" s="27" t="s">
        <v>86</v>
      </c>
      <c r="S26" s="16">
        <f t="shared" ref="S26:AF26" si="18">SUM(S13:S18)</f>
        <v>4330</v>
      </c>
      <c r="T26" s="16">
        <f t="shared" si="18"/>
        <v>726</v>
      </c>
      <c r="U26" s="16">
        <f t="shared" si="18"/>
        <v>237</v>
      </c>
      <c r="V26" s="16">
        <f t="shared" si="18"/>
        <v>200</v>
      </c>
      <c r="W26" s="16">
        <f t="shared" si="18"/>
        <v>17</v>
      </c>
      <c r="X26" s="16">
        <f t="shared" si="18"/>
        <v>4</v>
      </c>
      <c r="Y26" s="16">
        <f t="shared" si="18"/>
        <v>361</v>
      </c>
      <c r="Z26" s="16">
        <f t="shared" si="18"/>
        <v>148</v>
      </c>
      <c r="AA26" s="16">
        <f t="shared" si="18"/>
        <v>37</v>
      </c>
      <c r="AB26" s="16">
        <f t="shared" si="18"/>
        <v>81</v>
      </c>
      <c r="AC26" s="16">
        <f t="shared" si="18"/>
        <v>16939</v>
      </c>
      <c r="AD26" s="16">
        <f t="shared" si="18"/>
        <v>4</v>
      </c>
      <c r="AE26" s="31">
        <f t="shared" si="18"/>
        <v>6145</v>
      </c>
      <c r="AF26" s="31">
        <f t="shared" si="18"/>
        <v>23084</v>
      </c>
    </row>
    <row r="27" spans="2:32" ht="23.1" customHeight="1" x14ac:dyDescent="0.25">
      <c r="B27" s="22" t="s">
        <v>54</v>
      </c>
      <c r="C27" s="49">
        <v>185</v>
      </c>
      <c r="D27" s="49">
        <v>30</v>
      </c>
      <c r="E27" s="49">
        <v>0</v>
      </c>
      <c r="F27" s="49">
        <v>13</v>
      </c>
      <c r="G27" s="49">
        <v>2</v>
      </c>
      <c r="H27" s="49">
        <v>0</v>
      </c>
      <c r="I27" s="49">
        <v>17</v>
      </c>
      <c r="J27" s="49">
        <v>6</v>
      </c>
      <c r="K27" s="49">
        <v>0</v>
      </c>
      <c r="L27" s="49">
        <v>9</v>
      </c>
      <c r="M27" s="49">
        <v>804</v>
      </c>
      <c r="N27" s="49">
        <v>0</v>
      </c>
      <c r="O27" s="15">
        <f t="shared" si="0"/>
        <v>262</v>
      </c>
      <c r="P27" s="15">
        <f t="shared" si="1"/>
        <v>1066</v>
      </c>
      <c r="R27" s="28" t="s">
        <v>87</v>
      </c>
      <c r="S27" s="16">
        <f t="shared" ref="S27:AF27" si="19">SUM(S19:S21)</f>
        <v>2495</v>
      </c>
      <c r="T27" s="16">
        <f t="shared" si="19"/>
        <v>404</v>
      </c>
      <c r="U27" s="16">
        <f t="shared" si="19"/>
        <v>169</v>
      </c>
      <c r="V27" s="16">
        <f t="shared" si="19"/>
        <v>90</v>
      </c>
      <c r="W27" s="16">
        <f t="shared" si="19"/>
        <v>10</v>
      </c>
      <c r="X27" s="16">
        <f t="shared" si="19"/>
        <v>3</v>
      </c>
      <c r="Y27" s="16">
        <f t="shared" si="19"/>
        <v>169</v>
      </c>
      <c r="Z27" s="16">
        <f t="shared" si="19"/>
        <v>48</v>
      </c>
      <c r="AA27" s="16">
        <f t="shared" si="19"/>
        <v>19</v>
      </c>
      <c r="AB27" s="16">
        <f t="shared" si="19"/>
        <v>32</v>
      </c>
      <c r="AC27" s="16">
        <f t="shared" si="19"/>
        <v>8648</v>
      </c>
      <c r="AD27" s="16">
        <f t="shared" si="19"/>
        <v>1</v>
      </c>
      <c r="AE27" s="31">
        <f t="shared" si="19"/>
        <v>3440</v>
      </c>
      <c r="AF27" s="31">
        <f t="shared" si="19"/>
        <v>12088</v>
      </c>
    </row>
    <row r="28" spans="2:32" ht="23.1" customHeight="1" x14ac:dyDescent="0.25">
      <c r="B28" s="22" t="s">
        <v>55</v>
      </c>
      <c r="C28" s="49">
        <v>200</v>
      </c>
      <c r="D28" s="49">
        <v>30</v>
      </c>
      <c r="E28" s="49">
        <v>5</v>
      </c>
      <c r="F28" s="49">
        <v>8</v>
      </c>
      <c r="G28" s="49">
        <v>0</v>
      </c>
      <c r="H28" s="49">
        <v>0</v>
      </c>
      <c r="I28" s="49">
        <v>15</v>
      </c>
      <c r="J28" s="49">
        <v>3</v>
      </c>
      <c r="K28" s="49">
        <v>1</v>
      </c>
      <c r="L28" s="49">
        <v>1</v>
      </c>
      <c r="M28" s="49">
        <v>700</v>
      </c>
      <c r="N28" s="49">
        <v>0</v>
      </c>
      <c r="O28" s="15">
        <f t="shared" si="0"/>
        <v>263</v>
      </c>
      <c r="P28" s="15">
        <f t="shared" si="1"/>
        <v>963</v>
      </c>
      <c r="R28" s="5" t="s">
        <v>17</v>
      </c>
      <c r="S28" s="16">
        <f t="shared" ref="S28:AF28" si="20">SUM(S10:S21)</f>
        <v>8975</v>
      </c>
      <c r="T28" s="16">
        <f t="shared" si="20"/>
        <v>1365</v>
      </c>
      <c r="U28" s="16">
        <f t="shared" si="20"/>
        <v>494</v>
      </c>
      <c r="V28" s="16">
        <f t="shared" si="20"/>
        <v>340</v>
      </c>
      <c r="W28" s="16">
        <f t="shared" si="20"/>
        <v>35</v>
      </c>
      <c r="X28" s="16">
        <f t="shared" si="20"/>
        <v>10</v>
      </c>
      <c r="Y28" s="16">
        <f t="shared" si="20"/>
        <v>610</v>
      </c>
      <c r="Z28" s="16">
        <f t="shared" si="20"/>
        <v>234</v>
      </c>
      <c r="AA28" s="16">
        <f t="shared" si="20"/>
        <v>70</v>
      </c>
      <c r="AB28" s="16">
        <f t="shared" si="20"/>
        <v>134</v>
      </c>
      <c r="AC28" s="16">
        <f t="shared" si="20"/>
        <v>34662</v>
      </c>
      <c r="AD28" s="16">
        <f t="shared" si="20"/>
        <v>6</v>
      </c>
      <c r="AE28" s="31">
        <f t="shared" si="20"/>
        <v>12273</v>
      </c>
      <c r="AF28" s="31">
        <f t="shared" si="20"/>
        <v>46935</v>
      </c>
    </row>
    <row r="29" spans="2:32" ht="23.1" customHeight="1" x14ac:dyDescent="0.25">
      <c r="B29" s="22" t="s">
        <v>56</v>
      </c>
      <c r="C29" s="49">
        <v>225</v>
      </c>
      <c r="D29" s="49">
        <v>40</v>
      </c>
      <c r="E29" s="49">
        <v>5</v>
      </c>
      <c r="F29" s="49">
        <v>5</v>
      </c>
      <c r="G29" s="49">
        <v>0</v>
      </c>
      <c r="H29" s="49">
        <v>0</v>
      </c>
      <c r="I29" s="49">
        <v>14</v>
      </c>
      <c r="J29" s="49">
        <v>5</v>
      </c>
      <c r="K29" s="49">
        <v>1</v>
      </c>
      <c r="L29" s="49">
        <v>4</v>
      </c>
      <c r="M29" s="49">
        <v>761</v>
      </c>
      <c r="N29" s="49">
        <v>0</v>
      </c>
      <c r="O29" s="15">
        <f t="shared" si="0"/>
        <v>299</v>
      </c>
      <c r="P29" s="15">
        <f t="shared" si="1"/>
        <v>1060</v>
      </c>
      <c r="R29"/>
      <c r="S29" s="20"/>
      <c r="T29" s="19"/>
    </row>
    <row r="30" spans="2:32" ht="23.1" customHeight="1" x14ac:dyDescent="0.25">
      <c r="B30" s="22" t="s">
        <v>57</v>
      </c>
      <c r="C30" s="49">
        <v>125</v>
      </c>
      <c r="D30" s="49">
        <v>40</v>
      </c>
      <c r="E30" s="49">
        <v>15</v>
      </c>
      <c r="F30" s="49">
        <v>8</v>
      </c>
      <c r="G30" s="49">
        <v>0</v>
      </c>
      <c r="H30" s="49">
        <v>0</v>
      </c>
      <c r="I30" s="49">
        <v>15</v>
      </c>
      <c r="J30" s="49">
        <v>6</v>
      </c>
      <c r="K30" s="49">
        <v>0</v>
      </c>
      <c r="L30" s="49">
        <v>2</v>
      </c>
      <c r="M30" s="49">
        <v>675</v>
      </c>
      <c r="N30" s="49">
        <v>0</v>
      </c>
      <c r="O30" s="15">
        <f t="shared" si="0"/>
        <v>211</v>
      </c>
      <c r="P30" s="15">
        <f t="shared" si="1"/>
        <v>886</v>
      </c>
    </row>
    <row r="31" spans="2:32" ht="23.1" customHeight="1" x14ac:dyDescent="0.25">
      <c r="B31" s="23" t="s">
        <v>58</v>
      </c>
      <c r="C31" s="49">
        <v>225</v>
      </c>
      <c r="D31" s="49">
        <v>75</v>
      </c>
      <c r="E31" s="49">
        <v>16</v>
      </c>
      <c r="F31" s="49">
        <v>14</v>
      </c>
      <c r="G31" s="49">
        <v>0</v>
      </c>
      <c r="H31" s="49">
        <v>0</v>
      </c>
      <c r="I31" s="49">
        <v>13</v>
      </c>
      <c r="J31" s="49">
        <v>8</v>
      </c>
      <c r="K31" s="49">
        <v>3</v>
      </c>
      <c r="L31" s="49">
        <v>4</v>
      </c>
      <c r="M31" s="49">
        <v>700</v>
      </c>
      <c r="N31" s="49">
        <v>0</v>
      </c>
      <c r="O31" s="15">
        <f t="shared" si="0"/>
        <v>358</v>
      </c>
      <c r="P31" s="15">
        <f t="shared" si="1"/>
        <v>1058</v>
      </c>
    </row>
    <row r="32" spans="2:32" ht="23.1" customHeight="1" x14ac:dyDescent="0.25">
      <c r="B32" s="23" t="s">
        <v>59</v>
      </c>
      <c r="C32" s="49">
        <v>225</v>
      </c>
      <c r="D32" s="49">
        <v>40</v>
      </c>
      <c r="E32" s="49">
        <v>0</v>
      </c>
      <c r="F32" s="49">
        <v>11</v>
      </c>
      <c r="G32" s="49">
        <v>0</v>
      </c>
      <c r="H32" s="49">
        <v>0</v>
      </c>
      <c r="I32" s="49">
        <v>21</v>
      </c>
      <c r="J32" s="49">
        <v>7</v>
      </c>
      <c r="K32" s="49">
        <v>2</v>
      </c>
      <c r="L32" s="49">
        <v>3</v>
      </c>
      <c r="M32" s="49">
        <v>630</v>
      </c>
      <c r="N32" s="49">
        <v>0</v>
      </c>
      <c r="O32" s="15">
        <f t="shared" si="0"/>
        <v>309</v>
      </c>
      <c r="P32" s="15">
        <f t="shared" si="1"/>
        <v>939</v>
      </c>
    </row>
    <row r="33" spans="2:20" ht="23.1" customHeight="1" x14ac:dyDescent="0.25">
      <c r="B33" s="22" t="s">
        <v>60</v>
      </c>
      <c r="C33" s="49">
        <v>200</v>
      </c>
      <c r="D33" s="49">
        <v>50</v>
      </c>
      <c r="E33" s="49">
        <v>10</v>
      </c>
      <c r="F33" s="49">
        <v>7</v>
      </c>
      <c r="G33" s="49">
        <v>2</v>
      </c>
      <c r="H33" s="49">
        <v>0</v>
      </c>
      <c r="I33" s="49">
        <v>14</v>
      </c>
      <c r="J33" s="49">
        <v>9</v>
      </c>
      <c r="K33" s="49">
        <v>1</v>
      </c>
      <c r="L33" s="49">
        <v>1</v>
      </c>
      <c r="M33" s="49">
        <v>631</v>
      </c>
      <c r="N33" s="49">
        <v>1</v>
      </c>
      <c r="O33" s="15">
        <f t="shared" si="0"/>
        <v>295</v>
      </c>
      <c r="P33" s="15">
        <f t="shared" si="1"/>
        <v>926</v>
      </c>
    </row>
    <row r="34" spans="2:20" ht="23.1" customHeight="1" x14ac:dyDescent="0.25">
      <c r="B34" s="23" t="s">
        <v>61</v>
      </c>
      <c r="C34" s="49">
        <v>200</v>
      </c>
      <c r="D34" s="49">
        <v>30</v>
      </c>
      <c r="E34" s="49">
        <v>20</v>
      </c>
      <c r="F34" s="49">
        <v>8</v>
      </c>
      <c r="G34" s="49">
        <v>2</v>
      </c>
      <c r="H34" s="49">
        <v>0</v>
      </c>
      <c r="I34" s="49">
        <v>11</v>
      </c>
      <c r="J34" s="49">
        <v>3</v>
      </c>
      <c r="K34" s="49">
        <v>0</v>
      </c>
      <c r="L34" s="49">
        <v>2</v>
      </c>
      <c r="M34" s="49">
        <v>586</v>
      </c>
      <c r="N34" s="49">
        <v>0</v>
      </c>
      <c r="O34" s="15">
        <f t="shared" si="0"/>
        <v>276</v>
      </c>
      <c r="P34" s="15">
        <f t="shared" si="1"/>
        <v>862</v>
      </c>
    </row>
    <row r="35" spans="2:20" ht="23.1" customHeight="1" x14ac:dyDescent="0.25">
      <c r="B35" s="23" t="s">
        <v>62</v>
      </c>
      <c r="C35" s="49">
        <v>175</v>
      </c>
      <c r="D35" s="49">
        <v>35</v>
      </c>
      <c r="E35" s="49">
        <v>12</v>
      </c>
      <c r="F35" s="49">
        <v>5</v>
      </c>
      <c r="G35" s="49">
        <v>1</v>
      </c>
      <c r="H35" s="49">
        <v>0</v>
      </c>
      <c r="I35" s="49">
        <v>11</v>
      </c>
      <c r="J35" s="49">
        <v>2</v>
      </c>
      <c r="K35" s="49">
        <v>2</v>
      </c>
      <c r="L35" s="49">
        <v>2</v>
      </c>
      <c r="M35" s="49">
        <v>585</v>
      </c>
      <c r="N35" s="49">
        <v>0</v>
      </c>
      <c r="O35" s="15">
        <f t="shared" si="0"/>
        <v>245</v>
      </c>
      <c r="P35" s="15">
        <f t="shared" si="1"/>
        <v>830</v>
      </c>
    </row>
    <row r="36" spans="2:20" ht="23.1" customHeight="1" x14ac:dyDescent="0.25">
      <c r="B36" s="23" t="s">
        <v>63</v>
      </c>
      <c r="C36" s="49">
        <v>160</v>
      </c>
      <c r="D36" s="49">
        <v>30</v>
      </c>
      <c r="E36" s="49">
        <v>20</v>
      </c>
      <c r="F36" s="49">
        <v>4</v>
      </c>
      <c r="G36" s="49">
        <v>0</v>
      </c>
      <c r="H36" s="49">
        <v>0</v>
      </c>
      <c r="I36" s="49">
        <v>10</v>
      </c>
      <c r="J36" s="49">
        <v>3</v>
      </c>
      <c r="K36" s="49">
        <v>1</v>
      </c>
      <c r="L36" s="49">
        <v>1</v>
      </c>
      <c r="M36" s="49">
        <v>560</v>
      </c>
      <c r="N36" s="49">
        <v>0</v>
      </c>
      <c r="O36" s="15">
        <f t="shared" si="0"/>
        <v>229</v>
      </c>
      <c r="P36" s="15">
        <f t="shared" si="1"/>
        <v>789</v>
      </c>
    </row>
    <row r="37" spans="2:20" ht="23.1" customHeight="1" x14ac:dyDescent="0.25">
      <c r="B37" s="22" t="s">
        <v>64</v>
      </c>
      <c r="C37" s="49">
        <v>160</v>
      </c>
      <c r="D37" s="49">
        <v>20</v>
      </c>
      <c r="E37" s="49">
        <v>15</v>
      </c>
      <c r="F37" s="49">
        <v>9</v>
      </c>
      <c r="G37" s="49">
        <v>1</v>
      </c>
      <c r="H37" s="49">
        <v>0</v>
      </c>
      <c r="I37" s="49">
        <v>12</v>
      </c>
      <c r="J37" s="49">
        <v>10</v>
      </c>
      <c r="K37" s="49">
        <v>1</v>
      </c>
      <c r="L37" s="49">
        <v>4</v>
      </c>
      <c r="M37" s="49">
        <v>680</v>
      </c>
      <c r="N37" s="49">
        <v>0</v>
      </c>
      <c r="O37" s="15">
        <f t="shared" si="0"/>
        <v>232</v>
      </c>
      <c r="P37" s="15">
        <f t="shared" si="1"/>
        <v>912</v>
      </c>
    </row>
    <row r="38" spans="2:20" ht="23.1" customHeight="1" x14ac:dyDescent="0.25">
      <c r="B38" s="23" t="s">
        <v>65</v>
      </c>
      <c r="C38" s="49">
        <v>160</v>
      </c>
      <c r="D38" s="49">
        <v>20</v>
      </c>
      <c r="E38" s="49">
        <v>10</v>
      </c>
      <c r="F38" s="49">
        <v>10</v>
      </c>
      <c r="G38" s="49">
        <v>0</v>
      </c>
      <c r="H38" s="49">
        <v>2</v>
      </c>
      <c r="I38" s="49">
        <v>16</v>
      </c>
      <c r="J38" s="49">
        <v>6</v>
      </c>
      <c r="K38" s="49">
        <v>1</v>
      </c>
      <c r="L38" s="49">
        <v>5</v>
      </c>
      <c r="M38" s="49">
        <v>600</v>
      </c>
      <c r="N38" s="49">
        <v>0</v>
      </c>
      <c r="O38" s="15">
        <f t="shared" si="0"/>
        <v>230</v>
      </c>
      <c r="P38" s="15">
        <f t="shared" si="1"/>
        <v>830</v>
      </c>
    </row>
    <row r="39" spans="2:20" ht="23.1" customHeight="1" x14ac:dyDescent="0.25">
      <c r="B39" s="23" t="s">
        <v>66</v>
      </c>
      <c r="C39" s="49">
        <v>200</v>
      </c>
      <c r="D39" s="49">
        <v>25</v>
      </c>
      <c r="E39" s="49">
        <v>10</v>
      </c>
      <c r="F39" s="49">
        <v>9</v>
      </c>
      <c r="G39" s="49">
        <v>0</v>
      </c>
      <c r="H39" s="49">
        <v>2</v>
      </c>
      <c r="I39" s="49">
        <v>12</v>
      </c>
      <c r="J39" s="49">
        <v>14</v>
      </c>
      <c r="K39" s="49">
        <v>4</v>
      </c>
      <c r="L39" s="49">
        <v>1</v>
      </c>
      <c r="M39" s="49">
        <v>675</v>
      </c>
      <c r="N39" s="49">
        <v>0</v>
      </c>
      <c r="O39" s="15">
        <f t="shared" si="0"/>
        <v>277</v>
      </c>
      <c r="P39" s="15">
        <f t="shared" si="1"/>
        <v>952</v>
      </c>
    </row>
    <row r="40" spans="2:20" ht="23.1" customHeight="1" x14ac:dyDescent="0.25">
      <c r="B40" s="23" t="s">
        <v>67</v>
      </c>
      <c r="C40" s="49">
        <v>200</v>
      </c>
      <c r="D40" s="49">
        <v>20</v>
      </c>
      <c r="E40" s="49">
        <v>8</v>
      </c>
      <c r="F40" s="49">
        <v>6</v>
      </c>
      <c r="G40" s="49">
        <v>0</v>
      </c>
      <c r="H40" s="49">
        <v>0</v>
      </c>
      <c r="I40" s="49">
        <v>8</v>
      </c>
      <c r="J40" s="49">
        <v>6</v>
      </c>
      <c r="K40" s="49">
        <v>2</v>
      </c>
      <c r="L40" s="49">
        <v>5</v>
      </c>
      <c r="M40" s="49">
        <v>720</v>
      </c>
      <c r="N40" s="49">
        <v>0</v>
      </c>
      <c r="O40" s="15">
        <f t="shared" si="0"/>
        <v>255</v>
      </c>
      <c r="P40" s="15">
        <f t="shared" si="1"/>
        <v>975</v>
      </c>
    </row>
    <row r="41" spans="2:20" ht="23.1" customHeight="1" x14ac:dyDescent="0.25">
      <c r="B41" s="22" t="s">
        <v>68</v>
      </c>
      <c r="C41" s="49">
        <v>200</v>
      </c>
      <c r="D41" s="49">
        <v>35</v>
      </c>
      <c r="E41" s="49">
        <v>0</v>
      </c>
      <c r="F41" s="49">
        <v>14</v>
      </c>
      <c r="G41" s="49">
        <v>0</v>
      </c>
      <c r="H41" s="49">
        <v>0</v>
      </c>
      <c r="I41" s="49">
        <v>27</v>
      </c>
      <c r="J41" s="49">
        <v>6</v>
      </c>
      <c r="K41" s="49">
        <v>2</v>
      </c>
      <c r="L41" s="49">
        <v>6</v>
      </c>
      <c r="M41" s="49">
        <v>724</v>
      </c>
      <c r="N41" s="49">
        <v>0</v>
      </c>
      <c r="O41" s="15">
        <f t="shared" si="0"/>
        <v>290</v>
      </c>
      <c r="P41" s="15">
        <f t="shared" si="1"/>
        <v>1014</v>
      </c>
    </row>
    <row r="42" spans="2:20" ht="23.1" customHeight="1" x14ac:dyDescent="0.25">
      <c r="B42" s="23" t="s">
        <v>69</v>
      </c>
      <c r="C42" s="49">
        <v>160</v>
      </c>
      <c r="D42" s="49">
        <v>20</v>
      </c>
      <c r="E42" s="49">
        <v>10</v>
      </c>
      <c r="F42" s="49">
        <v>6</v>
      </c>
      <c r="G42" s="49">
        <v>0</v>
      </c>
      <c r="H42" s="49">
        <v>0</v>
      </c>
      <c r="I42" s="49">
        <v>14</v>
      </c>
      <c r="J42" s="49">
        <v>5</v>
      </c>
      <c r="K42" s="49">
        <v>0</v>
      </c>
      <c r="L42" s="49">
        <v>3</v>
      </c>
      <c r="M42" s="49">
        <v>900</v>
      </c>
      <c r="N42" s="49">
        <v>0</v>
      </c>
      <c r="O42" s="15">
        <f t="shared" si="0"/>
        <v>218</v>
      </c>
      <c r="P42" s="15">
        <f t="shared" si="1"/>
        <v>1118</v>
      </c>
    </row>
    <row r="43" spans="2:20" ht="23.1" customHeight="1" x14ac:dyDescent="0.25">
      <c r="B43" s="22" t="s">
        <v>70</v>
      </c>
      <c r="C43" s="49">
        <v>160</v>
      </c>
      <c r="D43" s="49">
        <v>13</v>
      </c>
      <c r="E43" s="49">
        <v>15</v>
      </c>
      <c r="F43" s="49">
        <v>4</v>
      </c>
      <c r="G43" s="49">
        <v>0</v>
      </c>
      <c r="H43" s="49">
        <v>0</v>
      </c>
      <c r="I43" s="49">
        <v>13</v>
      </c>
      <c r="J43" s="49">
        <v>6</v>
      </c>
      <c r="K43" s="49">
        <v>3</v>
      </c>
      <c r="L43" s="49">
        <v>4</v>
      </c>
      <c r="M43" s="49">
        <v>510</v>
      </c>
      <c r="N43" s="49">
        <v>0</v>
      </c>
      <c r="O43" s="15">
        <f t="shared" si="0"/>
        <v>218</v>
      </c>
      <c r="P43" s="15">
        <f t="shared" si="1"/>
        <v>728</v>
      </c>
    </row>
    <row r="44" spans="2:20" ht="23.1" customHeight="1" x14ac:dyDescent="0.25">
      <c r="B44" s="24" t="s">
        <v>71</v>
      </c>
      <c r="C44" s="49">
        <v>150</v>
      </c>
      <c r="D44" s="49">
        <v>0</v>
      </c>
      <c r="E44" s="49">
        <v>0</v>
      </c>
      <c r="F44" s="49">
        <v>8</v>
      </c>
      <c r="G44" s="49">
        <v>1</v>
      </c>
      <c r="H44" s="49">
        <v>0</v>
      </c>
      <c r="I44" s="49">
        <v>17</v>
      </c>
      <c r="J44" s="49">
        <v>4</v>
      </c>
      <c r="K44" s="49">
        <v>3</v>
      </c>
      <c r="L44" s="49">
        <v>2</v>
      </c>
      <c r="M44" s="49">
        <v>800</v>
      </c>
      <c r="N44" s="49">
        <v>0</v>
      </c>
      <c r="O44" s="15">
        <f t="shared" si="0"/>
        <v>185</v>
      </c>
      <c r="P44" s="15">
        <f t="shared" si="1"/>
        <v>985</v>
      </c>
    </row>
    <row r="45" spans="2:20" ht="23.1" customHeight="1" x14ac:dyDescent="0.25">
      <c r="B45" s="22" t="s">
        <v>72</v>
      </c>
      <c r="C45" s="49">
        <v>160</v>
      </c>
      <c r="D45" s="49">
        <v>45</v>
      </c>
      <c r="E45" s="49">
        <v>15</v>
      </c>
      <c r="F45" s="49">
        <v>6</v>
      </c>
      <c r="G45" s="49">
        <v>2</v>
      </c>
      <c r="H45" s="49">
        <v>0</v>
      </c>
      <c r="I45" s="49">
        <v>21</v>
      </c>
      <c r="J45" s="49">
        <v>5</v>
      </c>
      <c r="K45" s="49">
        <v>0</v>
      </c>
      <c r="L45" s="49">
        <v>5</v>
      </c>
      <c r="M45" s="49">
        <v>810</v>
      </c>
      <c r="N45" s="49">
        <v>0</v>
      </c>
      <c r="O45" s="15">
        <f t="shared" si="0"/>
        <v>259</v>
      </c>
      <c r="P45" s="15">
        <f t="shared" si="1"/>
        <v>1069</v>
      </c>
    </row>
    <row r="46" spans="2:20" ht="23.1" customHeight="1" x14ac:dyDescent="0.25">
      <c r="B46" s="23" t="s">
        <v>73</v>
      </c>
      <c r="C46" s="49">
        <v>185</v>
      </c>
      <c r="D46" s="49">
        <v>35</v>
      </c>
      <c r="E46" s="49">
        <v>22</v>
      </c>
      <c r="F46" s="49">
        <v>9</v>
      </c>
      <c r="G46" s="49">
        <v>0</v>
      </c>
      <c r="H46" s="49">
        <v>0</v>
      </c>
      <c r="I46" s="49">
        <v>8</v>
      </c>
      <c r="J46" s="49">
        <v>8</v>
      </c>
      <c r="K46" s="49">
        <v>2</v>
      </c>
      <c r="L46" s="49">
        <v>5</v>
      </c>
      <c r="M46" s="49">
        <v>720</v>
      </c>
      <c r="N46" s="49">
        <v>1</v>
      </c>
      <c r="O46" s="15">
        <f t="shared" si="0"/>
        <v>275</v>
      </c>
      <c r="P46" s="15">
        <f t="shared" si="1"/>
        <v>995</v>
      </c>
      <c r="R46" s="8"/>
      <c r="T46"/>
    </row>
    <row r="47" spans="2:20" ht="23.1" customHeight="1" x14ac:dyDescent="0.25">
      <c r="B47" s="23" t="s">
        <v>74</v>
      </c>
      <c r="C47" s="49">
        <v>185</v>
      </c>
      <c r="D47" s="49">
        <v>60</v>
      </c>
      <c r="E47" s="49">
        <v>40</v>
      </c>
      <c r="F47" s="49">
        <v>11</v>
      </c>
      <c r="G47" s="49">
        <v>0</v>
      </c>
      <c r="H47" s="49">
        <v>0</v>
      </c>
      <c r="I47" s="49">
        <v>13</v>
      </c>
      <c r="J47" s="49">
        <v>5</v>
      </c>
      <c r="K47" s="49">
        <v>1</v>
      </c>
      <c r="L47" s="49">
        <v>4</v>
      </c>
      <c r="M47" s="49">
        <v>800</v>
      </c>
      <c r="N47" s="49">
        <v>0</v>
      </c>
      <c r="O47" s="15">
        <f t="shared" si="0"/>
        <v>319</v>
      </c>
      <c r="P47" s="15">
        <f t="shared" si="1"/>
        <v>1119</v>
      </c>
      <c r="R47" s="8"/>
      <c r="T47"/>
    </row>
    <row r="48" spans="2:20" ht="23.1" customHeight="1" x14ac:dyDescent="0.25">
      <c r="B48" s="23" t="s">
        <v>75</v>
      </c>
      <c r="C48" s="49">
        <v>200</v>
      </c>
      <c r="D48" s="49">
        <v>25</v>
      </c>
      <c r="E48" s="49">
        <v>15</v>
      </c>
      <c r="F48" s="49">
        <v>8</v>
      </c>
      <c r="G48" s="49">
        <v>1</v>
      </c>
      <c r="H48" s="49">
        <v>2</v>
      </c>
      <c r="I48" s="49">
        <v>21</v>
      </c>
      <c r="J48" s="49">
        <v>5</v>
      </c>
      <c r="K48" s="49">
        <v>1</v>
      </c>
      <c r="L48" s="49">
        <v>5</v>
      </c>
      <c r="M48" s="49">
        <v>801</v>
      </c>
      <c r="N48" s="49">
        <v>0</v>
      </c>
      <c r="O48" s="15">
        <f t="shared" si="0"/>
        <v>283</v>
      </c>
      <c r="P48" s="15">
        <f t="shared" si="1"/>
        <v>1084</v>
      </c>
      <c r="R48" s="8"/>
      <c r="T48"/>
    </row>
    <row r="49" spans="2:20" ht="23.1" customHeight="1" x14ac:dyDescent="0.25">
      <c r="B49" s="22" t="s">
        <v>76</v>
      </c>
      <c r="C49" s="49">
        <v>250</v>
      </c>
      <c r="D49" s="49">
        <v>32</v>
      </c>
      <c r="E49" s="49">
        <v>7</v>
      </c>
      <c r="F49" s="49">
        <v>7</v>
      </c>
      <c r="G49" s="49">
        <v>1</v>
      </c>
      <c r="H49" s="49">
        <v>0</v>
      </c>
      <c r="I49" s="49">
        <v>13</v>
      </c>
      <c r="J49" s="49">
        <v>3</v>
      </c>
      <c r="K49" s="49">
        <v>1</v>
      </c>
      <c r="L49" s="49">
        <v>0</v>
      </c>
      <c r="M49" s="49">
        <v>720</v>
      </c>
      <c r="N49" s="49">
        <v>0</v>
      </c>
      <c r="O49" s="15">
        <f t="shared" si="0"/>
        <v>314</v>
      </c>
      <c r="P49" s="15">
        <f t="shared" si="1"/>
        <v>1034</v>
      </c>
      <c r="R49" s="8"/>
      <c r="T49"/>
    </row>
    <row r="50" spans="2:20" ht="23.1" customHeight="1" x14ac:dyDescent="0.25">
      <c r="B50" s="23" t="s">
        <v>77</v>
      </c>
      <c r="C50" s="49">
        <v>160</v>
      </c>
      <c r="D50" s="49">
        <v>30</v>
      </c>
      <c r="E50" s="49">
        <v>8</v>
      </c>
      <c r="F50" s="49">
        <v>7</v>
      </c>
      <c r="G50" s="49">
        <v>0</v>
      </c>
      <c r="H50" s="49">
        <v>0</v>
      </c>
      <c r="I50" s="49">
        <v>14</v>
      </c>
      <c r="J50" s="49">
        <v>5</v>
      </c>
      <c r="K50" s="49">
        <v>2</v>
      </c>
      <c r="L50" s="49">
        <v>2</v>
      </c>
      <c r="M50" s="49">
        <v>855</v>
      </c>
      <c r="N50" s="49">
        <v>0</v>
      </c>
      <c r="O50" s="15">
        <f t="shared" si="0"/>
        <v>228</v>
      </c>
      <c r="P50" s="15">
        <f t="shared" si="1"/>
        <v>1083</v>
      </c>
      <c r="R50" s="8"/>
      <c r="T50"/>
    </row>
    <row r="51" spans="2:20" ht="23.1" customHeight="1" x14ac:dyDescent="0.25">
      <c r="B51" s="23" t="s">
        <v>78</v>
      </c>
      <c r="C51" s="49">
        <v>170</v>
      </c>
      <c r="D51" s="49">
        <v>13</v>
      </c>
      <c r="E51" s="49">
        <v>8</v>
      </c>
      <c r="F51" s="49">
        <v>8</v>
      </c>
      <c r="G51" s="49">
        <v>1</v>
      </c>
      <c r="H51" s="49">
        <v>0</v>
      </c>
      <c r="I51" s="49">
        <v>14</v>
      </c>
      <c r="J51" s="49">
        <v>7</v>
      </c>
      <c r="K51" s="49">
        <v>4</v>
      </c>
      <c r="L51" s="49">
        <v>6</v>
      </c>
      <c r="M51" s="49">
        <v>902</v>
      </c>
      <c r="N51" s="49">
        <v>0</v>
      </c>
      <c r="O51" s="15">
        <f t="shared" si="0"/>
        <v>231</v>
      </c>
      <c r="P51" s="15">
        <f t="shared" si="1"/>
        <v>1133</v>
      </c>
      <c r="R51" s="8"/>
      <c r="T51"/>
    </row>
    <row r="52" spans="2:20" ht="23.1" customHeight="1" x14ac:dyDescent="0.25">
      <c r="B52" s="23" t="s">
        <v>79</v>
      </c>
      <c r="C52" s="49">
        <v>160</v>
      </c>
      <c r="D52" s="49">
        <v>30</v>
      </c>
      <c r="E52" s="49">
        <v>15</v>
      </c>
      <c r="F52" s="49">
        <v>8</v>
      </c>
      <c r="G52" s="49">
        <v>0</v>
      </c>
      <c r="H52" s="49">
        <v>0</v>
      </c>
      <c r="I52" s="49">
        <v>11</v>
      </c>
      <c r="J52" s="49">
        <v>1</v>
      </c>
      <c r="K52" s="49">
        <v>0</v>
      </c>
      <c r="L52" s="49">
        <v>3</v>
      </c>
      <c r="M52" s="49">
        <v>765</v>
      </c>
      <c r="N52" s="49">
        <v>0</v>
      </c>
      <c r="O52" s="15">
        <f t="shared" si="0"/>
        <v>228</v>
      </c>
      <c r="P52" s="15">
        <f t="shared" si="1"/>
        <v>993</v>
      </c>
      <c r="R52" s="8"/>
      <c r="T52"/>
    </row>
    <row r="53" spans="2:20" ht="23.1" customHeight="1" x14ac:dyDescent="0.25">
      <c r="B53" s="22" t="s">
        <v>80</v>
      </c>
      <c r="C53" s="49">
        <v>250</v>
      </c>
      <c r="D53" s="49">
        <v>30</v>
      </c>
      <c r="E53" s="49">
        <v>10</v>
      </c>
      <c r="F53" s="49">
        <v>4</v>
      </c>
      <c r="G53" s="49">
        <v>1</v>
      </c>
      <c r="H53" s="49">
        <v>0</v>
      </c>
      <c r="I53" s="49">
        <v>15</v>
      </c>
      <c r="J53" s="49">
        <v>3</v>
      </c>
      <c r="K53" s="49">
        <v>1</v>
      </c>
      <c r="L53" s="49">
        <v>2</v>
      </c>
      <c r="M53" s="49">
        <v>810</v>
      </c>
      <c r="N53" s="49">
        <v>0</v>
      </c>
      <c r="O53" s="15">
        <f t="shared" si="0"/>
        <v>316</v>
      </c>
      <c r="P53" s="15">
        <f t="shared" si="1"/>
        <v>1126</v>
      </c>
      <c r="R53" s="8"/>
      <c r="T53"/>
    </row>
    <row r="54" spans="2:20" ht="23.1" customHeight="1" x14ac:dyDescent="0.25">
      <c r="B54" s="22" t="s">
        <v>81</v>
      </c>
      <c r="C54" s="49">
        <v>225</v>
      </c>
      <c r="D54" s="49">
        <v>50</v>
      </c>
      <c r="E54" s="49">
        <v>15</v>
      </c>
      <c r="F54" s="49">
        <v>3</v>
      </c>
      <c r="G54" s="49">
        <v>2</v>
      </c>
      <c r="H54" s="49">
        <v>0</v>
      </c>
      <c r="I54" s="49">
        <v>22</v>
      </c>
      <c r="J54" s="49">
        <v>2</v>
      </c>
      <c r="K54" s="49">
        <v>1</v>
      </c>
      <c r="L54" s="49">
        <v>3</v>
      </c>
      <c r="M54" s="49">
        <v>585</v>
      </c>
      <c r="N54" s="49">
        <v>0</v>
      </c>
      <c r="O54" s="15">
        <f t="shared" si="0"/>
        <v>323</v>
      </c>
      <c r="P54" s="15">
        <f t="shared" si="1"/>
        <v>908</v>
      </c>
      <c r="R54" s="8"/>
      <c r="T54"/>
    </row>
    <row r="55" spans="2:20" ht="23.1" customHeight="1" x14ac:dyDescent="0.25">
      <c r="B55" s="22" t="s">
        <v>82</v>
      </c>
      <c r="C55" s="49">
        <v>260</v>
      </c>
      <c r="D55" s="49">
        <v>23</v>
      </c>
      <c r="E55" s="49">
        <v>6</v>
      </c>
      <c r="F55" s="49">
        <v>6</v>
      </c>
      <c r="G55" s="49">
        <v>0</v>
      </c>
      <c r="H55" s="49">
        <v>0</v>
      </c>
      <c r="I55" s="49">
        <v>13</v>
      </c>
      <c r="J55" s="49">
        <v>3</v>
      </c>
      <c r="K55" s="49">
        <v>2</v>
      </c>
      <c r="L55" s="49">
        <v>0</v>
      </c>
      <c r="M55" s="49">
        <v>550</v>
      </c>
      <c r="N55" s="49">
        <v>0</v>
      </c>
      <c r="O55" s="15">
        <f t="shared" si="0"/>
        <v>313</v>
      </c>
      <c r="P55" s="15">
        <f t="shared" si="1"/>
        <v>863</v>
      </c>
      <c r="R55" s="8"/>
      <c r="T55"/>
    </row>
    <row r="56" spans="2:20" ht="23.1" customHeight="1" x14ac:dyDescent="0.25">
      <c r="B56" s="22" t="s">
        <v>83</v>
      </c>
      <c r="C56" s="49">
        <v>250</v>
      </c>
      <c r="D56" s="49">
        <v>50</v>
      </c>
      <c r="E56" s="49">
        <v>12</v>
      </c>
      <c r="F56" s="49">
        <v>8</v>
      </c>
      <c r="G56" s="49">
        <v>4</v>
      </c>
      <c r="H56" s="49">
        <v>1</v>
      </c>
      <c r="I56" s="49">
        <v>21</v>
      </c>
      <c r="J56" s="49">
        <v>5</v>
      </c>
      <c r="K56" s="49">
        <v>4</v>
      </c>
      <c r="L56" s="49">
        <v>1</v>
      </c>
      <c r="M56" s="49">
        <v>600</v>
      </c>
      <c r="N56" s="49">
        <v>0</v>
      </c>
      <c r="O56" s="15">
        <f t="shared" si="0"/>
        <v>356</v>
      </c>
      <c r="P56" s="15">
        <f t="shared" si="1"/>
        <v>956</v>
      </c>
      <c r="R56" s="8"/>
      <c r="T56"/>
    </row>
    <row r="57" spans="2:20" ht="23.1" customHeight="1" x14ac:dyDescent="0.25">
      <c r="B57" s="22" t="s">
        <v>84</v>
      </c>
      <c r="C57" s="49">
        <v>200</v>
      </c>
      <c r="D57" s="49">
        <v>26</v>
      </c>
      <c r="E57" s="49">
        <v>11</v>
      </c>
      <c r="F57" s="49">
        <v>11</v>
      </c>
      <c r="G57" s="49">
        <v>0</v>
      </c>
      <c r="H57" s="49">
        <v>0</v>
      </c>
      <c r="I57" s="49">
        <v>4</v>
      </c>
      <c r="J57" s="49">
        <v>1</v>
      </c>
      <c r="K57" s="49">
        <v>0</v>
      </c>
      <c r="L57" s="49">
        <v>1</v>
      </c>
      <c r="M57" s="49">
        <v>540</v>
      </c>
      <c r="N57" s="49">
        <v>0</v>
      </c>
      <c r="O57" s="15">
        <f t="shared" si="0"/>
        <v>254</v>
      </c>
      <c r="P57" s="15">
        <f t="shared" si="1"/>
        <v>794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8975</v>
      </c>
      <c r="D58" s="16">
        <f t="shared" si="21"/>
        <v>1365</v>
      </c>
      <c r="E58" s="16">
        <f t="shared" si="21"/>
        <v>494</v>
      </c>
      <c r="F58" s="16">
        <f t="shared" si="21"/>
        <v>340</v>
      </c>
      <c r="G58" s="16">
        <f t="shared" si="21"/>
        <v>35</v>
      </c>
      <c r="H58" s="16">
        <f t="shared" si="21"/>
        <v>10</v>
      </c>
      <c r="I58" s="16">
        <f t="shared" si="21"/>
        <v>610</v>
      </c>
      <c r="J58" s="16">
        <f t="shared" si="21"/>
        <v>234</v>
      </c>
      <c r="K58" s="16">
        <f t="shared" si="21"/>
        <v>70</v>
      </c>
      <c r="L58" s="16">
        <f t="shared" si="21"/>
        <v>134</v>
      </c>
      <c r="M58" s="16">
        <f t="shared" si="21"/>
        <v>34662</v>
      </c>
      <c r="N58" s="16">
        <f t="shared" si="21"/>
        <v>6</v>
      </c>
      <c r="O58" s="16">
        <f t="shared" si="21"/>
        <v>12273</v>
      </c>
      <c r="P58" s="16">
        <f t="shared" si="21"/>
        <v>46935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0.1912219026312986</v>
      </c>
      <c r="D59" s="42">
        <f t="shared" si="22"/>
        <v>2.9082774049217001E-2</v>
      </c>
      <c r="E59" s="42">
        <f t="shared" si="22"/>
        <v>1.0525194417811868E-2</v>
      </c>
      <c r="F59" s="42">
        <f t="shared" si="22"/>
        <v>7.2440609353361029E-3</v>
      </c>
      <c r="G59" s="42">
        <f t="shared" si="22"/>
        <v>7.4571215510812821E-4</v>
      </c>
      <c r="H59" s="42">
        <f t="shared" si="22"/>
        <v>2.130606157451795E-4</v>
      </c>
      <c r="I59" s="42">
        <f t="shared" si="22"/>
        <v>1.2996697560455951E-2</v>
      </c>
      <c r="J59" s="42">
        <f t="shared" si="22"/>
        <v>4.9856184084372005E-3</v>
      </c>
      <c r="K59" s="42">
        <f t="shared" si="22"/>
        <v>1.4914243102162564E-3</v>
      </c>
      <c r="L59" s="42">
        <f t="shared" si="22"/>
        <v>2.8550122509854053E-3</v>
      </c>
      <c r="M59" s="42">
        <f t="shared" si="22"/>
        <v>0.73851070629594118</v>
      </c>
      <c r="N59" s="42">
        <f t="shared" si="22"/>
        <v>1.2783636944710771E-4</v>
      </c>
      <c r="R59" s="8"/>
      <c r="T59"/>
    </row>
    <row r="60" spans="2:20" ht="23.1" customHeight="1" x14ac:dyDescent="0.25">
      <c r="B60" s="41" t="s">
        <v>94</v>
      </c>
      <c r="C60" s="43">
        <f>C58/$O$58</f>
        <v>0.7312800456286157</v>
      </c>
      <c r="D60" s="43">
        <f t="shared" ref="D60:N60" si="23">D58/$O$58</f>
        <v>0.11121975067220728</v>
      </c>
      <c r="E60" s="43">
        <f t="shared" si="23"/>
        <v>4.0250957386132158E-2</v>
      </c>
      <c r="F60" s="43">
        <f t="shared" si="23"/>
        <v>2.7703088079524159E-2</v>
      </c>
      <c r="G60" s="43">
        <f t="shared" si="23"/>
        <v>2.8517884787745457E-3</v>
      </c>
      <c r="H60" s="43">
        <f t="shared" si="23"/>
        <v>8.1479670822129878E-4</v>
      </c>
      <c r="I60" s="43">
        <f t="shared" si="23"/>
        <v>4.9702599201499227E-2</v>
      </c>
      <c r="J60" s="43">
        <f t="shared" si="23"/>
        <v>1.906624297237839E-2</v>
      </c>
      <c r="K60" s="43">
        <f t="shared" si="23"/>
        <v>5.7035769575490914E-3</v>
      </c>
      <c r="L60" s="43">
        <f t="shared" si="23"/>
        <v>1.0918275890165403E-2</v>
      </c>
      <c r="M60" s="43"/>
      <c r="N60" s="43">
        <f t="shared" si="23"/>
        <v>4.8887802493277925E-4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'30.7.Jinja RD-Mukwano RD'!C3:G3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e">
        <f>#REF!</f>
        <v>#REF!</v>
      </c>
      <c r="E5" s="3"/>
      <c r="F5" s="40" t="s">
        <v>1</v>
      </c>
      <c r="G5" s="58" t="s">
        <v>172</v>
      </c>
      <c r="H5" s="59"/>
      <c r="I5" s="14"/>
      <c r="J5" s="2" t="s">
        <v>5</v>
      </c>
      <c r="K5" s="58" t="s">
        <v>170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166</v>
      </c>
      <c r="E6" s="59"/>
      <c r="F6" s="2" t="s">
        <v>2</v>
      </c>
      <c r="G6" s="58" t="s">
        <v>165</v>
      </c>
      <c r="H6" s="59"/>
      <c r="J6" s="2" t="s">
        <v>21</v>
      </c>
      <c r="K6" s="58" t="s">
        <v>176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55</v>
      </c>
      <c r="D10" s="49">
        <v>11</v>
      </c>
      <c r="E10" s="49">
        <v>9</v>
      </c>
      <c r="F10" s="49">
        <v>3</v>
      </c>
      <c r="G10" s="49">
        <v>0</v>
      </c>
      <c r="H10" s="49">
        <v>0</v>
      </c>
      <c r="I10" s="49">
        <v>2</v>
      </c>
      <c r="J10" s="49">
        <v>0</v>
      </c>
      <c r="K10" s="49">
        <v>0</v>
      </c>
      <c r="L10" s="49">
        <v>0</v>
      </c>
      <c r="M10" s="49">
        <v>325</v>
      </c>
      <c r="N10" s="49">
        <v>0</v>
      </c>
      <c r="O10" s="15">
        <f t="shared" ref="O10:O57" si="0">SUM(C10:L10,N10)</f>
        <v>80</v>
      </c>
      <c r="P10" s="15">
        <f t="shared" ref="P10:P57" si="1">SUM(C10:N10)</f>
        <v>405</v>
      </c>
      <c r="R10" s="1" t="s">
        <v>6</v>
      </c>
      <c r="S10" s="17">
        <f t="shared" ref="S10:AF10" si="2">SUM(C10:C13)</f>
        <v>502</v>
      </c>
      <c r="T10" s="17">
        <f t="shared" si="2"/>
        <v>151</v>
      </c>
      <c r="U10" s="17">
        <f t="shared" si="2"/>
        <v>56</v>
      </c>
      <c r="V10" s="17">
        <f t="shared" si="2"/>
        <v>38</v>
      </c>
      <c r="W10" s="17">
        <f t="shared" si="2"/>
        <v>5</v>
      </c>
      <c r="X10" s="17">
        <f t="shared" si="2"/>
        <v>0</v>
      </c>
      <c r="Y10" s="17">
        <f t="shared" si="2"/>
        <v>8</v>
      </c>
      <c r="Z10" s="17">
        <f t="shared" si="2"/>
        <v>5</v>
      </c>
      <c r="AA10" s="17">
        <f t="shared" si="2"/>
        <v>2</v>
      </c>
      <c r="AB10" s="17">
        <f t="shared" si="2"/>
        <v>3</v>
      </c>
      <c r="AC10" s="17">
        <f t="shared" si="2"/>
        <v>1759</v>
      </c>
      <c r="AD10" s="17">
        <f t="shared" si="2"/>
        <v>0</v>
      </c>
      <c r="AE10" s="30">
        <f t="shared" si="2"/>
        <v>770</v>
      </c>
      <c r="AF10" s="30">
        <f t="shared" si="2"/>
        <v>2529</v>
      </c>
    </row>
    <row r="11" spans="2:32" s="6" customFormat="1" ht="23.1" customHeight="1" x14ac:dyDescent="0.25">
      <c r="B11" s="22" t="s">
        <v>38</v>
      </c>
      <c r="C11" s="49">
        <v>160</v>
      </c>
      <c r="D11" s="49">
        <v>44</v>
      </c>
      <c r="E11" s="49">
        <v>9</v>
      </c>
      <c r="F11" s="49">
        <v>8</v>
      </c>
      <c r="G11" s="49">
        <v>0</v>
      </c>
      <c r="H11" s="49">
        <v>0</v>
      </c>
      <c r="I11" s="49">
        <v>2</v>
      </c>
      <c r="J11" s="49">
        <v>1</v>
      </c>
      <c r="K11" s="49">
        <v>0</v>
      </c>
      <c r="L11" s="49">
        <v>1</v>
      </c>
      <c r="M11" s="49">
        <v>347</v>
      </c>
      <c r="N11" s="49">
        <v>0</v>
      </c>
      <c r="O11" s="15">
        <f t="shared" si="0"/>
        <v>225</v>
      </c>
      <c r="P11" s="15">
        <f t="shared" si="1"/>
        <v>572</v>
      </c>
      <c r="R11" s="1" t="s">
        <v>7</v>
      </c>
      <c r="S11" s="17">
        <f t="shared" ref="S11:AF11" si="3">SUM(C14:C17)</f>
        <v>652</v>
      </c>
      <c r="T11" s="17">
        <f t="shared" si="3"/>
        <v>245</v>
      </c>
      <c r="U11" s="17">
        <f t="shared" si="3"/>
        <v>67</v>
      </c>
      <c r="V11" s="17">
        <f t="shared" si="3"/>
        <v>59</v>
      </c>
      <c r="W11" s="17">
        <f t="shared" si="3"/>
        <v>2</v>
      </c>
      <c r="X11" s="17">
        <f t="shared" si="3"/>
        <v>0</v>
      </c>
      <c r="Y11" s="17">
        <f t="shared" si="3"/>
        <v>16</v>
      </c>
      <c r="Z11" s="17">
        <f t="shared" si="3"/>
        <v>11</v>
      </c>
      <c r="AA11" s="17">
        <f t="shared" si="3"/>
        <v>0</v>
      </c>
      <c r="AB11" s="17">
        <f t="shared" si="3"/>
        <v>3</v>
      </c>
      <c r="AC11" s="17">
        <f t="shared" si="3"/>
        <v>1761</v>
      </c>
      <c r="AD11" s="17">
        <f t="shared" si="3"/>
        <v>0</v>
      </c>
      <c r="AE11" s="30">
        <f t="shared" si="3"/>
        <v>1055</v>
      </c>
      <c r="AF11" s="30">
        <f t="shared" si="3"/>
        <v>2816</v>
      </c>
    </row>
    <row r="12" spans="2:32" ht="23.1" customHeight="1" x14ac:dyDescent="0.25">
      <c r="B12" s="22" t="s">
        <v>39</v>
      </c>
      <c r="C12" s="49">
        <v>122</v>
      </c>
      <c r="D12" s="49">
        <v>26</v>
      </c>
      <c r="E12" s="49">
        <v>14</v>
      </c>
      <c r="F12" s="49">
        <v>9</v>
      </c>
      <c r="G12" s="49">
        <v>1</v>
      </c>
      <c r="H12" s="49">
        <v>0</v>
      </c>
      <c r="I12" s="49">
        <v>2</v>
      </c>
      <c r="J12" s="49">
        <v>3</v>
      </c>
      <c r="K12" s="49">
        <v>1</v>
      </c>
      <c r="L12" s="49">
        <v>1</v>
      </c>
      <c r="M12" s="49">
        <v>527</v>
      </c>
      <c r="N12" s="49">
        <v>0</v>
      </c>
      <c r="O12" s="15">
        <f t="shared" si="0"/>
        <v>179</v>
      </c>
      <c r="P12" s="15">
        <f t="shared" si="1"/>
        <v>706</v>
      </c>
      <c r="R12" s="1" t="s">
        <v>8</v>
      </c>
      <c r="S12" s="17">
        <f t="shared" ref="S12:AF12" si="4">SUM(C18:C21)</f>
        <v>633</v>
      </c>
      <c r="T12" s="17">
        <f t="shared" si="4"/>
        <v>314</v>
      </c>
      <c r="U12" s="17">
        <f t="shared" si="4"/>
        <v>84</v>
      </c>
      <c r="V12" s="17">
        <f t="shared" si="4"/>
        <v>57</v>
      </c>
      <c r="W12" s="17">
        <f t="shared" si="4"/>
        <v>3</v>
      </c>
      <c r="X12" s="17">
        <f t="shared" si="4"/>
        <v>0</v>
      </c>
      <c r="Y12" s="17">
        <f t="shared" si="4"/>
        <v>29</v>
      </c>
      <c r="Z12" s="17">
        <f t="shared" si="4"/>
        <v>12</v>
      </c>
      <c r="AA12" s="17">
        <f t="shared" si="4"/>
        <v>6</v>
      </c>
      <c r="AB12" s="17">
        <f t="shared" si="4"/>
        <v>5</v>
      </c>
      <c r="AC12" s="17">
        <f t="shared" si="4"/>
        <v>2231</v>
      </c>
      <c r="AD12" s="17">
        <f t="shared" si="4"/>
        <v>0</v>
      </c>
      <c r="AE12" s="30">
        <f t="shared" si="4"/>
        <v>1143</v>
      </c>
      <c r="AF12" s="30">
        <f t="shared" si="4"/>
        <v>3374</v>
      </c>
    </row>
    <row r="13" spans="2:32" ht="23.1" customHeight="1" x14ac:dyDescent="0.25">
      <c r="B13" s="22" t="s">
        <v>40</v>
      </c>
      <c r="C13" s="49">
        <v>165</v>
      </c>
      <c r="D13" s="49">
        <v>70</v>
      </c>
      <c r="E13" s="49">
        <v>24</v>
      </c>
      <c r="F13" s="49">
        <v>18</v>
      </c>
      <c r="G13" s="49">
        <v>4</v>
      </c>
      <c r="H13" s="49">
        <v>0</v>
      </c>
      <c r="I13" s="49">
        <v>2</v>
      </c>
      <c r="J13" s="49">
        <v>1</v>
      </c>
      <c r="K13" s="49">
        <v>1</v>
      </c>
      <c r="L13" s="49">
        <v>1</v>
      </c>
      <c r="M13" s="49">
        <v>560</v>
      </c>
      <c r="N13" s="49">
        <v>0</v>
      </c>
      <c r="O13" s="15">
        <f t="shared" si="0"/>
        <v>286</v>
      </c>
      <c r="P13" s="15">
        <f t="shared" si="1"/>
        <v>846</v>
      </c>
      <c r="R13" s="1" t="s">
        <v>9</v>
      </c>
      <c r="S13" s="17">
        <f t="shared" ref="S13:AF13" si="5">SUM(C22:C25)</f>
        <v>641</v>
      </c>
      <c r="T13" s="17">
        <f t="shared" si="5"/>
        <v>414</v>
      </c>
      <c r="U13" s="17">
        <f t="shared" si="5"/>
        <v>92</v>
      </c>
      <c r="V13" s="17">
        <f t="shared" si="5"/>
        <v>53</v>
      </c>
      <c r="W13" s="17">
        <f t="shared" si="5"/>
        <v>5</v>
      </c>
      <c r="X13" s="17">
        <f t="shared" si="5"/>
        <v>1</v>
      </c>
      <c r="Y13" s="17">
        <f t="shared" si="5"/>
        <v>33</v>
      </c>
      <c r="Z13" s="17">
        <f t="shared" si="5"/>
        <v>20</v>
      </c>
      <c r="AA13" s="17">
        <f t="shared" si="5"/>
        <v>3</v>
      </c>
      <c r="AB13" s="17">
        <f t="shared" si="5"/>
        <v>5</v>
      </c>
      <c r="AC13" s="17">
        <f t="shared" si="5"/>
        <v>1693</v>
      </c>
      <c r="AD13" s="17">
        <f t="shared" si="5"/>
        <v>0</v>
      </c>
      <c r="AE13" s="30">
        <f t="shared" si="5"/>
        <v>1267</v>
      </c>
      <c r="AF13" s="30">
        <f t="shared" si="5"/>
        <v>2960</v>
      </c>
    </row>
    <row r="14" spans="2:32" ht="23.1" customHeight="1" x14ac:dyDescent="0.25">
      <c r="B14" s="22" t="s">
        <v>41</v>
      </c>
      <c r="C14" s="49">
        <v>191</v>
      </c>
      <c r="D14" s="49">
        <v>55</v>
      </c>
      <c r="E14" s="49">
        <v>16</v>
      </c>
      <c r="F14" s="49">
        <v>16</v>
      </c>
      <c r="G14" s="49">
        <v>0</v>
      </c>
      <c r="H14" s="49">
        <v>0</v>
      </c>
      <c r="I14" s="49">
        <v>4</v>
      </c>
      <c r="J14" s="49">
        <v>3</v>
      </c>
      <c r="K14" s="49">
        <v>0</v>
      </c>
      <c r="L14" s="49">
        <v>0</v>
      </c>
      <c r="M14" s="49">
        <v>576</v>
      </c>
      <c r="N14" s="49">
        <v>0</v>
      </c>
      <c r="O14" s="15">
        <f t="shared" si="0"/>
        <v>285</v>
      </c>
      <c r="P14" s="15">
        <f t="shared" si="1"/>
        <v>861</v>
      </c>
      <c r="R14" s="1" t="s">
        <v>10</v>
      </c>
      <c r="S14" s="17">
        <f t="shared" ref="S14:AF14" si="6">SUM(C26:C29)</f>
        <v>584</v>
      </c>
      <c r="T14" s="17">
        <f t="shared" si="6"/>
        <v>213</v>
      </c>
      <c r="U14" s="17">
        <f t="shared" si="6"/>
        <v>77</v>
      </c>
      <c r="V14" s="17">
        <f t="shared" si="6"/>
        <v>54</v>
      </c>
      <c r="W14" s="17">
        <f t="shared" si="6"/>
        <v>2</v>
      </c>
      <c r="X14" s="17">
        <f t="shared" si="6"/>
        <v>1</v>
      </c>
      <c r="Y14" s="17">
        <f t="shared" si="6"/>
        <v>17</v>
      </c>
      <c r="Z14" s="17">
        <f t="shared" si="6"/>
        <v>20</v>
      </c>
      <c r="AA14" s="17">
        <f t="shared" si="6"/>
        <v>3</v>
      </c>
      <c r="AB14" s="17">
        <f t="shared" si="6"/>
        <v>7</v>
      </c>
      <c r="AC14" s="17">
        <f t="shared" si="6"/>
        <v>1633</v>
      </c>
      <c r="AD14" s="17">
        <f t="shared" si="6"/>
        <v>0</v>
      </c>
      <c r="AE14" s="30">
        <f t="shared" si="6"/>
        <v>978</v>
      </c>
      <c r="AF14" s="30">
        <f t="shared" si="6"/>
        <v>2611</v>
      </c>
    </row>
    <row r="15" spans="2:32" ht="23.1" customHeight="1" x14ac:dyDescent="0.25">
      <c r="B15" s="22" t="s">
        <v>42</v>
      </c>
      <c r="C15" s="49">
        <v>201</v>
      </c>
      <c r="D15" s="49">
        <v>60</v>
      </c>
      <c r="E15" s="49">
        <v>12</v>
      </c>
      <c r="F15" s="49">
        <v>16</v>
      </c>
      <c r="G15" s="49">
        <v>2</v>
      </c>
      <c r="H15" s="49">
        <v>0</v>
      </c>
      <c r="I15" s="49">
        <v>3</v>
      </c>
      <c r="J15" s="49">
        <v>3</v>
      </c>
      <c r="K15" s="49">
        <v>0</v>
      </c>
      <c r="L15" s="49">
        <v>1</v>
      </c>
      <c r="M15" s="49">
        <v>417</v>
      </c>
      <c r="N15" s="49">
        <v>0</v>
      </c>
      <c r="O15" s="15">
        <f t="shared" si="0"/>
        <v>298</v>
      </c>
      <c r="P15" s="15">
        <f t="shared" si="1"/>
        <v>715</v>
      </c>
      <c r="R15" s="1" t="s">
        <v>11</v>
      </c>
      <c r="S15" s="17">
        <f t="shared" ref="S15:AF15" si="7">SUM(C30:C33)</f>
        <v>695</v>
      </c>
      <c r="T15" s="17">
        <f t="shared" si="7"/>
        <v>232</v>
      </c>
      <c r="U15" s="17">
        <f t="shared" si="7"/>
        <v>61</v>
      </c>
      <c r="V15" s="17">
        <f t="shared" si="7"/>
        <v>42</v>
      </c>
      <c r="W15" s="17">
        <f t="shared" si="7"/>
        <v>1</v>
      </c>
      <c r="X15" s="17">
        <f t="shared" si="7"/>
        <v>0</v>
      </c>
      <c r="Y15" s="17">
        <f t="shared" si="7"/>
        <v>37</v>
      </c>
      <c r="Z15" s="17">
        <f t="shared" si="7"/>
        <v>19</v>
      </c>
      <c r="AA15" s="17">
        <f t="shared" si="7"/>
        <v>3</v>
      </c>
      <c r="AB15" s="17">
        <f t="shared" si="7"/>
        <v>12</v>
      </c>
      <c r="AC15" s="17">
        <f t="shared" si="7"/>
        <v>1916</v>
      </c>
      <c r="AD15" s="17">
        <f t="shared" si="7"/>
        <v>0</v>
      </c>
      <c r="AE15" s="30">
        <f t="shared" si="7"/>
        <v>1102</v>
      </c>
      <c r="AF15" s="30">
        <f t="shared" si="7"/>
        <v>3018</v>
      </c>
    </row>
    <row r="16" spans="2:32" ht="23.1" customHeight="1" x14ac:dyDescent="0.25">
      <c r="B16" s="22" t="s">
        <v>43</v>
      </c>
      <c r="C16" s="49">
        <v>120</v>
      </c>
      <c r="D16" s="49">
        <v>45</v>
      </c>
      <c r="E16" s="49">
        <v>14</v>
      </c>
      <c r="F16" s="49">
        <v>12</v>
      </c>
      <c r="G16" s="49">
        <v>0</v>
      </c>
      <c r="H16" s="49">
        <v>0</v>
      </c>
      <c r="I16" s="49">
        <v>2</v>
      </c>
      <c r="J16" s="49">
        <v>4</v>
      </c>
      <c r="K16" s="49">
        <v>0</v>
      </c>
      <c r="L16" s="49">
        <v>2</v>
      </c>
      <c r="M16" s="49">
        <v>480</v>
      </c>
      <c r="N16" s="49">
        <v>0</v>
      </c>
      <c r="O16" s="15">
        <f t="shared" si="0"/>
        <v>199</v>
      </c>
      <c r="P16" s="15">
        <f t="shared" si="1"/>
        <v>679</v>
      </c>
      <c r="R16" s="1" t="s">
        <v>12</v>
      </c>
      <c r="S16" s="17">
        <f t="shared" ref="S16:AF16" si="8">SUM(C34:C37)</f>
        <v>403</v>
      </c>
      <c r="T16" s="17">
        <f t="shared" si="8"/>
        <v>192</v>
      </c>
      <c r="U16" s="17">
        <f t="shared" si="8"/>
        <v>58</v>
      </c>
      <c r="V16" s="17">
        <f t="shared" si="8"/>
        <v>27</v>
      </c>
      <c r="W16" s="17">
        <f t="shared" si="8"/>
        <v>0</v>
      </c>
      <c r="X16" s="17">
        <f t="shared" si="8"/>
        <v>5</v>
      </c>
      <c r="Y16" s="17">
        <f t="shared" si="8"/>
        <v>17</v>
      </c>
      <c r="Z16" s="17">
        <f t="shared" si="8"/>
        <v>10</v>
      </c>
      <c r="AA16" s="17">
        <f t="shared" si="8"/>
        <v>10</v>
      </c>
      <c r="AB16" s="17">
        <f t="shared" si="8"/>
        <v>15</v>
      </c>
      <c r="AC16" s="17">
        <f t="shared" si="8"/>
        <v>1603</v>
      </c>
      <c r="AD16" s="17">
        <f t="shared" si="8"/>
        <v>0</v>
      </c>
      <c r="AE16" s="30">
        <f t="shared" si="8"/>
        <v>737</v>
      </c>
      <c r="AF16" s="30">
        <f t="shared" si="8"/>
        <v>2340</v>
      </c>
    </row>
    <row r="17" spans="2:32" ht="23.1" customHeight="1" x14ac:dyDescent="0.25">
      <c r="B17" s="22" t="s">
        <v>44</v>
      </c>
      <c r="C17" s="49">
        <v>140</v>
      </c>
      <c r="D17" s="49">
        <v>85</v>
      </c>
      <c r="E17" s="49">
        <v>25</v>
      </c>
      <c r="F17" s="49">
        <v>15</v>
      </c>
      <c r="G17" s="49">
        <v>0</v>
      </c>
      <c r="H17" s="49">
        <v>0</v>
      </c>
      <c r="I17" s="49">
        <v>7</v>
      </c>
      <c r="J17" s="49">
        <v>1</v>
      </c>
      <c r="K17" s="49">
        <v>0</v>
      </c>
      <c r="L17" s="49">
        <v>0</v>
      </c>
      <c r="M17" s="49">
        <v>288</v>
      </c>
      <c r="N17" s="49">
        <v>0</v>
      </c>
      <c r="O17" s="15">
        <f t="shared" si="0"/>
        <v>273</v>
      </c>
      <c r="P17" s="15">
        <f t="shared" si="1"/>
        <v>561</v>
      </c>
      <c r="R17" s="1" t="s">
        <v>13</v>
      </c>
      <c r="S17" s="17">
        <f t="shared" ref="S17:AF17" si="9">SUM(C38:C41)</f>
        <v>397</v>
      </c>
      <c r="T17" s="17">
        <f t="shared" si="9"/>
        <v>137</v>
      </c>
      <c r="U17" s="17">
        <f t="shared" si="9"/>
        <v>67</v>
      </c>
      <c r="V17" s="17">
        <f t="shared" si="9"/>
        <v>46</v>
      </c>
      <c r="W17" s="17">
        <f t="shared" si="9"/>
        <v>1</v>
      </c>
      <c r="X17" s="17">
        <f t="shared" si="9"/>
        <v>0</v>
      </c>
      <c r="Y17" s="17">
        <f t="shared" si="9"/>
        <v>30</v>
      </c>
      <c r="Z17" s="17">
        <f t="shared" si="9"/>
        <v>16</v>
      </c>
      <c r="AA17" s="17">
        <f t="shared" si="9"/>
        <v>3</v>
      </c>
      <c r="AB17" s="17">
        <f t="shared" si="9"/>
        <v>10</v>
      </c>
      <c r="AC17" s="17">
        <f t="shared" si="9"/>
        <v>1515</v>
      </c>
      <c r="AD17" s="17">
        <f t="shared" si="9"/>
        <v>0</v>
      </c>
      <c r="AE17" s="30">
        <f t="shared" si="9"/>
        <v>707</v>
      </c>
      <c r="AF17" s="30">
        <f t="shared" si="9"/>
        <v>2222</v>
      </c>
    </row>
    <row r="18" spans="2:32" ht="23.1" customHeight="1" x14ac:dyDescent="0.25">
      <c r="B18" s="22" t="s">
        <v>45</v>
      </c>
      <c r="C18" s="49">
        <v>170</v>
      </c>
      <c r="D18" s="49">
        <v>100</v>
      </c>
      <c r="E18" s="49">
        <v>16</v>
      </c>
      <c r="F18" s="49">
        <v>19</v>
      </c>
      <c r="G18" s="49">
        <v>1</v>
      </c>
      <c r="H18" s="49">
        <v>0</v>
      </c>
      <c r="I18" s="49">
        <v>7</v>
      </c>
      <c r="J18" s="49">
        <v>3</v>
      </c>
      <c r="K18" s="49">
        <v>1</v>
      </c>
      <c r="L18" s="49">
        <v>1</v>
      </c>
      <c r="M18" s="49">
        <v>560</v>
      </c>
      <c r="N18" s="49">
        <v>0</v>
      </c>
      <c r="O18" s="15">
        <f t="shared" si="0"/>
        <v>318</v>
      </c>
      <c r="P18" s="15">
        <f t="shared" si="1"/>
        <v>878</v>
      </c>
      <c r="R18" s="1" t="s">
        <v>14</v>
      </c>
      <c r="S18" s="17">
        <f t="shared" ref="S18:AF18" si="10">SUM(C42:C45)</f>
        <v>309</v>
      </c>
      <c r="T18" s="17">
        <f t="shared" si="10"/>
        <v>101</v>
      </c>
      <c r="U18" s="17">
        <f t="shared" si="10"/>
        <v>73</v>
      </c>
      <c r="V18" s="17">
        <f t="shared" si="10"/>
        <v>43</v>
      </c>
      <c r="W18" s="17">
        <f t="shared" si="10"/>
        <v>1</v>
      </c>
      <c r="X18" s="17">
        <f t="shared" si="10"/>
        <v>0</v>
      </c>
      <c r="Y18" s="17">
        <f t="shared" si="10"/>
        <v>18</v>
      </c>
      <c r="Z18" s="17">
        <f t="shared" si="10"/>
        <v>19</v>
      </c>
      <c r="AA18" s="17">
        <f t="shared" si="10"/>
        <v>6</v>
      </c>
      <c r="AB18" s="17">
        <f t="shared" si="10"/>
        <v>8</v>
      </c>
      <c r="AC18" s="17">
        <f t="shared" si="10"/>
        <v>1434</v>
      </c>
      <c r="AD18" s="17">
        <f t="shared" si="10"/>
        <v>0</v>
      </c>
      <c r="AE18" s="30">
        <f t="shared" si="10"/>
        <v>578</v>
      </c>
      <c r="AF18" s="30">
        <f t="shared" si="10"/>
        <v>2012</v>
      </c>
    </row>
    <row r="19" spans="2:32" ht="23.1" customHeight="1" x14ac:dyDescent="0.25">
      <c r="B19" s="22" t="s">
        <v>46</v>
      </c>
      <c r="C19" s="49">
        <v>235</v>
      </c>
      <c r="D19" s="49">
        <v>104</v>
      </c>
      <c r="E19" s="49">
        <v>32</v>
      </c>
      <c r="F19" s="49">
        <v>17</v>
      </c>
      <c r="G19" s="49">
        <v>0</v>
      </c>
      <c r="H19" s="49">
        <v>0</v>
      </c>
      <c r="I19" s="49">
        <v>8</v>
      </c>
      <c r="J19" s="49">
        <v>4</v>
      </c>
      <c r="K19" s="49">
        <v>3</v>
      </c>
      <c r="L19" s="49">
        <v>2</v>
      </c>
      <c r="M19" s="49">
        <v>502</v>
      </c>
      <c r="N19" s="49">
        <v>0</v>
      </c>
      <c r="O19" s="15">
        <f t="shared" si="0"/>
        <v>405</v>
      </c>
      <c r="P19" s="15">
        <f t="shared" si="1"/>
        <v>907</v>
      </c>
      <c r="R19" s="1" t="s">
        <v>15</v>
      </c>
      <c r="S19" s="17">
        <f t="shared" ref="S19:AF19" si="11">SUM(C46:C49)</f>
        <v>338</v>
      </c>
      <c r="T19" s="17">
        <f t="shared" si="11"/>
        <v>115</v>
      </c>
      <c r="U19" s="17">
        <f t="shared" si="11"/>
        <v>91</v>
      </c>
      <c r="V19" s="17">
        <f t="shared" si="11"/>
        <v>50</v>
      </c>
      <c r="W19" s="17">
        <f t="shared" si="11"/>
        <v>3</v>
      </c>
      <c r="X19" s="17">
        <f t="shared" si="11"/>
        <v>1</v>
      </c>
      <c r="Y19" s="17">
        <f t="shared" si="11"/>
        <v>21</v>
      </c>
      <c r="Z19" s="17">
        <f t="shared" si="11"/>
        <v>20</v>
      </c>
      <c r="AA19" s="17">
        <f t="shared" si="11"/>
        <v>4</v>
      </c>
      <c r="AB19" s="17">
        <f t="shared" si="11"/>
        <v>15</v>
      </c>
      <c r="AC19" s="17">
        <f t="shared" si="11"/>
        <v>1335</v>
      </c>
      <c r="AD19" s="17">
        <f t="shared" si="11"/>
        <v>0</v>
      </c>
      <c r="AE19" s="30">
        <f t="shared" si="11"/>
        <v>658</v>
      </c>
      <c r="AF19" s="30">
        <f t="shared" si="11"/>
        <v>1993</v>
      </c>
    </row>
    <row r="20" spans="2:32" ht="23.1" customHeight="1" x14ac:dyDescent="0.25">
      <c r="B20" s="22" t="s">
        <v>47</v>
      </c>
      <c r="C20" s="49">
        <v>120</v>
      </c>
      <c r="D20" s="49">
        <v>59</v>
      </c>
      <c r="E20" s="49">
        <v>20</v>
      </c>
      <c r="F20" s="49">
        <v>7</v>
      </c>
      <c r="G20" s="49">
        <v>1</v>
      </c>
      <c r="H20" s="49">
        <v>0</v>
      </c>
      <c r="I20" s="49">
        <v>8</v>
      </c>
      <c r="J20" s="49">
        <v>3</v>
      </c>
      <c r="K20" s="49">
        <v>0</v>
      </c>
      <c r="L20" s="49">
        <v>0</v>
      </c>
      <c r="M20" s="49">
        <v>643</v>
      </c>
      <c r="N20" s="49">
        <v>0</v>
      </c>
      <c r="O20" s="15">
        <f t="shared" si="0"/>
        <v>218</v>
      </c>
      <c r="P20" s="15">
        <f t="shared" si="1"/>
        <v>861</v>
      </c>
      <c r="R20" s="1" t="s">
        <v>16</v>
      </c>
      <c r="S20" s="17">
        <f t="shared" ref="S20:AF20" si="12">SUM(C50:C53)</f>
        <v>526</v>
      </c>
      <c r="T20" s="17">
        <f t="shared" si="12"/>
        <v>125</v>
      </c>
      <c r="U20" s="17">
        <f t="shared" si="12"/>
        <v>72</v>
      </c>
      <c r="V20" s="17">
        <f t="shared" si="12"/>
        <v>52</v>
      </c>
      <c r="W20" s="17">
        <f t="shared" si="12"/>
        <v>5</v>
      </c>
      <c r="X20" s="17">
        <f t="shared" si="12"/>
        <v>0</v>
      </c>
      <c r="Y20" s="17">
        <f t="shared" si="12"/>
        <v>22</v>
      </c>
      <c r="Z20" s="17">
        <f t="shared" si="12"/>
        <v>15</v>
      </c>
      <c r="AA20" s="17">
        <f t="shared" si="12"/>
        <v>4</v>
      </c>
      <c r="AB20" s="17">
        <f t="shared" si="12"/>
        <v>9</v>
      </c>
      <c r="AC20" s="17">
        <f t="shared" si="12"/>
        <v>1372</v>
      </c>
      <c r="AD20" s="17">
        <f t="shared" si="12"/>
        <v>0</v>
      </c>
      <c r="AE20" s="30">
        <f t="shared" si="12"/>
        <v>830</v>
      </c>
      <c r="AF20" s="30">
        <f t="shared" si="12"/>
        <v>2202</v>
      </c>
    </row>
    <row r="21" spans="2:32" ht="23.1" customHeight="1" x14ac:dyDescent="0.25">
      <c r="B21" s="22" t="s">
        <v>48</v>
      </c>
      <c r="C21" s="49">
        <v>108</v>
      </c>
      <c r="D21" s="49">
        <v>51</v>
      </c>
      <c r="E21" s="49">
        <v>16</v>
      </c>
      <c r="F21" s="49">
        <v>14</v>
      </c>
      <c r="G21" s="49">
        <v>1</v>
      </c>
      <c r="H21" s="49">
        <v>0</v>
      </c>
      <c r="I21" s="49">
        <v>6</v>
      </c>
      <c r="J21" s="49">
        <v>2</v>
      </c>
      <c r="K21" s="49">
        <v>2</v>
      </c>
      <c r="L21" s="49">
        <v>2</v>
      </c>
      <c r="M21" s="49">
        <v>526</v>
      </c>
      <c r="N21" s="49">
        <v>0</v>
      </c>
      <c r="O21" s="15">
        <f t="shared" si="0"/>
        <v>202</v>
      </c>
      <c r="P21" s="15">
        <f t="shared" si="1"/>
        <v>728</v>
      </c>
      <c r="R21" s="35" t="s">
        <v>20</v>
      </c>
      <c r="S21" s="33">
        <f t="shared" ref="S21:AF21" si="13">SUM(C54:C57)</f>
        <v>586</v>
      </c>
      <c r="T21" s="17">
        <f t="shared" si="13"/>
        <v>99</v>
      </c>
      <c r="U21" s="17">
        <f t="shared" si="13"/>
        <v>42</v>
      </c>
      <c r="V21" s="17">
        <f t="shared" si="13"/>
        <v>40</v>
      </c>
      <c r="W21" s="17">
        <f t="shared" si="13"/>
        <v>4</v>
      </c>
      <c r="X21" s="17">
        <f t="shared" si="13"/>
        <v>0</v>
      </c>
      <c r="Y21" s="17">
        <f t="shared" si="13"/>
        <v>17</v>
      </c>
      <c r="Z21" s="17">
        <f t="shared" si="13"/>
        <v>12</v>
      </c>
      <c r="AA21" s="17">
        <f t="shared" si="13"/>
        <v>6</v>
      </c>
      <c r="AB21" s="17">
        <f t="shared" si="13"/>
        <v>7</v>
      </c>
      <c r="AC21" s="17">
        <f t="shared" si="13"/>
        <v>1221</v>
      </c>
      <c r="AD21" s="17">
        <f t="shared" si="13"/>
        <v>0</v>
      </c>
      <c r="AE21" s="30">
        <f t="shared" si="13"/>
        <v>813</v>
      </c>
      <c r="AF21" s="30">
        <f t="shared" si="13"/>
        <v>2034</v>
      </c>
    </row>
    <row r="22" spans="2:32" ht="23.1" customHeight="1" x14ac:dyDescent="0.25">
      <c r="B22" s="22" t="s">
        <v>49</v>
      </c>
      <c r="C22" s="49">
        <v>136</v>
      </c>
      <c r="D22" s="49">
        <v>78</v>
      </c>
      <c r="E22" s="49">
        <v>26</v>
      </c>
      <c r="F22" s="49">
        <v>10</v>
      </c>
      <c r="G22" s="49">
        <v>2</v>
      </c>
      <c r="H22" s="49">
        <v>1</v>
      </c>
      <c r="I22" s="49">
        <v>8</v>
      </c>
      <c r="J22" s="49">
        <v>6</v>
      </c>
      <c r="K22" s="49">
        <v>2</v>
      </c>
      <c r="L22" s="49">
        <v>1</v>
      </c>
      <c r="M22" s="49">
        <v>422</v>
      </c>
      <c r="N22" s="49">
        <v>0</v>
      </c>
      <c r="O22" s="15">
        <f t="shared" si="0"/>
        <v>270</v>
      </c>
      <c r="P22" s="15">
        <f t="shared" si="1"/>
        <v>692</v>
      </c>
      <c r="R22" s="37" t="s">
        <v>90</v>
      </c>
      <c r="S22" s="38">
        <f>MAX(S10:S12)</f>
        <v>652</v>
      </c>
      <c r="T22" s="38">
        <f t="shared" ref="T22:AF22" si="14">MAX(T10:T12)</f>
        <v>314</v>
      </c>
      <c r="U22" s="38">
        <f t="shared" si="14"/>
        <v>84</v>
      </c>
      <c r="V22" s="38">
        <f t="shared" si="14"/>
        <v>59</v>
      </c>
      <c r="W22" s="38">
        <f t="shared" si="14"/>
        <v>5</v>
      </c>
      <c r="X22" s="38">
        <f t="shared" si="14"/>
        <v>0</v>
      </c>
      <c r="Y22" s="38">
        <f t="shared" si="14"/>
        <v>29</v>
      </c>
      <c r="Z22" s="38">
        <f t="shared" si="14"/>
        <v>12</v>
      </c>
      <c r="AA22" s="38">
        <f t="shared" si="14"/>
        <v>6</v>
      </c>
      <c r="AB22" s="38">
        <f t="shared" si="14"/>
        <v>5</v>
      </c>
      <c r="AC22" s="38">
        <f t="shared" si="14"/>
        <v>2231</v>
      </c>
      <c r="AD22" s="38">
        <f t="shared" si="14"/>
        <v>0</v>
      </c>
      <c r="AE22" s="39">
        <f t="shared" si="14"/>
        <v>1143</v>
      </c>
      <c r="AF22" s="39">
        <f t="shared" si="14"/>
        <v>3374</v>
      </c>
    </row>
    <row r="23" spans="2:32" ht="23.1" customHeight="1" x14ac:dyDescent="0.25">
      <c r="B23" s="22" t="s">
        <v>50</v>
      </c>
      <c r="C23" s="49">
        <v>180</v>
      </c>
      <c r="D23" s="49">
        <v>106</v>
      </c>
      <c r="E23" s="49">
        <v>30</v>
      </c>
      <c r="F23" s="49">
        <v>13</v>
      </c>
      <c r="G23" s="49">
        <v>1</v>
      </c>
      <c r="H23" s="49">
        <v>0</v>
      </c>
      <c r="I23" s="49">
        <v>11</v>
      </c>
      <c r="J23" s="49">
        <v>2</v>
      </c>
      <c r="K23" s="49">
        <v>0</v>
      </c>
      <c r="L23" s="49">
        <v>4</v>
      </c>
      <c r="M23" s="49">
        <v>442</v>
      </c>
      <c r="N23" s="49">
        <v>0</v>
      </c>
      <c r="O23" s="15">
        <f t="shared" si="0"/>
        <v>347</v>
      </c>
      <c r="P23" s="15">
        <f t="shared" si="1"/>
        <v>789</v>
      </c>
      <c r="R23" s="37" t="s">
        <v>91</v>
      </c>
      <c r="S23" s="38">
        <f>MAX(S13:S18)</f>
        <v>695</v>
      </c>
      <c r="T23" s="38">
        <f t="shared" ref="T23:AF23" si="15">MAX(T13:T18)</f>
        <v>414</v>
      </c>
      <c r="U23" s="38">
        <f t="shared" si="15"/>
        <v>92</v>
      </c>
      <c r="V23" s="38">
        <f t="shared" si="15"/>
        <v>54</v>
      </c>
      <c r="W23" s="38">
        <f t="shared" si="15"/>
        <v>5</v>
      </c>
      <c r="X23" s="38">
        <f t="shared" si="15"/>
        <v>5</v>
      </c>
      <c r="Y23" s="38">
        <f t="shared" si="15"/>
        <v>37</v>
      </c>
      <c r="Z23" s="38">
        <f t="shared" si="15"/>
        <v>20</v>
      </c>
      <c r="AA23" s="38">
        <f t="shared" si="15"/>
        <v>10</v>
      </c>
      <c r="AB23" s="38">
        <f t="shared" si="15"/>
        <v>15</v>
      </c>
      <c r="AC23" s="38">
        <f t="shared" si="15"/>
        <v>1916</v>
      </c>
      <c r="AD23" s="38">
        <f t="shared" si="15"/>
        <v>0</v>
      </c>
      <c r="AE23" s="39">
        <f t="shared" si="15"/>
        <v>1267</v>
      </c>
      <c r="AF23" s="39">
        <f t="shared" si="15"/>
        <v>3018</v>
      </c>
    </row>
    <row r="24" spans="2:32" ht="23.1" customHeight="1" x14ac:dyDescent="0.25">
      <c r="B24" s="22" t="s">
        <v>51</v>
      </c>
      <c r="C24" s="49">
        <v>195</v>
      </c>
      <c r="D24" s="49">
        <v>128</v>
      </c>
      <c r="E24" s="49">
        <v>19</v>
      </c>
      <c r="F24" s="49">
        <v>17</v>
      </c>
      <c r="G24" s="49">
        <v>0</v>
      </c>
      <c r="H24" s="49">
        <v>0</v>
      </c>
      <c r="I24" s="49">
        <v>8</v>
      </c>
      <c r="J24" s="49">
        <v>7</v>
      </c>
      <c r="K24" s="49">
        <v>0</v>
      </c>
      <c r="L24" s="49">
        <v>0</v>
      </c>
      <c r="M24" s="49">
        <v>453</v>
      </c>
      <c r="N24" s="49">
        <v>0</v>
      </c>
      <c r="O24" s="15">
        <f t="shared" si="0"/>
        <v>374</v>
      </c>
      <c r="P24" s="15">
        <f t="shared" si="1"/>
        <v>827</v>
      </c>
      <c r="R24" s="37" t="s">
        <v>92</v>
      </c>
      <c r="S24" s="38">
        <f>MAX(S19:S21)</f>
        <v>586</v>
      </c>
      <c r="T24" s="38">
        <f t="shared" ref="T24:AF24" si="16">MAX(T19:T21)</f>
        <v>125</v>
      </c>
      <c r="U24" s="38">
        <f t="shared" si="16"/>
        <v>91</v>
      </c>
      <c r="V24" s="38">
        <f t="shared" si="16"/>
        <v>52</v>
      </c>
      <c r="W24" s="38">
        <f t="shared" si="16"/>
        <v>5</v>
      </c>
      <c r="X24" s="38">
        <f t="shared" si="16"/>
        <v>1</v>
      </c>
      <c r="Y24" s="38">
        <f t="shared" si="16"/>
        <v>22</v>
      </c>
      <c r="Z24" s="38">
        <f t="shared" si="16"/>
        <v>20</v>
      </c>
      <c r="AA24" s="38">
        <f t="shared" si="16"/>
        <v>6</v>
      </c>
      <c r="AB24" s="38">
        <f t="shared" si="16"/>
        <v>15</v>
      </c>
      <c r="AC24" s="38">
        <f t="shared" si="16"/>
        <v>1372</v>
      </c>
      <c r="AD24" s="38">
        <f t="shared" si="16"/>
        <v>0</v>
      </c>
      <c r="AE24" s="39">
        <f t="shared" si="16"/>
        <v>830</v>
      </c>
      <c r="AF24" s="39">
        <f t="shared" si="16"/>
        <v>2202</v>
      </c>
    </row>
    <row r="25" spans="2:32" ht="23.1" customHeight="1" x14ac:dyDescent="0.25">
      <c r="B25" s="22" t="s">
        <v>52</v>
      </c>
      <c r="C25" s="49">
        <v>130</v>
      </c>
      <c r="D25" s="49">
        <v>102</v>
      </c>
      <c r="E25" s="49">
        <v>17</v>
      </c>
      <c r="F25" s="49">
        <v>13</v>
      </c>
      <c r="G25" s="49">
        <v>2</v>
      </c>
      <c r="H25" s="49">
        <v>0</v>
      </c>
      <c r="I25" s="49">
        <v>6</v>
      </c>
      <c r="J25" s="49">
        <v>5</v>
      </c>
      <c r="K25" s="49">
        <v>1</v>
      </c>
      <c r="L25" s="49">
        <v>0</v>
      </c>
      <c r="M25" s="49">
        <v>376</v>
      </c>
      <c r="N25" s="49">
        <v>0</v>
      </c>
      <c r="O25" s="15">
        <f t="shared" si="0"/>
        <v>276</v>
      </c>
      <c r="P25" s="15">
        <f t="shared" si="1"/>
        <v>652</v>
      </c>
      <c r="R25" s="36" t="s">
        <v>85</v>
      </c>
      <c r="S25" s="34">
        <f t="shared" ref="S25:AF25" si="17">SUM(S10:S12)</f>
        <v>1787</v>
      </c>
      <c r="T25" s="16">
        <f t="shared" si="17"/>
        <v>710</v>
      </c>
      <c r="U25" s="16">
        <f t="shared" si="17"/>
        <v>207</v>
      </c>
      <c r="V25" s="16">
        <f t="shared" si="17"/>
        <v>154</v>
      </c>
      <c r="W25" s="16">
        <f t="shared" si="17"/>
        <v>10</v>
      </c>
      <c r="X25" s="16">
        <f t="shared" si="17"/>
        <v>0</v>
      </c>
      <c r="Y25" s="16">
        <f t="shared" si="17"/>
        <v>53</v>
      </c>
      <c r="Z25" s="16">
        <f t="shared" si="17"/>
        <v>28</v>
      </c>
      <c r="AA25" s="16">
        <f t="shared" si="17"/>
        <v>8</v>
      </c>
      <c r="AB25" s="16">
        <f t="shared" si="17"/>
        <v>11</v>
      </c>
      <c r="AC25" s="16">
        <f t="shared" si="17"/>
        <v>5751</v>
      </c>
      <c r="AD25" s="16">
        <f t="shared" si="17"/>
        <v>0</v>
      </c>
      <c r="AE25" s="31">
        <f t="shared" si="17"/>
        <v>2968</v>
      </c>
      <c r="AF25" s="31">
        <f t="shared" si="17"/>
        <v>8719</v>
      </c>
    </row>
    <row r="26" spans="2:32" ht="23.1" customHeight="1" x14ac:dyDescent="0.25">
      <c r="B26" s="22" t="s">
        <v>53</v>
      </c>
      <c r="C26" s="49">
        <v>131</v>
      </c>
      <c r="D26" s="49">
        <v>59</v>
      </c>
      <c r="E26" s="49">
        <v>21</v>
      </c>
      <c r="F26" s="49">
        <v>21</v>
      </c>
      <c r="G26" s="49">
        <v>2</v>
      </c>
      <c r="H26" s="49">
        <v>1</v>
      </c>
      <c r="I26" s="49">
        <v>5</v>
      </c>
      <c r="J26" s="49">
        <v>8</v>
      </c>
      <c r="K26" s="49">
        <v>2</v>
      </c>
      <c r="L26" s="49">
        <v>3</v>
      </c>
      <c r="M26" s="49">
        <v>419</v>
      </c>
      <c r="N26" s="49">
        <v>0</v>
      </c>
      <c r="O26" s="15">
        <f t="shared" si="0"/>
        <v>253</v>
      </c>
      <c r="P26" s="15">
        <f t="shared" si="1"/>
        <v>672</v>
      </c>
      <c r="R26" s="27" t="s">
        <v>86</v>
      </c>
      <c r="S26" s="16">
        <f t="shared" ref="S26:AF26" si="18">SUM(S13:S18)</f>
        <v>3029</v>
      </c>
      <c r="T26" s="16">
        <f t="shared" si="18"/>
        <v>1289</v>
      </c>
      <c r="U26" s="16">
        <f t="shared" si="18"/>
        <v>428</v>
      </c>
      <c r="V26" s="16">
        <f t="shared" si="18"/>
        <v>265</v>
      </c>
      <c r="W26" s="16">
        <f t="shared" si="18"/>
        <v>10</v>
      </c>
      <c r="X26" s="16">
        <f t="shared" si="18"/>
        <v>7</v>
      </c>
      <c r="Y26" s="16">
        <f t="shared" si="18"/>
        <v>152</v>
      </c>
      <c r="Z26" s="16">
        <f t="shared" si="18"/>
        <v>104</v>
      </c>
      <c r="AA26" s="16">
        <f t="shared" si="18"/>
        <v>28</v>
      </c>
      <c r="AB26" s="16">
        <f t="shared" si="18"/>
        <v>57</v>
      </c>
      <c r="AC26" s="16">
        <f t="shared" si="18"/>
        <v>9794</v>
      </c>
      <c r="AD26" s="16">
        <f t="shared" si="18"/>
        <v>0</v>
      </c>
      <c r="AE26" s="31">
        <f t="shared" si="18"/>
        <v>5369</v>
      </c>
      <c r="AF26" s="31">
        <f t="shared" si="18"/>
        <v>15163</v>
      </c>
    </row>
    <row r="27" spans="2:32" ht="23.1" customHeight="1" x14ac:dyDescent="0.25">
      <c r="B27" s="22" t="s">
        <v>54</v>
      </c>
      <c r="C27" s="49">
        <v>118</v>
      </c>
      <c r="D27" s="49">
        <v>68</v>
      </c>
      <c r="E27" s="49">
        <v>23</v>
      </c>
      <c r="F27" s="49">
        <v>8</v>
      </c>
      <c r="G27" s="49">
        <v>0</v>
      </c>
      <c r="H27" s="49">
        <v>0</v>
      </c>
      <c r="I27" s="49">
        <v>3</v>
      </c>
      <c r="J27" s="49">
        <v>4</v>
      </c>
      <c r="K27" s="49">
        <v>0</v>
      </c>
      <c r="L27" s="49">
        <v>1</v>
      </c>
      <c r="M27" s="49">
        <v>450</v>
      </c>
      <c r="N27" s="49">
        <v>0</v>
      </c>
      <c r="O27" s="15">
        <f t="shared" si="0"/>
        <v>225</v>
      </c>
      <c r="P27" s="15">
        <f t="shared" si="1"/>
        <v>675</v>
      </c>
      <c r="R27" s="28" t="s">
        <v>87</v>
      </c>
      <c r="S27" s="16">
        <f t="shared" ref="S27:AF27" si="19">SUM(S19:S21)</f>
        <v>1450</v>
      </c>
      <c r="T27" s="16">
        <f t="shared" si="19"/>
        <v>339</v>
      </c>
      <c r="U27" s="16">
        <f t="shared" si="19"/>
        <v>205</v>
      </c>
      <c r="V27" s="16">
        <f t="shared" si="19"/>
        <v>142</v>
      </c>
      <c r="W27" s="16">
        <f t="shared" si="19"/>
        <v>12</v>
      </c>
      <c r="X27" s="16">
        <f t="shared" si="19"/>
        <v>1</v>
      </c>
      <c r="Y27" s="16">
        <f t="shared" si="19"/>
        <v>60</v>
      </c>
      <c r="Z27" s="16">
        <f t="shared" si="19"/>
        <v>47</v>
      </c>
      <c r="AA27" s="16">
        <f t="shared" si="19"/>
        <v>14</v>
      </c>
      <c r="AB27" s="16">
        <f t="shared" si="19"/>
        <v>31</v>
      </c>
      <c r="AC27" s="16">
        <f t="shared" si="19"/>
        <v>3928</v>
      </c>
      <c r="AD27" s="16">
        <f t="shared" si="19"/>
        <v>0</v>
      </c>
      <c r="AE27" s="31">
        <f t="shared" si="19"/>
        <v>2301</v>
      </c>
      <c r="AF27" s="31">
        <f t="shared" si="19"/>
        <v>6229</v>
      </c>
    </row>
    <row r="28" spans="2:32" ht="23.1" customHeight="1" x14ac:dyDescent="0.25">
      <c r="B28" s="22" t="s">
        <v>55</v>
      </c>
      <c r="C28" s="49">
        <v>165</v>
      </c>
      <c r="D28" s="49">
        <v>40</v>
      </c>
      <c r="E28" s="49">
        <v>15</v>
      </c>
      <c r="F28" s="49">
        <v>12</v>
      </c>
      <c r="G28" s="49">
        <v>0</v>
      </c>
      <c r="H28" s="49">
        <v>0</v>
      </c>
      <c r="I28" s="49">
        <v>3</v>
      </c>
      <c r="J28" s="49">
        <v>5</v>
      </c>
      <c r="K28" s="49">
        <v>0</v>
      </c>
      <c r="L28" s="49">
        <v>0</v>
      </c>
      <c r="M28" s="49">
        <v>364</v>
      </c>
      <c r="N28" s="49">
        <v>0</v>
      </c>
      <c r="O28" s="15">
        <f t="shared" si="0"/>
        <v>240</v>
      </c>
      <c r="P28" s="15">
        <f t="shared" si="1"/>
        <v>604</v>
      </c>
      <c r="R28" s="5" t="s">
        <v>17</v>
      </c>
      <c r="S28" s="16">
        <f t="shared" ref="S28:AF28" si="20">SUM(S10:S21)</f>
        <v>6266</v>
      </c>
      <c r="T28" s="16">
        <f t="shared" si="20"/>
        <v>2338</v>
      </c>
      <c r="U28" s="16">
        <f t="shared" si="20"/>
        <v>840</v>
      </c>
      <c r="V28" s="16">
        <f t="shared" si="20"/>
        <v>561</v>
      </c>
      <c r="W28" s="16">
        <f t="shared" si="20"/>
        <v>32</v>
      </c>
      <c r="X28" s="16">
        <f t="shared" si="20"/>
        <v>8</v>
      </c>
      <c r="Y28" s="16">
        <f t="shared" si="20"/>
        <v>265</v>
      </c>
      <c r="Z28" s="16">
        <f t="shared" si="20"/>
        <v>179</v>
      </c>
      <c r="AA28" s="16">
        <f t="shared" si="20"/>
        <v>50</v>
      </c>
      <c r="AB28" s="16">
        <f t="shared" si="20"/>
        <v>99</v>
      </c>
      <c r="AC28" s="16">
        <f t="shared" si="20"/>
        <v>19473</v>
      </c>
      <c r="AD28" s="16">
        <f t="shared" si="20"/>
        <v>0</v>
      </c>
      <c r="AE28" s="31">
        <f t="shared" si="20"/>
        <v>10638</v>
      </c>
      <c r="AF28" s="31">
        <f t="shared" si="20"/>
        <v>30111</v>
      </c>
    </row>
    <row r="29" spans="2:32" ht="23.1" customHeight="1" x14ac:dyDescent="0.25">
      <c r="B29" s="22" t="s">
        <v>56</v>
      </c>
      <c r="C29" s="49">
        <v>170</v>
      </c>
      <c r="D29" s="49">
        <v>46</v>
      </c>
      <c r="E29" s="49">
        <v>18</v>
      </c>
      <c r="F29" s="49">
        <v>13</v>
      </c>
      <c r="G29" s="49">
        <v>0</v>
      </c>
      <c r="H29" s="49">
        <v>0</v>
      </c>
      <c r="I29" s="49">
        <v>6</v>
      </c>
      <c r="J29" s="49">
        <v>3</v>
      </c>
      <c r="K29" s="49">
        <v>1</v>
      </c>
      <c r="L29" s="49">
        <v>3</v>
      </c>
      <c r="M29" s="49">
        <v>400</v>
      </c>
      <c r="N29" s="49">
        <v>0</v>
      </c>
      <c r="O29" s="15">
        <f t="shared" si="0"/>
        <v>260</v>
      </c>
      <c r="P29" s="15">
        <f t="shared" si="1"/>
        <v>660</v>
      </c>
      <c r="R29"/>
      <c r="S29" s="20"/>
      <c r="T29" s="19"/>
    </row>
    <row r="30" spans="2:32" ht="23.1" customHeight="1" x14ac:dyDescent="0.25">
      <c r="B30" s="22" t="s">
        <v>57</v>
      </c>
      <c r="C30" s="49">
        <v>175</v>
      </c>
      <c r="D30" s="49">
        <v>53</v>
      </c>
      <c r="E30" s="49">
        <v>12</v>
      </c>
      <c r="F30" s="49">
        <v>13</v>
      </c>
      <c r="G30" s="49">
        <v>0</v>
      </c>
      <c r="H30" s="49">
        <v>0</v>
      </c>
      <c r="I30" s="49">
        <v>19</v>
      </c>
      <c r="J30" s="49">
        <v>3</v>
      </c>
      <c r="K30" s="49">
        <v>1</v>
      </c>
      <c r="L30" s="49">
        <v>6</v>
      </c>
      <c r="M30" s="49">
        <v>511</v>
      </c>
      <c r="N30" s="49">
        <v>0</v>
      </c>
      <c r="O30" s="15">
        <f t="shared" si="0"/>
        <v>282</v>
      </c>
      <c r="P30" s="15">
        <f t="shared" si="1"/>
        <v>793</v>
      </c>
    </row>
    <row r="31" spans="2:32" ht="23.1" customHeight="1" x14ac:dyDescent="0.25">
      <c r="B31" s="23" t="s">
        <v>58</v>
      </c>
      <c r="C31" s="49">
        <v>180</v>
      </c>
      <c r="D31" s="49">
        <v>63</v>
      </c>
      <c r="E31" s="49">
        <v>19</v>
      </c>
      <c r="F31" s="49">
        <v>11</v>
      </c>
      <c r="G31" s="49">
        <v>1</v>
      </c>
      <c r="H31" s="49">
        <v>0</v>
      </c>
      <c r="I31" s="49">
        <v>4</v>
      </c>
      <c r="J31" s="49">
        <v>7</v>
      </c>
      <c r="K31" s="49">
        <v>1</v>
      </c>
      <c r="L31" s="49">
        <v>2</v>
      </c>
      <c r="M31" s="49">
        <v>560</v>
      </c>
      <c r="N31" s="49">
        <v>0</v>
      </c>
      <c r="O31" s="15">
        <f t="shared" si="0"/>
        <v>288</v>
      </c>
      <c r="P31" s="15">
        <f t="shared" si="1"/>
        <v>848</v>
      </c>
    </row>
    <row r="32" spans="2:32" ht="23.1" customHeight="1" x14ac:dyDescent="0.25">
      <c r="B32" s="23" t="s">
        <v>59</v>
      </c>
      <c r="C32" s="49">
        <v>140</v>
      </c>
      <c r="D32" s="49">
        <v>68</v>
      </c>
      <c r="E32" s="49">
        <v>8</v>
      </c>
      <c r="F32" s="49">
        <v>10</v>
      </c>
      <c r="G32" s="49">
        <v>0</v>
      </c>
      <c r="H32" s="49">
        <v>0</v>
      </c>
      <c r="I32" s="49">
        <v>8</v>
      </c>
      <c r="J32" s="49">
        <v>7</v>
      </c>
      <c r="K32" s="49">
        <v>1</v>
      </c>
      <c r="L32" s="49">
        <v>3</v>
      </c>
      <c r="M32" s="49">
        <v>425</v>
      </c>
      <c r="N32" s="49">
        <v>0</v>
      </c>
      <c r="O32" s="15">
        <f t="shared" si="0"/>
        <v>245</v>
      </c>
      <c r="P32" s="15">
        <f t="shared" si="1"/>
        <v>670</v>
      </c>
    </row>
    <row r="33" spans="2:20" ht="23.1" customHeight="1" x14ac:dyDescent="0.25">
      <c r="B33" s="22" t="s">
        <v>60</v>
      </c>
      <c r="C33" s="49">
        <v>200</v>
      </c>
      <c r="D33" s="49">
        <v>48</v>
      </c>
      <c r="E33" s="49">
        <v>22</v>
      </c>
      <c r="F33" s="49">
        <v>8</v>
      </c>
      <c r="G33" s="49">
        <v>0</v>
      </c>
      <c r="H33" s="49">
        <v>0</v>
      </c>
      <c r="I33" s="49">
        <v>6</v>
      </c>
      <c r="J33" s="49">
        <v>2</v>
      </c>
      <c r="K33" s="49">
        <v>0</v>
      </c>
      <c r="L33" s="49">
        <v>1</v>
      </c>
      <c r="M33" s="49">
        <v>420</v>
      </c>
      <c r="N33" s="49">
        <v>0</v>
      </c>
      <c r="O33" s="15">
        <f t="shared" si="0"/>
        <v>287</v>
      </c>
      <c r="P33" s="15">
        <f t="shared" si="1"/>
        <v>707</v>
      </c>
    </row>
    <row r="34" spans="2:20" ht="23.1" customHeight="1" x14ac:dyDescent="0.25">
      <c r="B34" s="23" t="s">
        <v>61</v>
      </c>
      <c r="C34" s="49">
        <v>145</v>
      </c>
      <c r="D34" s="49">
        <v>90</v>
      </c>
      <c r="E34" s="49">
        <v>17</v>
      </c>
      <c r="F34" s="49">
        <v>11</v>
      </c>
      <c r="G34" s="49">
        <v>0</v>
      </c>
      <c r="H34" s="49">
        <v>0</v>
      </c>
      <c r="I34" s="49">
        <v>4</v>
      </c>
      <c r="J34" s="49">
        <v>4</v>
      </c>
      <c r="K34" s="49">
        <v>2</v>
      </c>
      <c r="L34" s="49">
        <v>4</v>
      </c>
      <c r="M34" s="49">
        <v>481</v>
      </c>
      <c r="N34" s="49">
        <v>0</v>
      </c>
      <c r="O34" s="15">
        <f t="shared" si="0"/>
        <v>277</v>
      </c>
      <c r="P34" s="15">
        <f t="shared" si="1"/>
        <v>758</v>
      </c>
    </row>
    <row r="35" spans="2:20" ht="23.1" customHeight="1" x14ac:dyDescent="0.25">
      <c r="B35" s="23" t="s">
        <v>62</v>
      </c>
      <c r="C35" s="49">
        <v>130</v>
      </c>
      <c r="D35" s="49">
        <v>18</v>
      </c>
      <c r="E35" s="49">
        <v>15</v>
      </c>
      <c r="F35" s="49">
        <v>5</v>
      </c>
      <c r="G35" s="49">
        <v>0</v>
      </c>
      <c r="H35" s="49">
        <v>0</v>
      </c>
      <c r="I35" s="49">
        <v>5</v>
      </c>
      <c r="J35" s="49">
        <v>4</v>
      </c>
      <c r="K35" s="49">
        <v>1</v>
      </c>
      <c r="L35" s="49">
        <v>8</v>
      </c>
      <c r="M35" s="49">
        <v>492</v>
      </c>
      <c r="N35" s="49">
        <v>0</v>
      </c>
      <c r="O35" s="15">
        <f t="shared" si="0"/>
        <v>186</v>
      </c>
      <c r="P35" s="15">
        <f t="shared" si="1"/>
        <v>678</v>
      </c>
    </row>
    <row r="36" spans="2:20" ht="23.1" customHeight="1" x14ac:dyDescent="0.25">
      <c r="B36" s="23" t="s">
        <v>63</v>
      </c>
      <c r="C36" s="49">
        <v>62</v>
      </c>
      <c r="D36" s="49">
        <v>38</v>
      </c>
      <c r="E36" s="49">
        <v>14</v>
      </c>
      <c r="F36" s="49">
        <v>7</v>
      </c>
      <c r="G36" s="49">
        <v>0</v>
      </c>
      <c r="H36" s="49">
        <v>5</v>
      </c>
      <c r="I36" s="49">
        <v>4</v>
      </c>
      <c r="J36" s="49">
        <v>0</v>
      </c>
      <c r="K36" s="49">
        <v>5</v>
      </c>
      <c r="L36" s="49">
        <v>0</v>
      </c>
      <c r="M36" s="49">
        <v>330</v>
      </c>
      <c r="N36" s="49">
        <v>0</v>
      </c>
      <c r="O36" s="15">
        <f t="shared" si="0"/>
        <v>135</v>
      </c>
      <c r="P36" s="15">
        <f t="shared" si="1"/>
        <v>465</v>
      </c>
    </row>
    <row r="37" spans="2:20" ht="23.1" customHeight="1" x14ac:dyDescent="0.25">
      <c r="B37" s="22" t="s">
        <v>64</v>
      </c>
      <c r="C37" s="49">
        <v>66</v>
      </c>
      <c r="D37" s="49">
        <v>46</v>
      </c>
      <c r="E37" s="49">
        <v>12</v>
      </c>
      <c r="F37" s="49">
        <v>4</v>
      </c>
      <c r="G37" s="49">
        <v>0</v>
      </c>
      <c r="H37" s="49">
        <v>0</v>
      </c>
      <c r="I37" s="49">
        <v>4</v>
      </c>
      <c r="J37" s="49">
        <v>2</v>
      </c>
      <c r="K37" s="49">
        <v>2</v>
      </c>
      <c r="L37" s="49">
        <v>3</v>
      </c>
      <c r="M37" s="49">
        <v>300</v>
      </c>
      <c r="N37" s="49">
        <v>0</v>
      </c>
      <c r="O37" s="15">
        <f t="shared" si="0"/>
        <v>139</v>
      </c>
      <c r="P37" s="15">
        <f t="shared" si="1"/>
        <v>439</v>
      </c>
    </row>
    <row r="38" spans="2:20" ht="23.1" customHeight="1" x14ac:dyDescent="0.25">
      <c r="B38" s="23" t="s">
        <v>65</v>
      </c>
      <c r="C38" s="49">
        <v>110</v>
      </c>
      <c r="D38" s="49">
        <v>29</v>
      </c>
      <c r="E38" s="49">
        <v>10</v>
      </c>
      <c r="F38" s="49">
        <v>8</v>
      </c>
      <c r="G38" s="49">
        <v>0</v>
      </c>
      <c r="H38" s="49">
        <v>0</v>
      </c>
      <c r="I38" s="49">
        <v>4</v>
      </c>
      <c r="J38" s="49">
        <v>3</v>
      </c>
      <c r="K38" s="49">
        <v>1</v>
      </c>
      <c r="L38" s="49">
        <v>2</v>
      </c>
      <c r="M38" s="49">
        <v>325</v>
      </c>
      <c r="N38" s="49">
        <v>0</v>
      </c>
      <c r="O38" s="15">
        <f t="shared" si="0"/>
        <v>167</v>
      </c>
      <c r="P38" s="15">
        <f t="shared" si="1"/>
        <v>492</v>
      </c>
    </row>
    <row r="39" spans="2:20" ht="23.1" customHeight="1" x14ac:dyDescent="0.25">
      <c r="B39" s="23" t="s">
        <v>66</v>
      </c>
      <c r="C39" s="49">
        <v>114</v>
      </c>
      <c r="D39" s="49">
        <v>33</v>
      </c>
      <c r="E39" s="49">
        <v>26</v>
      </c>
      <c r="F39" s="49">
        <v>17</v>
      </c>
      <c r="G39" s="49">
        <v>0</v>
      </c>
      <c r="H39" s="49">
        <v>0</v>
      </c>
      <c r="I39" s="49">
        <v>9</v>
      </c>
      <c r="J39" s="49">
        <v>9</v>
      </c>
      <c r="K39" s="49">
        <v>1</v>
      </c>
      <c r="L39" s="49">
        <v>4</v>
      </c>
      <c r="M39" s="49">
        <v>450</v>
      </c>
      <c r="N39" s="49">
        <v>0</v>
      </c>
      <c r="O39" s="15">
        <f t="shared" si="0"/>
        <v>213</v>
      </c>
      <c r="P39" s="15">
        <f t="shared" si="1"/>
        <v>663</v>
      </c>
    </row>
    <row r="40" spans="2:20" ht="23.1" customHeight="1" x14ac:dyDescent="0.25">
      <c r="B40" s="23" t="s">
        <v>67</v>
      </c>
      <c r="C40" s="49">
        <v>62</v>
      </c>
      <c r="D40" s="49">
        <v>34</v>
      </c>
      <c r="E40" s="49">
        <v>15</v>
      </c>
      <c r="F40" s="49">
        <v>10</v>
      </c>
      <c r="G40" s="49">
        <v>0</v>
      </c>
      <c r="H40" s="49">
        <v>0</v>
      </c>
      <c r="I40" s="49">
        <v>5</v>
      </c>
      <c r="J40" s="49">
        <v>0</v>
      </c>
      <c r="K40" s="49">
        <v>0</v>
      </c>
      <c r="L40" s="49">
        <v>1</v>
      </c>
      <c r="M40" s="49">
        <v>389</v>
      </c>
      <c r="N40" s="49">
        <v>0</v>
      </c>
      <c r="O40" s="15">
        <f t="shared" si="0"/>
        <v>127</v>
      </c>
      <c r="P40" s="15">
        <f t="shared" si="1"/>
        <v>516</v>
      </c>
    </row>
    <row r="41" spans="2:20" ht="23.1" customHeight="1" x14ac:dyDescent="0.25">
      <c r="B41" s="22" t="s">
        <v>68</v>
      </c>
      <c r="C41" s="49">
        <v>111</v>
      </c>
      <c r="D41" s="49">
        <v>41</v>
      </c>
      <c r="E41" s="49">
        <v>16</v>
      </c>
      <c r="F41" s="49">
        <v>11</v>
      </c>
      <c r="G41" s="49">
        <v>1</v>
      </c>
      <c r="H41" s="49">
        <v>0</v>
      </c>
      <c r="I41" s="49">
        <v>12</v>
      </c>
      <c r="J41" s="49">
        <v>4</v>
      </c>
      <c r="K41" s="49">
        <v>1</v>
      </c>
      <c r="L41" s="49">
        <v>3</v>
      </c>
      <c r="M41" s="49">
        <v>351</v>
      </c>
      <c r="N41" s="49">
        <v>0</v>
      </c>
      <c r="O41" s="15">
        <f t="shared" si="0"/>
        <v>200</v>
      </c>
      <c r="P41" s="15">
        <f t="shared" si="1"/>
        <v>551</v>
      </c>
    </row>
    <row r="42" spans="2:20" ht="23.1" customHeight="1" x14ac:dyDescent="0.25">
      <c r="B42" s="23" t="s">
        <v>69</v>
      </c>
      <c r="C42" s="49">
        <v>97</v>
      </c>
      <c r="D42" s="49">
        <v>42</v>
      </c>
      <c r="E42" s="49">
        <v>13</v>
      </c>
      <c r="F42" s="49">
        <v>9</v>
      </c>
      <c r="G42" s="49">
        <v>0</v>
      </c>
      <c r="H42" s="49">
        <v>0</v>
      </c>
      <c r="I42" s="49">
        <v>2</v>
      </c>
      <c r="J42" s="49">
        <v>2</v>
      </c>
      <c r="K42" s="49">
        <v>0</v>
      </c>
      <c r="L42" s="49">
        <v>3</v>
      </c>
      <c r="M42" s="49">
        <v>359</v>
      </c>
      <c r="N42" s="49">
        <v>0</v>
      </c>
      <c r="O42" s="15">
        <f t="shared" si="0"/>
        <v>168</v>
      </c>
      <c r="P42" s="15">
        <f t="shared" si="1"/>
        <v>527</v>
      </c>
    </row>
    <row r="43" spans="2:20" ht="23.1" customHeight="1" x14ac:dyDescent="0.25">
      <c r="B43" s="22" t="s">
        <v>70</v>
      </c>
      <c r="C43" s="49">
        <v>95</v>
      </c>
      <c r="D43" s="49">
        <v>19</v>
      </c>
      <c r="E43" s="49">
        <v>22</v>
      </c>
      <c r="F43" s="49">
        <v>11</v>
      </c>
      <c r="G43" s="49">
        <v>0</v>
      </c>
      <c r="H43" s="49">
        <v>0</v>
      </c>
      <c r="I43" s="49">
        <v>6</v>
      </c>
      <c r="J43" s="49">
        <v>9</v>
      </c>
      <c r="K43" s="49">
        <v>2</v>
      </c>
      <c r="L43" s="49">
        <v>3</v>
      </c>
      <c r="M43" s="49">
        <v>420</v>
      </c>
      <c r="N43" s="49">
        <v>0</v>
      </c>
      <c r="O43" s="15">
        <f t="shared" si="0"/>
        <v>167</v>
      </c>
      <c r="P43" s="15">
        <f t="shared" si="1"/>
        <v>587</v>
      </c>
    </row>
    <row r="44" spans="2:20" ht="23.1" customHeight="1" x14ac:dyDescent="0.25">
      <c r="B44" s="24" t="s">
        <v>71</v>
      </c>
      <c r="C44" s="49">
        <v>62</v>
      </c>
      <c r="D44" s="49">
        <v>18</v>
      </c>
      <c r="E44" s="49">
        <v>25</v>
      </c>
      <c r="F44" s="49">
        <v>10</v>
      </c>
      <c r="G44" s="49">
        <v>0</v>
      </c>
      <c r="H44" s="49">
        <v>0</v>
      </c>
      <c r="I44" s="49">
        <v>6</v>
      </c>
      <c r="J44" s="49">
        <v>5</v>
      </c>
      <c r="K44" s="49">
        <v>4</v>
      </c>
      <c r="L44" s="49">
        <v>1</v>
      </c>
      <c r="M44" s="49">
        <v>344</v>
      </c>
      <c r="N44" s="49">
        <v>0</v>
      </c>
      <c r="O44" s="15">
        <f t="shared" si="0"/>
        <v>131</v>
      </c>
      <c r="P44" s="15">
        <f t="shared" si="1"/>
        <v>475</v>
      </c>
    </row>
    <row r="45" spans="2:20" ht="23.1" customHeight="1" x14ac:dyDescent="0.25">
      <c r="B45" s="22" t="s">
        <v>72</v>
      </c>
      <c r="C45" s="49">
        <v>55</v>
      </c>
      <c r="D45" s="49">
        <v>22</v>
      </c>
      <c r="E45" s="49">
        <v>13</v>
      </c>
      <c r="F45" s="49">
        <v>13</v>
      </c>
      <c r="G45" s="49">
        <v>1</v>
      </c>
      <c r="H45" s="49">
        <v>0</v>
      </c>
      <c r="I45" s="49">
        <v>4</v>
      </c>
      <c r="J45" s="49">
        <v>3</v>
      </c>
      <c r="K45" s="49">
        <v>0</v>
      </c>
      <c r="L45" s="49">
        <v>1</v>
      </c>
      <c r="M45" s="49">
        <v>311</v>
      </c>
      <c r="N45" s="49">
        <v>0</v>
      </c>
      <c r="O45" s="15">
        <f t="shared" si="0"/>
        <v>112</v>
      </c>
      <c r="P45" s="15">
        <f t="shared" si="1"/>
        <v>423</v>
      </c>
    </row>
    <row r="46" spans="2:20" ht="23.1" customHeight="1" x14ac:dyDescent="0.25">
      <c r="B46" s="23" t="s">
        <v>73</v>
      </c>
      <c r="C46" s="49">
        <v>101</v>
      </c>
      <c r="D46" s="49">
        <v>13</v>
      </c>
      <c r="E46" s="49">
        <v>22</v>
      </c>
      <c r="F46" s="49">
        <v>16</v>
      </c>
      <c r="G46" s="49">
        <v>0</v>
      </c>
      <c r="H46" s="49">
        <v>1</v>
      </c>
      <c r="I46" s="49">
        <v>4</v>
      </c>
      <c r="J46" s="49">
        <v>2</v>
      </c>
      <c r="K46" s="49">
        <v>3</v>
      </c>
      <c r="L46" s="49">
        <v>2</v>
      </c>
      <c r="M46" s="49">
        <v>289</v>
      </c>
      <c r="N46" s="49">
        <v>0</v>
      </c>
      <c r="O46" s="15">
        <f t="shared" si="0"/>
        <v>164</v>
      </c>
      <c r="P46" s="15">
        <f t="shared" si="1"/>
        <v>453</v>
      </c>
      <c r="R46" s="8"/>
      <c r="T46"/>
    </row>
    <row r="47" spans="2:20" ht="23.1" customHeight="1" x14ac:dyDescent="0.25">
      <c r="B47" s="23" t="s">
        <v>74</v>
      </c>
      <c r="C47" s="49">
        <v>75</v>
      </c>
      <c r="D47" s="49">
        <v>28</v>
      </c>
      <c r="E47" s="49">
        <v>5</v>
      </c>
      <c r="F47" s="49">
        <v>12</v>
      </c>
      <c r="G47" s="49">
        <v>1</v>
      </c>
      <c r="H47" s="49">
        <v>0</v>
      </c>
      <c r="I47" s="49">
        <v>3</v>
      </c>
      <c r="J47" s="49">
        <v>7</v>
      </c>
      <c r="K47" s="49">
        <v>0</v>
      </c>
      <c r="L47" s="49">
        <v>4</v>
      </c>
      <c r="M47" s="49">
        <v>327</v>
      </c>
      <c r="N47" s="49">
        <v>0</v>
      </c>
      <c r="O47" s="15">
        <f t="shared" si="0"/>
        <v>135</v>
      </c>
      <c r="P47" s="15">
        <f t="shared" si="1"/>
        <v>462</v>
      </c>
      <c r="R47" s="8"/>
      <c r="T47"/>
    </row>
    <row r="48" spans="2:20" ht="23.1" customHeight="1" x14ac:dyDescent="0.25">
      <c r="B48" s="23" t="s">
        <v>75</v>
      </c>
      <c r="C48" s="49">
        <v>82</v>
      </c>
      <c r="D48" s="49">
        <v>36</v>
      </c>
      <c r="E48" s="49">
        <v>33</v>
      </c>
      <c r="F48" s="49">
        <v>13</v>
      </c>
      <c r="G48" s="49">
        <v>1</v>
      </c>
      <c r="H48" s="49">
        <v>0</v>
      </c>
      <c r="I48" s="49">
        <v>10</v>
      </c>
      <c r="J48" s="49">
        <v>4</v>
      </c>
      <c r="K48" s="49">
        <v>0</v>
      </c>
      <c r="L48" s="49">
        <v>6</v>
      </c>
      <c r="M48" s="49">
        <v>343</v>
      </c>
      <c r="N48" s="49">
        <v>0</v>
      </c>
      <c r="O48" s="15">
        <f t="shared" si="0"/>
        <v>185</v>
      </c>
      <c r="P48" s="15">
        <f t="shared" si="1"/>
        <v>528</v>
      </c>
      <c r="R48" s="8"/>
      <c r="T48"/>
    </row>
    <row r="49" spans="2:20" ht="23.1" customHeight="1" x14ac:dyDescent="0.25">
      <c r="B49" s="22" t="s">
        <v>76</v>
      </c>
      <c r="C49" s="49">
        <v>80</v>
      </c>
      <c r="D49" s="49">
        <v>38</v>
      </c>
      <c r="E49" s="49">
        <v>31</v>
      </c>
      <c r="F49" s="49">
        <v>9</v>
      </c>
      <c r="G49" s="49">
        <v>1</v>
      </c>
      <c r="H49" s="49">
        <v>0</v>
      </c>
      <c r="I49" s="49">
        <v>4</v>
      </c>
      <c r="J49" s="49">
        <v>7</v>
      </c>
      <c r="K49" s="49">
        <v>1</v>
      </c>
      <c r="L49" s="49">
        <v>3</v>
      </c>
      <c r="M49" s="49">
        <v>376</v>
      </c>
      <c r="N49" s="49">
        <v>0</v>
      </c>
      <c r="O49" s="15">
        <f t="shared" si="0"/>
        <v>174</v>
      </c>
      <c r="P49" s="15">
        <f t="shared" si="1"/>
        <v>550</v>
      </c>
      <c r="R49" s="8"/>
      <c r="T49"/>
    </row>
    <row r="50" spans="2:20" ht="23.1" customHeight="1" x14ac:dyDescent="0.25">
      <c r="B50" s="23" t="s">
        <v>77</v>
      </c>
      <c r="C50" s="49">
        <v>125</v>
      </c>
      <c r="D50" s="49">
        <v>22</v>
      </c>
      <c r="E50" s="49">
        <v>27</v>
      </c>
      <c r="F50" s="49">
        <v>15</v>
      </c>
      <c r="G50" s="49">
        <v>0</v>
      </c>
      <c r="H50" s="49">
        <v>0</v>
      </c>
      <c r="I50" s="49">
        <v>4</v>
      </c>
      <c r="J50" s="49">
        <v>4</v>
      </c>
      <c r="K50" s="49">
        <v>2</v>
      </c>
      <c r="L50" s="49">
        <v>0</v>
      </c>
      <c r="M50" s="49">
        <v>350</v>
      </c>
      <c r="N50" s="49">
        <v>0</v>
      </c>
      <c r="O50" s="15">
        <f t="shared" si="0"/>
        <v>199</v>
      </c>
      <c r="P50" s="15">
        <f t="shared" si="1"/>
        <v>549</v>
      </c>
      <c r="R50" s="8"/>
      <c r="T50"/>
    </row>
    <row r="51" spans="2:20" ht="23.1" customHeight="1" x14ac:dyDescent="0.25">
      <c r="B51" s="23" t="s">
        <v>78</v>
      </c>
      <c r="C51" s="49">
        <v>106</v>
      </c>
      <c r="D51" s="49">
        <v>30</v>
      </c>
      <c r="E51" s="49">
        <v>14</v>
      </c>
      <c r="F51" s="49">
        <v>12</v>
      </c>
      <c r="G51" s="49">
        <v>2</v>
      </c>
      <c r="H51" s="49">
        <v>0</v>
      </c>
      <c r="I51" s="49">
        <v>7</v>
      </c>
      <c r="J51" s="49">
        <v>4</v>
      </c>
      <c r="K51" s="49">
        <v>1</v>
      </c>
      <c r="L51" s="49">
        <v>5</v>
      </c>
      <c r="M51" s="49">
        <v>420</v>
      </c>
      <c r="N51" s="49">
        <v>0</v>
      </c>
      <c r="O51" s="15">
        <f t="shared" si="0"/>
        <v>181</v>
      </c>
      <c r="P51" s="15">
        <f t="shared" si="1"/>
        <v>601</v>
      </c>
      <c r="R51" s="8"/>
      <c r="T51"/>
    </row>
    <row r="52" spans="2:20" ht="23.1" customHeight="1" x14ac:dyDescent="0.25">
      <c r="B52" s="23" t="s">
        <v>79</v>
      </c>
      <c r="C52" s="49">
        <v>85</v>
      </c>
      <c r="D52" s="49">
        <v>31</v>
      </c>
      <c r="E52" s="49">
        <v>14</v>
      </c>
      <c r="F52" s="49">
        <v>10</v>
      </c>
      <c r="G52" s="49">
        <v>2</v>
      </c>
      <c r="H52" s="49">
        <v>0</v>
      </c>
      <c r="I52" s="49">
        <v>3</v>
      </c>
      <c r="J52" s="49">
        <v>1</v>
      </c>
      <c r="K52" s="49">
        <v>1</v>
      </c>
      <c r="L52" s="49">
        <v>2</v>
      </c>
      <c r="M52" s="49">
        <v>304</v>
      </c>
      <c r="N52" s="49">
        <v>0</v>
      </c>
      <c r="O52" s="15">
        <f t="shared" si="0"/>
        <v>149</v>
      </c>
      <c r="P52" s="15">
        <f t="shared" si="1"/>
        <v>453</v>
      </c>
      <c r="R52" s="8"/>
      <c r="T52"/>
    </row>
    <row r="53" spans="2:20" ht="23.1" customHeight="1" x14ac:dyDescent="0.25">
      <c r="B53" s="22" t="s">
        <v>80</v>
      </c>
      <c r="C53" s="49">
        <v>210</v>
      </c>
      <c r="D53" s="49">
        <v>42</v>
      </c>
      <c r="E53" s="49">
        <v>17</v>
      </c>
      <c r="F53" s="49">
        <v>15</v>
      </c>
      <c r="G53" s="49">
        <v>1</v>
      </c>
      <c r="H53" s="49">
        <v>0</v>
      </c>
      <c r="I53" s="49">
        <v>8</v>
      </c>
      <c r="J53" s="49">
        <v>6</v>
      </c>
      <c r="K53" s="49">
        <v>0</v>
      </c>
      <c r="L53" s="49">
        <v>2</v>
      </c>
      <c r="M53" s="49">
        <v>298</v>
      </c>
      <c r="N53" s="49">
        <v>0</v>
      </c>
      <c r="O53" s="15">
        <f t="shared" si="0"/>
        <v>301</v>
      </c>
      <c r="P53" s="15">
        <f t="shared" si="1"/>
        <v>599</v>
      </c>
      <c r="R53" s="8"/>
      <c r="T53"/>
    </row>
    <row r="54" spans="2:20" ht="23.1" customHeight="1" x14ac:dyDescent="0.25">
      <c r="B54" s="22" t="s">
        <v>81</v>
      </c>
      <c r="C54" s="49">
        <v>160</v>
      </c>
      <c r="D54" s="49">
        <v>17</v>
      </c>
      <c r="E54" s="49">
        <v>8</v>
      </c>
      <c r="F54" s="49">
        <v>10</v>
      </c>
      <c r="G54" s="49">
        <v>1</v>
      </c>
      <c r="H54" s="49">
        <v>0</v>
      </c>
      <c r="I54" s="49">
        <v>1</v>
      </c>
      <c r="J54" s="49">
        <v>4</v>
      </c>
      <c r="K54" s="49">
        <v>3</v>
      </c>
      <c r="L54" s="49">
        <v>1</v>
      </c>
      <c r="M54" s="49">
        <v>227</v>
      </c>
      <c r="N54" s="49">
        <v>0</v>
      </c>
      <c r="O54" s="15">
        <f t="shared" si="0"/>
        <v>205</v>
      </c>
      <c r="P54" s="15">
        <f t="shared" si="1"/>
        <v>432</v>
      </c>
      <c r="R54" s="8"/>
      <c r="T54"/>
    </row>
    <row r="55" spans="2:20" ht="23.1" customHeight="1" x14ac:dyDescent="0.25">
      <c r="B55" s="22" t="s">
        <v>82</v>
      </c>
      <c r="C55" s="49">
        <v>115</v>
      </c>
      <c r="D55" s="49">
        <v>21</v>
      </c>
      <c r="E55" s="49">
        <v>11</v>
      </c>
      <c r="F55" s="49">
        <v>10</v>
      </c>
      <c r="G55" s="49">
        <v>2</v>
      </c>
      <c r="H55" s="49">
        <v>0</v>
      </c>
      <c r="I55" s="49">
        <v>7</v>
      </c>
      <c r="J55" s="49">
        <v>5</v>
      </c>
      <c r="K55" s="49">
        <v>2</v>
      </c>
      <c r="L55" s="49">
        <v>1</v>
      </c>
      <c r="M55" s="49">
        <v>299</v>
      </c>
      <c r="N55" s="49">
        <v>0</v>
      </c>
      <c r="O55" s="15">
        <f t="shared" si="0"/>
        <v>174</v>
      </c>
      <c r="P55" s="15">
        <f t="shared" si="1"/>
        <v>473</v>
      </c>
      <c r="R55" s="8"/>
      <c r="T55"/>
    </row>
    <row r="56" spans="2:20" ht="23.1" customHeight="1" x14ac:dyDescent="0.25">
      <c r="B56" s="22" t="s">
        <v>83</v>
      </c>
      <c r="C56" s="49">
        <v>161</v>
      </c>
      <c r="D56" s="49">
        <v>35</v>
      </c>
      <c r="E56" s="49">
        <v>12</v>
      </c>
      <c r="F56" s="49">
        <v>12</v>
      </c>
      <c r="G56" s="49">
        <v>1</v>
      </c>
      <c r="H56" s="49">
        <v>0</v>
      </c>
      <c r="I56" s="49">
        <v>6</v>
      </c>
      <c r="J56" s="49">
        <v>1</v>
      </c>
      <c r="K56" s="49">
        <v>1</v>
      </c>
      <c r="L56" s="49">
        <v>3</v>
      </c>
      <c r="M56" s="49">
        <v>345</v>
      </c>
      <c r="N56" s="49">
        <v>0</v>
      </c>
      <c r="O56" s="15">
        <f t="shared" si="0"/>
        <v>232</v>
      </c>
      <c r="P56" s="15">
        <f t="shared" si="1"/>
        <v>577</v>
      </c>
      <c r="R56" s="8"/>
      <c r="T56"/>
    </row>
    <row r="57" spans="2:20" ht="23.1" customHeight="1" x14ac:dyDescent="0.25">
      <c r="B57" s="22" t="s">
        <v>84</v>
      </c>
      <c r="C57" s="49">
        <v>150</v>
      </c>
      <c r="D57" s="49">
        <v>26</v>
      </c>
      <c r="E57" s="49">
        <v>11</v>
      </c>
      <c r="F57" s="49">
        <v>8</v>
      </c>
      <c r="G57" s="49">
        <v>0</v>
      </c>
      <c r="H57" s="49">
        <v>0</v>
      </c>
      <c r="I57" s="49">
        <v>3</v>
      </c>
      <c r="J57" s="49">
        <v>2</v>
      </c>
      <c r="K57" s="49">
        <v>0</v>
      </c>
      <c r="L57" s="49">
        <v>2</v>
      </c>
      <c r="M57" s="49">
        <v>350</v>
      </c>
      <c r="N57" s="49">
        <v>0</v>
      </c>
      <c r="O57" s="15">
        <f t="shared" si="0"/>
        <v>202</v>
      </c>
      <c r="P57" s="15">
        <f t="shared" si="1"/>
        <v>552</v>
      </c>
      <c r="R57" s="8"/>
      <c r="T57"/>
    </row>
    <row r="58" spans="2:20" ht="23.1" customHeight="1" x14ac:dyDescent="0.25">
      <c r="B58" s="25" t="s">
        <v>18</v>
      </c>
      <c r="C58" s="16">
        <v>150</v>
      </c>
      <c r="D58" s="16">
        <f t="shared" ref="D58:P58" si="21">SUM(D10:D57)</f>
        <v>2338</v>
      </c>
      <c r="E58" s="16">
        <f t="shared" si="21"/>
        <v>840</v>
      </c>
      <c r="F58" s="16">
        <f t="shared" si="21"/>
        <v>561</v>
      </c>
      <c r="G58" s="16">
        <f t="shared" si="21"/>
        <v>32</v>
      </c>
      <c r="H58" s="16">
        <f t="shared" si="21"/>
        <v>8</v>
      </c>
      <c r="I58" s="16">
        <f t="shared" si="21"/>
        <v>265</v>
      </c>
      <c r="J58" s="16">
        <f t="shared" si="21"/>
        <v>179</v>
      </c>
      <c r="K58" s="16">
        <f t="shared" si="21"/>
        <v>50</v>
      </c>
      <c r="L58" s="16">
        <f t="shared" si="21"/>
        <v>99</v>
      </c>
      <c r="M58" s="16">
        <f t="shared" si="21"/>
        <v>19473</v>
      </c>
      <c r="N58" s="16">
        <f t="shared" si="21"/>
        <v>0</v>
      </c>
      <c r="O58" s="16">
        <f t="shared" si="21"/>
        <v>10638</v>
      </c>
      <c r="P58" s="16">
        <f t="shared" si="21"/>
        <v>30111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4.9815681976686258E-3</v>
      </c>
      <c r="D59" s="42">
        <f t="shared" si="22"/>
        <v>7.7646042974328325E-2</v>
      </c>
      <c r="E59" s="42">
        <f t="shared" si="22"/>
        <v>2.7896781906944307E-2</v>
      </c>
      <c r="F59" s="42">
        <f t="shared" si="22"/>
        <v>1.8631065059280662E-2</v>
      </c>
      <c r="G59" s="42">
        <f t="shared" si="22"/>
        <v>1.0627345488359735E-3</v>
      </c>
      <c r="H59" s="42">
        <f t="shared" si="22"/>
        <v>2.6568363720899337E-4</v>
      </c>
      <c r="I59" s="42">
        <f t="shared" si="22"/>
        <v>8.8007704825479056E-3</v>
      </c>
      <c r="J59" s="42">
        <f t="shared" si="22"/>
        <v>5.9446713825512271E-3</v>
      </c>
      <c r="K59" s="42">
        <f t="shared" si="22"/>
        <v>1.6605227325562086E-3</v>
      </c>
      <c r="L59" s="42">
        <f t="shared" si="22"/>
        <v>3.2878350104612931E-3</v>
      </c>
      <c r="M59" s="42">
        <f t="shared" si="22"/>
        <v>0.64670718342134104</v>
      </c>
      <c r="N59" s="42">
        <f t="shared" si="22"/>
        <v>0</v>
      </c>
      <c r="R59" s="8"/>
      <c r="T59"/>
    </row>
    <row r="60" spans="2:20" ht="23.1" customHeight="1" x14ac:dyDescent="0.25">
      <c r="B60" s="41" t="s">
        <v>94</v>
      </c>
      <c r="C60" s="43">
        <f>C58/$O$58</f>
        <v>1.410039481105471E-2</v>
      </c>
      <c r="D60" s="43">
        <f t="shared" ref="D60:N60" si="23">D58/$O$58</f>
        <v>0.21977815378830606</v>
      </c>
      <c r="E60" s="43">
        <f t="shared" si="23"/>
        <v>7.8962210941906377E-2</v>
      </c>
      <c r="F60" s="43">
        <f t="shared" si="23"/>
        <v>5.2735476593344613E-2</v>
      </c>
      <c r="G60" s="43">
        <f t="shared" si="23"/>
        <v>3.0080842263583382E-3</v>
      </c>
      <c r="H60" s="43">
        <f t="shared" si="23"/>
        <v>7.5202105658958454E-4</v>
      </c>
      <c r="I60" s="43">
        <f t="shared" si="23"/>
        <v>2.4910697499529986E-2</v>
      </c>
      <c r="J60" s="43">
        <f t="shared" si="23"/>
        <v>1.6826471141191953E-2</v>
      </c>
      <c r="K60" s="43">
        <f t="shared" si="23"/>
        <v>4.700131603684903E-3</v>
      </c>
      <c r="L60" s="43">
        <f t="shared" si="23"/>
        <v>9.3062605752961079E-3</v>
      </c>
      <c r="M60" s="43"/>
      <c r="N60" s="43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'30.7.Jinja RD-Mukwano RD'!C3:G3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e">
        <f>#REF!</f>
        <v>#REF!</v>
      </c>
      <c r="E5" s="3"/>
      <c r="F5" s="40" t="s">
        <v>1</v>
      </c>
      <c r="G5" s="58" t="s">
        <v>179</v>
      </c>
      <c r="H5" s="59"/>
      <c r="I5" s="14"/>
      <c r="J5" s="2" t="s">
        <v>5</v>
      </c>
      <c r="K5" s="58" t="s">
        <v>170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'30.7.Jinja RD-Mukwano RD'!D6:E6</f>
        <v>Jinja RD</v>
      </c>
      <c r="E6" s="59"/>
      <c r="F6" s="2" t="s">
        <v>2</v>
      </c>
      <c r="G6" s="58" t="s">
        <v>171</v>
      </c>
      <c r="H6" s="59"/>
      <c r="J6" s="2" t="s">
        <v>21</v>
      </c>
      <c r="K6" s="58" t="s">
        <v>176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80</v>
      </c>
      <c r="D10" s="49">
        <v>14</v>
      </c>
      <c r="E10" s="49">
        <v>3</v>
      </c>
      <c r="F10" s="49">
        <v>5</v>
      </c>
      <c r="G10" s="49">
        <v>0</v>
      </c>
      <c r="H10" s="49">
        <v>0</v>
      </c>
      <c r="I10" s="49">
        <v>1</v>
      </c>
      <c r="J10" s="49">
        <v>0</v>
      </c>
      <c r="K10" s="49">
        <v>0</v>
      </c>
      <c r="L10" s="49">
        <v>0</v>
      </c>
      <c r="M10" s="49">
        <v>429</v>
      </c>
      <c r="N10" s="49">
        <v>0</v>
      </c>
      <c r="O10" s="15">
        <f t="shared" ref="O10:O57" si="0">SUM(C10:L10,N10)</f>
        <v>103</v>
      </c>
      <c r="P10" s="15">
        <f t="shared" ref="P10:P57" si="1">SUM(C10:N10)</f>
        <v>532</v>
      </c>
      <c r="R10" s="1" t="s">
        <v>6</v>
      </c>
      <c r="S10" s="17">
        <f t="shared" ref="S10:AF10" si="2">SUM(C10:C13)</f>
        <v>545</v>
      </c>
      <c r="T10" s="17">
        <f t="shared" si="2"/>
        <v>83</v>
      </c>
      <c r="U10" s="17">
        <f t="shared" si="2"/>
        <v>31</v>
      </c>
      <c r="V10" s="17">
        <f t="shared" si="2"/>
        <v>20</v>
      </c>
      <c r="W10" s="17">
        <f t="shared" si="2"/>
        <v>0</v>
      </c>
      <c r="X10" s="17">
        <f t="shared" si="2"/>
        <v>1</v>
      </c>
      <c r="Y10" s="17">
        <f t="shared" si="2"/>
        <v>14</v>
      </c>
      <c r="Z10" s="17">
        <f t="shared" si="2"/>
        <v>8</v>
      </c>
      <c r="AA10" s="17">
        <f t="shared" si="2"/>
        <v>1</v>
      </c>
      <c r="AB10" s="17">
        <f t="shared" si="2"/>
        <v>3</v>
      </c>
      <c r="AC10" s="17">
        <f t="shared" si="2"/>
        <v>1851</v>
      </c>
      <c r="AD10" s="17">
        <f t="shared" si="2"/>
        <v>0</v>
      </c>
      <c r="AE10" s="30">
        <f t="shared" si="2"/>
        <v>706</v>
      </c>
      <c r="AF10" s="30">
        <f t="shared" si="2"/>
        <v>2557</v>
      </c>
    </row>
    <row r="11" spans="2:32" s="6" customFormat="1" ht="23.1" customHeight="1" x14ac:dyDescent="0.25">
      <c r="B11" s="22" t="s">
        <v>38</v>
      </c>
      <c r="C11" s="49">
        <v>145</v>
      </c>
      <c r="D11" s="49">
        <v>21</v>
      </c>
      <c r="E11" s="49">
        <v>11</v>
      </c>
      <c r="F11" s="49">
        <v>4</v>
      </c>
      <c r="G11" s="49">
        <v>0</v>
      </c>
      <c r="H11" s="49">
        <v>0</v>
      </c>
      <c r="I11" s="49">
        <v>6</v>
      </c>
      <c r="J11" s="49">
        <v>3</v>
      </c>
      <c r="K11" s="49">
        <v>0</v>
      </c>
      <c r="L11" s="49">
        <v>2</v>
      </c>
      <c r="M11" s="49">
        <v>517</v>
      </c>
      <c r="N11" s="49">
        <v>0</v>
      </c>
      <c r="O11" s="15">
        <f t="shared" si="0"/>
        <v>192</v>
      </c>
      <c r="P11" s="15">
        <f t="shared" si="1"/>
        <v>709</v>
      </c>
      <c r="R11" s="1" t="s">
        <v>7</v>
      </c>
      <c r="S11" s="17">
        <f t="shared" ref="S11:AF11" si="3">SUM(C14:C17)</f>
        <v>715</v>
      </c>
      <c r="T11" s="17">
        <f t="shared" si="3"/>
        <v>65</v>
      </c>
      <c r="U11" s="17">
        <f t="shared" si="3"/>
        <v>30</v>
      </c>
      <c r="V11" s="17">
        <f t="shared" si="3"/>
        <v>16</v>
      </c>
      <c r="W11" s="17">
        <f t="shared" si="3"/>
        <v>2</v>
      </c>
      <c r="X11" s="17">
        <f t="shared" si="3"/>
        <v>0</v>
      </c>
      <c r="Y11" s="17">
        <f t="shared" si="3"/>
        <v>25</v>
      </c>
      <c r="Z11" s="17">
        <f t="shared" si="3"/>
        <v>8</v>
      </c>
      <c r="AA11" s="17">
        <f t="shared" si="3"/>
        <v>1</v>
      </c>
      <c r="AB11" s="17">
        <f t="shared" si="3"/>
        <v>5</v>
      </c>
      <c r="AC11" s="17">
        <f t="shared" si="3"/>
        <v>1762</v>
      </c>
      <c r="AD11" s="17">
        <f t="shared" si="3"/>
        <v>0</v>
      </c>
      <c r="AE11" s="30">
        <f t="shared" si="3"/>
        <v>867</v>
      </c>
      <c r="AF11" s="30">
        <f t="shared" si="3"/>
        <v>2629</v>
      </c>
    </row>
    <row r="12" spans="2:32" ht="23.1" customHeight="1" x14ac:dyDescent="0.25">
      <c r="B12" s="22" t="s">
        <v>39</v>
      </c>
      <c r="C12" s="49">
        <v>160</v>
      </c>
      <c r="D12" s="49">
        <v>13</v>
      </c>
      <c r="E12" s="49">
        <v>11</v>
      </c>
      <c r="F12" s="49">
        <v>4</v>
      </c>
      <c r="G12" s="49">
        <v>0</v>
      </c>
      <c r="H12" s="49">
        <v>0</v>
      </c>
      <c r="I12" s="49">
        <v>5</v>
      </c>
      <c r="J12" s="49">
        <v>4</v>
      </c>
      <c r="K12" s="49">
        <v>0</v>
      </c>
      <c r="L12" s="49">
        <v>1</v>
      </c>
      <c r="M12" s="49">
        <v>455</v>
      </c>
      <c r="N12" s="49">
        <v>0</v>
      </c>
      <c r="O12" s="15">
        <f t="shared" si="0"/>
        <v>198</v>
      </c>
      <c r="P12" s="15">
        <f t="shared" si="1"/>
        <v>653</v>
      </c>
      <c r="R12" s="1" t="s">
        <v>8</v>
      </c>
      <c r="S12" s="17">
        <f t="shared" ref="S12:AF12" si="4">SUM(C18:C21)</f>
        <v>732</v>
      </c>
      <c r="T12" s="17">
        <f t="shared" si="4"/>
        <v>91</v>
      </c>
      <c r="U12" s="17">
        <f t="shared" si="4"/>
        <v>30</v>
      </c>
      <c r="V12" s="17">
        <f t="shared" si="4"/>
        <v>36</v>
      </c>
      <c r="W12" s="17">
        <f t="shared" si="4"/>
        <v>3</v>
      </c>
      <c r="X12" s="17">
        <f t="shared" si="4"/>
        <v>1</v>
      </c>
      <c r="Y12" s="17">
        <f t="shared" si="4"/>
        <v>47</v>
      </c>
      <c r="Z12" s="17">
        <f t="shared" si="4"/>
        <v>18</v>
      </c>
      <c r="AA12" s="17">
        <f t="shared" si="4"/>
        <v>7</v>
      </c>
      <c r="AB12" s="17">
        <f t="shared" si="4"/>
        <v>4</v>
      </c>
      <c r="AC12" s="17">
        <f t="shared" si="4"/>
        <v>2004</v>
      </c>
      <c r="AD12" s="17">
        <f t="shared" si="4"/>
        <v>1</v>
      </c>
      <c r="AE12" s="30">
        <f t="shared" si="4"/>
        <v>970</v>
      </c>
      <c r="AF12" s="30">
        <f t="shared" si="4"/>
        <v>2974</v>
      </c>
    </row>
    <row r="13" spans="2:32" ht="23.1" customHeight="1" x14ac:dyDescent="0.25">
      <c r="B13" s="22" t="s">
        <v>40</v>
      </c>
      <c r="C13" s="49">
        <v>160</v>
      </c>
      <c r="D13" s="49">
        <v>35</v>
      </c>
      <c r="E13" s="49">
        <v>6</v>
      </c>
      <c r="F13" s="49">
        <v>7</v>
      </c>
      <c r="G13" s="49">
        <v>0</v>
      </c>
      <c r="H13" s="49">
        <v>1</v>
      </c>
      <c r="I13" s="49">
        <v>2</v>
      </c>
      <c r="J13" s="49">
        <v>1</v>
      </c>
      <c r="K13" s="49">
        <v>1</v>
      </c>
      <c r="L13" s="49">
        <v>0</v>
      </c>
      <c r="M13" s="49">
        <v>450</v>
      </c>
      <c r="N13" s="49">
        <v>0</v>
      </c>
      <c r="O13" s="15">
        <f t="shared" si="0"/>
        <v>213</v>
      </c>
      <c r="P13" s="15">
        <f t="shared" si="1"/>
        <v>663</v>
      </c>
      <c r="R13" s="1" t="s">
        <v>9</v>
      </c>
      <c r="S13" s="17">
        <f t="shared" ref="S13:AF13" si="5">SUM(C22:C25)</f>
        <v>785</v>
      </c>
      <c r="T13" s="17">
        <f t="shared" si="5"/>
        <v>71</v>
      </c>
      <c r="U13" s="17">
        <f t="shared" si="5"/>
        <v>21</v>
      </c>
      <c r="V13" s="17">
        <f t="shared" si="5"/>
        <v>27</v>
      </c>
      <c r="W13" s="17">
        <f t="shared" si="5"/>
        <v>1</v>
      </c>
      <c r="X13" s="17">
        <f t="shared" si="5"/>
        <v>1</v>
      </c>
      <c r="Y13" s="17">
        <f t="shared" si="5"/>
        <v>48</v>
      </c>
      <c r="Z13" s="17">
        <f t="shared" si="5"/>
        <v>20</v>
      </c>
      <c r="AA13" s="17">
        <f t="shared" si="5"/>
        <v>6</v>
      </c>
      <c r="AB13" s="17">
        <f t="shared" si="5"/>
        <v>14</v>
      </c>
      <c r="AC13" s="17">
        <f t="shared" si="5"/>
        <v>1470</v>
      </c>
      <c r="AD13" s="17">
        <f t="shared" si="5"/>
        <v>0</v>
      </c>
      <c r="AE13" s="30">
        <f t="shared" si="5"/>
        <v>994</v>
      </c>
      <c r="AF13" s="30">
        <f t="shared" si="5"/>
        <v>2464</v>
      </c>
    </row>
    <row r="14" spans="2:32" ht="23.1" customHeight="1" x14ac:dyDescent="0.25">
      <c r="B14" s="22" t="s">
        <v>41</v>
      </c>
      <c r="C14" s="49">
        <v>160</v>
      </c>
      <c r="D14" s="49">
        <v>10</v>
      </c>
      <c r="E14" s="49">
        <v>0</v>
      </c>
      <c r="F14" s="49">
        <v>3</v>
      </c>
      <c r="G14" s="49">
        <v>0</v>
      </c>
      <c r="H14" s="49">
        <v>0</v>
      </c>
      <c r="I14" s="49">
        <v>5</v>
      </c>
      <c r="J14" s="49">
        <v>1</v>
      </c>
      <c r="K14" s="49">
        <v>1</v>
      </c>
      <c r="L14" s="49">
        <v>0</v>
      </c>
      <c r="M14" s="49">
        <v>420</v>
      </c>
      <c r="N14" s="49">
        <v>0</v>
      </c>
      <c r="O14" s="15">
        <f t="shared" si="0"/>
        <v>180</v>
      </c>
      <c r="P14" s="15">
        <f t="shared" si="1"/>
        <v>600</v>
      </c>
      <c r="R14" s="1" t="s">
        <v>10</v>
      </c>
      <c r="S14" s="17">
        <f t="shared" ref="S14:AF14" si="6">SUM(C26:C29)</f>
        <v>745</v>
      </c>
      <c r="T14" s="17">
        <f t="shared" si="6"/>
        <v>73</v>
      </c>
      <c r="U14" s="17">
        <f t="shared" si="6"/>
        <v>31</v>
      </c>
      <c r="V14" s="17">
        <f t="shared" si="6"/>
        <v>19</v>
      </c>
      <c r="W14" s="17">
        <f t="shared" si="6"/>
        <v>7</v>
      </c>
      <c r="X14" s="17">
        <f t="shared" si="6"/>
        <v>0</v>
      </c>
      <c r="Y14" s="17">
        <f t="shared" si="6"/>
        <v>52</v>
      </c>
      <c r="Z14" s="17">
        <f t="shared" si="6"/>
        <v>17</v>
      </c>
      <c r="AA14" s="17">
        <f t="shared" si="6"/>
        <v>8</v>
      </c>
      <c r="AB14" s="17">
        <f t="shared" si="6"/>
        <v>14</v>
      </c>
      <c r="AC14" s="17">
        <f t="shared" si="6"/>
        <v>1355</v>
      </c>
      <c r="AD14" s="17">
        <f t="shared" si="6"/>
        <v>0</v>
      </c>
      <c r="AE14" s="30">
        <f t="shared" si="6"/>
        <v>966</v>
      </c>
      <c r="AF14" s="30">
        <f t="shared" si="6"/>
        <v>2321</v>
      </c>
    </row>
    <row r="15" spans="2:32" ht="23.1" customHeight="1" x14ac:dyDescent="0.25">
      <c r="B15" s="22" t="s">
        <v>42</v>
      </c>
      <c r="C15" s="49">
        <v>170</v>
      </c>
      <c r="D15" s="49">
        <v>10</v>
      </c>
      <c r="E15" s="49">
        <v>5</v>
      </c>
      <c r="F15" s="49">
        <v>3</v>
      </c>
      <c r="G15" s="49">
        <v>0</v>
      </c>
      <c r="H15" s="49">
        <v>0</v>
      </c>
      <c r="I15" s="49">
        <v>7</v>
      </c>
      <c r="J15" s="49">
        <v>1</v>
      </c>
      <c r="K15" s="49">
        <v>0</v>
      </c>
      <c r="L15" s="49">
        <v>2</v>
      </c>
      <c r="M15" s="49">
        <v>428</v>
      </c>
      <c r="N15" s="49">
        <v>0</v>
      </c>
      <c r="O15" s="15">
        <f t="shared" si="0"/>
        <v>198</v>
      </c>
      <c r="P15" s="15">
        <f t="shared" si="1"/>
        <v>626</v>
      </c>
      <c r="R15" s="1" t="s">
        <v>11</v>
      </c>
      <c r="S15" s="17">
        <f t="shared" ref="S15:AF15" si="7">SUM(C30:C33)</f>
        <v>645</v>
      </c>
      <c r="T15" s="17">
        <f t="shared" si="7"/>
        <v>60</v>
      </c>
      <c r="U15" s="17">
        <f t="shared" si="7"/>
        <v>49</v>
      </c>
      <c r="V15" s="17">
        <f t="shared" si="7"/>
        <v>26</v>
      </c>
      <c r="W15" s="17">
        <f t="shared" si="7"/>
        <v>4</v>
      </c>
      <c r="X15" s="17">
        <f t="shared" si="7"/>
        <v>3</v>
      </c>
      <c r="Y15" s="17">
        <f t="shared" si="7"/>
        <v>51</v>
      </c>
      <c r="Z15" s="17">
        <f t="shared" si="7"/>
        <v>11</v>
      </c>
      <c r="AA15" s="17">
        <f t="shared" si="7"/>
        <v>4</v>
      </c>
      <c r="AB15" s="17">
        <f t="shared" si="7"/>
        <v>5</v>
      </c>
      <c r="AC15" s="17">
        <f t="shared" si="7"/>
        <v>1692</v>
      </c>
      <c r="AD15" s="17">
        <f t="shared" si="7"/>
        <v>0</v>
      </c>
      <c r="AE15" s="30">
        <f t="shared" si="7"/>
        <v>858</v>
      </c>
      <c r="AF15" s="30">
        <f t="shared" si="7"/>
        <v>2550</v>
      </c>
    </row>
    <row r="16" spans="2:32" ht="23.1" customHeight="1" x14ac:dyDescent="0.25">
      <c r="B16" s="22" t="s">
        <v>43</v>
      </c>
      <c r="C16" s="49">
        <v>160</v>
      </c>
      <c r="D16" s="49">
        <v>25</v>
      </c>
      <c r="E16" s="49">
        <v>15</v>
      </c>
      <c r="F16" s="49">
        <v>3</v>
      </c>
      <c r="G16" s="49">
        <v>2</v>
      </c>
      <c r="H16" s="49">
        <v>0</v>
      </c>
      <c r="I16" s="49">
        <v>4</v>
      </c>
      <c r="J16" s="49">
        <v>4</v>
      </c>
      <c r="K16" s="49">
        <v>0</v>
      </c>
      <c r="L16" s="49">
        <v>2</v>
      </c>
      <c r="M16" s="49">
        <v>490</v>
      </c>
      <c r="N16" s="49">
        <v>0</v>
      </c>
      <c r="O16" s="15">
        <f t="shared" si="0"/>
        <v>215</v>
      </c>
      <c r="P16" s="15">
        <f t="shared" si="1"/>
        <v>705</v>
      </c>
      <c r="R16" s="1" t="s">
        <v>12</v>
      </c>
      <c r="S16" s="17">
        <f t="shared" ref="S16:AF16" si="8">SUM(C34:C37)</f>
        <v>747</v>
      </c>
      <c r="T16" s="17">
        <f t="shared" si="8"/>
        <v>104</v>
      </c>
      <c r="U16" s="17">
        <f t="shared" si="8"/>
        <v>33</v>
      </c>
      <c r="V16" s="17">
        <f t="shared" si="8"/>
        <v>31</v>
      </c>
      <c r="W16" s="17">
        <f t="shared" si="8"/>
        <v>8</v>
      </c>
      <c r="X16" s="17">
        <f t="shared" si="8"/>
        <v>0</v>
      </c>
      <c r="Y16" s="17">
        <f t="shared" si="8"/>
        <v>57</v>
      </c>
      <c r="Z16" s="17">
        <f t="shared" si="8"/>
        <v>32</v>
      </c>
      <c r="AA16" s="17">
        <f t="shared" si="8"/>
        <v>7</v>
      </c>
      <c r="AB16" s="17">
        <f t="shared" si="8"/>
        <v>9</v>
      </c>
      <c r="AC16" s="17">
        <f t="shared" si="8"/>
        <v>1356</v>
      </c>
      <c r="AD16" s="17">
        <f t="shared" si="8"/>
        <v>0</v>
      </c>
      <c r="AE16" s="30">
        <f t="shared" si="8"/>
        <v>1028</v>
      </c>
      <c r="AF16" s="30">
        <f t="shared" si="8"/>
        <v>2384</v>
      </c>
    </row>
    <row r="17" spans="2:32" ht="23.1" customHeight="1" x14ac:dyDescent="0.25">
      <c r="B17" s="22" t="s">
        <v>44</v>
      </c>
      <c r="C17" s="49">
        <v>225</v>
      </c>
      <c r="D17" s="49">
        <v>20</v>
      </c>
      <c r="E17" s="49">
        <v>10</v>
      </c>
      <c r="F17" s="49">
        <v>7</v>
      </c>
      <c r="G17" s="49">
        <v>0</v>
      </c>
      <c r="H17" s="49">
        <v>0</v>
      </c>
      <c r="I17" s="49">
        <v>9</v>
      </c>
      <c r="J17" s="49">
        <v>2</v>
      </c>
      <c r="K17" s="49">
        <v>0</v>
      </c>
      <c r="L17" s="49">
        <v>1</v>
      </c>
      <c r="M17" s="49">
        <v>424</v>
      </c>
      <c r="N17" s="49">
        <v>0</v>
      </c>
      <c r="O17" s="15">
        <f t="shared" si="0"/>
        <v>274</v>
      </c>
      <c r="P17" s="15">
        <f t="shared" si="1"/>
        <v>698</v>
      </c>
      <c r="R17" s="1" t="s">
        <v>13</v>
      </c>
      <c r="S17" s="17">
        <f t="shared" ref="S17:AF17" si="9">SUM(C38:C41)</f>
        <v>785</v>
      </c>
      <c r="T17" s="17">
        <f t="shared" si="9"/>
        <v>60</v>
      </c>
      <c r="U17" s="17">
        <f t="shared" si="9"/>
        <v>27</v>
      </c>
      <c r="V17" s="17">
        <f t="shared" si="9"/>
        <v>27</v>
      </c>
      <c r="W17" s="17">
        <f t="shared" si="9"/>
        <v>3</v>
      </c>
      <c r="X17" s="17">
        <f t="shared" si="9"/>
        <v>0</v>
      </c>
      <c r="Y17" s="17">
        <f t="shared" si="9"/>
        <v>62</v>
      </c>
      <c r="Z17" s="17">
        <f t="shared" si="9"/>
        <v>29</v>
      </c>
      <c r="AA17" s="17">
        <f t="shared" si="9"/>
        <v>7</v>
      </c>
      <c r="AB17" s="17">
        <f t="shared" si="9"/>
        <v>15</v>
      </c>
      <c r="AC17" s="17">
        <f t="shared" si="9"/>
        <v>1298</v>
      </c>
      <c r="AD17" s="17">
        <f t="shared" si="9"/>
        <v>0</v>
      </c>
      <c r="AE17" s="30">
        <f t="shared" si="9"/>
        <v>1015</v>
      </c>
      <c r="AF17" s="30">
        <f t="shared" si="9"/>
        <v>2313</v>
      </c>
    </row>
    <row r="18" spans="2:32" ht="23.1" customHeight="1" x14ac:dyDescent="0.25">
      <c r="B18" s="22" t="s">
        <v>45</v>
      </c>
      <c r="C18" s="49">
        <v>225</v>
      </c>
      <c r="D18" s="49">
        <v>18</v>
      </c>
      <c r="E18" s="49">
        <v>7</v>
      </c>
      <c r="F18" s="49">
        <v>7</v>
      </c>
      <c r="G18" s="49">
        <v>1</v>
      </c>
      <c r="H18" s="49">
        <v>0</v>
      </c>
      <c r="I18" s="49">
        <v>4</v>
      </c>
      <c r="J18" s="49">
        <v>9</v>
      </c>
      <c r="K18" s="49">
        <v>0</v>
      </c>
      <c r="L18" s="49">
        <v>1</v>
      </c>
      <c r="M18" s="49">
        <v>630</v>
      </c>
      <c r="N18" s="49">
        <v>0</v>
      </c>
      <c r="O18" s="15">
        <f t="shared" si="0"/>
        <v>272</v>
      </c>
      <c r="P18" s="15">
        <f t="shared" si="1"/>
        <v>902</v>
      </c>
      <c r="R18" s="1" t="s">
        <v>14</v>
      </c>
      <c r="S18" s="17">
        <f t="shared" ref="S18:AF18" si="10">SUM(C42:C45)</f>
        <v>847</v>
      </c>
      <c r="T18" s="17">
        <f t="shared" si="10"/>
        <v>94</v>
      </c>
      <c r="U18" s="17">
        <f t="shared" si="10"/>
        <v>34</v>
      </c>
      <c r="V18" s="17">
        <f t="shared" si="10"/>
        <v>35</v>
      </c>
      <c r="W18" s="17">
        <f t="shared" si="10"/>
        <v>1</v>
      </c>
      <c r="X18" s="17">
        <f t="shared" si="10"/>
        <v>0</v>
      </c>
      <c r="Y18" s="17">
        <f t="shared" si="10"/>
        <v>55</v>
      </c>
      <c r="Z18" s="17">
        <f t="shared" si="10"/>
        <v>21</v>
      </c>
      <c r="AA18" s="17">
        <f t="shared" si="10"/>
        <v>7</v>
      </c>
      <c r="AB18" s="17">
        <f t="shared" si="10"/>
        <v>7</v>
      </c>
      <c r="AC18" s="17">
        <f t="shared" si="10"/>
        <v>1371</v>
      </c>
      <c r="AD18" s="17">
        <f t="shared" si="10"/>
        <v>0</v>
      </c>
      <c r="AE18" s="30">
        <f t="shared" si="10"/>
        <v>1101</v>
      </c>
      <c r="AF18" s="30">
        <f t="shared" si="10"/>
        <v>2472</v>
      </c>
    </row>
    <row r="19" spans="2:32" ht="23.1" customHeight="1" x14ac:dyDescent="0.25">
      <c r="B19" s="22" t="s">
        <v>46</v>
      </c>
      <c r="C19" s="49">
        <v>225</v>
      </c>
      <c r="D19" s="49">
        <v>28</v>
      </c>
      <c r="E19" s="49">
        <v>7</v>
      </c>
      <c r="F19" s="49">
        <v>9</v>
      </c>
      <c r="G19" s="49">
        <v>0</v>
      </c>
      <c r="H19" s="49">
        <v>1</v>
      </c>
      <c r="I19" s="49">
        <v>12</v>
      </c>
      <c r="J19" s="49">
        <v>3</v>
      </c>
      <c r="K19" s="49">
        <v>1</v>
      </c>
      <c r="L19" s="49">
        <v>1</v>
      </c>
      <c r="M19" s="49">
        <v>400</v>
      </c>
      <c r="N19" s="49">
        <v>0</v>
      </c>
      <c r="O19" s="15">
        <f t="shared" si="0"/>
        <v>287</v>
      </c>
      <c r="P19" s="15">
        <f t="shared" si="1"/>
        <v>687</v>
      </c>
      <c r="R19" s="1" t="s">
        <v>15</v>
      </c>
      <c r="S19" s="17">
        <f t="shared" ref="S19:AF19" si="11">SUM(C46:C49)</f>
        <v>870</v>
      </c>
      <c r="T19" s="17">
        <f t="shared" si="11"/>
        <v>115</v>
      </c>
      <c r="U19" s="17">
        <f t="shared" si="11"/>
        <v>57</v>
      </c>
      <c r="V19" s="17">
        <f t="shared" si="11"/>
        <v>29</v>
      </c>
      <c r="W19" s="17">
        <f t="shared" si="11"/>
        <v>4</v>
      </c>
      <c r="X19" s="17">
        <f t="shared" si="11"/>
        <v>0</v>
      </c>
      <c r="Y19" s="17">
        <f t="shared" si="11"/>
        <v>67</v>
      </c>
      <c r="Z19" s="17">
        <f t="shared" si="11"/>
        <v>20</v>
      </c>
      <c r="AA19" s="17">
        <f t="shared" si="11"/>
        <v>6</v>
      </c>
      <c r="AB19" s="17">
        <f t="shared" si="11"/>
        <v>17</v>
      </c>
      <c r="AC19" s="17">
        <f t="shared" si="11"/>
        <v>1249</v>
      </c>
      <c r="AD19" s="17">
        <f t="shared" si="11"/>
        <v>0</v>
      </c>
      <c r="AE19" s="30">
        <f t="shared" si="11"/>
        <v>1185</v>
      </c>
      <c r="AF19" s="30">
        <f t="shared" si="11"/>
        <v>2434</v>
      </c>
    </row>
    <row r="20" spans="2:32" ht="23.1" customHeight="1" x14ac:dyDescent="0.25">
      <c r="B20" s="22" t="s">
        <v>47</v>
      </c>
      <c r="C20" s="49">
        <v>122</v>
      </c>
      <c r="D20" s="49">
        <v>20</v>
      </c>
      <c r="E20" s="49">
        <v>9</v>
      </c>
      <c r="F20" s="49">
        <v>11</v>
      </c>
      <c r="G20" s="49">
        <v>1</v>
      </c>
      <c r="H20" s="49">
        <v>0</v>
      </c>
      <c r="I20" s="49">
        <v>13</v>
      </c>
      <c r="J20" s="49">
        <v>3</v>
      </c>
      <c r="K20" s="49">
        <v>2</v>
      </c>
      <c r="L20" s="49">
        <v>1</v>
      </c>
      <c r="M20" s="49">
        <v>556</v>
      </c>
      <c r="N20" s="49">
        <v>0</v>
      </c>
      <c r="O20" s="15">
        <f t="shared" si="0"/>
        <v>182</v>
      </c>
      <c r="P20" s="15">
        <f t="shared" si="1"/>
        <v>738</v>
      </c>
      <c r="R20" s="1" t="s">
        <v>16</v>
      </c>
      <c r="S20" s="17">
        <f t="shared" ref="S20:AF20" si="12">SUM(C50:C53)</f>
        <v>870</v>
      </c>
      <c r="T20" s="17">
        <f t="shared" si="12"/>
        <v>158</v>
      </c>
      <c r="U20" s="17">
        <f t="shared" si="12"/>
        <v>30</v>
      </c>
      <c r="V20" s="17">
        <f t="shared" si="12"/>
        <v>30</v>
      </c>
      <c r="W20" s="17">
        <f t="shared" si="12"/>
        <v>0</v>
      </c>
      <c r="X20" s="17">
        <f t="shared" si="12"/>
        <v>0</v>
      </c>
      <c r="Y20" s="17">
        <f t="shared" si="12"/>
        <v>46</v>
      </c>
      <c r="Z20" s="17">
        <f t="shared" si="12"/>
        <v>17</v>
      </c>
      <c r="AA20" s="17">
        <f t="shared" si="12"/>
        <v>4</v>
      </c>
      <c r="AB20" s="17">
        <f t="shared" si="12"/>
        <v>9</v>
      </c>
      <c r="AC20" s="17">
        <f t="shared" si="12"/>
        <v>1227</v>
      </c>
      <c r="AD20" s="17">
        <f t="shared" si="12"/>
        <v>0</v>
      </c>
      <c r="AE20" s="30">
        <f t="shared" si="12"/>
        <v>1164</v>
      </c>
      <c r="AF20" s="30">
        <f t="shared" si="12"/>
        <v>2391</v>
      </c>
    </row>
    <row r="21" spans="2:32" ht="23.1" customHeight="1" x14ac:dyDescent="0.25">
      <c r="B21" s="22" t="s">
        <v>48</v>
      </c>
      <c r="C21" s="49">
        <v>160</v>
      </c>
      <c r="D21" s="49">
        <v>25</v>
      </c>
      <c r="E21" s="49">
        <v>7</v>
      </c>
      <c r="F21" s="49">
        <v>9</v>
      </c>
      <c r="G21" s="49">
        <v>1</v>
      </c>
      <c r="H21" s="49">
        <v>0</v>
      </c>
      <c r="I21" s="49">
        <v>18</v>
      </c>
      <c r="J21" s="49">
        <v>3</v>
      </c>
      <c r="K21" s="49">
        <v>4</v>
      </c>
      <c r="L21" s="49">
        <v>1</v>
      </c>
      <c r="M21" s="49">
        <v>418</v>
      </c>
      <c r="N21" s="49">
        <v>1</v>
      </c>
      <c r="O21" s="15">
        <f t="shared" si="0"/>
        <v>229</v>
      </c>
      <c r="P21" s="15">
        <f t="shared" si="1"/>
        <v>647</v>
      </c>
      <c r="R21" s="35" t="s">
        <v>20</v>
      </c>
      <c r="S21" s="33">
        <f t="shared" ref="S21:AF21" si="13">SUM(C54:C57)</f>
        <v>875</v>
      </c>
      <c r="T21" s="17">
        <f t="shared" si="13"/>
        <v>86</v>
      </c>
      <c r="U21" s="17">
        <f t="shared" si="13"/>
        <v>16</v>
      </c>
      <c r="V21" s="17">
        <f t="shared" si="13"/>
        <v>57</v>
      </c>
      <c r="W21" s="17">
        <f t="shared" si="13"/>
        <v>5</v>
      </c>
      <c r="X21" s="17">
        <f t="shared" si="13"/>
        <v>1</v>
      </c>
      <c r="Y21" s="17">
        <f t="shared" si="13"/>
        <v>38</v>
      </c>
      <c r="Z21" s="17">
        <f t="shared" si="13"/>
        <v>19</v>
      </c>
      <c r="AA21" s="17">
        <f t="shared" si="13"/>
        <v>7</v>
      </c>
      <c r="AB21" s="17">
        <f t="shared" si="13"/>
        <v>10</v>
      </c>
      <c r="AC21" s="17">
        <f t="shared" si="13"/>
        <v>1260</v>
      </c>
      <c r="AD21" s="17">
        <f t="shared" si="13"/>
        <v>0</v>
      </c>
      <c r="AE21" s="30">
        <f t="shared" si="13"/>
        <v>1114</v>
      </c>
      <c r="AF21" s="30">
        <f t="shared" si="13"/>
        <v>2374</v>
      </c>
    </row>
    <row r="22" spans="2:32" ht="23.1" customHeight="1" x14ac:dyDescent="0.25">
      <c r="B22" s="22" t="s">
        <v>49</v>
      </c>
      <c r="C22" s="49">
        <v>225</v>
      </c>
      <c r="D22" s="49">
        <v>20</v>
      </c>
      <c r="E22" s="49">
        <v>5</v>
      </c>
      <c r="F22" s="49">
        <v>9</v>
      </c>
      <c r="G22" s="49">
        <v>0</v>
      </c>
      <c r="H22" s="49">
        <v>0</v>
      </c>
      <c r="I22" s="49">
        <v>18</v>
      </c>
      <c r="J22" s="49">
        <v>5</v>
      </c>
      <c r="K22" s="49">
        <v>1</v>
      </c>
      <c r="L22" s="49">
        <v>2</v>
      </c>
      <c r="M22" s="49">
        <v>405</v>
      </c>
      <c r="N22" s="49">
        <v>0</v>
      </c>
      <c r="O22" s="15">
        <f t="shared" si="0"/>
        <v>285</v>
      </c>
      <c r="P22" s="15">
        <f t="shared" si="1"/>
        <v>690</v>
      </c>
      <c r="R22" s="37" t="s">
        <v>90</v>
      </c>
      <c r="S22" s="38">
        <f>MAX(S10:S12)</f>
        <v>732</v>
      </c>
      <c r="T22" s="38">
        <f t="shared" ref="T22:AF22" si="14">MAX(T10:T12)</f>
        <v>91</v>
      </c>
      <c r="U22" s="38">
        <f t="shared" si="14"/>
        <v>31</v>
      </c>
      <c r="V22" s="38">
        <f t="shared" si="14"/>
        <v>36</v>
      </c>
      <c r="W22" s="38">
        <f t="shared" si="14"/>
        <v>3</v>
      </c>
      <c r="X22" s="38">
        <f t="shared" si="14"/>
        <v>1</v>
      </c>
      <c r="Y22" s="38">
        <f t="shared" si="14"/>
        <v>47</v>
      </c>
      <c r="Z22" s="38">
        <f t="shared" si="14"/>
        <v>18</v>
      </c>
      <c r="AA22" s="38">
        <f t="shared" si="14"/>
        <v>7</v>
      </c>
      <c r="AB22" s="38">
        <f t="shared" si="14"/>
        <v>5</v>
      </c>
      <c r="AC22" s="38">
        <f t="shared" si="14"/>
        <v>2004</v>
      </c>
      <c r="AD22" s="38">
        <f t="shared" si="14"/>
        <v>1</v>
      </c>
      <c r="AE22" s="39">
        <f t="shared" si="14"/>
        <v>970</v>
      </c>
      <c r="AF22" s="39">
        <f t="shared" si="14"/>
        <v>2974</v>
      </c>
    </row>
    <row r="23" spans="2:32" ht="23.1" customHeight="1" x14ac:dyDescent="0.25">
      <c r="B23" s="22" t="s">
        <v>50</v>
      </c>
      <c r="C23" s="49">
        <v>175</v>
      </c>
      <c r="D23" s="49">
        <v>7</v>
      </c>
      <c r="E23" s="49">
        <v>4</v>
      </c>
      <c r="F23" s="49">
        <v>5</v>
      </c>
      <c r="G23" s="49">
        <v>0</v>
      </c>
      <c r="H23" s="49">
        <v>0</v>
      </c>
      <c r="I23" s="49">
        <v>7</v>
      </c>
      <c r="J23" s="49">
        <v>4</v>
      </c>
      <c r="K23" s="49">
        <v>2</v>
      </c>
      <c r="L23" s="49">
        <v>1</v>
      </c>
      <c r="M23" s="49">
        <v>370</v>
      </c>
      <c r="N23" s="49">
        <v>0</v>
      </c>
      <c r="O23" s="15">
        <f t="shared" si="0"/>
        <v>205</v>
      </c>
      <c r="P23" s="15">
        <f t="shared" si="1"/>
        <v>575</v>
      </c>
      <c r="R23" s="37" t="s">
        <v>91</v>
      </c>
      <c r="S23" s="38">
        <f>MAX(S13:S18)</f>
        <v>847</v>
      </c>
      <c r="T23" s="38">
        <f t="shared" ref="T23:AF23" si="15">MAX(T13:T18)</f>
        <v>104</v>
      </c>
      <c r="U23" s="38">
        <f t="shared" si="15"/>
        <v>49</v>
      </c>
      <c r="V23" s="38">
        <f t="shared" si="15"/>
        <v>35</v>
      </c>
      <c r="W23" s="38">
        <f t="shared" si="15"/>
        <v>8</v>
      </c>
      <c r="X23" s="38">
        <f t="shared" si="15"/>
        <v>3</v>
      </c>
      <c r="Y23" s="38">
        <f t="shared" si="15"/>
        <v>62</v>
      </c>
      <c r="Z23" s="38">
        <f t="shared" si="15"/>
        <v>32</v>
      </c>
      <c r="AA23" s="38">
        <f t="shared" si="15"/>
        <v>8</v>
      </c>
      <c r="AB23" s="38">
        <f t="shared" si="15"/>
        <v>15</v>
      </c>
      <c r="AC23" s="38">
        <f t="shared" si="15"/>
        <v>1692</v>
      </c>
      <c r="AD23" s="38">
        <f t="shared" si="15"/>
        <v>0</v>
      </c>
      <c r="AE23" s="39">
        <f t="shared" si="15"/>
        <v>1101</v>
      </c>
      <c r="AF23" s="39">
        <f t="shared" si="15"/>
        <v>2550</v>
      </c>
    </row>
    <row r="24" spans="2:32" ht="23.1" customHeight="1" x14ac:dyDescent="0.25">
      <c r="B24" s="22" t="s">
        <v>51</v>
      </c>
      <c r="C24" s="49">
        <v>185</v>
      </c>
      <c r="D24" s="49">
        <v>11</v>
      </c>
      <c r="E24" s="49">
        <v>5</v>
      </c>
      <c r="F24" s="49">
        <v>8</v>
      </c>
      <c r="G24" s="49">
        <v>0</v>
      </c>
      <c r="H24" s="49">
        <v>0</v>
      </c>
      <c r="I24" s="49">
        <v>12</v>
      </c>
      <c r="J24" s="49">
        <v>4</v>
      </c>
      <c r="K24" s="49">
        <v>2</v>
      </c>
      <c r="L24" s="49">
        <v>6</v>
      </c>
      <c r="M24" s="49">
        <v>395</v>
      </c>
      <c r="N24" s="49">
        <v>0</v>
      </c>
      <c r="O24" s="15">
        <f t="shared" si="0"/>
        <v>233</v>
      </c>
      <c r="P24" s="15">
        <f t="shared" si="1"/>
        <v>628</v>
      </c>
      <c r="R24" s="37" t="s">
        <v>92</v>
      </c>
      <c r="S24" s="38">
        <f>MAX(S19:S21)</f>
        <v>875</v>
      </c>
      <c r="T24" s="38">
        <f t="shared" ref="T24:AF24" si="16">MAX(T19:T21)</f>
        <v>158</v>
      </c>
      <c r="U24" s="38">
        <f t="shared" si="16"/>
        <v>57</v>
      </c>
      <c r="V24" s="38">
        <f t="shared" si="16"/>
        <v>57</v>
      </c>
      <c r="W24" s="38">
        <f t="shared" si="16"/>
        <v>5</v>
      </c>
      <c r="X24" s="38">
        <f t="shared" si="16"/>
        <v>1</v>
      </c>
      <c r="Y24" s="38">
        <f t="shared" si="16"/>
        <v>67</v>
      </c>
      <c r="Z24" s="38">
        <f t="shared" si="16"/>
        <v>20</v>
      </c>
      <c r="AA24" s="38">
        <f t="shared" si="16"/>
        <v>7</v>
      </c>
      <c r="AB24" s="38">
        <f t="shared" si="16"/>
        <v>17</v>
      </c>
      <c r="AC24" s="38">
        <f t="shared" si="16"/>
        <v>1260</v>
      </c>
      <c r="AD24" s="38">
        <f t="shared" si="16"/>
        <v>0</v>
      </c>
      <c r="AE24" s="39">
        <f t="shared" si="16"/>
        <v>1185</v>
      </c>
      <c r="AF24" s="39">
        <f t="shared" si="16"/>
        <v>2434</v>
      </c>
    </row>
    <row r="25" spans="2:32" ht="23.1" customHeight="1" x14ac:dyDescent="0.25">
      <c r="B25" s="22" t="s">
        <v>52</v>
      </c>
      <c r="C25" s="49">
        <v>200</v>
      </c>
      <c r="D25" s="49">
        <v>33</v>
      </c>
      <c r="E25" s="49">
        <v>7</v>
      </c>
      <c r="F25" s="49">
        <v>5</v>
      </c>
      <c r="G25" s="49">
        <v>1</v>
      </c>
      <c r="H25" s="49">
        <v>1</v>
      </c>
      <c r="I25" s="49">
        <v>11</v>
      </c>
      <c r="J25" s="49">
        <v>7</v>
      </c>
      <c r="K25" s="49">
        <v>1</v>
      </c>
      <c r="L25" s="49">
        <v>5</v>
      </c>
      <c r="M25" s="49">
        <v>300</v>
      </c>
      <c r="N25" s="49">
        <v>0</v>
      </c>
      <c r="O25" s="15">
        <f t="shared" si="0"/>
        <v>271</v>
      </c>
      <c r="P25" s="15">
        <f t="shared" si="1"/>
        <v>571</v>
      </c>
      <c r="R25" s="36" t="s">
        <v>85</v>
      </c>
      <c r="S25" s="34">
        <f t="shared" ref="S25:AF25" si="17">SUM(S10:S12)</f>
        <v>1992</v>
      </c>
      <c r="T25" s="16">
        <f t="shared" si="17"/>
        <v>239</v>
      </c>
      <c r="U25" s="16">
        <f t="shared" si="17"/>
        <v>91</v>
      </c>
      <c r="V25" s="16">
        <f t="shared" si="17"/>
        <v>72</v>
      </c>
      <c r="W25" s="16">
        <f t="shared" si="17"/>
        <v>5</v>
      </c>
      <c r="X25" s="16">
        <f t="shared" si="17"/>
        <v>2</v>
      </c>
      <c r="Y25" s="16">
        <f t="shared" si="17"/>
        <v>86</v>
      </c>
      <c r="Z25" s="16">
        <f t="shared" si="17"/>
        <v>34</v>
      </c>
      <c r="AA25" s="16">
        <f t="shared" si="17"/>
        <v>9</v>
      </c>
      <c r="AB25" s="16">
        <f t="shared" si="17"/>
        <v>12</v>
      </c>
      <c r="AC25" s="16">
        <f t="shared" si="17"/>
        <v>5617</v>
      </c>
      <c r="AD25" s="16">
        <f t="shared" si="17"/>
        <v>1</v>
      </c>
      <c r="AE25" s="31">
        <f t="shared" si="17"/>
        <v>2543</v>
      </c>
      <c r="AF25" s="31">
        <f t="shared" si="17"/>
        <v>8160</v>
      </c>
    </row>
    <row r="26" spans="2:32" ht="23.1" customHeight="1" x14ac:dyDescent="0.25">
      <c r="B26" s="22" t="s">
        <v>53</v>
      </c>
      <c r="C26" s="49">
        <v>225</v>
      </c>
      <c r="D26" s="49">
        <v>15</v>
      </c>
      <c r="E26" s="49">
        <v>8</v>
      </c>
      <c r="F26" s="49">
        <v>6</v>
      </c>
      <c r="G26" s="49">
        <v>3</v>
      </c>
      <c r="H26" s="49">
        <v>0</v>
      </c>
      <c r="I26" s="49">
        <v>16</v>
      </c>
      <c r="J26" s="49">
        <v>5</v>
      </c>
      <c r="K26" s="49">
        <v>4</v>
      </c>
      <c r="L26" s="49">
        <v>7</v>
      </c>
      <c r="M26" s="49">
        <v>350</v>
      </c>
      <c r="N26" s="49">
        <v>0</v>
      </c>
      <c r="O26" s="15">
        <f t="shared" si="0"/>
        <v>289</v>
      </c>
      <c r="P26" s="15">
        <f t="shared" si="1"/>
        <v>639</v>
      </c>
      <c r="R26" s="27" t="s">
        <v>86</v>
      </c>
      <c r="S26" s="16">
        <f t="shared" ref="S26:AF26" si="18">SUM(S13:S18)</f>
        <v>4554</v>
      </c>
      <c r="T26" s="16">
        <f t="shared" si="18"/>
        <v>462</v>
      </c>
      <c r="U26" s="16">
        <f t="shared" si="18"/>
        <v>195</v>
      </c>
      <c r="V26" s="16">
        <f t="shared" si="18"/>
        <v>165</v>
      </c>
      <c r="W26" s="16">
        <f t="shared" si="18"/>
        <v>24</v>
      </c>
      <c r="X26" s="16">
        <f t="shared" si="18"/>
        <v>4</v>
      </c>
      <c r="Y26" s="16">
        <f t="shared" si="18"/>
        <v>325</v>
      </c>
      <c r="Z26" s="16">
        <f t="shared" si="18"/>
        <v>130</v>
      </c>
      <c r="AA26" s="16">
        <f t="shared" si="18"/>
        <v>39</v>
      </c>
      <c r="AB26" s="16">
        <f t="shared" si="18"/>
        <v>64</v>
      </c>
      <c r="AC26" s="16">
        <f t="shared" si="18"/>
        <v>8542</v>
      </c>
      <c r="AD26" s="16">
        <f t="shared" si="18"/>
        <v>0</v>
      </c>
      <c r="AE26" s="31">
        <f t="shared" si="18"/>
        <v>5962</v>
      </c>
      <c r="AF26" s="31">
        <f t="shared" si="18"/>
        <v>14504</v>
      </c>
    </row>
    <row r="27" spans="2:32" ht="23.1" customHeight="1" x14ac:dyDescent="0.25">
      <c r="B27" s="22" t="s">
        <v>54</v>
      </c>
      <c r="C27" s="49">
        <v>200</v>
      </c>
      <c r="D27" s="49">
        <v>20</v>
      </c>
      <c r="E27" s="49">
        <v>10</v>
      </c>
      <c r="F27" s="49">
        <v>2</v>
      </c>
      <c r="G27" s="49">
        <v>2</v>
      </c>
      <c r="H27" s="49">
        <v>0</v>
      </c>
      <c r="I27" s="49">
        <v>12</v>
      </c>
      <c r="J27" s="49">
        <v>4</v>
      </c>
      <c r="K27" s="49">
        <v>2</v>
      </c>
      <c r="L27" s="49">
        <v>3</v>
      </c>
      <c r="M27" s="49">
        <v>350</v>
      </c>
      <c r="N27" s="49">
        <v>0</v>
      </c>
      <c r="O27" s="15">
        <f t="shared" si="0"/>
        <v>255</v>
      </c>
      <c r="P27" s="15">
        <f t="shared" si="1"/>
        <v>605</v>
      </c>
      <c r="R27" s="28" t="s">
        <v>87</v>
      </c>
      <c r="S27" s="16">
        <f t="shared" ref="S27:AF27" si="19">SUM(S19:S21)</f>
        <v>2615</v>
      </c>
      <c r="T27" s="16">
        <f t="shared" si="19"/>
        <v>359</v>
      </c>
      <c r="U27" s="16">
        <f t="shared" si="19"/>
        <v>103</v>
      </c>
      <c r="V27" s="16">
        <f t="shared" si="19"/>
        <v>116</v>
      </c>
      <c r="W27" s="16">
        <f t="shared" si="19"/>
        <v>9</v>
      </c>
      <c r="X27" s="16">
        <f t="shared" si="19"/>
        <v>1</v>
      </c>
      <c r="Y27" s="16">
        <f t="shared" si="19"/>
        <v>151</v>
      </c>
      <c r="Z27" s="16">
        <f t="shared" si="19"/>
        <v>56</v>
      </c>
      <c r="AA27" s="16">
        <f t="shared" si="19"/>
        <v>17</v>
      </c>
      <c r="AB27" s="16">
        <f t="shared" si="19"/>
        <v>36</v>
      </c>
      <c r="AC27" s="16">
        <f t="shared" si="19"/>
        <v>3736</v>
      </c>
      <c r="AD27" s="16">
        <f t="shared" si="19"/>
        <v>0</v>
      </c>
      <c r="AE27" s="31">
        <f t="shared" si="19"/>
        <v>3463</v>
      </c>
      <c r="AF27" s="31">
        <f t="shared" si="19"/>
        <v>7199</v>
      </c>
    </row>
    <row r="28" spans="2:32" ht="23.1" customHeight="1" x14ac:dyDescent="0.25">
      <c r="B28" s="22" t="s">
        <v>55</v>
      </c>
      <c r="C28" s="49">
        <v>140</v>
      </c>
      <c r="D28" s="49">
        <v>20</v>
      </c>
      <c r="E28" s="49">
        <v>11</v>
      </c>
      <c r="F28" s="49">
        <v>6</v>
      </c>
      <c r="G28" s="49">
        <v>0</v>
      </c>
      <c r="H28" s="49">
        <v>0</v>
      </c>
      <c r="I28" s="49">
        <v>13</v>
      </c>
      <c r="J28" s="49">
        <v>4</v>
      </c>
      <c r="K28" s="49">
        <v>0</v>
      </c>
      <c r="L28" s="49">
        <v>1</v>
      </c>
      <c r="M28" s="49">
        <v>280</v>
      </c>
      <c r="N28" s="49">
        <v>0</v>
      </c>
      <c r="O28" s="15">
        <f t="shared" si="0"/>
        <v>195</v>
      </c>
      <c r="P28" s="15">
        <f t="shared" si="1"/>
        <v>475</v>
      </c>
      <c r="R28" s="5" t="s">
        <v>17</v>
      </c>
      <c r="S28" s="16">
        <f t="shared" ref="S28:AF28" si="20">SUM(S10:S21)</f>
        <v>9161</v>
      </c>
      <c r="T28" s="16">
        <f t="shared" si="20"/>
        <v>1060</v>
      </c>
      <c r="U28" s="16">
        <f t="shared" si="20"/>
        <v>389</v>
      </c>
      <c r="V28" s="16">
        <f t="shared" si="20"/>
        <v>353</v>
      </c>
      <c r="W28" s="16">
        <f t="shared" si="20"/>
        <v>38</v>
      </c>
      <c r="X28" s="16">
        <f t="shared" si="20"/>
        <v>7</v>
      </c>
      <c r="Y28" s="16">
        <f t="shared" si="20"/>
        <v>562</v>
      </c>
      <c r="Z28" s="16">
        <f t="shared" si="20"/>
        <v>220</v>
      </c>
      <c r="AA28" s="16">
        <f t="shared" si="20"/>
        <v>65</v>
      </c>
      <c r="AB28" s="16">
        <f t="shared" si="20"/>
        <v>112</v>
      </c>
      <c r="AC28" s="16">
        <f t="shared" si="20"/>
        <v>17895</v>
      </c>
      <c r="AD28" s="16">
        <f t="shared" si="20"/>
        <v>1</v>
      </c>
      <c r="AE28" s="31">
        <f t="shared" si="20"/>
        <v>11968</v>
      </c>
      <c r="AF28" s="31">
        <f t="shared" si="20"/>
        <v>29863</v>
      </c>
    </row>
    <row r="29" spans="2:32" ht="23.1" customHeight="1" x14ac:dyDescent="0.25">
      <c r="B29" s="22" t="s">
        <v>56</v>
      </c>
      <c r="C29" s="49">
        <v>180</v>
      </c>
      <c r="D29" s="49">
        <v>18</v>
      </c>
      <c r="E29" s="49">
        <v>2</v>
      </c>
      <c r="F29" s="49">
        <v>5</v>
      </c>
      <c r="G29" s="49">
        <v>2</v>
      </c>
      <c r="H29" s="49">
        <v>0</v>
      </c>
      <c r="I29" s="49">
        <v>11</v>
      </c>
      <c r="J29" s="49">
        <v>4</v>
      </c>
      <c r="K29" s="49">
        <v>2</v>
      </c>
      <c r="L29" s="49">
        <v>3</v>
      </c>
      <c r="M29" s="49">
        <v>375</v>
      </c>
      <c r="N29" s="49">
        <v>0</v>
      </c>
      <c r="O29" s="15">
        <f t="shared" si="0"/>
        <v>227</v>
      </c>
      <c r="P29" s="15">
        <f t="shared" si="1"/>
        <v>602</v>
      </c>
      <c r="R29"/>
      <c r="S29" s="20"/>
      <c r="T29" s="19"/>
    </row>
    <row r="30" spans="2:32" ht="23.1" customHeight="1" x14ac:dyDescent="0.25">
      <c r="B30" s="22" t="s">
        <v>57</v>
      </c>
      <c r="C30" s="49">
        <v>220</v>
      </c>
      <c r="D30" s="49">
        <v>20</v>
      </c>
      <c r="E30" s="49">
        <v>13</v>
      </c>
      <c r="F30" s="49">
        <v>5</v>
      </c>
      <c r="G30" s="49">
        <v>2</v>
      </c>
      <c r="H30" s="49">
        <v>0</v>
      </c>
      <c r="I30" s="49">
        <v>9</v>
      </c>
      <c r="J30" s="49">
        <v>6</v>
      </c>
      <c r="K30" s="49">
        <v>1</v>
      </c>
      <c r="L30" s="49">
        <v>1</v>
      </c>
      <c r="M30" s="49">
        <v>422</v>
      </c>
      <c r="N30" s="49">
        <v>0</v>
      </c>
      <c r="O30" s="15">
        <f t="shared" si="0"/>
        <v>277</v>
      </c>
      <c r="P30" s="15">
        <f t="shared" si="1"/>
        <v>699</v>
      </c>
    </row>
    <row r="31" spans="2:32" ht="23.1" customHeight="1" x14ac:dyDescent="0.25">
      <c r="B31" s="23" t="s">
        <v>58</v>
      </c>
      <c r="C31" s="49">
        <v>200</v>
      </c>
      <c r="D31" s="49">
        <v>20</v>
      </c>
      <c r="E31" s="49">
        <v>23</v>
      </c>
      <c r="F31" s="49">
        <v>10</v>
      </c>
      <c r="G31" s="49">
        <v>1</v>
      </c>
      <c r="H31" s="49">
        <v>1</v>
      </c>
      <c r="I31" s="49">
        <v>8</v>
      </c>
      <c r="J31" s="49">
        <v>1</v>
      </c>
      <c r="K31" s="49">
        <v>0</v>
      </c>
      <c r="L31" s="49">
        <v>3</v>
      </c>
      <c r="M31" s="49">
        <v>525</v>
      </c>
      <c r="N31" s="49">
        <v>0</v>
      </c>
      <c r="O31" s="15">
        <f t="shared" si="0"/>
        <v>267</v>
      </c>
      <c r="P31" s="15">
        <f t="shared" si="1"/>
        <v>792</v>
      </c>
    </row>
    <row r="32" spans="2:32" ht="23.1" customHeight="1" x14ac:dyDescent="0.25">
      <c r="B32" s="23" t="s">
        <v>59</v>
      </c>
      <c r="C32" s="49">
        <v>225</v>
      </c>
      <c r="D32" s="49">
        <v>20</v>
      </c>
      <c r="E32" s="49">
        <v>13</v>
      </c>
      <c r="F32" s="49">
        <v>5</v>
      </c>
      <c r="G32" s="49">
        <v>1</v>
      </c>
      <c r="H32" s="49">
        <v>0</v>
      </c>
      <c r="I32" s="49">
        <v>16</v>
      </c>
      <c r="J32" s="49">
        <v>1</v>
      </c>
      <c r="K32" s="49">
        <v>1</v>
      </c>
      <c r="L32" s="49">
        <v>0</v>
      </c>
      <c r="M32" s="49">
        <v>431</v>
      </c>
      <c r="N32" s="49">
        <v>0</v>
      </c>
      <c r="O32" s="15">
        <f t="shared" si="0"/>
        <v>282</v>
      </c>
      <c r="P32" s="15">
        <f t="shared" si="1"/>
        <v>713</v>
      </c>
    </row>
    <row r="33" spans="2:20" ht="23.1" customHeight="1" x14ac:dyDescent="0.25">
      <c r="B33" s="22" t="s">
        <v>60</v>
      </c>
      <c r="C33" s="49">
        <v>0</v>
      </c>
      <c r="D33" s="49">
        <v>0</v>
      </c>
      <c r="E33" s="49">
        <v>0</v>
      </c>
      <c r="F33" s="49">
        <v>6</v>
      </c>
      <c r="G33" s="49">
        <v>0</v>
      </c>
      <c r="H33" s="49">
        <v>2</v>
      </c>
      <c r="I33" s="49">
        <v>18</v>
      </c>
      <c r="J33" s="49">
        <v>3</v>
      </c>
      <c r="K33" s="49">
        <v>2</v>
      </c>
      <c r="L33" s="49">
        <v>1</v>
      </c>
      <c r="M33" s="49">
        <v>314</v>
      </c>
      <c r="N33" s="49">
        <v>0</v>
      </c>
      <c r="O33" s="15">
        <f t="shared" si="0"/>
        <v>32</v>
      </c>
      <c r="P33" s="15">
        <f t="shared" si="1"/>
        <v>346</v>
      </c>
    </row>
    <row r="34" spans="2:20" ht="23.1" customHeight="1" x14ac:dyDescent="0.25">
      <c r="B34" s="23" t="s">
        <v>61</v>
      </c>
      <c r="C34" s="49">
        <v>57</v>
      </c>
      <c r="D34" s="49">
        <v>18</v>
      </c>
      <c r="E34" s="49">
        <v>12</v>
      </c>
      <c r="F34" s="49">
        <v>12</v>
      </c>
      <c r="G34" s="49">
        <v>2</v>
      </c>
      <c r="H34" s="49">
        <v>0</v>
      </c>
      <c r="I34" s="49">
        <v>18</v>
      </c>
      <c r="J34" s="49">
        <v>11</v>
      </c>
      <c r="K34" s="49">
        <v>2</v>
      </c>
      <c r="L34" s="49">
        <v>2</v>
      </c>
      <c r="M34" s="49">
        <v>361</v>
      </c>
      <c r="N34" s="49">
        <v>0</v>
      </c>
      <c r="O34" s="15">
        <f t="shared" si="0"/>
        <v>134</v>
      </c>
      <c r="P34" s="15">
        <f t="shared" si="1"/>
        <v>495</v>
      </c>
    </row>
    <row r="35" spans="2:20" ht="23.1" customHeight="1" x14ac:dyDescent="0.25">
      <c r="B35" s="23" t="s">
        <v>62</v>
      </c>
      <c r="C35" s="49">
        <v>240</v>
      </c>
      <c r="D35" s="49">
        <v>45</v>
      </c>
      <c r="E35" s="49">
        <v>15</v>
      </c>
      <c r="F35" s="49">
        <v>8</v>
      </c>
      <c r="G35" s="49">
        <v>3</v>
      </c>
      <c r="H35" s="49">
        <v>0</v>
      </c>
      <c r="I35" s="49">
        <v>13</v>
      </c>
      <c r="J35" s="49">
        <v>12</v>
      </c>
      <c r="K35" s="49">
        <v>2</v>
      </c>
      <c r="L35" s="49">
        <v>1</v>
      </c>
      <c r="M35" s="49">
        <v>420</v>
      </c>
      <c r="N35" s="49">
        <v>0</v>
      </c>
      <c r="O35" s="15">
        <f t="shared" si="0"/>
        <v>339</v>
      </c>
      <c r="P35" s="15">
        <f t="shared" si="1"/>
        <v>759</v>
      </c>
    </row>
    <row r="36" spans="2:20" ht="23.1" customHeight="1" x14ac:dyDescent="0.25">
      <c r="B36" s="23" t="s">
        <v>63</v>
      </c>
      <c r="C36" s="49">
        <v>225</v>
      </c>
      <c r="D36" s="49">
        <v>19</v>
      </c>
      <c r="E36" s="49">
        <v>2</v>
      </c>
      <c r="F36" s="49">
        <v>4</v>
      </c>
      <c r="G36" s="49">
        <v>3</v>
      </c>
      <c r="H36" s="49">
        <v>0</v>
      </c>
      <c r="I36" s="49">
        <v>7</v>
      </c>
      <c r="J36" s="49">
        <v>0</v>
      </c>
      <c r="K36" s="49">
        <v>2</v>
      </c>
      <c r="L36" s="49">
        <v>2</v>
      </c>
      <c r="M36" s="49">
        <v>304</v>
      </c>
      <c r="N36" s="49">
        <v>0</v>
      </c>
      <c r="O36" s="15">
        <f t="shared" si="0"/>
        <v>264</v>
      </c>
      <c r="P36" s="15">
        <f t="shared" si="1"/>
        <v>568</v>
      </c>
    </row>
    <row r="37" spans="2:20" ht="23.1" customHeight="1" x14ac:dyDescent="0.25">
      <c r="B37" s="22" t="s">
        <v>64</v>
      </c>
      <c r="C37" s="49">
        <v>225</v>
      </c>
      <c r="D37" s="49">
        <v>22</v>
      </c>
      <c r="E37" s="49">
        <v>4</v>
      </c>
      <c r="F37" s="49">
        <v>7</v>
      </c>
      <c r="G37" s="49">
        <v>0</v>
      </c>
      <c r="H37" s="49">
        <v>0</v>
      </c>
      <c r="I37" s="49">
        <v>19</v>
      </c>
      <c r="J37" s="49">
        <v>9</v>
      </c>
      <c r="K37" s="49">
        <v>1</v>
      </c>
      <c r="L37" s="49">
        <v>4</v>
      </c>
      <c r="M37" s="49">
        <v>271</v>
      </c>
      <c r="N37" s="49">
        <v>0</v>
      </c>
      <c r="O37" s="15">
        <f t="shared" si="0"/>
        <v>291</v>
      </c>
      <c r="P37" s="15">
        <f t="shared" si="1"/>
        <v>562</v>
      </c>
    </row>
    <row r="38" spans="2:20" ht="23.1" customHeight="1" x14ac:dyDescent="0.25">
      <c r="B38" s="23" t="s">
        <v>65</v>
      </c>
      <c r="C38" s="49">
        <v>200</v>
      </c>
      <c r="D38" s="49">
        <v>16</v>
      </c>
      <c r="E38" s="49">
        <v>3</v>
      </c>
      <c r="F38" s="49">
        <v>8</v>
      </c>
      <c r="G38" s="49">
        <v>1</v>
      </c>
      <c r="H38" s="49">
        <v>0</v>
      </c>
      <c r="I38" s="49">
        <v>11</v>
      </c>
      <c r="J38" s="49">
        <v>10</v>
      </c>
      <c r="K38" s="49">
        <v>2</v>
      </c>
      <c r="L38" s="49">
        <v>2</v>
      </c>
      <c r="M38" s="49">
        <v>282</v>
      </c>
      <c r="N38" s="49">
        <v>0</v>
      </c>
      <c r="O38" s="15">
        <f t="shared" si="0"/>
        <v>253</v>
      </c>
      <c r="P38" s="15">
        <f t="shared" si="1"/>
        <v>535</v>
      </c>
    </row>
    <row r="39" spans="2:20" ht="23.1" customHeight="1" x14ac:dyDescent="0.25">
      <c r="B39" s="23" t="s">
        <v>66</v>
      </c>
      <c r="C39" s="49">
        <v>225</v>
      </c>
      <c r="D39" s="49">
        <v>20</v>
      </c>
      <c r="E39" s="49">
        <v>7</v>
      </c>
      <c r="F39" s="49">
        <v>4</v>
      </c>
      <c r="G39" s="49">
        <v>0</v>
      </c>
      <c r="H39" s="49">
        <v>0</v>
      </c>
      <c r="I39" s="49">
        <v>7</v>
      </c>
      <c r="J39" s="49">
        <v>6</v>
      </c>
      <c r="K39" s="49">
        <v>0</v>
      </c>
      <c r="L39" s="49">
        <v>1</v>
      </c>
      <c r="M39" s="49">
        <v>321</v>
      </c>
      <c r="N39" s="49">
        <v>0</v>
      </c>
      <c r="O39" s="15">
        <f t="shared" si="0"/>
        <v>270</v>
      </c>
      <c r="P39" s="15">
        <f t="shared" si="1"/>
        <v>591</v>
      </c>
    </row>
    <row r="40" spans="2:20" ht="23.1" customHeight="1" x14ac:dyDescent="0.25">
      <c r="B40" s="23" t="s">
        <v>67</v>
      </c>
      <c r="C40" s="49">
        <v>200</v>
      </c>
      <c r="D40" s="49">
        <v>12</v>
      </c>
      <c r="E40" s="49">
        <v>10</v>
      </c>
      <c r="F40" s="49">
        <v>9</v>
      </c>
      <c r="G40" s="49">
        <v>0</v>
      </c>
      <c r="H40" s="49">
        <v>0</v>
      </c>
      <c r="I40" s="49">
        <v>25</v>
      </c>
      <c r="J40" s="49">
        <v>6</v>
      </c>
      <c r="K40" s="49">
        <v>3</v>
      </c>
      <c r="L40" s="49">
        <v>9</v>
      </c>
      <c r="M40" s="49">
        <v>333</v>
      </c>
      <c r="N40" s="49">
        <v>0</v>
      </c>
      <c r="O40" s="15">
        <f t="shared" si="0"/>
        <v>274</v>
      </c>
      <c r="P40" s="15">
        <f t="shared" si="1"/>
        <v>607</v>
      </c>
    </row>
    <row r="41" spans="2:20" ht="23.1" customHeight="1" x14ac:dyDescent="0.25">
      <c r="B41" s="22" t="s">
        <v>68</v>
      </c>
      <c r="C41" s="49">
        <v>160</v>
      </c>
      <c r="D41" s="49">
        <v>12</v>
      </c>
      <c r="E41" s="49">
        <v>7</v>
      </c>
      <c r="F41" s="49">
        <v>6</v>
      </c>
      <c r="G41" s="49">
        <v>2</v>
      </c>
      <c r="H41" s="49">
        <v>0</v>
      </c>
      <c r="I41" s="49">
        <v>19</v>
      </c>
      <c r="J41" s="49">
        <v>7</v>
      </c>
      <c r="K41" s="49">
        <v>2</v>
      </c>
      <c r="L41" s="49">
        <v>3</v>
      </c>
      <c r="M41" s="49">
        <v>362</v>
      </c>
      <c r="N41" s="49">
        <v>0</v>
      </c>
      <c r="O41" s="15">
        <f t="shared" si="0"/>
        <v>218</v>
      </c>
      <c r="P41" s="15">
        <f t="shared" si="1"/>
        <v>580</v>
      </c>
    </row>
    <row r="42" spans="2:20" ht="23.1" customHeight="1" x14ac:dyDescent="0.25">
      <c r="B42" s="23" t="s">
        <v>69</v>
      </c>
      <c r="C42" s="49">
        <v>205</v>
      </c>
      <c r="D42" s="49">
        <v>32</v>
      </c>
      <c r="E42" s="49">
        <v>10</v>
      </c>
      <c r="F42" s="49">
        <v>4</v>
      </c>
      <c r="G42" s="49">
        <v>1</v>
      </c>
      <c r="H42" s="49">
        <v>0</v>
      </c>
      <c r="I42" s="49">
        <v>9</v>
      </c>
      <c r="J42" s="49">
        <v>6</v>
      </c>
      <c r="K42" s="49">
        <v>2</v>
      </c>
      <c r="L42" s="49">
        <v>1</v>
      </c>
      <c r="M42" s="49">
        <v>288</v>
      </c>
      <c r="N42" s="49">
        <v>0</v>
      </c>
      <c r="O42" s="15">
        <f t="shared" si="0"/>
        <v>270</v>
      </c>
      <c r="P42" s="15">
        <f t="shared" si="1"/>
        <v>558</v>
      </c>
    </row>
    <row r="43" spans="2:20" ht="23.1" customHeight="1" x14ac:dyDescent="0.25">
      <c r="B43" s="22" t="s">
        <v>70</v>
      </c>
      <c r="C43" s="49">
        <v>225</v>
      </c>
      <c r="D43" s="49">
        <v>30</v>
      </c>
      <c r="E43" s="49">
        <v>8</v>
      </c>
      <c r="F43" s="49">
        <v>9</v>
      </c>
      <c r="G43" s="49">
        <v>0</v>
      </c>
      <c r="H43" s="49">
        <v>0</v>
      </c>
      <c r="I43" s="49">
        <v>20</v>
      </c>
      <c r="J43" s="49">
        <v>6</v>
      </c>
      <c r="K43" s="49">
        <v>2</v>
      </c>
      <c r="L43" s="49">
        <v>1</v>
      </c>
      <c r="M43" s="49">
        <v>351</v>
      </c>
      <c r="N43" s="49">
        <v>0</v>
      </c>
      <c r="O43" s="15">
        <f t="shared" si="0"/>
        <v>301</v>
      </c>
      <c r="P43" s="15">
        <f t="shared" si="1"/>
        <v>652</v>
      </c>
    </row>
    <row r="44" spans="2:20" ht="23.1" customHeight="1" x14ac:dyDescent="0.25">
      <c r="B44" s="24" t="s">
        <v>71</v>
      </c>
      <c r="C44" s="49">
        <v>217</v>
      </c>
      <c r="D44" s="49">
        <v>21</v>
      </c>
      <c r="E44" s="49">
        <v>6</v>
      </c>
      <c r="F44" s="49">
        <v>14</v>
      </c>
      <c r="G44" s="49">
        <v>0</v>
      </c>
      <c r="H44" s="49">
        <v>0</v>
      </c>
      <c r="I44" s="49">
        <v>17</v>
      </c>
      <c r="J44" s="49">
        <v>5</v>
      </c>
      <c r="K44" s="49">
        <v>2</v>
      </c>
      <c r="L44" s="49">
        <v>1</v>
      </c>
      <c r="M44" s="49">
        <v>450</v>
      </c>
      <c r="N44" s="49">
        <v>0</v>
      </c>
      <c r="O44" s="15">
        <f t="shared" si="0"/>
        <v>283</v>
      </c>
      <c r="P44" s="15">
        <f t="shared" si="1"/>
        <v>733</v>
      </c>
    </row>
    <row r="45" spans="2:20" ht="23.1" customHeight="1" x14ac:dyDescent="0.25">
      <c r="B45" s="22" t="s">
        <v>72</v>
      </c>
      <c r="C45" s="49">
        <v>200</v>
      </c>
      <c r="D45" s="49">
        <v>11</v>
      </c>
      <c r="E45" s="49">
        <v>10</v>
      </c>
      <c r="F45" s="49">
        <v>8</v>
      </c>
      <c r="G45" s="49">
        <v>0</v>
      </c>
      <c r="H45" s="49">
        <v>0</v>
      </c>
      <c r="I45" s="49">
        <v>9</v>
      </c>
      <c r="J45" s="49">
        <v>4</v>
      </c>
      <c r="K45" s="49">
        <v>1</v>
      </c>
      <c r="L45" s="49">
        <v>4</v>
      </c>
      <c r="M45" s="49">
        <v>282</v>
      </c>
      <c r="N45" s="49">
        <v>0</v>
      </c>
      <c r="O45" s="15">
        <f t="shared" si="0"/>
        <v>247</v>
      </c>
      <c r="P45" s="15">
        <f t="shared" si="1"/>
        <v>529</v>
      </c>
    </row>
    <row r="46" spans="2:20" ht="23.1" customHeight="1" x14ac:dyDescent="0.25">
      <c r="B46" s="23" t="s">
        <v>73</v>
      </c>
      <c r="C46" s="49">
        <v>225</v>
      </c>
      <c r="D46" s="49">
        <v>19</v>
      </c>
      <c r="E46" s="49">
        <v>10</v>
      </c>
      <c r="F46" s="49">
        <v>7</v>
      </c>
      <c r="G46" s="49">
        <v>1</v>
      </c>
      <c r="H46" s="49">
        <v>0</v>
      </c>
      <c r="I46" s="49">
        <v>20</v>
      </c>
      <c r="J46" s="49">
        <v>6</v>
      </c>
      <c r="K46" s="49">
        <v>0</v>
      </c>
      <c r="L46" s="49">
        <v>5</v>
      </c>
      <c r="M46" s="49">
        <v>304</v>
      </c>
      <c r="N46" s="49">
        <v>0</v>
      </c>
      <c r="O46" s="15">
        <f t="shared" si="0"/>
        <v>293</v>
      </c>
      <c r="P46" s="15">
        <f t="shared" si="1"/>
        <v>597</v>
      </c>
      <c r="R46" s="8"/>
      <c r="T46"/>
    </row>
    <row r="47" spans="2:20" ht="23.1" customHeight="1" x14ac:dyDescent="0.25">
      <c r="B47" s="23" t="s">
        <v>74</v>
      </c>
      <c r="C47" s="49">
        <v>220</v>
      </c>
      <c r="D47" s="49">
        <v>42</v>
      </c>
      <c r="E47" s="49">
        <v>20</v>
      </c>
      <c r="F47" s="49">
        <v>11</v>
      </c>
      <c r="G47" s="49">
        <v>2</v>
      </c>
      <c r="H47" s="49">
        <v>0</v>
      </c>
      <c r="I47" s="49">
        <v>13</v>
      </c>
      <c r="J47" s="49">
        <v>4</v>
      </c>
      <c r="K47" s="49">
        <v>2</v>
      </c>
      <c r="L47" s="49">
        <v>5</v>
      </c>
      <c r="M47" s="49">
        <v>283</v>
      </c>
      <c r="N47" s="49">
        <v>0</v>
      </c>
      <c r="O47" s="15">
        <f t="shared" si="0"/>
        <v>319</v>
      </c>
      <c r="P47" s="15">
        <f t="shared" si="1"/>
        <v>602</v>
      </c>
      <c r="R47" s="8"/>
      <c r="T47"/>
    </row>
    <row r="48" spans="2:20" ht="23.1" customHeight="1" x14ac:dyDescent="0.25">
      <c r="B48" s="23" t="s">
        <v>75</v>
      </c>
      <c r="C48" s="49">
        <v>225</v>
      </c>
      <c r="D48" s="49">
        <v>29</v>
      </c>
      <c r="E48" s="49">
        <v>10</v>
      </c>
      <c r="F48" s="49">
        <v>4</v>
      </c>
      <c r="G48" s="49">
        <v>1</v>
      </c>
      <c r="H48" s="49">
        <v>0</v>
      </c>
      <c r="I48" s="49">
        <v>16</v>
      </c>
      <c r="J48" s="49">
        <v>1</v>
      </c>
      <c r="K48" s="49">
        <v>1</v>
      </c>
      <c r="L48" s="49">
        <v>3</v>
      </c>
      <c r="M48" s="49">
        <v>312</v>
      </c>
      <c r="N48" s="49">
        <v>0</v>
      </c>
      <c r="O48" s="15">
        <f t="shared" si="0"/>
        <v>290</v>
      </c>
      <c r="P48" s="15">
        <f t="shared" si="1"/>
        <v>602</v>
      </c>
      <c r="R48" s="8"/>
      <c r="T48"/>
    </row>
    <row r="49" spans="2:20" ht="23.1" customHeight="1" x14ac:dyDescent="0.25">
      <c r="B49" s="22" t="s">
        <v>76</v>
      </c>
      <c r="C49" s="49">
        <v>200</v>
      </c>
      <c r="D49" s="49">
        <v>25</v>
      </c>
      <c r="E49" s="49">
        <v>17</v>
      </c>
      <c r="F49" s="49">
        <v>7</v>
      </c>
      <c r="G49" s="49">
        <v>0</v>
      </c>
      <c r="H49" s="49">
        <v>0</v>
      </c>
      <c r="I49" s="49">
        <v>18</v>
      </c>
      <c r="J49" s="49">
        <v>9</v>
      </c>
      <c r="K49" s="49">
        <v>3</v>
      </c>
      <c r="L49" s="49">
        <v>4</v>
      </c>
      <c r="M49" s="49">
        <v>350</v>
      </c>
      <c r="N49" s="49">
        <v>0</v>
      </c>
      <c r="O49" s="15">
        <f t="shared" si="0"/>
        <v>283</v>
      </c>
      <c r="P49" s="15">
        <f t="shared" si="1"/>
        <v>633</v>
      </c>
      <c r="R49" s="8"/>
      <c r="T49"/>
    </row>
    <row r="50" spans="2:20" ht="23.1" customHeight="1" x14ac:dyDescent="0.25">
      <c r="B50" s="23" t="s">
        <v>77</v>
      </c>
      <c r="C50" s="49">
        <v>225</v>
      </c>
      <c r="D50" s="49">
        <v>48</v>
      </c>
      <c r="E50" s="49">
        <v>7</v>
      </c>
      <c r="F50" s="49">
        <v>7</v>
      </c>
      <c r="G50" s="49">
        <v>0</v>
      </c>
      <c r="H50" s="49">
        <v>0</v>
      </c>
      <c r="I50" s="49">
        <v>14</v>
      </c>
      <c r="J50" s="49">
        <v>6</v>
      </c>
      <c r="K50" s="49">
        <v>1</v>
      </c>
      <c r="L50" s="49">
        <v>2</v>
      </c>
      <c r="M50" s="49">
        <v>280</v>
      </c>
      <c r="N50" s="49">
        <v>0</v>
      </c>
      <c r="O50" s="15">
        <f t="shared" si="0"/>
        <v>310</v>
      </c>
      <c r="P50" s="15">
        <f t="shared" si="1"/>
        <v>590</v>
      </c>
      <c r="R50" s="8"/>
      <c r="T50"/>
    </row>
    <row r="51" spans="2:20" ht="23.1" customHeight="1" x14ac:dyDescent="0.25">
      <c r="B51" s="23" t="s">
        <v>78</v>
      </c>
      <c r="C51" s="49">
        <v>225</v>
      </c>
      <c r="D51" s="49">
        <v>38</v>
      </c>
      <c r="E51" s="49">
        <v>13</v>
      </c>
      <c r="F51" s="49">
        <v>10</v>
      </c>
      <c r="G51" s="49">
        <v>0</v>
      </c>
      <c r="H51" s="49">
        <v>0</v>
      </c>
      <c r="I51" s="49">
        <v>14</v>
      </c>
      <c r="J51" s="49">
        <v>3</v>
      </c>
      <c r="K51" s="49">
        <v>3</v>
      </c>
      <c r="L51" s="49">
        <v>3</v>
      </c>
      <c r="M51" s="49">
        <v>319</v>
      </c>
      <c r="N51" s="49">
        <v>0</v>
      </c>
      <c r="O51" s="15">
        <f t="shared" si="0"/>
        <v>309</v>
      </c>
      <c r="P51" s="15">
        <f t="shared" si="1"/>
        <v>628</v>
      </c>
      <c r="R51" s="8"/>
      <c r="T51"/>
    </row>
    <row r="52" spans="2:20" ht="23.1" customHeight="1" x14ac:dyDescent="0.25">
      <c r="B52" s="23" t="s">
        <v>79</v>
      </c>
      <c r="C52" s="49">
        <v>220</v>
      </c>
      <c r="D52" s="49">
        <v>35</v>
      </c>
      <c r="E52" s="49">
        <v>4</v>
      </c>
      <c r="F52" s="49">
        <v>5</v>
      </c>
      <c r="G52" s="49">
        <v>0</v>
      </c>
      <c r="H52" s="49">
        <v>0</v>
      </c>
      <c r="I52" s="49">
        <v>8</v>
      </c>
      <c r="J52" s="49">
        <v>5</v>
      </c>
      <c r="K52" s="49">
        <v>0</v>
      </c>
      <c r="L52" s="49">
        <v>1</v>
      </c>
      <c r="M52" s="49">
        <v>329</v>
      </c>
      <c r="N52" s="49">
        <v>0</v>
      </c>
      <c r="O52" s="15">
        <f t="shared" si="0"/>
        <v>278</v>
      </c>
      <c r="P52" s="15">
        <f t="shared" si="1"/>
        <v>607</v>
      </c>
      <c r="R52" s="8"/>
      <c r="T52"/>
    </row>
    <row r="53" spans="2:20" ht="23.1" customHeight="1" x14ac:dyDescent="0.25">
      <c r="B53" s="22" t="s">
        <v>80</v>
      </c>
      <c r="C53" s="49">
        <v>200</v>
      </c>
      <c r="D53" s="49">
        <v>37</v>
      </c>
      <c r="E53" s="49">
        <v>6</v>
      </c>
      <c r="F53" s="49">
        <v>8</v>
      </c>
      <c r="G53" s="49">
        <v>0</v>
      </c>
      <c r="H53" s="49">
        <v>0</v>
      </c>
      <c r="I53" s="49">
        <v>10</v>
      </c>
      <c r="J53" s="49">
        <v>3</v>
      </c>
      <c r="K53" s="49">
        <v>0</v>
      </c>
      <c r="L53" s="49">
        <v>3</v>
      </c>
      <c r="M53" s="49">
        <v>299</v>
      </c>
      <c r="N53" s="49">
        <v>0</v>
      </c>
      <c r="O53" s="15">
        <f t="shared" si="0"/>
        <v>267</v>
      </c>
      <c r="P53" s="15">
        <f t="shared" si="1"/>
        <v>566</v>
      </c>
      <c r="R53" s="8"/>
      <c r="T53"/>
    </row>
    <row r="54" spans="2:20" ht="23.1" customHeight="1" x14ac:dyDescent="0.25">
      <c r="B54" s="22" t="s">
        <v>81</v>
      </c>
      <c r="C54" s="49">
        <v>225</v>
      </c>
      <c r="D54" s="49">
        <v>16</v>
      </c>
      <c r="E54" s="49">
        <v>2</v>
      </c>
      <c r="F54" s="49">
        <v>13</v>
      </c>
      <c r="G54" s="49">
        <v>0</v>
      </c>
      <c r="H54" s="49">
        <v>0</v>
      </c>
      <c r="I54" s="49">
        <v>11</v>
      </c>
      <c r="J54" s="49">
        <v>2</v>
      </c>
      <c r="K54" s="49">
        <v>3</v>
      </c>
      <c r="L54" s="49">
        <v>2</v>
      </c>
      <c r="M54" s="49">
        <v>390</v>
      </c>
      <c r="N54" s="49">
        <v>0</v>
      </c>
      <c r="O54" s="15">
        <f t="shared" si="0"/>
        <v>274</v>
      </c>
      <c r="P54" s="15">
        <f t="shared" si="1"/>
        <v>664</v>
      </c>
      <c r="R54" s="8"/>
      <c r="T54"/>
    </row>
    <row r="55" spans="2:20" ht="23.1" customHeight="1" x14ac:dyDescent="0.25">
      <c r="B55" s="22" t="s">
        <v>82</v>
      </c>
      <c r="C55" s="49">
        <v>225</v>
      </c>
      <c r="D55" s="49">
        <v>28</v>
      </c>
      <c r="E55" s="49">
        <v>2</v>
      </c>
      <c r="F55" s="49">
        <v>10</v>
      </c>
      <c r="G55" s="49">
        <v>0</v>
      </c>
      <c r="H55" s="49">
        <v>0</v>
      </c>
      <c r="I55" s="49">
        <v>6</v>
      </c>
      <c r="J55" s="49">
        <v>7</v>
      </c>
      <c r="K55" s="49">
        <v>1</v>
      </c>
      <c r="L55" s="49">
        <v>0</v>
      </c>
      <c r="M55" s="49">
        <v>266</v>
      </c>
      <c r="N55" s="49">
        <v>0</v>
      </c>
      <c r="O55" s="15">
        <f t="shared" si="0"/>
        <v>279</v>
      </c>
      <c r="P55" s="15">
        <f t="shared" si="1"/>
        <v>545</v>
      </c>
      <c r="R55" s="8"/>
      <c r="T55"/>
    </row>
    <row r="56" spans="2:20" ht="23.1" customHeight="1" x14ac:dyDescent="0.25">
      <c r="B56" s="22" t="s">
        <v>83</v>
      </c>
      <c r="C56" s="49">
        <v>200</v>
      </c>
      <c r="D56" s="49">
        <v>22</v>
      </c>
      <c r="E56" s="49">
        <v>9</v>
      </c>
      <c r="F56" s="49">
        <v>21</v>
      </c>
      <c r="G56" s="49">
        <v>4</v>
      </c>
      <c r="H56" s="49">
        <v>1</v>
      </c>
      <c r="I56" s="49">
        <v>10</v>
      </c>
      <c r="J56" s="49">
        <v>7</v>
      </c>
      <c r="K56" s="49">
        <v>1</v>
      </c>
      <c r="L56" s="49">
        <v>4</v>
      </c>
      <c r="M56" s="49">
        <v>290</v>
      </c>
      <c r="N56" s="49">
        <v>0</v>
      </c>
      <c r="O56" s="15">
        <f t="shared" si="0"/>
        <v>279</v>
      </c>
      <c r="P56" s="15">
        <f t="shared" si="1"/>
        <v>569</v>
      </c>
      <c r="R56" s="8"/>
      <c r="T56"/>
    </row>
    <row r="57" spans="2:20" ht="23.1" customHeight="1" x14ac:dyDescent="0.25">
      <c r="B57" s="22" t="s">
        <v>84</v>
      </c>
      <c r="C57" s="49">
        <v>225</v>
      </c>
      <c r="D57" s="49">
        <v>20</v>
      </c>
      <c r="E57" s="49">
        <v>3</v>
      </c>
      <c r="F57" s="49">
        <v>13</v>
      </c>
      <c r="G57" s="49">
        <v>1</v>
      </c>
      <c r="H57" s="49">
        <v>0</v>
      </c>
      <c r="I57" s="49">
        <v>11</v>
      </c>
      <c r="J57" s="49">
        <v>3</v>
      </c>
      <c r="K57" s="49">
        <v>2</v>
      </c>
      <c r="L57" s="49">
        <v>4</v>
      </c>
      <c r="M57" s="49">
        <v>314</v>
      </c>
      <c r="N57" s="49">
        <v>0</v>
      </c>
      <c r="O57" s="15">
        <f t="shared" si="0"/>
        <v>282</v>
      </c>
      <c r="P57" s="15">
        <f t="shared" si="1"/>
        <v>596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9161</v>
      </c>
      <c r="D58" s="16">
        <f t="shared" si="21"/>
        <v>1060</v>
      </c>
      <c r="E58" s="16">
        <f t="shared" si="21"/>
        <v>389</v>
      </c>
      <c r="F58" s="16">
        <f t="shared" si="21"/>
        <v>353</v>
      </c>
      <c r="G58" s="16">
        <f t="shared" si="21"/>
        <v>38</v>
      </c>
      <c r="H58" s="16">
        <f t="shared" si="21"/>
        <v>7</v>
      </c>
      <c r="I58" s="16">
        <f t="shared" si="21"/>
        <v>562</v>
      </c>
      <c r="J58" s="16">
        <f t="shared" si="21"/>
        <v>220</v>
      </c>
      <c r="K58" s="16">
        <f t="shared" si="21"/>
        <v>65</v>
      </c>
      <c r="L58" s="16">
        <f t="shared" si="21"/>
        <v>112</v>
      </c>
      <c r="M58" s="16">
        <f t="shared" si="21"/>
        <v>17895</v>
      </c>
      <c r="N58" s="16">
        <f t="shared" si="21"/>
        <v>1</v>
      </c>
      <c r="O58" s="16">
        <f t="shared" si="21"/>
        <v>11968</v>
      </c>
      <c r="P58" s="16">
        <f t="shared" si="21"/>
        <v>29863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0.30676757191173021</v>
      </c>
      <c r="D59" s="42">
        <f t="shared" si="22"/>
        <v>3.5495429126343639E-2</v>
      </c>
      <c r="E59" s="42">
        <f t="shared" si="22"/>
        <v>1.3026152764290259E-2</v>
      </c>
      <c r="F59" s="42">
        <f t="shared" si="22"/>
        <v>1.1820647624150287E-2</v>
      </c>
      <c r="G59" s="42">
        <f t="shared" si="22"/>
        <v>1.2724776479255265E-3</v>
      </c>
      <c r="H59" s="42">
        <f t="shared" si="22"/>
        <v>2.344037772494391E-4</v>
      </c>
      <c r="I59" s="42">
        <f t="shared" si="22"/>
        <v>1.8819274687740681E-2</v>
      </c>
      <c r="J59" s="42">
        <f t="shared" si="22"/>
        <v>7.3669758564109435E-3</v>
      </c>
      <c r="K59" s="42">
        <f t="shared" si="22"/>
        <v>2.1766065030305059E-3</v>
      </c>
      <c r="L59" s="42">
        <f t="shared" si="22"/>
        <v>3.7504604359910256E-3</v>
      </c>
      <c r="M59" s="42">
        <f t="shared" si="22"/>
        <v>0.59923651341124473</v>
      </c>
      <c r="N59" s="42">
        <f t="shared" si="22"/>
        <v>3.3486253892777012E-5</v>
      </c>
      <c r="R59" s="8"/>
      <c r="T59"/>
    </row>
    <row r="60" spans="2:20" ht="23.1" customHeight="1" x14ac:dyDescent="0.25">
      <c r="B60" s="41" t="s">
        <v>94</v>
      </c>
      <c r="C60" s="43">
        <f>C58/$O$58</f>
        <v>0.7654578877005348</v>
      </c>
      <c r="D60" s="43">
        <f t="shared" ref="D60:N60" si="23">D58/$O$58</f>
        <v>8.8569518716577533E-2</v>
      </c>
      <c r="E60" s="43">
        <f t="shared" si="23"/>
        <v>3.2503342245989303E-2</v>
      </c>
      <c r="F60" s="43">
        <f t="shared" si="23"/>
        <v>2.9495320855614973E-2</v>
      </c>
      <c r="G60" s="43">
        <f t="shared" si="23"/>
        <v>3.1751336898395723E-3</v>
      </c>
      <c r="H60" s="43">
        <f t="shared" si="23"/>
        <v>5.848930481283422E-4</v>
      </c>
      <c r="I60" s="43">
        <f t="shared" si="23"/>
        <v>4.6958556149732621E-2</v>
      </c>
      <c r="J60" s="43">
        <f t="shared" si="23"/>
        <v>1.8382352941176471E-2</v>
      </c>
      <c r="K60" s="43">
        <f t="shared" si="23"/>
        <v>5.4311497326203209E-3</v>
      </c>
      <c r="L60" s="43">
        <f t="shared" si="23"/>
        <v>9.3582887700534752E-3</v>
      </c>
      <c r="M60" s="43"/>
      <c r="N60" s="43">
        <f t="shared" si="23"/>
        <v>8.3556149732620316E-5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74"/>
  <sheetViews>
    <sheetView view="pageBreakPreview" topLeftCell="B37" zoomScale="60" workbookViewId="0">
      <selection activeCell="I57" sqref="I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64" t="s">
        <v>173</v>
      </c>
      <c r="D3" s="67"/>
      <c r="E3" s="67"/>
      <c r="F3" s="67"/>
      <c r="G3" s="68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tr">
        <f>'1.08.Jinja RD-Mukwano RBT 24h'!D5</f>
        <v>1.08.2019</v>
      </c>
      <c r="E5" s="3"/>
      <c r="F5" s="40" t="s">
        <v>1</v>
      </c>
      <c r="G5" s="58" t="str">
        <f>'1.08.Jinja RD-Mukwano RBT 24h'!G5:H5</f>
        <v>Access Road (49f)</v>
      </c>
      <c r="H5" s="59"/>
      <c r="I5" s="14"/>
      <c r="J5" s="2" t="s">
        <v>5</v>
      </c>
      <c r="K5" s="58" t="s">
        <v>177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167</v>
      </c>
      <c r="E6" s="59"/>
      <c r="F6" s="2" t="s">
        <v>2</v>
      </c>
      <c r="G6" s="58" t="s">
        <v>165</v>
      </c>
      <c r="H6" s="59"/>
      <c r="J6" s="2" t="s">
        <v>21</v>
      </c>
      <c r="K6" s="58" t="s">
        <v>176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85</v>
      </c>
      <c r="D10" s="49">
        <v>17</v>
      </c>
      <c r="E10" s="49">
        <v>18</v>
      </c>
      <c r="F10" s="49">
        <v>14</v>
      </c>
      <c r="G10" s="49">
        <v>0</v>
      </c>
      <c r="H10" s="49">
        <v>0</v>
      </c>
      <c r="I10" s="49">
        <v>2</v>
      </c>
      <c r="J10" s="49">
        <v>1</v>
      </c>
      <c r="K10" s="49">
        <v>2</v>
      </c>
      <c r="L10" s="49">
        <v>0</v>
      </c>
      <c r="M10" s="49">
        <v>200</v>
      </c>
      <c r="N10" s="49">
        <v>0</v>
      </c>
      <c r="O10" s="15">
        <f t="shared" ref="O10:O73" si="0">SUM(C10:L10,N10)</f>
        <v>139</v>
      </c>
      <c r="P10" s="15">
        <f t="shared" ref="P10:P73" si="1">SUM(C10:N10)</f>
        <v>339</v>
      </c>
      <c r="R10" s="1" t="s">
        <v>6</v>
      </c>
      <c r="S10" s="17">
        <f t="shared" ref="S10:AF10" si="2">SUM(C10:C13)</f>
        <v>637</v>
      </c>
      <c r="T10" s="17">
        <f t="shared" si="2"/>
        <v>193</v>
      </c>
      <c r="U10" s="17">
        <f t="shared" si="2"/>
        <v>70</v>
      </c>
      <c r="V10" s="17">
        <f t="shared" si="2"/>
        <v>63</v>
      </c>
      <c r="W10" s="17">
        <f t="shared" si="2"/>
        <v>1</v>
      </c>
      <c r="X10" s="17">
        <f t="shared" si="2"/>
        <v>1</v>
      </c>
      <c r="Y10" s="17">
        <f t="shared" si="2"/>
        <v>11</v>
      </c>
      <c r="Z10" s="17">
        <f t="shared" si="2"/>
        <v>3</v>
      </c>
      <c r="AA10" s="17">
        <f t="shared" si="2"/>
        <v>4</v>
      </c>
      <c r="AB10" s="17">
        <f t="shared" si="2"/>
        <v>3</v>
      </c>
      <c r="AC10" s="17">
        <f t="shared" si="2"/>
        <v>825</v>
      </c>
      <c r="AD10" s="17">
        <f t="shared" si="2"/>
        <v>0</v>
      </c>
      <c r="AE10" s="30">
        <f t="shared" si="2"/>
        <v>986</v>
      </c>
      <c r="AF10" s="30">
        <f t="shared" si="2"/>
        <v>1811</v>
      </c>
    </row>
    <row r="11" spans="2:32" s="6" customFormat="1" ht="23.1" customHeight="1" x14ac:dyDescent="0.25">
      <c r="B11" s="44" t="s">
        <v>38</v>
      </c>
      <c r="C11" s="49">
        <v>102</v>
      </c>
      <c r="D11" s="49">
        <v>43</v>
      </c>
      <c r="E11" s="49">
        <v>26</v>
      </c>
      <c r="F11" s="49">
        <v>17</v>
      </c>
      <c r="G11" s="49">
        <v>0</v>
      </c>
      <c r="H11" s="49">
        <v>0</v>
      </c>
      <c r="I11" s="49">
        <v>4</v>
      </c>
      <c r="J11" s="49">
        <v>2</v>
      </c>
      <c r="K11" s="49">
        <v>0</v>
      </c>
      <c r="L11" s="49">
        <v>2</v>
      </c>
      <c r="M11" s="49">
        <v>195</v>
      </c>
      <c r="N11" s="49">
        <v>0</v>
      </c>
      <c r="O11" s="15">
        <f t="shared" si="0"/>
        <v>196</v>
      </c>
      <c r="P11" s="15">
        <f t="shared" si="1"/>
        <v>391</v>
      </c>
      <c r="R11" s="1" t="s">
        <v>7</v>
      </c>
      <c r="S11" s="17">
        <f t="shared" ref="S11:AF11" si="3">SUM(C14:C17)</f>
        <v>1250</v>
      </c>
      <c r="T11" s="17">
        <f t="shared" si="3"/>
        <v>187</v>
      </c>
      <c r="U11" s="17">
        <f t="shared" si="3"/>
        <v>50</v>
      </c>
      <c r="V11" s="17">
        <f t="shared" si="3"/>
        <v>42</v>
      </c>
      <c r="W11" s="17">
        <f t="shared" si="3"/>
        <v>2</v>
      </c>
      <c r="X11" s="17">
        <f t="shared" si="3"/>
        <v>0</v>
      </c>
      <c r="Y11" s="17">
        <f t="shared" si="3"/>
        <v>13</v>
      </c>
      <c r="Z11" s="17">
        <f t="shared" si="3"/>
        <v>6</v>
      </c>
      <c r="AA11" s="17">
        <f t="shared" si="3"/>
        <v>2</v>
      </c>
      <c r="AB11" s="17">
        <f t="shared" si="3"/>
        <v>5</v>
      </c>
      <c r="AC11" s="17">
        <f t="shared" si="3"/>
        <v>1101</v>
      </c>
      <c r="AD11" s="17">
        <f t="shared" si="3"/>
        <v>0</v>
      </c>
      <c r="AE11" s="30">
        <f t="shared" si="3"/>
        <v>1557</v>
      </c>
      <c r="AF11" s="30">
        <f t="shared" si="3"/>
        <v>2658</v>
      </c>
    </row>
    <row r="12" spans="2:32" ht="23.1" customHeight="1" x14ac:dyDescent="0.25">
      <c r="B12" s="44" t="s">
        <v>39</v>
      </c>
      <c r="C12" s="49">
        <v>145</v>
      </c>
      <c r="D12" s="49">
        <v>48</v>
      </c>
      <c r="E12" s="49">
        <v>9</v>
      </c>
      <c r="F12" s="49">
        <v>9</v>
      </c>
      <c r="G12" s="49">
        <v>0</v>
      </c>
      <c r="H12" s="49">
        <v>1</v>
      </c>
      <c r="I12" s="49">
        <v>1</v>
      </c>
      <c r="J12" s="49">
        <v>0</v>
      </c>
      <c r="K12" s="49">
        <v>1</v>
      </c>
      <c r="L12" s="49">
        <v>0</v>
      </c>
      <c r="M12" s="49">
        <v>250</v>
      </c>
      <c r="N12" s="49">
        <v>0</v>
      </c>
      <c r="O12" s="15">
        <f t="shared" si="0"/>
        <v>214</v>
      </c>
      <c r="P12" s="15">
        <f t="shared" si="1"/>
        <v>464</v>
      </c>
      <c r="R12" s="1" t="s">
        <v>8</v>
      </c>
      <c r="S12" s="17">
        <f t="shared" ref="S12:AF12" si="4">SUM(C18:C21)</f>
        <v>1212</v>
      </c>
      <c r="T12" s="17">
        <f t="shared" si="4"/>
        <v>240</v>
      </c>
      <c r="U12" s="17">
        <f t="shared" si="4"/>
        <v>69</v>
      </c>
      <c r="V12" s="17">
        <f t="shared" si="4"/>
        <v>53</v>
      </c>
      <c r="W12" s="17">
        <f t="shared" si="4"/>
        <v>5</v>
      </c>
      <c r="X12" s="17">
        <f t="shared" si="4"/>
        <v>0</v>
      </c>
      <c r="Y12" s="17">
        <f t="shared" si="4"/>
        <v>23</v>
      </c>
      <c r="Z12" s="17">
        <f t="shared" si="4"/>
        <v>14</v>
      </c>
      <c r="AA12" s="17">
        <f t="shared" si="4"/>
        <v>5</v>
      </c>
      <c r="AB12" s="17">
        <f t="shared" si="4"/>
        <v>2</v>
      </c>
      <c r="AC12" s="17">
        <f t="shared" si="4"/>
        <v>1245</v>
      </c>
      <c r="AD12" s="17">
        <f t="shared" si="4"/>
        <v>0</v>
      </c>
      <c r="AE12" s="30">
        <f t="shared" si="4"/>
        <v>1623</v>
      </c>
      <c r="AF12" s="30">
        <f t="shared" si="4"/>
        <v>2868</v>
      </c>
    </row>
    <row r="13" spans="2:32" ht="23.1" customHeight="1" x14ac:dyDescent="0.25">
      <c r="B13" s="44" t="s">
        <v>40</v>
      </c>
      <c r="C13" s="49">
        <v>305</v>
      </c>
      <c r="D13" s="49">
        <v>85</v>
      </c>
      <c r="E13" s="49">
        <v>17</v>
      </c>
      <c r="F13" s="49">
        <v>23</v>
      </c>
      <c r="G13" s="49">
        <v>1</v>
      </c>
      <c r="H13" s="49">
        <v>0</v>
      </c>
      <c r="I13" s="49">
        <v>4</v>
      </c>
      <c r="J13" s="49">
        <v>0</v>
      </c>
      <c r="K13" s="49">
        <v>1</v>
      </c>
      <c r="L13" s="49">
        <v>1</v>
      </c>
      <c r="M13" s="49">
        <v>180</v>
      </c>
      <c r="N13" s="49">
        <v>0</v>
      </c>
      <c r="O13" s="15">
        <f t="shared" si="0"/>
        <v>437</v>
      </c>
      <c r="P13" s="15">
        <f t="shared" si="1"/>
        <v>617</v>
      </c>
      <c r="R13" s="1" t="s">
        <v>9</v>
      </c>
      <c r="S13" s="17">
        <f t="shared" ref="S13:AF13" si="5">SUM(C22:C25)</f>
        <v>844</v>
      </c>
      <c r="T13" s="17">
        <f t="shared" si="5"/>
        <v>203</v>
      </c>
      <c r="U13" s="17">
        <f t="shared" si="5"/>
        <v>67</v>
      </c>
      <c r="V13" s="17">
        <f t="shared" si="5"/>
        <v>44</v>
      </c>
      <c r="W13" s="17">
        <f t="shared" si="5"/>
        <v>8</v>
      </c>
      <c r="X13" s="17">
        <f t="shared" si="5"/>
        <v>2</v>
      </c>
      <c r="Y13" s="17">
        <f t="shared" si="5"/>
        <v>21</v>
      </c>
      <c r="Z13" s="17">
        <f t="shared" si="5"/>
        <v>10</v>
      </c>
      <c r="AA13" s="17">
        <f t="shared" si="5"/>
        <v>8</v>
      </c>
      <c r="AB13" s="17">
        <f t="shared" si="5"/>
        <v>2</v>
      </c>
      <c r="AC13" s="17">
        <f t="shared" si="5"/>
        <v>1498</v>
      </c>
      <c r="AD13" s="17">
        <f t="shared" si="5"/>
        <v>1</v>
      </c>
      <c r="AE13" s="30">
        <f t="shared" si="5"/>
        <v>1210</v>
      </c>
      <c r="AF13" s="30">
        <f t="shared" si="5"/>
        <v>2708</v>
      </c>
    </row>
    <row r="14" spans="2:32" ht="23.1" customHeight="1" x14ac:dyDescent="0.25">
      <c r="B14" s="44" t="s">
        <v>41</v>
      </c>
      <c r="C14" s="49">
        <v>314</v>
      </c>
      <c r="D14" s="49">
        <v>0</v>
      </c>
      <c r="E14" s="49">
        <v>20</v>
      </c>
      <c r="F14" s="49">
        <v>13</v>
      </c>
      <c r="G14" s="49">
        <v>1</v>
      </c>
      <c r="H14" s="49">
        <v>0</v>
      </c>
      <c r="I14" s="49">
        <v>3</v>
      </c>
      <c r="J14" s="49">
        <v>1</v>
      </c>
      <c r="K14" s="49">
        <v>1</v>
      </c>
      <c r="L14" s="49">
        <v>3</v>
      </c>
      <c r="M14" s="49">
        <v>310</v>
      </c>
      <c r="N14" s="49">
        <v>0</v>
      </c>
      <c r="O14" s="15">
        <f t="shared" si="0"/>
        <v>356</v>
      </c>
      <c r="P14" s="15">
        <f t="shared" si="1"/>
        <v>666</v>
      </c>
      <c r="R14" s="1" t="s">
        <v>10</v>
      </c>
      <c r="S14" s="17">
        <f t="shared" ref="S14:AF14" si="6">SUM(C26:C29)</f>
        <v>805</v>
      </c>
      <c r="T14" s="17">
        <f t="shared" si="6"/>
        <v>213</v>
      </c>
      <c r="U14" s="17">
        <f t="shared" si="6"/>
        <v>85</v>
      </c>
      <c r="V14" s="17">
        <f t="shared" si="6"/>
        <v>47</v>
      </c>
      <c r="W14" s="17">
        <f t="shared" si="6"/>
        <v>3</v>
      </c>
      <c r="X14" s="17">
        <f t="shared" si="6"/>
        <v>0</v>
      </c>
      <c r="Y14" s="17">
        <f t="shared" si="6"/>
        <v>30</v>
      </c>
      <c r="Z14" s="17">
        <f t="shared" si="6"/>
        <v>13</v>
      </c>
      <c r="AA14" s="17">
        <f t="shared" si="6"/>
        <v>4</v>
      </c>
      <c r="AB14" s="17">
        <f t="shared" si="6"/>
        <v>13</v>
      </c>
      <c r="AC14" s="17">
        <f t="shared" si="6"/>
        <v>1316</v>
      </c>
      <c r="AD14" s="17">
        <f t="shared" si="6"/>
        <v>1</v>
      </c>
      <c r="AE14" s="30">
        <f t="shared" si="6"/>
        <v>1214</v>
      </c>
      <c r="AF14" s="30">
        <f t="shared" si="6"/>
        <v>2530</v>
      </c>
    </row>
    <row r="15" spans="2:32" ht="23.1" customHeight="1" x14ac:dyDescent="0.25">
      <c r="B15" s="44" t="s">
        <v>42</v>
      </c>
      <c r="C15" s="49">
        <v>331</v>
      </c>
      <c r="D15" s="49">
        <v>61</v>
      </c>
      <c r="E15" s="49">
        <v>13</v>
      </c>
      <c r="F15" s="49">
        <v>12</v>
      </c>
      <c r="G15" s="49">
        <v>0</v>
      </c>
      <c r="H15" s="49">
        <v>0</v>
      </c>
      <c r="I15" s="49">
        <v>5</v>
      </c>
      <c r="J15" s="49">
        <v>1</v>
      </c>
      <c r="K15" s="49">
        <v>1</v>
      </c>
      <c r="L15" s="49">
        <v>0</v>
      </c>
      <c r="M15" s="49">
        <v>251</v>
      </c>
      <c r="N15" s="49">
        <v>0</v>
      </c>
      <c r="O15" s="15">
        <f t="shared" si="0"/>
        <v>424</v>
      </c>
      <c r="P15" s="15">
        <f t="shared" si="1"/>
        <v>675</v>
      </c>
      <c r="R15" s="1" t="s">
        <v>11</v>
      </c>
      <c r="S15" s="17">
        <f t="shared" ref="S15:AF15" si="7">SUM(C30:C33)</f>
        <v>836</v>
      </c>
      <c r="T15" s="17">
        <f t="shared" si="7"/>
        <v>241</v>
      </c>
      <c r="U15" s="17">
        <f t="shared" si="7"/>
        <v>81</v>
      </c>
      <c r="V15" s="17">
        <f t="shared" si="7"/>
        <v>39</v>
      </c>
      <c r="W15" s="17">
        <f t="shared" si="7"/>
        <v>1</v>
      </c>
      <c r="X15" s="17">
        <f t="shared" si="7"/>
        <v>1</v>
      </c>
      <c r="Y15" s="17">
        <f t="shared" si="7"/>
        <v>23</v>
      </c>
      <c r="Z15" s="17">
        <f t="shared" si="7"/>
        <v>15</v>
      </c>
      <c r="AA15" s="17">
        <f t="shared" si="7"/>
        <v>4</v>
      </c>
      <c r="AB15" s="17">
        <f t="shared" si="7"/>
        <v>4</v>
      </c>
      <c r="AC15" s="17">
        <f t="shared" si="7"/>
        <v>1292</v>
      </c>
      <c r="AD15" s="17">
        <f t="shared" si="7"/>
        <v>0</v>
      </c>
      <c r="AE15" s="30">
        <f t="shared" si="7"/>
        <v>1245</v>
      </c>
      <c r="AF15" s="30">
        <f t="shared" si="7"/>
        <v>2537</v>
      </c>
    </row>
    <row r="16" spans="2:32" ht="23.1" customHeight="1" x14ac:dyDescent="0.25">
      <c r="B16" s="44" t="s">
        <v>43</v>
      </c>
      <c r="C16" s="49">
        <v>297</v>
      </c>
      <c r="D16" s="49">
        <v>72</v>
      </c>
      <c r="E16" s="49">
        <v>9</v>
      </c>
      <c r="F16" s="49">
        <v>10</v>
      </c>
      <c r="G16" s="49">
        <v>0</v>
      </c>
      <c r="H16" s="49">
        <v>0</v>
      </c>
      <c r="I16" s="49">
        <v>2</v>
      </c>
      <c r="J16" s="49">
        <v>2</v>
      </c>
      <c r="K16" s="49">
        <v>0</v>
      </c>
      <c r="L16" s="49">
        <v>0</v>
      </c>
      <c r="M16" s="49">
        <v>240</v>
      </c>
      <c r="N16" s="49">
        <v>0</v>
      </c>
      <c r="O16" s="15">
        <f t="shared" si="0"/>
        <v>392</v>
      </c>
      <c r="P16" s="15">
        <f t="shared" si="1"/>
        <v>632</v>
      </c>
      <c r="R16" s="1" t="s">
        <v>12</v>
      </c>
      <c r="S16" s="17">
        <f t="shared" ref="S16:AF16" si="8">SUM(C34:C37)</f>
        <v>599</v>
      </c>
      <c r="T16" s="17">
        <f t="shared" si="8"/>
        <v>137</v>
      </c>
      <c r="U16" s="17">
        <f t="shared" si="8"/>
        <v>51</v>
      </c>
      <c r="V16" s="17">
        <f t="shared" si="8"/>
        <v>42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8</v>
      </c>
      <c r="AA16" s="17">
        <f t="shared" si="8"/>
        <v>6</v>
      </c>
      <c r="AB16" s="17">
        <f t="shared" si="8"/>
        <v>10</v>
      </c>
      <c r="AC16" s="17">
        <f t="shared" si="8"/>
        <v>1082</v>
      </c>
      <c r="AD16" s="17">
        <f t="shared" si="8"/>
        <v>0</v>
      </c>
      <c r="AE16" s="30">
        <f t="shared" si="8"/>
        <v>867</v>
      </c>
      <c r="AF16" s="30">
        <f t="shared" si="8"/>
        <v>1949</v>
      </c>
    </row>
    <row r="17" spans="2:32" ht="23.1" customHeight="1" x14ac:dyDescent="0.25">
      <c r="B17" s="44" t="s">
        <v>44</v>
      </c>
      <c r="C17" s="49">
        <v>308</v>
      </c>
      <c r="D17" s="49">
        <v>54</v>
      </c>
      <c r="E17" s="49">
        <v>8</v>
      </c>
      <c r="F17" s="49">
        <v>7</v>
      </c>
      <c r="G17" s="49">
        <v>1</v>
      </c>
      <c r="H17" s="49">
        <v>0</v>
      </c>
      <c r="I17" s="49">
        <v>3</v>
      </c>
      <c r="J17" s="49">
        <v>2</v>
      </c>
      <c r="K17" s="49">
        <v>0</v>
      </c>
      <c r="L17" s="49">
        <v>2</v>
      </c>
      <c r="M17" s="49">
        <v>300</v>
      </c>
      <c r="N17" s="49">
        <v>0</v>
      </c>
      <c r="O17" s="15">
        <f t="shared" si="0"/>
        <v>385</v>
      </c>
      <c r="P17" s="15">
        <f t="shared" si="1"/>
        <v>685</v>
      </c>
      <c r="R17" s="1" t="s">
        <v>13</v>
      </c>
      <c r="S17" s="17">
        <f t="shared" ref="S17:AF17" si="9">SUM(C38:C41)</f>
        <v>682</v>
      </c>
      <c r="T17" s="17">
        <f t="shared" si="9"/>
        <v>153</v>
      </c>
      <c r="U17" s="17">
        <f t="shared" si="9"/>
        <v>59</v>
      </c>
      <c r="V17" s="17">
        <f t="shared" si="9"/>
        <v>33</v>
      </c>
      <c r="W17" s="17">
        <f t="shared" si="9"/>
        <v>1</v>
      </c>
      <c r="X17" s="17">
        <f t="shared" si="9"/>
        <v>1</v>
      </c>
      <c r="Y17" s="17">
        <f t="shared" si="9"/>
        <v>17</v>
      </c>
      <c r="Z17" s="17">
        <f t="shared" si="9"/>
        <v>9</v>
      </c>
      <c r="AA17" s="17">
        <f t="shared" si="9"/>
        <v>7</v>
      </c>
      <c r="AB17" s="17">
        <f t="shared" si="9"/>
        <v>9</v>
      </c>
      <c r="AC17" s="17">
        <f t="shared" si="9"/>
        <v>1115</v>
      </c>
      <c r="AD17" s="17">
        <f t="shared" si="9"/>
        <v>0</v>
      </c>
      <c r="AE17" s="30">
        <f t="shared" si="9"/>
        <v>971</v>
      </c>
      <c r="AF17" s="30">
        <f t="shared" si="9"/>
        <v>2086</v>
      </c>
    </row>
    <row r="18" spans="2:32" ht="23.1" customHeight="1" x14ac:dyDescent="0.25">
      <c r="B18" s="44" t="s">
        <v>45</v>
      </c>
      <c r="C18" s="49">
        <v>340</v>
      </c>
      <c r="D18" s="49">
        <v>50</v>
      </c>
      <c r="E18" s="49">
        <v>9</v>
      </c>
      <c r="F18" s="49">
        <v>10</v>
      </c>
      <c r="G18" s="49">
        <v>0</v>
      </c>
      <c r="H18" s="49">
        <v>0</v>
      </c>
      <c r="I18" s="49">
        <v>7</v>
      </c>
      <c r="J18" s="49">
        <v>1</v>
      </c>
      <c r="K18" s="49">
        <v>3</v>
      </c>
      <c r="L18" s="49">
        <v>0</v>
      </c>
      <c r="M18" s="49">
        <v>308</v>
      </c>
      <c r="N18" s="49">
        <v>0</v>
      </c>
      <c r="O18" s="15">
        <f t="shared" si="0"/>
        <v>420</v>
      </c>
      <c r="P18" s="15">
        <f t="shared" si="1"/>
        <v>728</v>
      </c>
      <c r="R18" s="1" t="s">
        <v>14</v>
      </c>
      <c r="S18" s="17">
        <f t="shared" ref="S18:AF18" si="10">SUM(C42:C45)</f>
        <v>654</v>
      </c>
      <c r="T18" s="17">
        <f t="shared" si="10"/>
        <v>182</v>
      </c>
      <c r="U18" s="17">
        <f t="shared" si="10"/>
        <v>79</v>
      </c>
      <c r="V18" s="17">
        <f t="shared" si="10"/>
        <v>40</v>
      </c>
      <c r="W18" s="17">
        <f t="shared" si="10"/>
        <v>2</v>
      </c>
      <c r="X18" s="17">
        <f t="shared" si="10"/>
        <v>2</v>
      </c>
      <c r="Y18" s="17">
        <f t="shared" si="10"/>
        <v>24</v>
      </c>
      <c r="Z18" s="17">
        <f t="shared" si="10"/>
        <v>12</v>
      </c>
      <c r="AA18" s="17">
        <f t="shared" si="10"/>
        <v>6</v>
      </c>
      <c r="AB18" s="17">
        <f t="shared" si="10"/>
        <v>14</v>
      </c>
      <c r="AC18" s="17">
        <f t="shared" si="10"/>
        <v>1390</v>
      </c>
      <c r="AD18" s="17">
        <f t="shared" si="10"/>
        <v>0</v>
      </c>
      <c r="AE18" s="30">
        <f t="shared" si="10"/>
        <v>1015</v>
      </c>
      <c r="AF18" s="30">
        <f t="shared" si="10"/>
        <v>2405</v>
      </c>
    </row>
    <row r="19" spans="2:32" ht="23.1" customHeight="1" x14ac:dyDescent="0.25">
      <c r="B19" s="44" t="s">
        <v>46</v>
      </c>
      <c r="C19" s="49">
        <v>311</v>
      </c>
      <c r="D19" s="49">
        <v>73</v>
      </c>
      <c r="E19" s="49">
        <v>18</v>
      </c>
      <c r="F19" s="49">
        <v>19</v>
      </c>
      <c r="G19" s="49">
        <v>0</v>
      </c>
      <c r="H19" s="49">
        <v>0</v>
      </c>
      <c r="I19" s="49">
        <v>6</v>
      </c>
      <c r="J19" s="49">
        <v>4</v>
      </c>
      <c r="K19" s="49">
        <v>0</v>
      </c>
      <c r="L19" s="49">
        <v>0</v>
      </c>
      <c r="M19" s="49">
        <v>316</v>
      </c>
      <c r="N19" s="49">
        <v>0</v>
      </c>
      <c r="O19" s="15">
        <f t="shared" si="0"/>
        <v>431</v>
      </c>
      <c r="P19" s="15">
        <f t="shared" si="1"/>
        <v>747</v>
      </c>
      <c r="R19" s="1" t="s">
        <v>15</v>
      </c>
      <c r="S19" s="17">
        <f t="shared" ref="S19:AF19" si="11">SUM(C46:C49)</f>
        <v>528</v>
      </c>
      <c r="T19" s="17">
        <f t="shared" si="11"/>
        <v>140</v>
      </c>
      <c r="U19" s="17">
        <f t="shared" si="11"/>
        <v>61</v>
      </c>
      <c r="V19" s="17">
        <f t="shared" si="11"/>
        <v>40</v>
      </c>
      <c r="W19" s="17">
        <f t="shared" si="11"/>
        <v>1</v>
      </c>
      <c r="X19" s="17">
        <f t="shared" si="11"/>
        <v>1</v>
      </c>
      <c r="Y19" s="17">
        <f t="shared" si="11"/>
        <v>20</v>
      </c>
      <c r="Z19" s="17">
        <f t="shared" si="11"/>
        <v>12</v>
      </c>
      <c r="AA19" s="17">
        <f t="shared" si="11"/>
        <v>1</v>
      </c>
      <c r="AB19" s="17">
        <f t="shared" si="11"/>
        <v>13</v>
      </c>
      <c r="AC19" s="17">
        <f t="shared" si="11"/>
        <v>1334</v>
      </c>
      <c r="AD19" s="17">
        <f t="shared" si="11"/>
        <v>0</v>
      </c>
      <c r="AE19" s="30">
        <f t="shared" si="11"/>
        <v>817</v>
      </c>
      <c r="AF19" s="30">
        <f t="shared" si="11"/>
        <v>2151</v>
      </c>
    </row>
    <row r="20" spans="2:32" ht="23.1" customHeight="1" x14ac:dyDescent="0.25">
      <c r="B20" s="44" t="s">
        <v>47</v>
      </c>
      <c r="C20" s="49">
        <v>296</v>
      </c>
      <c r="D20" s="49">
        <v>61</v>
      </c>
      <c r="E20" s="49">
        <v>19</v>
      </c>
      <c r="F20" s="49">
        <v>8</v>
      </c>
      <c r="G20" s="49">
        <v>5</v>
      </c>
      <c r="H20" s="49">
        <v>0</v>
      </c>
      <c r="I20" s="49">
        <v>5</v>
      </c>
      <c r="J20" s="49">
        <v>3</v>
      </c>
      <c r="K20" s="49">
        <v>0</v>
      </c>
      <c r="L20" s="49">
        <v>2</v>
      </c>
      <c r="M20" s="49">
        <v>301</v>
      </c>
      <c r="N20" s="49">
        <v>0</v>
      </c>
      <c r="O20" s="15">
        <f t="shared" si="0"/>
        <v>399</v>
      </c>
      <c r="P20" s="15">
        <f t="shared" si="1"/>
        <v>700</v>
      </c>
      <c r="R20" s="1" t="s">
        <v>16</v>
      </c>
      <c r="S20" s="17">
        <f t="shared" ref="S20:AF20" si="12">SUM(C50:C53)</f>
        <v>701</v>
      </c>
      <c r="T20" s="17">
        <f t="shared" si="12"/>
        <v>192</v>
      </c>
      <c r="U20" s="17">
        <f t="shared" si="12"/>
        <v>65</v>
      </c>
      <c r="V20" s="17">
        <f t="shared" si="12"/>
        <v>49</v>
      </c>
      <c r="W20" s="17">
        <f t="shared" si="12"/>
        <v>3</v>
      </c>
      <c r="X20" s="17">
        <f t="shared" si="12"/>
        <v>0</v>
      </c>
      <c r="Y20" s="17">
        <f t="shared" si="12"/>
        <v>12</v>
      </c>
      <c r="Z20" s="17">
        <f t="shared" si="12"/>
        <v>9</v>
      </c>
      <c r="AA20" s="17">
        <f t="shared" si="12"/>
        <v>3</v>
      </c>
      <c r="AB20" s="17">
        <f t="shared" si="12"/>
        <v>8</v>
      </c>
      <c r="AC20" s="17">
        <f t="shared" si="12"/>
        <v>1312</v>
      </c>
      <c r="AD20" s="17">
        <f t="shared" si="12"/>
        <v>1</v>
      </c>
      <c r="AE20" s="30">
        <f t="shared" si="12"/>
        <v>1043</v>
      </c>
      <c r="AF20" s="30">
        <f t="shared" si="12"/>
        <v>2355</v>
      </c>
    </row>
    <row r="21" spans="2:32" ht="23.1" customHeight="1" x14ac:dyDescent="0.25">
      <c r="B21" s="44" t="s">
        <v>48</v>
      </c>
      <c r="C21" s="49">
        <v>265</v>
      </c>
      <c r="D21" s="49">
        <v>56</v>
      </c>
      <c r="E21" s="49">
        <v>23</v>
      </c>
      <c r="F21" s="49">
        <v>16</v>
      </c>
      <c r="G21" s="49">
        <v>0</v>
      </c>
      <c r="H21" s="49">
        <v>0</v>
      </c>
      <c r="I21" s="49">
        <v>5</v>
      </c>
      <c r="J21" s="49">
        <v>6</v>
      </c>
      <c r="K21" s="49">
        <v>2</v>
      </c>
      <c r="L21" s="49">
        <v>0</v>
      </c>
      <c r="M21" s="49">
        <v>320</v>
      </c>
      <c r="N21" s="49">
        <v>0</v>
      </c>
      <c r="O21" s="15">
        <f t="shared" si="0"/>
        <v>373</v>
      </c>
      <c r="P21" s="15">
        <f t="shared" si="1"/>
        <v>693</v>
      </c>
      <c r="R21" s="35" t="s">
        <v>20</v>
      </c>
      <c r="S21" s="33">
        <f t="shared" ref="S21:AF21" si="13">SUM(C54:C57)</f>
        <v>596</v>
      </c>
      <c r="T21" s="17">
        <f t="shared" si="13"/>
        <v>113</v>
      </c>
      <c r="U21" s="17">
        <f t="shared" si="13"/>
        <v>45</v>
      </c>
      <c r="V21" s="17">
        <f t="shared" si="13"/>
        <v>47</v>
      </c>
      <c r="W21" s="17">
        <f t="shared" si="13"/>
        <v>10</v>
      </c>
      <c r="X21" s="17">
        <f t="shared" si="13"/>
        <v>4</v>
      </c>
      <c r="Y21" s="17">
        <f t="shared" si="13"/>
        <v>7</v>
      </c>
      <c r="Z21" s="17">
        <f t="shared" si="13"/>
        <v>9</v>
      </c>
      <c r="AA21" s="17">
        <f t="shared" si="13"/>
        <v>1</v>
      </c>
      <c r="AB21" s="17">
        <f t="shared" si="13"/>
        <v>5</v>
      </c>
      <c r="AC21" s="17">
        <f t="shared" si="13"/>
        <v>1006</v>
      </c>
      <c r="AD21" s="17">
        <f t="shared" si="13"/>
        <v>1</v>
      </c>
      <c r="AE21" s="30">
        <f t="shared" si="13"/>
        <v>838</v>
      </c>
      <c r="AF21" s="30">
        <f t="shared" si="13"/>
        <v>1844</v>
      </c>
    </row>
    <row r="22" spans="2:32" ht="23.1" customHeight="1" x14ac:dyDescent="0.25">
      <c r="B22" s="44" t="s">
        <v>49</v>
      </c>
      <c r="C22" s="49">
        <v>231</v>
      </c>
      <c r="D22" s="49">
        <v>53</v>
      </c>
      <c r="E22" s="49">
        <v>16</v>
      </c>
      <c r="F22" s="49">
        <v>10</v>
      </c>
      <c r="G22" s="49">
        <v>3</v>
      </c>
      <c r="H22" s="49">
        <v>1</v>
      </c>
      <c r="I22" s="49">
        <v>8</v>
      </c>
      <c r="J22" s="49">
        <v>2</v>
      </c>
      <c r="K22" s="49">
        <v>2</v>
      </c>
      <c r="L22" s="49">
        <v>0</v>
      </c>
      <c r="M22" s="49">
        <v>392</v>
      </c>
      <c r="N22" s="49">
        <v>1</v>
      </c>
      <c r="O22" s="15">
        <f t="shared" si="0"/>
        <v>327</v>
      </c>
      <c r="P22" s="15">
        <f t="shared" si="1"/>
        <v>719</v>
      </c>
      <c r="R22" s="35" t="s">
        <v>146</v>
      </c>
      <c r="S22" s="33">
        <f>SUM(C58:C61)</f>
        <v>483</v>
      </c>
      <c r="T22" s="33">
        <f t="shared" ref="T22:AF22" si="14">SUM(D58:D61)</f>
        <v>136</v>
      </c>
      <c r="U22" s="33">
        <f t="shared" si="14"/>
        <v>48</v>
      </c>
      <c r="V22" s="33">
        <f t="shared" si="14"/>
        <v>73</v>
      </c>
      <c r="W22" s="33">
        <f t="shared" si="14"/>
        <v>5</v>
      </c>
      <c r="X22" s="33">
        <f t="shared" si="14"/>
        <v>0</v>
      </c>
      <c r="Y22" s="33">
        <f t="shared" si="14"/>
        <v>8</v>
      </c>
      <c r="Z22" s="33">
        <f t="shared" si="14"/>
        <v>5</v>
      </c>
      <c r="AA22" s="33">
        <f t="shared" si="14"/>
        <v>3</v>
      </c>
      <c r="AB22" s="33">
        <f t="shared" si="14"/>
        <v>7</v>
      </c>
      <c r="AC22" s="33">
        <f t="shared" si="14"/>
        <v>639</v>
      </c>
      <c r="AD22" s="33">
        <f t="shared" si="14"/>
        <v>0</v>
      </c>
      <c r="AE22" s="30">
        <f t="shared" si="14"/>
        <v>768</v>
      </c>
      <c r="AF22" s="30">
        <f t="shared" si="14"/>
        <v>1407</v>
      </c>
    </row>
    <row r="23" spans="2:32" ht="23.1" customHeight="1" x14ac:dyDescent="0.25">
      <c r="B23" s="44" t="s">
        <v>50</v>
      </c>
      <c r="C23" s="49">
        <v>209</v>
      </c>
      <c r="D23" s="49">
        <v>31</v>
      </c>
      <c r="E23" s="49">
        <v>16</v>
      </c>
      <c r="F23" s="49">
        <v>8</v>
      </c>
      <c r="G23" s="49">
        <v>0</v>
      </c>
      <c r="H23" s="49">
        <v>0</v>
      </c>
      <c r="I23" s="49">
        <v>2</v>
      </c>
      <c r="J23" s="49">
        <v>0</v>
      </c>
      <c r="K23" s="49">
        <v>3</v>
      </c>
      <c r="L23" s="49">
        <v>1</v>
      </c>
      <c r="M23" s="49">
        <v>334</v>
      </c>
      <c r="N23" s="49">
        <v>0</v>
      </c>
      <c r="O23" s="15">
        <f t="shared" si="0"/>
        <v>270</v>
      </c>
      <c r="P23" s="15">
        <f t="shared" si="1"/>
        <v>604</v>
      </c>
      <c r="R23" s="35" t="s">
        <v>147</v>
      </c>
      <c r="S23" s="33">
        <f>SUM(C62:C65)</f>
        <v>487</v>
      </c>
      <c r="T23" s="33">
        <f t="shared" ref="T23:AF23" si="15">SUM(D62:D65)</f>
        <v>69</v>
      </c>
      <c r="U23" s="33">
        <f t="shared" si="15"/>
        <v>22</v>
      </c>
      <c r="V23" s="33">
        <f t="shared" si="15"/>
        <v>68</v>
      </c>
      <c r="W23" s="33">
        <f t="shared" si="15"/>
        <v>3</v>
      </c>
      <c r="X23" s="33">
        <f t="shared" si="15"/>
        <v>0</v>
      </c>
      <c r="Y23" s="33">
        <f t="shared" si="15"/>
        <v>12</v>
      </c>
      <c r="Z23" s="33">
        <f t="shared" si="15"/>
        <v>3</v>
      </c>
      <c r="AA23" s="33">
        <f t="shared" si="15"/>
        <v>1</v>
      </c>
      <c r="AB23" s="33">
        <f t="shared" si="15"/>
        <v>2</v>
      </c>
      <c r="AC23" s="33">
        <f t="shared" si="15"/>
        <v>853</v>
      </c>
      <c r="AD23" s="33">
        <f t="shared" si="15"/>
        <v>1</v>
      </c>
      <c r="AE23" s="30">
        <f t="shared" si="15"/>
        <v>668</v>
      </c>
      <c r="AF23" s="30">
        <f t="shared" si="15"/>
        <v>1521</v>
      </c>
    </row>
    <row r="24" spans="2:32" ht="23.1" customHeight="1" x14ac:dyDescent="0.25">
      <c r="B24" s="44" t="s">
        <v>51</v>
      </c>
      <c r="C24" s="49">
        <v>193</v>
      </c>
      <c r="D24" s="49">
        <v>73</v>
      </c>
      <c r="E24" s="49">
        <v>22</v>
      </c>
      <c r="F24" s="49">
        <v>14</v>
      </c>
      <c r="G24" s="49">
        <v>2</v>
      </c>
      <c r="H24" s="49">
        <v>1</v>
      </c>
      <c r="I24" s="49">
        <v>9</v>
      </c>
      <c r="J24" s="49">
        <v>6</v>
      </c>
      <c r="K24" s="49">
        <v>2</v>
      </c>
      <c r="L24" s="49">
        <v>1</v>
      </c>
      <c r="M24" s="49">
        <v>352</v>
      </c>
      <c r="N24" s="49">
        <v>0</v>
      </c>
      <c r="O24" s="15">
        <f t="shared" si="0"/>
        <v>323</v>
      </c>
      <c r="P24" s="15">
        <f t="shared" si="1"/>
        <v>675</v>
      </c>
      <c r="R24" s="35" t="s">
        <v>148</v>
      </c>
      <c r="S24" s="33">
        <f>SUM(C66:C69)</f>
        <v>359</v>
      </c>
      <c r="T24" s="33">
        <f t="shared" ref="T24:AF24" si="16">SUM(D66:D69)</f>
        <v>60</v>
      </c>
      <c r="U24" s="33">
        <f t="shared" si="16"/>
        <v>30</v>
      </c>
      <c r="V24" s="33">
        <f t="shared" si="16"/>
        <v>28</v>
      </c>
      <c r="W24" s="33">
        <f t="shared" si="16"/>
        <v>2</v>
      </c>
      <c r="X24" s="33">
        <f t="shared" si="16"/>
        <v>0</v>
      </c>
      <c r="Y24" s="33">
        <f t="shared" si="16"/>
        <v>16</v>
      </c>
      <c r="Z24" s="33">
        <f t="shared" si="16"/>
        <v>9</v>
      </c>
      <c r="AA24" s="33">
        <f t="shared" si="16"/>
        <v>3</v>
      </c>
      <c r="AB24" s="33">
        <f t="shared" si="16"/>
        <v>5</v>
      </c>
      <c r="AC24" s="33">
        <f t="shared" si="16"/>
        <v>610</v>
      </c>
      <c r="AD24" s="33">
        <f t="shared" si="16"/>
        <v>0</v>
      </c>
      <c r="AE24" s="30">
        <f t="shared" si="16"/>
        <v>512</v>
      </c>
      <c r="AF24" s="30">
        <f t="shared" si="16"/>
        <v>1122</v>
      </c>
    </row>
    <row r="25" spans="2:32" ht="23.1" customHeight="1" x14ac:dyDescent="0.25">
      <c r="B25" s="44" t="s">
        <v>52</v>
      </c>
      <c r="C25" s="49">
        <v>211</v>
      </c>
      <c r="D25" s="49">
        <v>46</v>
      </c>
      <c r="E25" s="49">
        <v>13</v>
      </c>
      <c r="F25" s="49">
        <v>12</v>
      </c>
      <c r="G25" s="49">
        <v>3</v>
      </c>
      <c r="H25" s="49">
        <v>0</v>
      </c>
      <c r="I25" s="49">
        <v>2</v>
      </c>
      <c r="J25" s="49">
        <v>2</v>
      </c>
      <c r="K25" s="49">
        <v>1</v>
      </c>
      <c r="L25" s="49">
        <v>0</v>
      </c>
      <c r="M25" s="49">
        <v>420</v>
      </c>
      <c r="N25" s="49">
        <v>0</v>
      </c>
      <c r="O25" s="15">
        <f t="shared" si="0"/>
        <v>290</v>
      </c>
      <c r="P25" s="15">
        <f t="shared" si="1"/>
        <v>710</v>
      </c>
      <c r="R25" s="35" t="s">
        <v>149</v>
      </c>
      <c r="S25" s="33">
        <f>SUM(C70:C73)</f>
        <v>259</v>
      </c>
      <c r="T25" s="33">
        <f t="shared" ref="T25:AF25" si="17">SUM(D70:D73)</f>
        <v>58</v>
      </c>
      <c r="U25" s="33">
        <f t="shared" si="17"/>
        <v>16</v>
      </c>
      <c r="V25" s="33">
        <f t="shared" si="17"/>
        <v>17</v>
      </c>
      <c r="W25" s="33">
        <f t="shared" si="17"/>
        <v>1</v>
      </c>
      <c r="X25" s="33">
        <f t="shared" si="17"/>
        <v>0</v>
      </c>
      <c r="Y25" s="33">
        <f t="shared" si="17"/>
        <v>5</v>
      </c>
      <c r="Z25" s="33">
        <f t="shared" si="17"/>
        <v>10</v>
      </c>
      <c r="AA25" s="33">
        <f t="shared" si="17"/>
        <v>1</v>
      </c>
      <c r="AB25" s="33">
        <f t="shared" si="17"/>
        <v>6</v>
      </c>
      <c r="AC25" s="33">
        <f t="shared" si="17"/>
        <v>1115</v>
      </c>
      <c r="AD25" s="33">
        <f t="shared" si="17"/>
        <v>0</v>
      </c>
      <c r="AE25" s="30">
        <f t="shared" si="17"/>
        <v>373</v>
      </c>
      <c r="AF25" s="30">
        <f t="shared" si="17"/>
        <v>1488</v>
      </c>
    </row>
    <row r="26" spans="2:32" ht="23.1" customHeight="1" x14ac:dyDescent="0.25">
      <c r="B26" s="44" t="s">
        <v>53</v>
      </c>
      <c r="C26" s="49">
        <v>218</v>
      </c>
      <c r="D26" s="49">
        <v>69</v>
      </c>
      <c r="E26" s="49">
        <v>26</v>
      </c>
      <c r="F26" s="49">
        <v>15</v>
      </c>
      <c r="G26" s="49">
        <v>2</v>
      </c>
      <c r="H26" s="49">
        <v>0</v>
      </c>
      <c r="I26" s="49">
        <v>6</v>
      </c>
      <c r="J26" s="49">
        <v>2</v>
      </c>
      <c r="K26" s="49">
        <v>1</v>
      </c>
      <c r="L26" s="49">
        <v>7</v>
      </c>
      <c r="M26" s="49">
        <v>300</v>
      </c>
      <c r="N26" s="49">
        <v>1</v>
      </c>
      <c r="O26" s="15">
        <f t="shared" si="0"/>
        <v>347</v>
      </c>
      <c r="P26" s="15">
        <f t="shared" si="1"/>
        <v>647</v>
      </c>
      <c r="R26" s="35" t="s">
        <v>150</v>
      </c>
      <c r="S26" s="33">
        <f>SUM(C74:C77)</f>
        <v>146</v>
      </c>
      <c r="T26" s="33">
        <f t="shared" ref="T26:AF26" si="18">SUM(D74:D77)</f>
        <v>50</v>
      </c>
      <c r="U26" s="33">
        <f t="shared" si="18"/>
        <v>5</v>
      </c>
      <c r="V26" s="33">
        <f t="shared" si="18"/>
        <v>4</v>
      </c>
      <c r="W26" s="33">
        <f t="shared" si="18"/>
        <v>0</v>
      </c>
      <c r="X26" s="33">
        <f t="shared" si="18"/>
        <v>0</v>
      </c>
      <c r="Y26" s="33">
        <f t="shared" si="18"/>
        <v>2</v>
      </c>
      <c r="Z26" s="33">
        <f t="shared" si="18"/>
        <v>4</v>
      </c>
      <c r="AA26" s="33">
        <f t="shared" si="18"/>
        <v>4</v>
      </c>
      <c r="AB26" s="33">
        <f t="shared" si="18"/>
        <v>5</v>
      </c>
      <c r="AC26" s="33">
        <f t="shared" si="18"/>
        <v>384</v>
      </c>
      <c r="AD26" s="33">
        <f t="shared" si="18"/>
        <v>0</v>
      </c>
      <c r="AE26" s="30">
        <f t="shared" si="18"/>
        <v>220</v>
      </c>
      <c r="AF26" s="30">
        <f t="shared" si="18"/>
        <v>604</v>
      </c>
    </row>
    <row r="27" spans="2:32" ht="23.1" customHeight="1" x14ac:dyDescent="0.25">
      <c r="B27" s="44" t="s">
        <v>54</v>
      </c>
      <c r="C27" s="49">
        <v>148</v>
      </c>
      <c r="D27" s="49">
        <v>33</v>
      </c>
      <c r="E27" s="49">
        <v>20</v>
      </c>
      <c r="F27" s="49">
        <v>12</v>
      </c>
      <c r="G27" s="49">
        <v>1</v>
      </c>
      <c r="H27" s="49">
        <v>0</v>
      </c>
      <c r="I27" s="49">
        <v>6</v>
      </c>
      <c r="J27" s="49">
        <v>3</v>
      </c>
      <c r="K27" s="49">
        <v>1</v>
      </c>
      <c r="L27" s="49">
        <v>2</v>
      </c>
      <c r="M27" s="49">
        <v>312</v>
      </c>
      <c r="N27" s="49">
        <v>0</v>
      </c>
      <c r="O27" s="15">
        <f t="shared" si="0"/>
        <v>226</v>
      </c>
      <c r="P27" s="15">
        <f t="shared" si="1"/>
        <v>538</v>
      </c>
      <c r="R27" s="35" t="s">
        <v>151</v>
      </c>
      <c r="S27" s="33">
        <f>SUM(C78:C81)</f>
        <v>72</v>
      </c>
      <c r="T27" s="33">
        <f t="shared" ref="T27:AF27" si="19">SUM(D78:D81)</f>
        <v>17</v>
      </c>
      <c r="U27" s="33">
        <f t="shared" si="19"/>
        <v>6</v>
      </c>
      <c r="V27" s="33">
        <f t="shared" si="19"/>
        <v>1</v>
      </c>
      <c r="W27" s="33">
        <f t="shared" si="19"/>
        <v>0</v>
      </c>
      <c r="X27" s="33">
        <f t="shared" si="19"/>
        <v>0</v>
      </c>
      <c r="Y27" s="33">
        <f t="shared" si="19"/>
        <v>0</v>
      </c>
      <c r="Z27" s="33">
        <f t="shared" si="19"/>
        <v>4</v>
      </c>
      <c r="AA27" s="33">
        <f t="shared" si="19"/>
        <v>0</v>
      </c>
      <c r="AB27" s="33">
        <f t="shared" si="19"/>
        <v>3</v>
      </c>
      <c r="AC27" s="33">
        <f t="shared" si="19"/>
        <v>253</v>
      </c>
      <c r="AD27" s="33">
        <f t="shared" si="19"/>
        <v>0</v>
      </c>
      <c r="AE27" s="30">
        <f t="shared" si="19"/>
        <v>103</v>
      </c>
      <c r="AF27" s="30">
        <f t="shared" si="19"/>
        <v>356</v>
      </c>
    </row>
    <row r="28" spans="2:32" ht="23.1" customHeight="1" x14ac:dyDescent="0.25">
      <c r="B28" s="44" t="s">
        <v>55</v>
      </c>
      <c r="C28" s="49">
        <v>227</v>
      </c>
      <c r="D28" s="49">
        <v>64</v>
      </c>
      <c r="E28" s="49">
        <v>13</v>
      </c>
      <c r="F28" s="49">
        <v>8</v>
      </c>
      <c r="G28" s="49">
        <v>0</v>
      </c>
      <c r="H28" s="49">
        <v>0</v>
      </c>
      <c r="I28" s="49">
        <v>5</v>
      </c>
      <c r="J28" s="49">
        <v>4</v>
      </c>
      <c r="K28" s="49">
        <v>1</v>
      </c>
      <c r="L28" s="49">
        <v>2</v>
      </c>
      <c r="M28" s="49">
        <v>355</v>
      </c>
      <c r="N28" s="49">
        <v>0</v>
      </c>
      <c r="O28" s="15">
        <f t="shared" si="0"/>
        <v>324</v>
      </c>
      <c r="P28" s="15">
        <f t="shared" si="1"/>
        <v>679</v>
      </c>
      <c r="R28" s="35" t="s">
        <v>152</v>
      </c>
      <c r="S28" s="33">
        <f>SUM(C82:C85)</f>
        <v>47</v>
      </c>
      <c r="T28" s="33">
        <f t="shared" ref="T28:AF28" si="20">SUM(D82:D85)</f>
        <v>7</v>
      </c>
      <c r="U28" s="33">
        <f t="shared" si="20"/>
        <v>5</v>
      </c>
      <c r="V28" s="33">
        <f t="shared" si="20"/>
        <v>4</v>
      </c>
      <c r="W28" s="33">
        <f t="shared" si="20"/>
        <v>0</v>
      </c>
      <c r="X28" s="33">
        <f t="shared" si="20"/>
        <v>0</v>
      </c>
      <c r="Y28" s="33">
        <f t="shared" si="20"/>
        <v>4</v>
      </c>
      <c r="Z28" s="33">
        <f t="shared" si="20"/>
        <v>0</v>
      </c>
      <c r="AA28" s="33">
        <f t="shared" si="20"/>
        <v>1</v>
      </c>
      <c r="AB28" s="33">
        <f t="shared" si="20"/>
        <v>5</v>
      </c>
      <c r="AC28" s="33">
        <f t="shared" si="20"/>
        <v>126</v>
      </c>
      <c r="AD28" s="33">
        <f t="shared" si="20"/>
        <v>0</v>
      </c>
      <c r="AE28" s="30">
        <f t="shared" si="20"/>
        <v>73</v>
      </c>
      <c r="AF28" s="30">
        <f t="shared" si="20"/>
        <v>199</v>
      </c>
    </row>
    <row r="29" spans="2:32" ht="23.1" customHeight="1" x14ac:dyDescent="0.25">
      <c r="B29" s="44" t="s">
        <v>56</v>
      </c>
      <c r="C29" s="49">
        <v>212</v>
      </c>
      <c r="D29" s="49">
        <v>47</v>
      </c>
      <c r="E29" s="49">
        <v>26</v>
      </c>
      <c r="F29" s="49">
        <v>12</v>
      </c>
      <c r="G29" s="49">
        <v>0</v>
      </c>
      <c r="H29" s="49">
        <v>0</v>
      </c>
      <c r="I29" s="49">
        <v>13</v>
      </c>
      <c r="J29" s="49">
        <v>4</v>
      </c>
      <c r="K29" s="49">
        <v>1</v>
      </c>
      <c r="L29" s="49">
        <v>2</v>
      </c>
      <c r="M29" s="49">
        <v>349</v>
      </c>
      <c r="N29" s="49">
        <v>0</v>
      </c>
      <c r="O29" s="15">
        <f t="shared" si="0"/>
        <v>317</v>
      </c>
      <c r="P29" s="15">
        <f t="shared" si="1"/>
        <v>666</v>
      </c>
      <c r="R29" s="35" t="s">
        <v>153</v>
      </c>
      <c r="S29" s="33">
        <f>SUM(C86:C89)</f>
        <v>60</v>
      </c>
      <c r="T29" s="33">
        <f t="shared" ref="T29:AF29" si="21">SUM(D86:D89)</f>
        <v>8</v>
      </c>
      <c r="U29" s="33">
        <f t="shared" si="21"/>
        <v>4</v>
      </c>
      <c r="V29" s="33">
        <f t="shared" si="21"/>
        <v>0</v>
      </c>
      <c r="W29" s="33">
        <f t="shared" si="21"/>
        <v>0</v>
      </c>
      <c r="X29" s="33">
        <f t="shared" si="21"/>
        <v>0</v>
      </c>
      <c r="Y29" s="33">
        <f t="shared" si="21"/>
        <v>0</v>
      </c>
      <c r="Z29" s="33">
        <f t="shared" si="21"/>
        <v>0</v>
      </c>
      <c r="AA29" s="33">
        <f t="shared" si="21"/>
        <v>0</v>
      </c>
      <c r="AB29" s="33">
        <f t="shared" si="21"/>
        <v>7</v>
      </c>
      <c r="AC29" s="33">
        <f t="shared" si="21"/>
        <v>88</v>
      </c>
      <c r="AD29" s="33">
        <f t="shared" si="21"/>
        <v>0</v>
      </c>
      <c r="AE29" s="30">
        <f t="shared" si="21"/>
        <v>79</v>
      </c>
      <c r="AF29" s="30">
        <f t="shared" si="21"/>
        <v>167</v>
      </c>
    </row>
    <row r="30" spans="2:32" ht="23.1" customHeight="1" x14ac:dyDescent="0.25">
      <c r="B30" s="44" t="s">
        <v>57</v>
      </c>
      <c r="C30" s="49">
        <v>274</v>
      </c>
      <c r="D30" s="49">
        <v>69</v>
      </c>
      <c r="E30" s="49">
        <v>31</v>
      </c>
      <c r="F30" s="49">
        <v>8</v>
      </c>
      <c r="G30" s="49">
        <v>0</v>
      </c>
      <c r="H30" s="49">
        <v>0</v>
      </c>
      <c r="I30" s="49">
        <v>8</v>
      </c>
      <c r="J30" s="49">
        <v>6</v>
      </c>
      <c r="K30" s="49">
        <v>2</v>
      </c>
      <c r="L30" s="49">
        <v>2</v>
      </c>
      <c r="M30" s="49">
        <v>366</v>
      </c>
      <c r="N30" s="49">
        <v>0</v>
      </c>
      <c r="O30" s="15">
        <f t="shared" si="0"/>
        <v>400</v>
      </c>
      <c r="P30" s="15">
        <f t="shared" si="1"/>
        <v>766</v>
      </c>
      <c r="R30" s="35" t="s">
        <v>154</v>
      </c>
      <c r="S30" s="33">
        <f>SUM(C90:C93)</f>
        <v>22</v>
      </c>
      <c r="T30" s="33">
        <f t="shared" ref="T30:AF30" si="22">SUM(D90:D93)</f>
        <v>5</v>
      </c>
      <c r="U30" s="33">
        <f t="shared" si="22"/>
        <v>1</v>
      </c>
      <c r="V30" s="33">
        <f t="shared" si="22"/>
        <v>2</v>
      </c>
      <c r="W30" s="33">
        <f t="shared" si="22"/>
        <v>0</v>
      </c>
      <c r="X30" s="33">
        <f t="shared" si="22"/>
        <v>0</v>
      </c>
      <c r="Y30" s="33">
        <f t="shared" si="22"/>
        <v>4</v>
      </c>
      <c r="Z30" s="33">
        <f t="shared" si="22"/>
        <v>3</v>
      </c>
      <c r="AA30" s="33">
        <f t="shared" si="22"/>
        <v>2</v>
      </c>
      <c r="AB30" s="33">
        <f t="shared" si="22"/>
        <v>3</v>
      </c>
      <c r="AC30" s="33">
        <f t="shared" si="22"/>
        <v>76</v>
      </c>
      <c r="AD30" s="33">
        <f t="shared" si="22"/>
        <v>0</v>
      </c>
      <c r="AE30" s="30">
        <f t="shared" si="22"/>
        <v>42</v>
      </c>
      <c r="AF30" s="30">
        <f t="shared" si="22"/>
        <v>118</v>
      </c>
    </row>
    <row r="31" spans="2:32" ht="23.1" customHeight="1" x14ac:dyDescent="0.25">
      <c r="B31" s="45" t="s">
        <v>58</v>
      </c>
      <c r="C31" s="49">
        <v>182</v>
      </c>
      <c r="D31" s="49">
        <v>71</v>
      </c>
      <c r="E31" s="49">
        <v>17</v>
      </c>
      <c r="F31" s="49">
        <v>11</v>
      </c>
      <c r="G31" s="49">
        <v>0</v>
      </c>
      <c r="H31" s="49">
        <v>0</v>
      </c>
      <c r="I31" s="49">
        <v>4</v>
      </c>
      <c r="J31" s="49">
        <v>0</v>
      </c>
      <c r="K31" s="49">
        <v>1</v>
      </c>
      <c r="L31" s="49">
        <v>1</v>
      </c>
      <c r="M31" s="49">
        <v>364</v>
      </c>
      <c r="N31" s="49">
        <v>0</v>
      </c>
      <c r="O31" s="15">
        <f t="shared" si="0"/>
        <v>287</v>
      </c>
      <c r="P31" s="15">
        <f t="shared" si="1"/>
        <v>651</v>
      </c>
      <c r="R31" s="35" t="s">
        <v>155</v>
      </c>
      <c r="S31" s="33">
        <f>SUM(C94:C97)</f>
        <v>15</v>
      </c>
      <c r="T31" s="33">
        <f t="shared" ref="T31:AF31" si="23">SUM(D94:D97)</f>
        <v>2</v>
      </c>
      <c r="U31" s="33">
        <f t="shared" si="23"/>
        <v>0</v>
      </c>
      <c r="V31" s="33">
        <f t="shared" si="23"/>
        <v>6</v>
      </c>
      <c r="W31" s="33">
        <f t="shared" si="23"/>
        <v>0</v>
      </c>
      <c r="X31" s="33">
        <f t="shared" si="23"/>
        <v>1</v>
      </c>
      <c r="Y31" s="33">
        <f t="shared" si="23"/>
        <v>5</v>
      </c>
      <c r="Z31" s="33">
        <f t="shared" si="23"/>
        <v>4</v>
      </c>
      <c r="AA31" s="33">
        <f t="shared" si="23"/>
        <v>1</v>
      </c>
      <c r="AB31" s="33">
        <f t="shared" si="23"/>
        <v>0</v>
      </c>
      <c r="AC31" s="33">
        <f t="shared" si="23"/>
        <v>97</v>
      </c>
      <c r="AD31" s="33">
        <f t="shared" si="23"/>
        <v>0</v>
      </c>
      <c r="AE31" s="30">
        <f t="shared" si="23"/>
        <v>34</v>
      </c>
      <c r="AF31" s="30">
        <f t="shared" si="23"/>
        <v>131</v>
      </c>
    </row>
    <row r="32" spans="2:32" ht="23.1" customHeight="1" x14ac:dyDescent="0.25">
      <c r="B32" s="45" t="s">
        <v>59</v>
      </c>
      <c r="C32" s="49">
        <v>179</v>
      </c>
      <c r="D32" s="49">
        <v>54</v>
      </c>
      <c r="E32" s="49">
        <v>19</v>
      </c>
      <c r="F32" s="49">
        <v>11</v>
      </c>
      <c r="G32" s="49">
        <v>1</v>
      </c>
      <c r="H32" s="49">
        <v>1</v>
      </c>
      <c r="I32" s="49">
        <v>5</v>
      </c>
      <c r="J32" s="49">
        <v>6</v>
      </c>
      <c r="K32" s="49">
        <v>0</v>
      </c>
      <c r="L32" s="49">
        <v>0</v>
      </c>
      <c r="M32" s="49">
        <v>255</v>
      </c>
      <c r="N32" s="49">
        <v>0</v>
      </c>
      <c r="O32" s="15">
        <f t="shared" si="0"/>
        <v>276</v>
      </c>
      <c r="P32" s="15">
        <f t="shared" si="1"/>
        <v>531</v>
      </c>
      <c r="R32" s="32" t="s">
        <v>156</v>
      </c>
      <c r="S32" s="33">
        <f>SUM(C98:C101)</f>
        <v>81</v>
      </c>
      <c r="T32" s="33">
        <f t="shared" ref="T32:AF32" si="24">SUM(D98:D101)</f>
        <v>20</v>
      </c>
      <c r="U32" s="33">
        <f t="shared" si="24"/>
        <v>13</v>
      </c>
      <c r="V32" s="33">
        <f t="shared" si="24"/>
        <v>19</v>
      </c>
      <c r="W32" s="33">
        <f t="shared" si="24"/>
        <v>2</v>
      </c>
      <c r="X32" s="33">
        <f t="shared" si="24"/>
        <v>1</v>
      </c>
      <c r="Y32" s="33">
        <f t="shared" si="24"/>
        <v>6</v>
      </c>
      <c r="Z32" s="33">
        <f t="shared" si="24"/>
        <v>5</v>
      </c>
      <c r="AA32" s="33">
        <f t="shared" si="24"/>
        <v>2</v>
      </c>
      <c r="AB32" s="33">
        <f t="shared" si="24"/>
        <v>5</v>
      </c>
      <c r="AC32" s="33">
        <f t="shared" si="24"/>
        <v>85</v>
      </c>
      <c r="AD32" s="33">
        <f t="shared" si="24"/>
        <v>0</v>
      </c>
      <c r="AE32" s="30">
        <f t="shared" si="24"/>
        <v>154</v>
      </c>
      <c r="AF32" s="30">
        <f t="shared" si="24"/>
        <v>239</v>
      </c>
    </row>
    <row r="33" spans="2:32" ht="23.1" customHeight="1" x14ac:dyDescent="0.25">
      <c r="B33" s="44" t="s">
        <v>60</v>
      </c>
      <c r="C33" s="49">
        <v>201</v>
      </c>
      <c r="D33" s="49">
        <v>47</v>
      </c>
      <c r="E33" s="49">
        <v>14</v>
      </c>
      <c r="F33" s="49">
        <v>9</v>
      </c>
      <c r="G33" s="49">
        <v>0</v>
      </c>
      <c r="H33" s="49">
        <v>0</v>
      </c>
      <c r="I33" s="49">
        <v>6</v>
      </c>
      <c r="J33" s="49">
        <v>3</v>
      </c>
      <c r="K33" s="49">
        <v>1</v>
      </c>
      <c r="L33" s="49">
        <v>1</v>
      </c>
      <c r="M33" s="49">
        <v>307</v>
      </c>
      <c r="N33" s="49">
        <v>0</v>
      </c>
      <c r="O33" s="15">
        <f t="shared" si="0"/>
        <v>282</v>
      </c>
      <c r="P33" s="15">
        <f t="shared" si="1"/>
        <v>589</v>
      </c>
      <c r="R33" s="32" t="s">
        <v>157</v>
      </c>
      <c r="S33" s="33">
        <f>SUM(C102:C105)</f>
        <v>434</v>
      </c>
      <c r="T33" s="33">
        <f t="shared" ref="T33:AF33" si="25">SUM(D102:D105)</f>
        <v>149</v>
      </c>
      <c r="U33" s="33">
        <f t="shared" si="25"/>
        <v>45</v>
      </c>
      <c r="V33" s="33">
        <f t="shared" si="25"/>
        <v>52</v>
      </c>
      <c r="W33" s="33">
        <f t="shared" si="25"/>
        <v>9</v>
      </c>
      <c r="X33" s="33">
        <f t="shared" si="25"/>
        <v>0</v>
      </c>
      <c r="Y33" s="33">
        <f t="shared" si="25"/>
        <v>7</v>
      </c>
      <c r="Z33" s="33">
        <f t="shared" si="25"/>
        <v>5</v>
      </c>
      <c r="AA33" s="33">
        <f t="shared" si="25"/>
        <v>4</v>
      </c>
      <c r="AB33" s="33">
        <f t="shared" si="25"/>
        <v>7</v>
      </c>
      <c r="AC33" s="33">
        <f t="shared" si="25"/>
        <v>698</v>
      </c>
      <c r="AD33" s="33">
        <f t="shared" si="25"/>
        <v>0</v>
      </c>
      <c r="AE33" s="30">
        <f t="shared" si="25"/>
        <v>712</v>
      </c>
      <c r="AF33" s="30">
        <f t="shared" si="25"/>
        <v>1410</v>
      </c>
    </row>
    <row r="34" spans="2:32" ht="23.1" customHeight="1" x14ac:dyDescent="0.25">
      <c r="B34" s="45" t="s">
        <v>61</v>
      </c>
      <c r="C34" s="49">
        <v>168</v>
      </c>
      <c r="D34" s="49">
        <v>41</v>
      </c>
      <c r="E34" s="49">
        <v>17</v>
      </c>
      <c r="F34" s="49">
        <v>11</v>
      </c>
      <c r="G34" s="49">
        <v>0</v>
      </c>
      <c r="H34" s="49">
        <v>0</v>
      </c>
      <c r="I34" s="49">
        <v>3</v>
      </c>
      <c r="J34" s="49">
        <v>3</v>
      </c>
      <c r="K34" s="49">
        <v>2</v>
      </c>
      <c r="L34" s="49">
        <v>5</v>
      </c>
      <c r="M34" s="49">
        <v>312</v>
      </c>
      <c r="N34" s="49">
        <v>0</v>
      </c>
      <c r="O34" s="15">
        <f t="shared" si="0"/>
        <v>250</v>
      </c>
      <c r="P34" s="15">
        <f t="shared" si="1"/>
        <v>562</v>
      </c>
      <c r="R34" s="37" t="s">
        <v>90</v>
      </c>
      <c r="S34" s="38">
        <f t="shared" ref="S34:AF34" si="26">MAX(S10:S12)</f>
        <v>1250</v>
      </c>
      <c r="T34" s="38">
        <f t="shared" si="26"/>
        <v>240</v>
      </c>
      <c r="U34" s="38">
        <f t="shared" si="26"/>
        <v>70</v>
      </c>
      <c r="V34" s="38">
        <f t="shared" si="26"/>
        <v>63</v>
      </c>
      <c r="W34" s="38">
        <f t="shared" si="26"/>
        <v>5</v>
      </c>
      <c r="X34" s="38">
        <f t="shared" si="26"/>
        <v>1</v>
      </c>
      <c r="Y34" s="38">
        <f t="shared" si="26"/>
        <v>23</v>
      </c>
      <c r="Z34" s="38">
        <f t="shared" si="26"/>
        <v>14</v>
      </c>
      <c r="AA34" s="38">
        <f t="shared" si="26"/>
        <v>5</v>
      </c>
      <c r="AB34" s="38">
        <f t="shared" si="26"/>
        <v>5</v>
      </c>
      <c r="AC34" s="38">
        <f t="shared" si="26"/>
        <v>1245</v>
      </c>
      <c r="AD34" s="38">
        <f t="shared" si="26"/>
        <v>0</v>
      </c>
      <c r="AE34" s="39">
        <f t="shared" si="26"/>
        <v>1623</v>
      </c>
      <c r="AF34" s="39">
        <f t="shared" si="26"/>
        <v>2868</v>
      </c>
    </row>
    <row r="35" spans="2:32" ht="23.1" customHeight="1" x14ac:dyDescent="0.25">
      <c r="B35" s="45" t="s">
        <v>62</v>
      </c>
      <c r="C35" s="49">
        <v>157</v>
      </c>
      <c r="D35" s="49">
        <v>29</v>
      </c>
      <c r="E35" s="49">
        <v>13</v>
      </c>
      <c r="F35" s="49">
        <v>9</v>
      </c>
      <c r="G35" s="49">
        <v>0</v>
      </c>
      <c r="H35" s="49">
        <v>0</v>
      </c>
      <c r="I35" s="49">
        <v>2</v>
      </c>
      <c r="J35" s="49">
        <v>1</v>
      </c>
      <c r="K35" s="49">
        <v>0</v>
      </c>
      <c r="L35" s="49">
        <v>2</v>
      </c>
      <c r="M35" s="49">
        <v>275</v>
      </c>
      <c r="N35" s="49">
        <v>0</v>
      </c>
      <c r="O35" s="15">
        <f t="shared" si="0"/>
        <v>213</v>
      </c>
      <c r="P35" s="15">
        <f t="shared" si="1"/>
        <v>488</v>
      </c>
      <c r="R35" s="37" t="s">
        <v>91</v>
      </c>
      <c r="S35" s="38">
        <f t="shared" ref="S35:AF35" si="27">MAX(S13:S18)</f>
        <v>844</v>
      </c>
      <c r="T35" s="38">
        <f t="shared" si="27"/>
        <v>241</v>
      </c>
      <c r="U35" s="38">
        <f t="shared" si="27"/>
        <v>85</v>
      </c>
      <c r="V35" s="38">
        <f t="shared" si="27"/>
        <v>47</v>
      </c>
      <c r="W35" s="38">
        <f t="shared" si="27"/>
        <v>8</v>
      </c>
      <c r="X35" s="38">
        <f t="shared" si="27"/>
        <v>2</v>
      </c>
      <c r="Y35" s="38">
        <f t="shared" si="27"/>
        <v>30</v>
      </c>
      <c r="Z35" s="38">
        <f t="shared" si="27"/>
        <v>15</v>
      </c>
      <c r="AA35" s="38">
        <f t="shared" si="27"/>
        <v>8</v>
      </c>
      <c r="AB35" s="38">
        <f t="shared" si="27"/>
        <v>14</v>
      </c>
      <c r="AC35" s="38">
        <f t="shared" si="27"/>
        <v>1498</v>
      </c>
      <c r="AD35" s="38">
        <f t="shared" si="27"/>
        <v>1</v>
      </c>
      <c r="AE35" s="39">
        <f t="shared" si="27"/>
        <v>1245</v>
      </c>
      <c r="AF35" s="39">
        <f t="shared" si="27"/>
        <v>2708</v>
      </c>
    </row>
    <row r="36" spans="2:32" ht="23.1" customHeight="1" x14ac:dyDescent="0.25">
      <c r="B36" s="45" t="s">
        <v>63</v>
      </c>
      <c r="C36" s="49">
        <v>131</v>
      </c>
      <c r="D36" s="49">
        <v>35</v>
      </c>
      <c r="E36" s="49">
        <v>9</v>
      </c>
      <c r="F36" s="49">
        <v>11</v>
      </c>
      <c r="G36" s="49">
        <v>0</v>
      </c>
      <c r="H36" s="49">
        <v>0</v>
      </c>
      <c r="I36" s="49">
        <v>4</v>
      </c>
      <c r="J36" s="49">
        <v>1</v>
      </c>
      <c r="K36" s="49">
        <v>2</v>
      </c>
      <c r="L36" s="49">
        <v>1</v>
      </c>
      <c r="M36" s="49">
        <v>242</v>
      </c>
      <c r="N36" s="49">
        <v>0</v>
      </c>
      <c r="O36" s="15">
        <f t="shared" si="0"/>
        <v>194</v>
      </c>
      <c r="P36" s="15">
        <f t="shared" si="1"/>
        <v>436</v>
      </c>
      <c r="R36" s="37" t="s">
        <v>92</v>
      </c>
      <c r="S36" s="38">
        <f t="shared" ref="S36:AF36" si="28">MAX(S19:S21)</f>
        <v>701</v>
      </c>
      <c r="T36" s="38">
        <f t="shared" si="28"/>
        <v>192</v>
      </c>
      <c r="U36" s="38">
        <f t="shared" si="28"/>
        <v>65</v>
      </c>
      <c r="V36" s="38">
        <f t="shared" si="28"/>
        <v>49</v>
      </c>
      <c r="W36" s="38">
        <f t="shared" si="28"/>
        <v>10</v>
      </c>
      <c r="X36" s="38">
        <f t="shared" si="28"/>
        <v>4</v>
      </c>
      <c r="Y36" s="38">
        <f t="shared" si="28"/>
        <v>20</v>
      </c>
      <c r="Z36" s="38">
        <f t="shared" si="28"/>
        <v>12</v>
      </c>
      <c r="AA36" s="38">
        <f t="shared" si="28"/>
        <v>3</v>
      </c>
      <c r="AB36" s="38">
        <f t="shared" si="28"/>
        <v>13</v>
      </c>
      <c r="AC36" s="38">
        <f t="shared" si="28"/>
        <v>1334</v>
      </c>
      <c r="AD36" s="38">
        <f t="shared" si="28"/>
        <v>1</v>
      </c>
      <c r="AE36" s="39">
        <f t="shared" si="28"/>
        <v>1043</v>
      </c>
      <c r="AF36" s="39">
        <f t="shared" si="28"/>
        <v>2355</v>
      </c>
    </row>
    <row r="37" spans="2:32" ht="23.1" customHeight="1" x14ac:dyDescent="0.25">
      <c r="B37" s="44" t="s">
        <v>64</v>
      </c>
      <c r="C37" s="49">
        <v>143</v>
      </c>
      <c r="D37" s="49">
        <v>32</v>
      </c>
      <c r="E37" s="49">
        <v>12</v>
      </c>
      <c r="F37" s="49">
        <v>11</v>
      </c>
      <c r="G37" s="49">
        <v>0</v>
      </c>
      <c r="H37" s="49">
        <v>0</v>
      </c>
      <c r="I37" s="49">
        <v>5</v>
      </c>
      <c r="J37" s="49">
        <v>3</v>
      </c>
      <c r="K37" s="49">
        <v>2</v>
      </c>
      <c r="L37" s="49">
        <v>2</v>
      </c>
      <c r="M37" s="49">
        <v>253</v>
      </c>
      <c r="N37" s="49">
        <v>0</v>
      </c>
      <c r="O37" s="15">
        <f t="shared" si="0"/>
        <v>210</v>
      </c>
      <c r="P37" s="15">
        <f t="shared" si="1"/>
        <v>463</v>
      </c>
      <c r="R37" s="36" t="s">
        <v>85</v>
      </c>
      <c r="S37" s="34">
        <f t="shared" ref="S37:AF37" si="29">SUM(S10:S12)</f>
        <v>3099</v>
      </c>
      <c r="T37" s="16">
        <f t="shared" si="29"/>
        <v>620</v>
      </c>
      <c r="U37" s="16">
        <f t="shared" si="29"/>
        <v>189</v>
      </c>
      <c r="V37" s="16">
        <f t="shared" si="29"/>
        <v>158</v>
      </c>
      <c r="W37" s="16">
        <f t="shared" si="29"/>
        <v>8</v>
      </c>
      <c r="X37" s="16">
        <f t="shared" si="29"/>
        <v>1</v>
      </c>
      <c r="Y37" s="16">
        <f t="shared" si="29"/>
        <v>47</v>
      </c>
      <c r="Z37" s="16">
        <f t="shared" si="29"/>
        <v>23</v>
      </c>
      <c r="AA37" s="16">
        <f t="shared" si="29"/>
        <v>11</v>
      </c>
      <c r="AB37" s="16">
        <f t="shared" si="29"/>
        <v>10</v>
      </c>
      <c r="AC37" s="16">
        <f t="shared" si="29"/>
        <v>3171</v>
      </c>
      <c r="AD37" s="16">
        <f t="shared" si="29"/>
        <v>0</v>
      </c>
      <c r="AE37" s="31">
        <f t="shared" si="29"/>
        <v>4166</v>
      </c>
      <c r="AF37" s="31">
        <f t="shared" si="29"/>
        <v>7337</v>
      </c>
    </row>
    <row r="38" spans="2:32" ht="23.1" customHeight="1" x14ac:dyDescent="0.25">
      <c r="B38" s="45" t="s">
        <v>65</v>
      </c>
      <c r="C38" s="49">
        <v>159</v>
      </c>
      <c r="D38" s="49">
        <v>37</v>
      </c>
      <c r="E38" s="49">
        <v>17</v>
      </c>
      <c r="F38" s="49">
        <v>8</v>
      </c>
      <c r="G38" s="49">
        <v>0</v>
      </c>
      <c r="H38" s="49">
        <v>0</v>
      </c>
      <c r="I38" s="49">
        <v>3</v>
      </c>
      <c r="J38" s="49">
        <v>2</v>
      </c>
      <c r="K38" s="49">
        <v>0</v>
      </c>
      <c r="L38" s="49">
        <v>3</v>
      </c>
      <c r="M38" s="49">
        <v>280</v>
      </c>
      <c r="N38" s="49">
        <v>0</v>
      </c>
      <c r="O38" s="15">
        <f t="shared" si="0"/>
        <v>229</v>
      </c>
      <c r="P38" s="15">
        <f t="shared" si="1"/>
        <v>509</v>
      </c>
      <c r="R38" s="27" t="s">
        <v>86</v>
      </c>
      <c r="S38" s="16">
        <f t="shared" ref="S38:AF38" si="30">SUM(S13:S18)</f>
        <v>4420</v>
      </c>
      <c r="T38" s="16">
        <f t="shared" si="30"/>
        <v>1129</v>
      </c>
      <c r="U38" s="16">
        <f t="shared" si="30"/>
        <v>422</v>
      </c>
      <c r="V38" s="16">
        <f t="shared" si="30"/>
        <v>245</v>
      </c>
      <c r="W38" s="16">
        <f t="shared" si="30"/>
        <v>15</v>
      </c>
      <c r="X38" s="16">
        <f t="shared" si="30"/>
        <v>6</v>
      </c>
      <c r="Y38" s="16">
        <f t="shared" si="30"/>
        <v>129</v>
      </c>
      <c r="Z38" s="16">
        <f t="shared" si="30"/>
        <v>67</v>
      </c>
      <c r="AA38" s="16">
        <f t="shared" si="30"/>
        <v>35</v>
      </c>
      <c r="AB38" s="16">
        <f t="shared" si="30"/>
        <v>52</v>
      </c>
      <c r="AC38" s="16">
        <f t="shared" si="30"/>
        <v>7693</v>
      </c>
      <c r="AD38" s="16">
        <f t="shared" si="30"/>
        <v>2</v>
      </c>
      <c r="AE38" s="31">
        <f t="shared" si="30"/>
        <v>6522</v>
      </c>
      <c r="AF38" s="31">
        <f t="shared" si="30"/>
        <v>14215</v>
      </c>
    </row>
    <row r="39" spans="2:32" ht="23.1" customHeight="1" x14ac:dyDescent="0.25">
      <c r="B39" s="45" t="s">
        <v>66</v>
      </c>
      <c r="C39" s="49">
        <v>190</v>
      </c>
      <c r="D39" s="49">
        <v>34</v>
      </c>
      <c r="E39" s="49">
        <v>15</v>
      </c>
      <c r="F39" s="49">
        <v>4</v>
      </c>
      <c r="G39" s="49">
        <v>1</v>
      </c>
      <c r="H39" s="49">
        <v>0</v>
      </c>
      <c r="I39" s="49">
        <v>3</v>
      </c>
      <c r="J39" s="49">
        <v>4</v>
      </c>
      <c r="K39" s="49">
        <v>4</v>
      </c>
      <c r="L39" s="49">
        <v>0</v>
      </c>
      <c r="M39" s="49">
        <v>224</v>
      </c>
      <c r="N39" s="49">
        <v>0</v>
      </c>
      <c r="O39" s="15">
        <f t="shared" si="0"/>
        <v>255</v>
      </c>
      <c r="P39" s="15">
        <f t="shared" si="1"/>
        <v>479</v>
      </c>
      <c r="R39" s="28" t="s">
        <v>87</v>
      </c>
      <c r="S39" s="16">
        <f t="shared" ref="S39:AF39" si="31">SUM(S19:S21)</f>
        <v>1825</v>
      </c>
      <c r="T39" s="16">
        <f t="shared" si="31"/>
        <v>445</v>
      </c>
      <c r="U39" s="16">
        <f t="shared" si="31"/>
        <v>171</v>
      </c>
      <c r="V39" s="16">
        <f t="shared" si="31"/>
        <v>136</v>
      </c>
      <c r="W39" s="16">
        <f t="shared" si="31"/>
        <v>14</v>
      </c>
      <c r="X39" s="16">
        <f t="shared" si="31"/>
        <v>5</v>
      </c>
      <c r="Y39" s="16">
        <f t="shared" si="31"/>
        <v>39</v>
      </c>
      <c r="Z39" s="16">
        <f t="shared" si="31"/>
        <v>30</v>
      </c>
      <c r="AA39" s="16">
        <f t="shared" si="31"/>
        <v>5</v>
      </c>
      <c r="AB39" s="16">
        <f t="shared" si="31"/>
        <v>26</v>
      </c>
      <c r="AC39" s="16">
        <f t="shared" si="31"/>
        <v>3652</v>
      </c>
      <c r="AD39" s="16">
        <f t="shared" si="31"/>
        <v>2</v>
      </c>
      <c r="AE39" s="31">
        <f t="shared" si="31"/>
        <v>2698</v>
      </c>
      <c r="AF39" s="31">
        <f t="shared" si="31"/>
        <v>6350</v>
      </c>
    </row>
    <row r="40" spans="2:32" ht="23.1" customHeight="1" x14ac:dyDescent="0.25">
      <c r="B40" s="45" t="s">
        <v>67</v>
      </c>
      <c r="C40" s="49">
        <v>147</v>
      </c>
      <c r="D40" s="49">
        <v>28</v>
      </c>
      <c r="E40" s="49">
        <v>8</v>
      </c>
      <c r="F40" s="49">
        <v>7</v>
      </c>
      <c r="G40" s="49">
        <v>0</v>
      </c>
      <c r="H40" s="49">
        <v>0</v>
      </c>
      <c r="I40" s="49">
        <v>3</v>
      </c>
      <c r="J40" s="49">
        <v>1</v>
      </c>
      <c r="K40" s="49">
        <v>2</v>
      </c>
      <c r="L40" s="49">
        <v>2</v>
      </c>
      <c r="M40" s="49">
        <v>300</v>
      </c>
      <c r="N40" s="49">
        <v>0</v>
      </c>
      <c r="O40" s="15">
        <f t="shared" si="0"/>
        <v>198</v>
      </c>
      <c r="P40" s="15">
        <f t="shared" si="1"/>
        <v>498</v>
      </c>
      <c r="R40" s="5" t="s">
        <v>17</v>
      </c>
      <c r="S40" s="16">
        <f t="shared" ref="S40:AF40" si="32">SUM(S10:S21)</f>
        <v>9344</v>
      </c>
      <c r="T40" s="16">
        <f t="shared" si="32"/>
        <v>2194</v>
      </c>
      <c r="U40" s="16">
        <f t="shared" si="32"/>
        <v>782</v>
      </c>
      <c r="V40" s="16">
        <f t="shared" si="32"/>
        <v>539</v>
      </c>
      <c r="W40" s="16">
        <f t="shared" si="32"/>
        <v>37</v>
      </c>
      <c r="X40" s="16">
        <f t="shared" si="32"/>
        <v>12</v>
      </c>
      <c r="Y40" s="16">
        <f t="shared" si="32"/>
        <v>215</v>
      </c>
      <c r="Z40" s="16">
        <f t="shared" si="32"/>
        <v>120</v>
      </c>
      <c r="AA40" s="16">
        <f t="shared" si="32"/>
        <v>51</v>
      </c>
      <c r="AB40" s="16">
        <f t="shared" si="32"/>
        <v>88</v>
      </c>
      <c r="AC40" s="16">
        <f t="shared" si="32"/>
        <v>14516</v>
      </c>
      <c r="AD40" s="16">
        <f t="shared" si="32"/>
        <v>4</v>
      </c>
      <c r="AE40" s="31">
        <f t="shared" si="32"/>
        <v>13386</v>
      </c>
      <c r="AF40" s="31">
        <f t="shared" si="32"/>
        <v>27902</v>
      </c>
    </row>
    <row r="41" spans="2:32" ht="23.1" customHeight="1" x14ac:dyDescent="0.25">
      <c r="B41" s="44" t="s">
        <v>68</v>
      </c>
      <c r="C41" s="49">
        <v>186</v>
      </c>
      <c r="D41" s="49">
        <v>54</v>
      </c>
      <c r="E41" s="49">
        <v>19</v>
      </c>
      <c r="F41" s="49">
        <v>14</v>
      </c>
      <c r="G41" s="49">
        <v>0</v>
      </c>
      <c r="H41" s="49">
        <v>1</v>
      </c>
      <c r="I41" s="49">
        <v>8</v>
      </c>
      <c r="J41" s="49">
        <v>2</v>
      </c>
      <c r="K41" s="49">
        <v>1</v>
      </c>
      <c r="L41" s="49">
        <v>4</v>
      </c>
      <c r="M41" s="49">
        <v>311</v>
      </c>
      <c r="N41" s="49">
        <v>0</v>
      </c>
      <c r="O41" s="15">
        <f t="shared" si="0"/>
        <v>289</v>
      </c>
      <c r="P41" s="15">
        <f t="shared" si="1"/>
        <v>600</v>
      </c>
      <c r="R41" s="5" t="s">
        <v>159</v>
      </c>
      <c r="S41" s="16">
        <f>SUM(S10:S33)</f>
        <v>11809</v>
      </c>
      <c r="T41" s="16">
        <f t="shared" ref="T41:AF41" si="33">SUM(T10:T33)</f>
        <v>2775</v>
      </c>
      <c r="U41" s="16">
        <f t="shared" si="33"/>
        <v>977</v>
      </c>
      <c r="V41" s="16">
        <f t="shared" si="33"/>
        <v>813</v>
      </c>
      <c r="W41" s="16">
        <f t="shared" si="33"/>
        <v>59</v>
      </c>
      <c r="X41" s="16">
        <f t="shared" si="33"/>
        <v>14</v>
      </c>
      <c r="Y41" s="16">
        <f t="shared" si="33"/>
        <v>284</v>
      </c>
      <c r="Z41" s="16">
        <f t="shared" si="33"/>
        <v>172</v>
      </c>
      <c r="AA41" s="16">
        <f t="shared" si="33"/>
        <v>73</v>
      </c>
      <c r="AB41" s="16">
        <f t="shared" si="33"/>
        <v>143</v>
      </c>
      <c r="AC41" s="16">
        <f t="shared" si="33"/>
        <v>19540</v>
      </c>
      <c r="AD41" s="16">
        <f t="shared" si="33"/>
        <v>5</v>
      </c>
      <c r="AE41" s="31">
        <f t="shared" si="33"/>
        <v>17124</v>
      </c>
      <c r="AF41" s="31">
        <f t="shared" si="33"/>
        <v>36664</v>
      </c>
    </row>
    <row r="42" spans="2:32" ht="23.1" customHeight="1" x14ac:dyDescent="0.25">
      <c r="B42" s="45" t="s">
        <v>69</v>
      </c>
      <c r="C42" s="49">
        <v>131</v>
      </c>
      <c r="D42" s="49">
        <v>24</v>
      </c>
      <c r="E42" s="49">
        <v>11</v>
      </c>
      <c r="F42" s="49">
        <v>4</v>
      </c>
      <c r="G42" s="49">
        <v>1</v>
      </c>
      <c r="H42" s="49">
        <v>0</v>
      </c>
      <c r="I42" s="49">
        <v>3</v>
      </c>
      <c r="J42" s="49">
        <v>3</v>
      </c>
      <c r="K42" s="49">
        <v>3</v>
      </c>
      <c r="L42" s="49">
        <v>4</v>
      </c>
      <c r="M42" s="49">
        <v>420</v>
      </c>
      <c r="N42" s="49">
        <v>0</v>
      </c>
      <c r="O42" s="15">
        <f t="shared" si="0"/>
        <v>184</v>
      </c>
      <c r="P42" s="15">
        <f t="shared" si="1"/>
        <v>604</v>
      </c>
      <c r="R42" s="5" t="s">
        <v>160</v>
      </c>
      <c r="S42" s="47">
        <f>S41/S40</f>
        <v>1.2638056506849316</v>
      </c>
      <c r="T42" s="47">
        <f t="shared" ref="T42:AF42" si="34">T41/T40</f>
        <v>1.2648131267092069</v>
      </c>
      <c r="U42" s="47">
        <f t="shared" si="34"/>
        <v>1.2493606138107416</v>
      </c>
      <c r="V42" s="47">
        <f t="shared" si="34"/>
        <v>1.5083487940630798</v>
      </c>
      <c r="W42" s="47">
        <f t="shared" si="34"/>
        <v>1.5945945945945945</v>
      </c>
      <c r="X42" s="47">
        <f t="shared" si="34"/>
        <v>1.1666666666666667</v>
      </c>
      <c r="Y42" s="47">
        <f t="shared" si="34"/>
        <v>1.3209302325581396</v>
      </c>
      <c r="Z42" s="47">
        <f t="shared" si="34"/>
        <v>1.4333333333333333</v>
      </c>
      <c r="AA42" s="47">
        <f t="shared" si="34"/>
        <v>1.4313725490196079</v>
      </c>
      <c r="AB42" s="47">
        <f t="shared" si="34"/>
        <v>1.625</v>
      </c>
      <c r="AC42" s="47">
        <f t="shared" si="34"/>
        <v>1.3461008542298154</v>
      </c>
      <c r="AD42" s="47">
        <f t="shared" si="34"/>
        <v>1.25</v>
      </c>
      <c r="AE42" s="47">
        <f t="shared" si="34"/>
        <v>1.2792469744509189</v>
      </c>
      <c r="AF42" s="47">
        <f t="shared" si="34"/>
        <v>1.3140276682675076</v>
      </c>
    </row>
    <row r="43" spans="2:32" ht="23.1" customHeight="1" x14ac:dyDescent="0.25">
      <c r="B43" s="44" t="s">
        <v>70</v>
      </c>
      <c r="C43" s="49">
        <v>213</v>
      </c>
      <c r="D43" s="49">
        <v>72</v>
      </c>
      <c r="E43" s="49">
        <v>24</v>
      </c>
      <c r="F43" s="49">
        <v>14</v>
      </c>
      <c r="G43" s="49">
        <v>0</v>
      </c>
      <c r="H43" s="49">
        <v>1</v>
      </c>
      <c r="I43" s="49">
        <v>5</v>
      </c>
      <c r="J43" s="49">
        <v>4</v>
      </c>
      <c r="K43" s="49">
        <v>1</v>
      </c>
      <c r="L43" s="49">
        <v>2</v>
      </c>
      <c r="M43" s="49">
        <v>315</v>
      </c>
      <c r="N43" s="49">
        <v>0</v>
      </c>
      <c r="O43" s="15">
        <f t="shared" si="0"/>
        <v>336</v>
      </c>
      <c r="P43" s="15">
        <f t="shared" si="1"/>
        <v>651</v>
      </c>
    </row>
    <row r="44" spans="2:32" ht="23.1" customHeight="1" x14ac:dyDescent="0.25">
      <c r="B44" s="46" t="s">
        <v>71</v>
      </c>
      <c r="C44" s="49">
        <v>143</v>
      </c>
      <c r="D44" s="49">
        <v>42</v>
      </c>
      <c r="E44" s="49">
        <v>22</v>
      </c>
      <c r="F44" s="49">
        <v>13</v>
      </c>
      <c r="G44" s="49">
        <v>0</v>
      </c>
      <c r="H44" s="49">
        <v>1</v>
      </c>
      <c r="I44" s="49">
        <v>6</v>
      </c>
      <c r="J44" s="49">
        <v>3</v>
      </c>
      <c r="K44" s="49">
        <v>1</v>
      </c>
      <c r="L44" s="49">
        <v>6</v>
      </c>
      <c r="M44" s="49">
        <v>336</v>
      </c>
      <c r="N44" s="49">
        <v>0</v>
      </c>
      <c r="O44" s="15">
        <f t="shared" si="0"/>
        <v>237</v>
      </c>
      <c r="P44" s="15">
        <f t="shared" si="1"/>
        <v>573</v>
      </c>
    </row>
    <row r="45" spans="2:32" ht="23.1" customHeight="1" x14ac:dyDescent="0.25">
      <c r="B45" s="44" t="s">
        <v>72</v>
      </c>
      <c r="C45" s="49">
        <v>167</v>
      </c>
      <c r="D45" s="49">
        <v>44</v>
      </c>
      <c r="E45" s="49">
        <v>22</v>
      </c>
      <c r="F45" s="49">
        <v>9</v>
      </c>
      <c r="G45" s="49">
        <v>1</v>
      </c>
      <c r="H45" s="49">
        <v>0</v>
      </c>
      <c r="I45" s="49">
        <v>10</v>
      </c>
      <c r="J45" s="49">
        <v>2</v>
      </c>
      <c r="K45" s="49">
        <v>1</v>
      </c>
      <c r="L45" s="49">
        <v>2</v>
      </c>
      <c r="M45" s="49">
        <v>319</v>
      </c>
      <c r="N45" s="49">
        <v>0</v>
      </c>
      <c r="O45" s="15">
        <f t="shared" si="0"/>
        <v>258</v>
      </c>
      <c r="P45" s="15">
        <f t="shared" si="1"/>
        <v>577</v>
      </c>
    </row>
    <row r="46" spans="2:32" ht="23.1" customHeight="1" x14ac:dyDescent="0.25">
      <c r="B46" s="45" t="s">
        <v>73</v>
      </c>
      <c r="C46" s="49">
        <v>143</v>
      </c>
      <c r="D46" s="49">
        <v>37</v>
      </c>
      <c r="E46" s="49">
        <v>10</v>
      </c>
      <c r="F46" s="49">
        <v>10</v>
      </c>
      <c r="G46" s="49">
        <v>0</v>
      </c>
      <c r="H46" s="49">
        <v>1</v>
      </c>
      <c r="I46" s="49">
        <v>7</v>
      </c>
      <c r="J46" s="49">
        <v>5</v>
      </c>
      <c r="K46" s="49">
        <v>1</v>
      </c>
      <c r="L46" s="49">
        <v>4</v>
      </c>
      <c r="M46" s="49">
        <v>260</v>
      </c>
      <c r="N46" s="49">
        <v>0</v>
      </c>
      <c r="O46" s="15">
        <f t="shared" si="0"/>
        <v>218</v>
      </c>
      <c r="P46" s="15">
        <f t="shared" si="1"/>
        <v>478</v>
      </c>
      <c r="R46" s="8"/>
      <c r="T46"/>
    </row>
    <row r="47" spans="2:32" ht="23.1" customHeight="1" x14ac:dyDescent="0.25">
      <c r="B47" s="45" t="s">
        <v>74</v>
      </c>
      <c r="C47" s="49">
        <v>139</v>
      </c>
      <c r="D47" s="49">
        <v>33</v>
      </c>
      <c r="E47" s="49">
        <v>23</v>
      </c>
      <c r="F47" s="49">
        <v>6</v>
      </c>
      <c r="G47" s="49">
        <v>0</v>
      </c>
      <c r="H47" s="49">
        <v>0</v>
      </c>
      <c r="I47" s="49">
        <v>4</v>
      </c>
      <c r="J47" s="49">
        <v>3</v>
      </c>
      <c r="K47" s="49">
        <v>0</v>
      </c>
      <c r="L47" s="49">
        <v>2</v>
      </c>
      <c r="M47" s="49">
        <v>362</v>
      </c>
      <c r="N47" s="49">
        <v>0</v>
      </c>
      <c r="O47" s="15">
        <f t="shared" si="0"/>
        <v>210</v>
      </c>
      <c r="P47" s="15">
        <f t="shared" si="1"/>
        <v>572</v>
      </c>
      <c r="R47" s="8"/>
      <c r="T47"/>
    </row>
    <row r="48" spans="2:32" ht="23.1" customHeight="1" x14ac:dyDescent="0.25">
      <c r="B48" s="45" t="s">
        <v>75</v>
      </c>
      <c r="C48" s="49">
        <v>127</v>
      </c>
      <c r="D48" s="49">
        <v>25</v>
      </c>
      <c r="E48" s="49">
        <v>13</v>
      </c>
      <c r="F48" s="49">
        <v>14</v>
      </c>
      <c r="G48" s="49">
        <v>0</v>
      </c>
      <c r="H48" s="49">
        <v>0</v>
      </c>
      <c r="I48" s="49">
        <v>7</v>
      </c>
      <c r="J48" s="49">
        <v>2</v>
      </c>
      <c r="K48" s="49">
        <v>0</v>
      </c>
      <c r="L48" s="49">
        <v>1</v>
      </c>
      <c r="M48" s="49">
        <v>417</v>
      </c>
      <c r="N48" s="49">
        <v>0</v>
      </c>
      <c r="O48" s="15">
        <f t="shared" si="0"/>
        <v>189</v>
      </c>
      <c r="P48" s="15">
        <f t="shared" si="1"/>
        <v>606</v>
      </c>
      <c r="R48" s="8"/>
      <c r="T48"/>
    </row>
    <row r="49" spans="2:20" ht="23.1" customHeight="1" x14ac:dyDescent="0.25">
      <c r="B49" s="44" t="s">
        <v>76</v>
      </c>
      <c r="C49" s="49">
        <v>119</v>
      </c>
      <c r="D49" s="49">
        <v>45</v>
      </c>
      <c r="E49" s="49">
        <v>15</v>
      </c>
      <c r="F49" s="49">
        <v>10</v>
      </c>
      <c r="G49" s="49">
        <v>1</v>
      </c>
      <c r="H49" s="49">
        <v>0</v>
      </c>
      <c r="I49" s="49">
        <v>2</v>
      </c>
      <c r="J49" s="49">
        <v>2</v>
      </c>
      <c r="K49" s="49">
        <v>0</v>
      </c>
      <c r="L49" s="49">
        <v>6</v>
      </c>
      <c r="M49" s="49">
        <v>295</v>
      </c>
      <c r="N49" s="49">
        <v>0</v>
      </c>
      <c r="O49" s="15">
        <f t="shared" si="0"/>
        <v>200</v>
      </c>
      <c r="P49" s="15">
        <f t="shared" si="1"/>
        <v>495</v>
      </c>
      <c r="R49" s="8"/>
      <c r="T49"/>
    </row>
    <row r="50" spans="2:20" ht="23.1" customHeight="1" x14ac:dyDescent="0.25">
      <c r="B50" s="45" t="s">
        <v>77</v>
      </c>
      <c r="C50" s="49">
        <v>167</v>
      </c>
      <c r="D50" s="49">
        <v>44</v>
      </c>
      <c r="E50" s="49">
        <v>18</v>
      </c>
      <c r="F50" s="49">
        <v>13</v>
      </c>
      <c r="G50" s="49">
        <v>0</v>
      </c>
      <c r="H50" s="49">
        <v>0</v>
      </c>
      <c r="I50" s="49">
        <v>5</v>
      </c>
      <c r="J50" s="49">
        <v>2</v>
      </c>
      <c r="K50" s="49">
        <v>1</v>
      </c>
      <c r="L50" s="49">
        <v>2</v>
      </c>
      <c r="M50" s="49">
        <v>310</v>
      </c>
      <c r="N50" s="49">
        <v>0</v>
      </c>
      <c r="O50" s="15">
        <f t="shared" si="0"/>
        <v>252</v>
      </c>
      <c r="P50" s="15">
        <f t="shared" si="1"/>
        <v>562</v>
      </c>
      <c r="R50" s="8"/>
      <c r="T50"/>
    </row>
    <row r="51" spans="2:20" ht="23.1" customHeight="1" x14ac:dyDescent="0.25">
      <c r="B51" s="45" t="s">
        <v>78</v>
      </c>
      <c r="C51" s="49">
        <v>157</v>
      </c>
      <c r="D51" s="49">
        <v>46</v>
      </c>
      <c r="E51" s="49">
        <v>23</v>
      </c>
      <c r="F51" s="49">
        <v>14</v>
      </c>
      <c r="G51" s="49">
        <v>1</v>
      </c>
      <c r="H51" s="49">
        <v>0</v>
      </c>
      <c r="I51" s="49">
        <v>4</v>
      </c>
      <c r="J51" s="49">
        <v>5</v>
      </c>
      <c r="K51" s="49">
        <v>0</v>
      </c>
      <c r="L51" s="49">
        <v>1</v>
      </c>
      <c r="M51" s="49">
        <v>355</v>
      </c>
      <c r="N51" s="49">
        <v>0</v>
      </c>
      <c r="O51" s="15">
        <f t="shared" si="0"/>
        <v>251</v>
      </c>
      <c r="P51" s="15">
        <f t="shared" si="1"/>
        <v>606</v>
      </c>
      <c r="R51" s="8"/>
      <c r="T51"/>
    </row>
    <row r="52" spans="2:20" ht="23.1" customHeight="1" x14ac:dyDescent="0.25">
      <c r="B52" s="45" t="s">
        <v>79</v>
      </c>
      <c r="C52" s="49">
        <v>208</v>
      </c>
      <c r="D52" s="49">
        <v>57</v>
      </c>
      <c r="E52" s="49">
        <v>15</v>
      </c>
      <c r="F52" s="49">
        <v>8</v>
      </c>
      <c r="G52" s="49">
        <v>0</v>
      </c>
      <c r="H52" s="49">
        <v>0</v>
      </c>
      <c r="I52" s="49">
        <v>1</v>
      </c>
      <c r="J52" s="49">
        <v>1</v>
      </c>
      <c r="K52" s="49">
        <v>2</v>
      </c>
      <c r="L52" s="49">
        <v>3</v>
      </c>
      <c r="M52" s="49">
        <v>390</v>
      </c>
      <c r="N52" s="49">
        <v>0</v>
      </c>
      <c r="O52" s="15">
        <f t="shared" si="0"/>
        <v>295</v>
      </c>
      <c r="P52" s="15">
        <f t="shared" si="1"/>
        <v>685</v>
      </c>
      <c r="R52" s="8"/>
      <c r="T52"/>
    </row>
    <row r="53" spans="2:20" ht="23.1" customHeight="1" x14ac:dyDescent="0.25">
      <c r="B53" s="44" t="s">
        <v>80</v>
      </c>
      <c r="C53" s="49">
        <v>169</v>
      </c>
      <c r="D53" s="49">
        <v>45</v>
      </c>
      <c r="E53" s="49">
        <v>9</v>
      </c>
      <c r="F53" s="49">
        <v>14</v>
      </c>
      <c r="G53" s="49">
        <v>2</v>
      </c>
      <c r="H53" s="49">
        <v>0</v>
      </c>
      <c r="I53" s="49">
        <v>2</v>
      </c>
      <c r="J53" s="49">
        <v>1</v>
      </c>
      <c r="K53" s="49">
        <v>0</v>
      </c>
      <c r="L53" s="49">
        <v>2</v>
      </c>
      <c r="M53" s="49">
        <v>257</v>
      </c>
      <c r="N53" s="49">
        <v>1</v>
      </c>
      <c r="O53" s="15">
        <f t="shared" si="0"/>
        <v>245</v>
      </c>
      <c r="P53" s="15">
        <f t="shared" si="1"/>
        <v>502</v>
      </c>
      <c r="R53" s="8"/>
      <c r="T53"/>
    </row>
    <row r="54" spans="2:20" ht="23.1" customHeight="1" x14ac:dyDescent="0.25">
      <c r="B54" s="44" t="s">
        <v>81</v>
      </c>
      <c r="C54" s="49">
        <v>131</v>
      </c>
      <c r="D54" s="49">
        <v>28</v>
      </c>
      <c r="E54" s="49">
        <v>6</v>
      </c>
      <c r="F54" s="49">
        <v>12</v>
      </c>
      <c r="G54" s="49">
        <v>4</v>
      </c>
      <c r="H54" s="49">
        <v>0</v>
      </c>
      <c r="I54" s="49">
        <v>3</v>
      </c>
      <c r="J54" s="49">
        <v>1</v>
      </c>
      <c r="K54" s="49">
        <v>0</v>
      </c>
      <c r="L54" s="49">
        <v>2</v>
      </c>
      <c r="M54" s="49">
        <v>287</v>
      </c>
      <c r="N54" s="49">
        <v>0</v>
      </c>
      <c r="O54" s="15">
        <f t="shared" si="0"/>
        <v>187</v>
      </c>
      <c r="P54" s="15">
        <f t="shared" si="1"/>
        <v>474</v>
      </c>
      <c r="R54" s="8"/>
      <c r="T54"/>
    </row>
    <row r="55" spans="2:20" ht="23.1" customHeight="1" x14ac:dyDescent="0.25">
      <c r="B55" s="44" t="s">
        <v>82</v>
      </c>
      <c r="C55" s="49">
        <v>143</v>
      </c>
      <c r="D55" s="49">
        <v>43</v>
      </c>
      <c r="E55" s="49">
        <v>17</v>
      </c>
      <c r="F55" s="49">
        <v>14</v>
      </c>
      <c r="G55" s="49">
        <v>2</v>
      </c>
      <c r="H55" s="49">
        <v>0</v>
      </c>
      <c r="I55" s="49">
        <v>1</v>
      </c>
      <c r="J55" s="49">
        <v>7</v>
      </c>
      <c r="K55" s="49">
        <v>0</v>
      </c>
      <c r="L55" s="49">
        <v>2</v>
      </c>
      <c r="M55" s="49">
        <v>303</v>
      </c>
      <c r="N55" s="49">
        <v>0</v>
      </c>
      <c r="O55" s="15">
        <f t="shared" si="0"/>
        <v>229</v>
      </c>
      <c r="P55" s="15">
        <f t="shared" si="1"/>
        <v>532</v>
      </c>
      <c r="R55" s="8"/>
      <c r="T55"/>
    </row>
    <row r="56" spans="2:20" ht="23.1" customHeight="1" x14ac:dyDescent="0.25">
      <c r="B56" s="44" t="s">
        <v>83</v>
      </c>
      <c r="C56" s="49">
        <v>155</v>
      </c>
      <c r="D56" s="49">
        <v>23</v>
      </c>
      <c r="E56" s="49">
        <v>15</v>
      </c>
      <c r="F56" s="49">
        <v>14</v>
      </c>
      <c r="G56" s="49">
        <v>3</v>
      </c>
      <c r="H56" s="49">
        <v>4</v>
      </c>
      <c r="I56" s="49">
        <v>0</v>
      </c>
      <c r="J56" s="49">
        <v>1</v>
      </c>
      <c r="K56" s="49">
        <v>1</v>
      </c>
      <c r="L56" s="49">
        <v>1</v>
      </c>
      <c r="M56" s="49">
        <v>286</v>
      </c>
      <c r="N56" s="49">
        <v>1</v>
      </c>
      <c r="O56" s="15">
        <f t="shared" si="0"/>
        <v>218</v>
      </c>
      <c r="P56" s="15">
        <f t="shared" si="1"/>
        <v>504</v>
      </c>
      <c r="R56" s="8"/>
      <c r="T56"/>
    </row>
    <row r="57" spans="2:20" ht="23.1" customHeight="1" x14ac:dyDescent="0.25">
      <c r="B57" s="44" t="s">
        <v>84</v>
      </c>
      <c r="C57" s="49">
        <v>167</v>
      </c>
      <c r="D57" s="49">
        <v>19</v>
      </c>
      <c r="E57" s="49">
        <v>7</v>
      </c>
      <c r="F57" s="49">
        <v>7</v>
      </c>
      <c r="G57" s="49">
        <v>1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130</v>
      </c>
      <c r="N57" s="49">
        <v>0</v>
      </c>
      <c r="O57" s="15">
        <f t="shared" si="0"/>
        <v>204</v>
      </c>
      <c r="P57" s="15">
        <f t="shared" si="1"/>
        <v>334</v>
      </c>
      <c r="R57" s="8"/>
      <c r="T57"/>
    </row>
    <row r="58" spans="2:20" ht="23.1" customHeight="1" x14ac:dyDescent="0.25">
      <c r="B58" s="44" t="s">
        <v>99</v>
      </c>
      <c r="C58" s="49">
        <v>75</v>
      </c>
      <c r="D58" s="49">
        <v>43</v>
      </c>
      <c r="E58" s="49">
        <v>13</v>
      </c>
      <c r="F58" s="49">
        <v>14</v>
      </c>
      <c r="G58" s="49">
        <v>0</v>
      </c>
      <c r="H58" s="49">
        <v>0</v>
      </c>
      <c r="I58" s="49">
        <v>2</v>
      </c>
      <c r="J58" s="49">
        <v>1</v>
      </c>
      <c r="K58" s="49">
        <v>0</v>
      </c>
      <c r="L58" s="49">
        <v>1</v>
      </c>
      <c r="M58" s="49">
        <v>135</v>
      </c>
      <c r="N58" s="49">
        <v>0</v>
      </c>
      <c r="O58" s="15">
        <f t="shared" si="0"/>
        <v>149</v>
      </c>
      <c r="P58" s="15">
        <f t="shared" si="1"/>
        <v>284</v>
      </c>
      <c r="R58" s="8"/>
      <c r="T58"/>
    </row>
    <row r="59" spans="2:20" ht="23.1" customHeight="1" x14ac:dyDescent="0.25">
      <c r="B59" s="44" t="s">
        <v>100</v>
      </c>
      <c r="C59" s="49">
        <v>125</v>
      </c>
      <c r="D59" s="49">
        <v>48</v>
      </c>
      <c r="E59" s="49">
        <v>22</v>
      </c>
      <c r="F59" s="49">
        <v>19</v>
      </c>
      <c r="G59" s="49">
        <v>4</v>
      </c>
      <c r="H59" s="49">
        <v>0</v>
      </c>
      <c r="I59" s="49">
        <v>2</v>
      </c>
      <c r="J59" s="49">
        <v>2</v>
      </c>
      <c r="K59" s="49">
        <v>1</v>
      </c>
      <c r="L59" s="49">
        <v>1</v>
      </c>
      <c r="M59" s="49">
        <v>140</v>
      </c>
      <c r="N59" s="49">
        <v>0</v>
      </c>
      <c r="O59" s="15">
        <f t="shared" si="0"/>
        <v>224</v>
      </c>
      <c r="P59" s="15">
        <f t="shared" si="1"/>
        <v>364</v>
      </c>
      <c r="R59" s="8"/>
      <c r="T59"/>
    </row>
    <row r="60" spans="2:20" ht="23.1" customHeight="1" x14ac:dyDescent="0.25">
      <c r="B60" s="44" t="s">
        <v>101</v>
      </c>
      <c r="C60" s="49">
        <v>151</v>
      </c>
      <c r="D60" s="49">
        <v>24</v>
      </c>
      <c r="E60" s="49">
        <v>6</v>
      </c>
      <c r="F60" s="49">
        <v>23</v>
      </c>
      <c r="G60" s="49">
        <v>0</v>
      </c>
      <c r="H60" s="49">
        <v>0</v>
      </c>
      <c r="I60" s="49">
        <v>2</v>
      </c>
      <c r="J60" s="49">
        <v>1</v>
      </c>
      <c r="K60" s="49">
        <v>0</v>
      </c>
      <c r="L60" s="49">
        <v>2</v>
      </c>
      <c r="M60" s="49">
        <v>184</v>
      </c>
      <c r="N60" s="49">
        <v>0</v>
      </c>
      <c r="O60" s="15">
        <f t="shared" si="0"/>
        <v>209</v>
      </c>
      <c r="P60" s="15">
        <f t="shared" si="1"/>
        <v>393</v>
      </c>
      <c r="R60" s="8"/>
      <c r="T60"/>
    </row>
    <row r="61" spans="2:20" ht="23.1" customHeight="1" x14ac:dyDescent="0.25">
      <c r="B61" s="44" t="s">
        <v>102</v>
      </c>
      <c r="C61" s="49">
        <v>132</v>
      </c>
      <c r="D61" s="49">
        <v>21</v>
      </c>
      <c r="E61" s="49">
        <v>7</v>
      </c>
      <c r="F61" s="49">
        <v>17</v>
      </c>
      <c r="G61" s="49">
        <v>1</v>
      </c>
      <c r="H61" s="49">
        <v>0</v>
      </c>
      <c r="I61" s="49">
        <v>2</v>
      </c>
      <c r="J61" s="49">
        <v>1</v>
      </c>
      <c r="K61" s="49">
        <v>2</v>
      </c>
      <c r="L61" s="49">
        <v>3</v>
      </c>
      <c r="M61" s="49">
        <v>180</v>
      </c>
      <c r="N61" s="49">
        <v>0</v>
      </c>
      <c r="O61" s="15">
        <f t="shared" si="0"/>
        <v>186</v>
      </c>
      <c r="P61" s="15">
        <f t="shared" si="1"/>
        <v>366</v>
      </c>
      <c r="R61" s="8"/>
      <c r="T61"/>
    </row>
    <row r="62" spans="2:20" ht="23.1" customHeight="1" x14ac:dyDescent="0.25">
      <c r="B62" s="44" t="s">
        <v>107</v>
      </c>
      <c r="C62" s="49">
        <v>129</v>
      </c>
      <c r="D62" s="49">
        <v>14</v>
      </c>
      <c r="E62" s="49">
        <v>5</v>
      </c>
      <c r="F62" s="49">
        <v>24</v>
      </c>
      <c r="G62" s="49">
        <v>1</v>
      </c>
      <c r="H62" s="49">
        <v>0</v>
      </c>
      <c r="I62" s="49">
        <v>6</v>
      </c>
      <c r="J62" s="49">
        <v>2</v>
      </c>
      <c r="K62" s="49">
        <v>0</v>
      </c>
      <c r="L62" s="49">
        <v>0</v>
      </c>
      <c r="M62" s="49">
        <v>250</v>
      </c>
      <c r="N62" s="49">
        <v>0</v>
      </c>
      <c r="O62" s="15">
        <f t="shared" si="0"/>
        <v>181</v>
      </c>
      <c r="P62" s="15">
        <f t="shared" si="1"/>
        <v>431</v>
      </c>
      <c r="R62" s="8"/>
      <c r="T62"/>
    </row>
    <row r="63" spans="2:20" ht="23.1" customHeight="1" x14ac:dyDescent="0.25">
      <c r="B63" s="44" t="s">
        <v>108</v>
      </c>
      <c r="C63" s="49">
        <v>126</v>
      </c>
      <c r="D63" s="49">
        <v>21</v>
      </c>
      <c r="E63" s="49">
        <v>6</v>
      </c>
      <c r="F63" s="49">
        <v>18</v>
      </c>
      <c r="G63" s="49">
        <v>1</v>
      </c>
      <c r="H63" s="49">
        <v>0</v>
      </c>
      <c r="I63" s="49">
        <v>2</v>
      </c>
      <c r="J63" s="49">
        <v>0</v>
      </c>
      <c r="K63" s="49">
        <v>1</v>
      </c>
      <c r="L63" s="49">
        <v>0</v>
      </c>
      <c r="M63" s="49">
        <v>270</v>
      </c>
      <c r="N63" s="49">
        <v>0</v>
      </c>
      <c r="O63" s="15">
        <f t="shared" si="0"/>
        <v>175</v>
      </c>
      <c r="P63" s="15">
        <f t="shared" si="1"/>
        <v>445</v>
      </c>
      <c r="R63" s="8"/>
      <c r="T63"/>
    </row>
    <row r="64" spans="2:20" ht="23.1" customHeight="1" x14ac:dyDescent="0.25">
      <c r="B64" s="44" t="s">
        <v>109</v>
      </c>
      <c r="C64" s="49">
        <v>125</v>
      </c>
      <c r="D64" s="49">
        <v>25</v>
      </c>
      <c r="E64" s="49">
        <v>3</v>
      </c>
      <c r="F64" s="49">
        <v>11</v>
      </c>
      <c r="G64" s="49">
        <v>1</v>
      </c>
      <c r="H64" s="49">
        <v>0</v>
      </c>
      <c r="I64" s="49">
        <v>2</v>
      </c>
      <c r="J64" s="49">
        <v>0</v>
      </c>
      <c r="K64" s="49">
        <v>0</v>
      </c>
      <c r="L64" s="49">
        <v>0</v>
      </c>
      <c r="M64" s="49">
        <v>168</v>
      </c>
      <c r="N64" s="49">
        <v>1</v>
      </c>
      <c r="O64" s="15">
        <f t="shared" si="0"/>
        <v>168</v>
      </c>
      <c r="P64" s="15">
        <f t="shared" si="1"/>
        <v>336</v>
      </c>
      <c r="R64" s="8"/>
      <c r="T64"/>
    </row>
    <row r="65" spans="2:20" ht="23.1" customHeight="1" x14ac:dyDescent="0.25">
      <c r="B65" s="44" t="s">
        <v>158</v>
      </c>
      <c r="C65" s="49">
        <v>107</v>
      </c>
      <c r="D65" s="49">
        <v>9</v>
      </c>
      <c r="E65" s="49">
        <v>8</v>
      </c>
      <c r="F65" s="49">
        <v>15</v>
      </c>
      <c r="G65" s="49">
        <v>0</v>
      </c>
      <c r="H65" s="49">
        <v>0</v>
      </c>
      <c r="I65" s="49">
        <v>2</v>
      </c>
      <c r="J65" s="49">
        <v>1</v>
      </c>
      <c r="K65" s="49">
        <v>0</v>
      </c>
      <c r="L65" s="49">
        <v>2</v>
      </c>
      <c r="M65" s="49">
        <v>165</v>
      </c>
      <c r="N65" s="49">
        <v>0</v>
      </c>
      <c r="O65" s="15">
        <f t="shared" si="0"/>
        <v>144</v>
      </c>
      <c r="P65" s="15">
        <f t="shared" si="1"/>
        <v>309</v>
      </c>
      <c r="R65" s="8"/>
      <c r="T65"/>
    </row>
    <row r="66" spans="2:20" ht="23.1" customHeight="1" x14ac:dyDescent="0.25">
      <c r="B66" s="44" t="s">
        <v>103</v>
      </c>
      <c r="C66" s="49">
        <v>91</v>
      </c>
      <c r="D66" s="49">
        <v>12</v>
      </c>
      <c r="E66" s="49">
        <v>6</v>
      </c>
      <c r="F66" s="49">
        <v>6</v>
      </c>
      <c r="G66" s="49">
        <v>0</v>
      </c>
      <c r="H66" s="49">
        <v>0</v>
      </c>
      <c r="I66" s="49">
        <v>5</v>
      </c>
      <c r="J66" s="49">
        <v>2</v>
      </c>
      <c r="K66" s="49">
        <v>1</v>
      </c>
      <c r="L66" s="49">
        <v>0</v>
      </c>
      <c r="M66" s="49">
        <v>131</v>
      </c>
      <c r="N66" s="49">
        <v>0</v>
      </c>
      <c r="O66" s="15">
        <f t="shared" si="0"/>
        <v>123</v>
      </c>
      <c r="P66" s="15">
        <f t="shared" si="1"/>
        <v>254</v>
      </c>
      <c r="R66" s="8"/>
      <c r="T66"/>
    </row>
    <row r="67" spans="2:20" ht="23.1" customHeight="1" x14ac:dyDescent="0.25">
      <c r="B67" s="44" t="s">
        <v>104</v>
      </c>
      <c r="C67" s="49">
        <v>105</v>
      </c>
      <c r="D67" s="49">
        <v>11</v>
      </c>
      <c r="E67" s="49">
        <v>5</v>
      </c>
      <c r="F67" s="49">
        <v>5</v>
      </c>
      <c r="G67" s="49">
        <v>1</v>
      </c>
      <c r="H67" s="49">
        <v>0</v>
      </c>
      <c r="I67" s="49">
        <v>1</v>
      </c>
      <c r="J67" s="49">
        <v>2</v>
      </c>
      <c r="K67" s="49">
        <v>2</v>
      </c>
      <c r="L67" s="49">
        <v>1</v>
      </c>
      <c r="M67" s="49">
        <v>140</v>
      </c>
      <c r="N67" s="49">
        <v>0</v>
      </c>
      <c r="O67" s="15">
        <f t="shared" si="0"/>
        <v>133</v>
      </c>
      <c r="P67" s="15">
        <f t="shared" si="1"/>
        <v>273</v>
      </c>
      <c r="R67" s="8"/>
      <c r="T67"/>
    </row>
    <row r="68" spans="2:20" ht="23.1" customHeight="1" x14ac:dyDescent="0.25">
      <c r="B68" s="44" t="s">
        <v>105</v>
      </c>
      <c r="C68" s="49">
        <v>79</v>
      </c>
      <c r="D68" s="49">
        <v>17</v>
      </c>
      <c r="E68" s="49">
        <v>11</v>
      </c>
      <c r="F68" s="49">
        <v>13</v>
      </c>
      <c r="G68" s="49">
        <v>0</v>
      </c>
      <c r="H68" s="49">
        <v>0</v>
      </c>
      <c r="I68" s="49">
        <v>5</v>
      </c>
      <c r="J68" s="49">
        <v>4</v>
      </c>
      <c r="K68" s="49">
        <v>0</v>
      </c>
      <c r="L68" s="49">
        <v>1</v>
      </c>
      <c r="M68" s="49">
        <v>119</v>
      </c>
      <c r="N68" s="49">
        <v>0</v>
      </c>
      <c r="O68" s="15">
        <f t="shared" si="0"/>
        <v>130</v>
      </c>
      <c r="P68" s="15">
        <f t="shared" si="1"/>
        <v>249</v>
      </c>
      <c r="R68" s="8"/>
      <c r="T68"/>
    </row>
    <row r="69" spans="2:20" ht="23.1" customHeight="1" x14ac:dyDescent="0.25">
      <c r="B69" s="44" t="s">
        <v>106</v>
      </c>
      <c r="C69" s="49">
        <v>84</v>
      </c>
      <c r="D69" s="49">
        <v>20</v>
      </c>
      <c r="E69" s="49">
        <v>8</v>
      </c>
      <c r="F69" s="49">
        <v>4</v>
      </c>
      <c r="G69" s="49">
        <v>1</v>
      </c>
      <c r="H69" s="49">
        <v>0</v>
      </c>
      <c r="I69" s="49">
        <v>5</v>
      </c>
      <c r="J69" s="49">
        <v>1</v>
      </c>
      <c r="K69" s="49">
        <v>0</v>
      </c>
      <c r="L69" s="49">
        <v>3</v>
      </c>
      <c r="M69" s="49">
        <v>220</v>
      </c>
      <c r="N69" s="49">
        <v>0</v>
      </c>
      <c r="O69" s="15">
        <f t="shared" si="0"/>
        <v>126</v>
      </c>
      <c r="P69" s="15">
        <f t="shared" si="1"/>
        <v>346</v>
      </c>
      <c r="R69" s="8"/>
      <c r="T69"/>
    </row>
    <row r="70" spans="2:20" ht="23.1" customHeight="1" x14ac:dyDescent="0.25">
      <c r="B70" s="44" t="s">
        <v>110</v>
      </c>
      <c r="C70" s="49">
        <v>78</v>
      </c>
      <c r="D70" s="49">
        <v>14</v>
      </c>
      <c r="E70" s="49">
        <v>5</v>
      </c>
      <c r="F70" s="49">
        <v>6</v>
      </c>
      <c r="G70" s="49">
        <v>1</v>
      </c>
      <c r="H70" s="49">
        <v>0</v>
      </c>
      <c r="I70" s="49">
        <v>1</v>
      </c>
      <c r="J70" s="49">
        <v>1</v>
      </c>
      <c r="K70" s="49">
        <v>1</v>
      </c>
      <c r="L70" s="49">
        <v>0</v>
      </c>
      <c r="M70" s="49">
        <v>546</v>
      </c>
      <c r="N70" s="49">
        <v>0</v>
      </c>
      <c r="O70" s="15">
        <f t="shared" si="0"/>
        <v>107</v>
      </c>
      <c r="P70" s="15">
        <f t="shared" si="1"/>
        <v>653</v>
      </c>
      <c r="R70" s="8"/>
      <c r="T70"/>
    </row>
    <row r="71" spans="2:20" ht="23.1" customHeight="1" x14ac:dyDescent="0.25">
      <c r="B71" s="44" t="s">
        <v>111</v>
      </c>
      <c r="C71" s="49">
        <v>64</v>
      </c>
      <c r="D71" s="49">
        <v>12</v>
      </c>
      <c r="E71" s="49">
        <v>5</v>
      </c>
      <c r="F71" s="49">
        <v>4</v>
      </c>
      <c r="G71" s="49">
        <v>0</v>
      </c>
      <c r="H71" s="49">
        <v>0</v>
      </c>
      <c r="I71" s="49">
        <v>1</v>
      </c>
      <c r="J71" s="49">
        <v>0</v>
      </c>
      <c r="K71" s="49">
        <v>0</v>
      </c>
      <c r="L71" s="49">
        <v>1</v>
      </c>
      <c r="M71" s="49">
        <v>300</v>
      </c>
      <c r="N71" s="49">
        <v>0</v>
      </c>
      <c r="O71" s="15">
        <f t="shared" si="0"/>
        <v>87</v>
      </c>
      <c r="P71" s="15">
        <f t="shared" si="1"/>
        <v>387</v>
      </c>
      <c r="R71" s="8"/>
      <c r="T71"/>
    </row>
    <row r="72" spans="2:20" ht="23.1" customHeight="1" x14ac:dyDescent="0.25">
      <c r="B72" s="44" t="s">
        <v>112</v>
      </c>
      <c r="C72" s="49">
        <v>62</v>
      </c>
      <c r="D72" s="49">
        <v>19</v>
      </c>
      <c r="E72" s="49">
        <v>4</v>
      </c>
      <c r="F72" s="49">
        <v>4</v>
      </c>
      <c r="G72" s="49">
        <v>0</v>
      </c>
      <c r="H72" s="49">
        <v>0</v>
      </c>
      <c r="I72" s="49">
        <v>1</v>
      </c>
      <c r="J72" s="49">
        <v>5</v>
      </c>
      <c r="K72" s="49">
        <v>0</v>
      </c>
      <c r="L72" s="49">
        <v>2</v>
      </c>
      <c r="M72" s="49">
        <v>135</v>
      </c>
      <c r="N72" s="49">
        <v>0</v>
      </c>
      <c r="O72" s="15">
        <f t="shared" si="0"/>
        <v>97</v>
      </c>
      <c r="P72" s="15">
        <f t="shared" si="1"/>
        <v>232</v>
      </c>
      <c r="R72" s="8"/>
      <c r="T72"/>
    </row>
    <row r="73" spans="2:20" ht="23.1" customHeight="1" x14ac:dyDescent="0.25">
      <c r="B73" s="44" t="s">
        <v>113</v>
      </c>
      <c r="C73" s="49">
        <v>55</v>
      </c>
      <c r="D73" s="49">
        <v>13</v>
      </c>
      <c r="E73" s="49">
        <v>2</v>
      </c>
      <c r="F73" s="49">
        <v>3</v>
      </c>
      <c r="G73" s="49">
        <v>0</v>
      </c>
      <c r="H73" s="49">
        <v>0</v>
      </c>
      <c r="I73" s="49">
        <v>2</v>
      </c>
      <c r="J73" s="49">
        <v>4</v>
      </c>
      <c r="K73" s="49">
        <v>0</v>
      </c>
      <c r="L73" s="49">
        <v>3</v>
      </c>
      <c r="M73" s="49">
        <v>134</v>
      </c>
      <c r="N73" s="49">
        <v>0</v>
      </c>
      <c r="O73" s="15">
        <f t="shared" si="0"/>
        <v>82</v>
      </c>
      <c r="P73" s="15">
        <f t="shared" si="1"/>
        <v>216</v>
      </c>
      <c r="R73" s="8"/>
      <c r="T73"/>
    </row>
    <row r="74" spans="2:20" ht="23.1" customHeight="1" x14ac:dyDescent="0.25">
      <c r="B74" s="44" t="s">
        <v>114</v>
      </c>
      <c r="C74" s="49">
        <v>56</v>
      </c>
      <c r="D74" s="49">
        <v>11</v>
      </c>
      <c r="E74" s="49">
        <v>4</v>
      </c>
      <c r="F74" s="49">
        <v>3</v>
      </c>
      <c r="G74" s="49">
        <v>0</v>
      </c>
      <c r="H74" s="49">
        <v>0</v>
      </c>
      <c r="I74" s="49">
        <v>1</v>
      </c>
      <c r="J74" s="49">
        <v>0</v>
      </c>
      <c r="K74" s="49">
        <v>1</v>
      </c>
      <c r="L74" s="49">
        <v>1</v>
      </c>
      <c r="M74" s="49">
        <v>93</v>
      </c>
      <c r="N74" s="49">
        <v>0</v>
      </c>
      <c r="O74" s="15">
        <f t="shared" ref="O74:O105" si="35">SUM(C74:L74,N74)</f>
        <v>77</v>
      </c>
      <c r="P74" s="15">
        <f t="shared" ref="P74:P105" si="36">SUM(C74:N74)</f>
        <v>170</v>
      </c>
      <c r="R74" s="8"/>
      <c r="T74"/>
    </row>
    <row r="75" spans="2:20" ht="23.1" customHeight="1" x14ac:dyDescent="0.25">
      <c r="B75" s="44" t="s">
        <v>115</v>
      </c>
      <c r="C75" s="49">
        <v>40</v>
      </c>
      <c r="D75" s="49">
        <v>23</v>
      </c>
      <c r="E75" s="49">
        <v>0</v>
      </c>
      <c r="F75" s="49">
        <v>0</v>
      </c>
      <c r="G75" s="49">
        <v>0</v>
      </c>
      <c r="H75" s="49">
        <v>0</v>
      </c>
      <c r="I75" s="49">
        <v>0</v>
      </c>
      <c r="J75" s="49">
        <v>3</v>
      </c>
      <c r="K75" s="49">
        <v>1</v>
      </c>
      <c r="L75" s="49">
        <v>2</v>
      </c>
      <c r="M75" s="49">
        <v>111</v>
      </c>
      <c r="N75" s="49">
        <v>0</v>
      </c>
      <c r="O75" s="15">
        <f t="shared" si="35"/>
        <v>69</v>
      </c>
      <c r="P75" s="15">
        <f t="shared" si="36"/>
        <v>180</v>
      </c>
      <c r="R75" s="8"/>
      <c r="T75"/>
    </row>
    <row r="76" spans="2:20" ht="23.1" customHeight="1" x14ac:dyDescent="0.25">
      <c r="B76" s="44" t="s">
        <v>116</v>
      </c>
      <c r="C76" s="49">
        <v>33</v>
      </c>
      <c r="D76" s="49">
        <v>13</v>
      </c>
      <c r="E76" s="49">
        <v>1</v>
      </c>
      <c r="F76" s="49">
        <v>0</v>
      </c>
      <c r="G76" s="49">
        <v>0</v>
      </c>
      <c r="H76" s="49">
        <v>0</v>
      </c>
      <c r="I76" s="49">
        <v>1</v>
      </c>
      <c r="J76" s="49">
        <v>1</v>
      </c>
      <c r="K76" s="49">
        <v>1</v>
      </c>
      <c r="L76" s="49">
        <v>2</v>
      </c>
      <c r="M76" s="49">
        <v>89</v>
      </c>
      <c r="N76" s="49">
        <v>0</v>
      </c>
      <c r="O76" s="15">
        <f t="shared" si="35"/>
        <v>52</v>
      </c>
      <c r="P76" s="15">
        <f t="shared" si="36"/>
        <v>141</v>
      </c>
      <c r="R76" s="8"/>
      <c r="T76"/>
    </row>
    <row r="77" spans="2:20" ht="23.1" customHeight="1" x14ac:dyDescent="0.25">
      <c r="B77" s="44" t="s">
        <v>117</v>
      </c>
      <c r="C77" s="49">
        <v>17</v>
      </c>
      <c r="D77" s="49">
        <v>3</v>
      </c>
      <c r="E77" s="49">
        <v>0</v>
      </c>
      <c r="F77" s="49">
        <v>1</v>
      </c>
      <c r="G77" s="49">
        <v>0</v>
      </c>
      <c r="H77" s="49">
        <v>0</v>
      </c>
      <c r="I77" s="49">
        <v>0</v>
      </c>
      <c r="J77" s="49">
        <v>0</v>
      </c>
      <c r="K77" s="49">
        <v>1</v>
      </c>
      <c r="L77" s="49">
        <v>0</v>
      </c>
      <c r="M77" s="49">
        <v>91</v>
      </c>
      <c r="N77" s="49">
        <v>0</v>
      </c>
      <c r="O77" s="15">
        <f t="shared" si="35"/>
        <v>22</v>
      </c>
      <c r="P77" s="15">
        <f t="shared" si="36"/>
        <v>113</v>
      </c>
      <c r="R77" s="8"/>
      <c r="T77"/>
    </row>
    <row r="78" spans="2:20" ht="23.1" customHeight="1" x14ac:dyDescent="0.25">
      <c r="B78" s="45" t="s">
        <v>118</v>
      </c>
      <c r="C78" s="49">
        <v>26</v>
      </c>
      <c r="D78" s="49">
        <v>6</v>
      </c>
      <c r="E78" s="49">
        <v>4</v>
      </c>
      <c r="F78" s="49">
        <v>0</v>
      </c>
      <c r="G78" s="49">
        <v>0</v>
      </c>
      <c r="H78" s="49">
        <v>0</v>
      </c>
      <c r="I78" s="49">
        <v>0</v>
      </c>
      <c r="J78" s="49">
        <v>2</v>
      </c>
      <c r="K78" s="49">
        <v>0</v>
      </c>
      <c r="L78" s="49">
        <v>1</v>
      </c>
      <c r="M78" s="49">
        <v>82</v>
      </c>
      <c r="N78" s="49">
        <v>0</v>
      </c>
      <c r="O78" s="15">
        <f t="shared" si="35"/>
        <v>39</v>
      </c>
      <c r="P78" s="15">
        <f t="shared" si="36"/>
        <v>121</v>
      </c>
      <c r="R78" s="8"/>
      <c r="T78"/>
    </row>
    <row r="79" spans="2:20" ht="23.1" customHeight="1" x14ac:dyDescent="0.25">
      <c r="B79" s="44" t="s">
        <v>119</v>
      </c>
      <c r="C79" s="49">
        <v>18</v>
      </c>
      <c r="D79" s="49">
        <v>4</v>
      </c>
      <c r="E79" s="49">
        <v>1</v>
      </c>
      <c r="F79" s="49">
        <v>0</v>
      </c>
      <c r="G79" s="49">
        <v>0</v>
      </c>
      <c r="H79" s="49">
        <v>0</v>
      </c>
      <c r="I79" s="49">
        <v>0</v>
      </c>
      <c r="J79" s="49">
        <v>1</v>
      </c>
      <c r="K79" s="49">
        <v>0</v>
      </c>
      <c r="L79" s="49">
        <v>0</v>
      </c>
      <c r="M79" s="49">
        <v>65</v>
      </c>
      <c r="N79" s="49">
        <v>0</v>
      </c>
      <c r="O79" s="15">
        <f t="shared" si="35"/>
        <v>24</v>
      </c>
      <c r="P79" s="15">
        <f t="shared" si="36"/>
        <v>89</v>
      </c>
      <c r="R79" s="8"/>
      <c r="T79"/>
    </row>
    <row r="80" spans="2:20" ht="23.1" customHeight="1" x14ac:dyDescent="0.25">
      <c r="B80" s="46" t="s">
        <v>120</v>
      </c>
      <c r="C80" s="49">
        <v>9</v>
      </c>
      <c r="D80" s="49">
        <v>3</v>
      </c>
      <c r="E80" s="49">
        <v>1</v>
      </c>
      <c r="F80" s="49">
        <v>1</v>
      </c>
      <c r="G80" s="49">
        <v>0</v>
      </c>
      <c r="H80" s="49">
        <v>0</v>
      </c>
      <c r="I80" s="49">
        <v>0</v>
      </c>
      <c r="J80" s="49">
        <v>1</v>
      </c>
      <c r="K80" s="49">
        <v>0</v>
      </c>
      <c r="L80" s="49">
        <v>2</v>
      </c>
      <c r="M80" s="49">
        <v>52</v>
      </c>
      <c r="N80" s="49">
        <v>0</v>
      </c>
      <c r="O80" s="15">
        <f t="shared" si="35"/>
        <v>17</v>
      </c>
      <c r="P80" s="15">
        <f t="shared" si="36"/>
        <v>69</v>
      </c>
      <c r="R80" s="8"/>
      <c r="T80"/>
    </row>
    <row r="81" spans="2:20" ht="23.1" customHeight="1" x14ac:dyDescent="0.25">
      <c r="B81" s="44" t="s">
        <v>121</v>
      </c>
      <c r="C81" s="49">
        <v>19</v>
      </c>
      <c r="D81" s="49">
        <v>4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0</v>
      </c>
      <c r="K81" s="49">
        <v>0</v>
      </c>
      <c r="L81" s="49">
        <v>0</v>
      </c>
      <c r="M81" s="49">
        <v>54</v>
      </c>
      <c r="N81" s="49">
        <v>0</v>
      </c>
      <c r="O81" s="15">
        <f t="shared" si="35"/>
        <v>23</v>
      </c>
      <c r="P81" s="15">
        <f t="shared" si="36"/>
        <v>77</v>
      </c>
      <c r="R81" s="8"/>
      <c r="T81"/>
    </row>
    <row r="82" spans="2:20" ht="23.1" customHeight="1" x14ac:dyDescent="0.25">
      <c r="B82" s="45" t="s">
        <v>122</v>
      </c>
      <c r="C82" s="49">
        <v>6</v>
      </c>
      <c r="D82" s="49">
        <v>2</v>
      </c>
      <c r="E82" s="49">
        <v>1</v>
      </c>
      <c r="F82" s="49">
        <v>1</v>
      </c>
      <c r="G82" s="49">
        <v>0</v>
      </c>
      <c r="H82" s="49">
        <v>0</v>
      </c>
      <c r="I82" s="49">
        <v>0</v>
      </c>
      <c r="J82" s="49">
        <v>0</v>
      </c>
      <c r="K82" s="49">
        <v>0</v>
      </c>
      <c r="L82" s="49">
        <v>1</v>
      </c>
      <c r="M82" s="49">
        <v>36</v>
      </c>
      <c r="N82" s="49">
        <v>0</v>
      </c>
      <c r="O82" s="15">
        <f t="shared" si="35"/>
        <v>11</v>
      </c>
      <c r="P82" s="15">
        <f t="shared" si="36"/>
        <v>47</v>
      </c>
      <c r="R82" s="8"/>
      <c r="T82"/>
    </row>
    <row r="83" spans="2:20" ht="23.1" customHeight="1" x14ac:dyDescent="0.25">
      <c r="B83" s="44" t="s">
        <v>123</v>
      </c>
      <c r="C83" s="49">
        <v>18</v>
      </c>
      <c r="D83" s="49">
        <v>0</v>
      </c>
      <c r="E83" s="49">
        <v>1</v>
      </c>
      <c r="F83" s="49">
        <v>2</v>
      </c>
      <c r="G83" s="49">
        <v>0</v>
      </c>
      <c r="H83" s="49">
        <v>0</v>
      </c>
      <c r="I83" s="49">
        <v>1</v>
      </c>
      <c r="J83" s="49">
        <v>0</v>
      </c>
      <c r="K83" s="49">
        <v>0</v>
      </c>
      <c r="L83" s="49">
        <v>2</v>
      </c>
      <c r="M83" s="49">
        <v>34</v>
      </c>
      <c r="N83" s="49">
        <v>0</v>
      </c>
      <c r="O83" s="15">
        <f t="shared" si="35"/>
        <v>24</v>
      </c>
      <c r="P83" s="15">
        <f t="shared" si="36"/>
        <v>58</v>
      </c>
      <c r="R83" s="8"/>
      <c r="T83"/>
    </row>
    <row r="84" spans="2:20" ht="23.1" customHeight="1" x14ac:dyDescent="0.25">
      <c r="B84" s="46" t="s">
        <v>124</v>
      </c>
      <c r="C84" s="49">
        <v>15</v>
      </c>
      <c r="D84" s="49">
        <v>3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0</v>
      </c>
      <c r="L84" s="49">
        <v>0</v>
      </c>
      <c r="M84" s="49">
        <v>34</v>
      </c>
      <c r="N84" s="49">
        <v>0</v>
      </c>
      <c r="O84" s="15">
        <f t="shared" si="35"/>
        <v>19</v>
      </c>
      <c r="P84" s="15">
        <f t="shared" si="36"/>
        <v>53</v>
      </c>
      <c r="R84" s="8"/>
      <c r="T84"/>
    </row>
    <row r="85" spans="2:20" ht="23.1" customHeight="1" x14ac:dyDescent="0.25">
      <c r="B85" s="44" t="s">
        <v>125</v>
      </c>
      <c r="C85" s="49">
        <v>8</v>
      </c>
      <c r="D85" s="49">
        <v>2</v>
      </c>
      <c r="E85" s="49">
        <v>2</v>
      </c>
      <c r="F85" s="49">
        <v>1</v>
      </c>
      <c r="G85" s="49">
        <v>0</v>
      </c>
      <c r="H85" s="49">
        <v>0</v>
      </c>
      <c r="I85" s="49">
        <v>3</v>
      </c>
      <c r="J85" s="49">
        <v>0</v>
      </c>
      <c r="K85" s="49">
        <v>1</v>
      </c>
      <c r="L85" s="49">
        <v>2</v>
      </c>
      <c r="M85" s="49">
        <v>22</v>
      </c>
      <c r="N85" s="49">
        <v>0</v>
      </c>
      <c r="O85" s="15">
        <f t="shared" si="35"/>
        <v>19</v>
      </c>
      <c r="P85" s="15">
        <f t="shared" si="36"/>
        <v>41</v>
      </c>
      <c r="R85" s="8"/>
      <c r="T85"/>
    </row>
    <row r="86" spans="2:20" ht="23.1" customHeight="1" x14ac:dyDescent="0.25">
      <c r="B86" s="45" t="s">
        <v>126</v>
      </c>
      <c r="C86" s="49">
        <v>11</v>
      </c>
      <c r="D86" s="49">
        <v>3</v>
      </c>
      <c r="E86" s="49">
        <v>1</v>
      </c>
      <c r="F86" s="49">
        <v>0</v>
      </c>
      <c r="G86" s="49">
        <v>0</v>
      </c>
      <c r="H86" s="49">
        <v>0</v>
      </c>
      <c r="I86" s="49">
        <v>0</v>
      </c>
      <c r="J86" s="49">
        <v>0</v>
      </c>
      <c r="K86" s="49">
        <v>0</v>
      </c>
      <c r="L86" s="49">
        <v>2</v>
      </c>
      <c r="M86" s="49">
        <v>32</v>
      </c>
      <c r="N86" s="49">
        <v>0</v>
      </c>
      <c r="O86" s="15">
        <f t="shared" si="35"/>
        <v>17</v>
      </c>
      <c r="P86" s="15">
        <f t="shared" si="36"/>
        <v>49</v>
      </c>
      <c r="R86" s="8"/>
      <c r="T86"/>
    </row>
    <row r="87" spans="2:20" ht="23.1" customHeight="1" x14ac:dyDescent="0.25">
      <c r="B87" s="44" t="s">
        <v>127</v>
      </c>
      <c r="C87" s="49">
        <v>19</v>
      </c>
      <c r="D87" s="49">
        <v>1</v>
      </c>
      <c r="E87" s="49">
        <v>0</v>
      </c>
      <c r="F87" s="49">
        <v>0</v>
      </c>
      <c r="G87" s="49">
        <v>0</v>
      </c>
      <c r="H87" s="49">
        <v>0</v>
      </c>
      <c r="I87" s="49">
        <v>0</v>
      </c>
      <c r="J87" s="49">
        <v>0</v>
      </c>
      <c r="K87" s="49">
        <v>0</v>
      </c>
      <c r="L87" s="49">
        <v>2</v>
      </c>
      <c r="M87" s="49">
        <v>28</v>
      </c>
      <c r="N87" s="49">
        <v>0</v>
      </c>
      <c r="O87" s="15">
        <f t="shared" si="35"/>
        <v>22</v>
      </c>
      <c r="P87" s="15">
        <f t="shared" si="36"/>
        <v>50</v>
      </c>
      <c r="R87" s="8"/>
      <c r="T87"/>
    </row>
    <row r="88" spans="2:20" ht="23.1" customHeight="1" x14ac:dyDescent="0.25">
      <c r="B88" s="46" t="s">
        <v>128</v>
      </c>
      <c r="C88" s="49">
        <v>12</v>
      </c>
      <c r="D88" s="49">
        <v>2</v>
      </c>
      <c r="E88" s="49">
        <v>1</v>
      </c>
      <c r="F88" s="49">
        <v>0</v>
      </c>
      <c r="G88" s="49">
        <v>0</v>
      </c>
      <c r="H88" s="49">
        <v>0</v>
      </c>
      <c r="I88" s="49">
        <v>0</v>
      </c>
      <c r="J88" s="49">
        <v>0</v>
      </c>
      <c r="K88" s="49">
        <v>0</v>
      </c>
      <c r="L88" s="49">
        <v>1</v>
      </c>
      <c r="M88" s="49">
        <v>5</v>
      </c>
      <c r="N88" s="49">
        <v>0</v>
      </c>
      <c r="O88" s="15">
        <f t="shared" si="35"/>
        <v>16</v>
      </c>
      <c r="P88" s="15">
        <f t="shared" si="36"/>
        <v>21</v>
      </c>
      <c r="R88" s="8"/>
      <c r="T88"/>
    </row>
    <row r="89" spans="2:20" ht="23.1" customHeight="1" x14ac:dyDescent="0.25">
      <c r="B89" s="44" t="s">
        <v>129</v>
      </c>
      <c r="C89" s="49">
        <v>18</v>
      </c>
      <c r="D89" s="49">
        <v>2</v>
      </c>
      <c r="E89" s="49">
        <v>2</v>
      </c>
      <c r="F89" s="49">
        <v>0</v>
      </c>
      <c r="G89" s="49">
        <v>0</v>
      </c>
      <c r="H89" s="49">
        <v>0</v>
      </c>
      <c r="I89" s="49">
        <v>0</v>
      </c>
      <c r="J89" s="49">
        <v>0</v>
      </c>
      <c r="K89" s="49">
        <v>0</v>
      </c>
      <c r="L89" s="49">
        <v>2</v>
      </c>
      <c r="M89" s="49">
        <v>23</v>
      </c>
      <c r="N89" s="49">
        <v>0</v>
      </c>
      <c r="O89" s="15">
        <f t="shared" si="35"/>
        <v>24</v>
      </c>
      <c r="P89" s="15">
        <f t="shared" si="36"/>
        <v>47</v>
      </c>
      <c r="R89" s="8"/>
      <c r="T89"/>
    </row>
    <row r="90" spans="2:20" ht="23.1" customHeight="1" x14ac:dyDescent="0.25">
      <c r="B90" s="45" t="s">
        <v>130</v>
      </c>
      <c r="C90" s="49">
        <v>9</v>
      </c>
      <c r="D90" s="49">
        <v>2</v>
      </c>
      <c r="E90" s="49">
        <v>0</v>
      </c>
      <c r="F90" s="49">
        <v>0</v>
      </c>
      <c r="G90" s="49">
        <v>0</v>
      </c>
      <c r="H90" s="49">
        <v>0</v>
      </c>
      <c r="I90" s="49">
        <v>1</v>
      </c>
      <c r="J90" s="49">
        <v>1</v>
      </c>
      <c r="K90" s="49">
        <v>1</v>
      </c>
      <c r="L90" s="49">
        <v>2</v>
      </c>
      <c r="M90" s="49">
        <v>12</v>
      </c>
      <c r="N90" s="49">
        <v>0</v>
      </c>
      <c r="O90" s="15">
        <f t="shared" si="35"/>
        <v>16</v>
      </c>
      <c r="P90" s="15">
        <f t="shared" si="36"/>
        <v>28</v>
      </c>
      <c r="R90" s="8"/>
      <c r="T90"/>
    </row>
    <row r="91" spans="2:20" ht="23.1" customHeight="1" x14ac:dyDescent="0.25">
      <c r="B91" s="44" t="s">
        <v>131</v>
      </c>
      <c r="C91" s="49">
        <v>2</v>
      </c>
      <c r="D91" s="49">
        <v>0</v>
      </c>
      <c r="E91" s="49">
        <v>0</v>
      </c>
      <c r="F91" s="49">
        <v>0</v>
      </c>
      <c r="G91" s="49">
        <v>0</v>
      </c>
      <c r="H91" s="49">
        <v>0</v>
      </c>
      <c r="I91" s="49">
        <v>1</v>
      </c>
      <c r="J91" s="49">
        <v>1</v>
      </c>
      <c r="K91" s="49">
        <v>0</v>
      </c>
      <c r="L91" s="49">
        <v>0</v>
      </c>
      <c r="M91" s="49">
        <v>18</v>
      </c>
      <c r="N91" s="49">
        <v>0</v>
      </c>
      <c r="O91" s="15">
        <f t="shared" si="35"/>
        <v>4</v>
      </c>
      <c r="P91" s="15">
        <f t="shared" si="36"/>
        <v>22</v>
      </c>
      <c r="R91" s="8"/>
      <c r="T91"/>
    </row>
    <row r="92" spans="2:20" ht="23.1" customHeight="1" x14ac:dyDescent="0.25">
      <c r="B92" s="46" t="s">
        <v>132</v>
      </c>
      <c r="C92" s="49">
        <v>4</v>
      </c>
      <c r="D92" s="49">
        <v>1</v>
      </c>
      <c r="E92" s="49">
        <v>0</v>
      </c>
      <c r="F92" s="49">
        <v>0</v>
      </c>
      <c r="G92" s="49">
        <v>0</v>
      </c>
      <c r="H92" s="49">
        <v>0</v>
      </c>
      <c r="I92" s="49">
        <v>1</v>
      </c>
      <c r="J92" s="49">
        <v>1</v>
      </c>
      <c r="K92" s="49">
        <v>1</v>
      </c>
      <c r="L92" s="49">
        <v>0</v>
      </c>
      <c r="M92" s="49">
        <v>28</v>
      </c>
      <c r="N92" s="49">
        <v>0</v>
      </c>
      <c r="O92" s="15">
        <f t="shared" si="35"/>
        <v>8</v>
      </c>
      <c r="P92" s="15">
        <f t="shared" si="36"/>
        <v>36</v>
      </c>
      <c r="R92" s="8"/>
      <c r="T92"/>
    </row>
    <row r="93" spans="2:20" ht="23.1" customHeight="1" x14ac:dyDescent="0.25">
      <c r="B93" s="44" t="s">
        <v>133</v>
      </c>
      <c r="C93" s="49">
        <v>7</v>
      </c>
      <c r="D93" s="49">
        <v>2</v>
      </c>
      <c r="E93" s="49">
        <v>1</v>
      </c>
      <c r="F93" s="49">
        <v>2</v>
      </c>
      <c r="G93" s="49">
        <v>0</v>
      </c>
      <c r="H93" s="49">
        <v>0</v>
      </c>
      <c r="I93" s="49">
        <v>1</v>
      </c>
      <c r="J93" s="49">
        <v>0</v>
      </c>
      <c r="K93" s="49">
        <v>0</v>
      </c>
      <c r="L93" s="49">
        <v>1</v>
      </c>
      <c r="M93" s="49">
        <v>18</v>
      </c>
      <c r="N93" s="49">
        <v>0</v>
      </c>
      <c r="O93" s="15">
        <f t="shared" si="35"/>
        <v>14</v>
      </c>
      <c r="P93" s="15">
        <f t="shared" si="36"/>
        <v>32</v>
      </c>
      <c r="R93" s="8"/>
      <c r="T93"/>
    </row>
    <row r="94" spans="2:20" ht="23.1" customHeight="1" x14ac:dyDescent="0.25">
      <c r="B94" s="45" t="s">
        <v>134</v>
      </c>
      <c r="C94" s="49">
        <v>5</v>
      </c>
      <c r="D94" s="49">
        <v>1</v>
      </c>
      <c r="E94" s="49">
        <v>0</v>
      </c>
      <c r="F94" s="49">
        <v>1</v>
      </c>
      <c r="G94" s="49">
        <v>0</v>
      </c>
      <c r="H94" s="49">
        <v>1</v>
      </c>
      <c r="I94" s="49">
        <v>0</v>
      </c>
      <c r="J94" s="49">
        <v>1</v>
      </c>
      <c r="K94" s="49">
        <v>1</v>
      </c>
      <c r="L94" s="49">
        <v>0</v>
      </c>
      <c r="M94" s="49">
        <v>27</v>
      </c>
      <c r="N94" s="49">
        <v>0</v>
      </c>
      <c r="O94" s="15">
        <f t="shared" si="35"/>
        <v>10</v>
      </c>
      <c r="P94" s="15">
        <f t="shared" si="36"/>
        <v>37</v>
      </c>
      <c r="R94" s="8"/>
      <c r="T94"/>
    </row>
    <row r="95" spans="2:20" ht="23.1" customHeight="1" x14ac:dyDescent="0.25">
      <c r="B95" s="44" t="s">
        <v>135</v>
      </c>
      <c r="C95" s="49">
        <v>3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0</v>
      </c>
      <c r="K95" s="49">
        <v>0</v>
      </c>
      <c r="L95" s="49">
        <v>0</v>
      </c>
      <c r="M95" s="49">
        <v>26</v>
      </c>
      <c r="N95" s="49">
        <v>0</v>
      </c>
      <c r="O95" s="15">
        <f t="shared" si="35"/>
        <v>3</v>
      </c>
      <c r="P95" s="15">
        <f t="shared" si="36"/>
        <v>29</v>
      </c>
      <c r="R95" s="8"/>
      <c r="T95"/>
    </row>
    <row r="96" spans="2:20" ht="23.1" customHeight="1" x14ac:dyDescent="0.25">
      <c r="B96" s="46" t="s">
        <v>136</v>
      </c>
      <c r="C96" s="49">
        <v>4</v>
      </c>
      <c r="D96" s="49">
        <v>0</v>
      </c>
      <c r="E96" s="49">
        <v>0</v>
      </c>
      <c r="F96" s="49">
        <v>3</v>
      </c>
      <c r="G96" s="49">
        <v>0</v>
      </c>
      <c r="H96" s="49">
        <v>0</v>
      </c>
      <c r="I96" s="49">
        <v>3</v>
      </c>
      <c r="J96" s="49">
        <v>3</v>
      </c>
      <c r="K96" s="49">
        <v>0</v>
      </c>
      <c r="L96" s="49">
        <v>0</v>
      </c>
      <c r="M96" s="49">
        <v>23</v>
      </c>
      <c r="N96" s="49">
        <v>0</v>
      </c>
      <c r="O96" s="15">
        <f t="shared" si="35"/>
        <v>13</v>
      </c>
      <c r="P96" s="15">
        <f t="shared" si="36"/>
        <v>36</v>
      </c>
      <c r="R96" s="8"/>
      <c r="T96"/>
    </row>
    <row r="97" spans="2:20" ht="23.1" customHeight="1" x14ac:dyDescent="0.25">
      <c r="B97" s="44" t="s">
        <v>137</v>
      </c>
      <c r="C97" s="49">
        <v>3</v>
      </c>
      <c r="D97" s="49">
        <v>1</v>
      </c>
      <c r="E97" s="49">
        <v>0</v>
      </c>
      <c r="F97" s="49">
        <v>2</v>
      </c>
      <c r="G97" s="49">
        <v>0</v>
      </c>
      <c r="H97" s="49">
        <v>0</v>
      </c>
      <c r="I97" s="49">
        <v>2</v>
      </c>
      <c r="J97" s="49">
        <v>0</v>
      </c>
      <c r="K97" s="49">
        <v>0</v>
      </c>
      <c r="L97" s="49">
        <v>0</v>
      </c>
      <c r="M97" s="49">
        <v>21</v>
      </c>
      <c r="N97" s="49">
        <v>0</v>
      </c>
      <c r="O97" s="15">
        <f t="shared" si="35"/>
        <v>8</v>
      </c>
      <c r="P97" s="15">
        <f t="shared" si="36"/>
        <v>29</v>
      </c>
      <c r="R97" s="8"/>
      <c r="T97"/>
    </row>
    <row r="98" spans="2:20" ht="23.1" customHeight="1" x14ac:dyDescent="0.25">
      <c r="B98" s="45" t="s">
        <v>138</v>
      </c>
      <c r="C98" s="49">
        <v>6</v>
      </c>
      <c r="D98" s="49">
        <v>0</v>
      </c>
      <c r="E98" s="49">
        <v>1</v>
      </c>
      <c r="F98" s="49">
        <v>2</v>
      </c>
      <c r="G98" s="49">
        <v>0</v>
      </c>
      <c r="H98" s="49">
        <v>0</v>
      </c>
      <c r="I98" s="49">
        <v>0</v>
      </c>
      <c r="J98" s="49">
        <v>1</v>
      </c>
      <c r="K98" s="49">
        <v>0</v>
      </c>
      <c r="L98" s="49">
        <v>0</v>
      </c>
      <c r="M98" s="49">
        <v>12</v>
      </c>
      <c r="N98" s="49">
        <v>0</v>
      </c>
      <c r="O98" s="15">
        <f t="shared" si="35"/>
        <v>10</v>
      </c>
      <c r="P98" s="15">
        <f t="shared" si="36"/>
        <v>22</v>
      </c>
      <c r="R98" s="8"/>
      <c r="T98"/>
    </row>
    <row r="99" spans="2:20" ht="23.1" customHeight="1" x14ac:dyDescent="0.25">
      <c r="B99" s="44" t="s">
        <v>139</v>
      </c>
      <c r="C99" s="49">
        <v>14</v>
      </c>
      <c r="D99" s="49">
        <v>2</v>
      </c>
      <c r="E99" s="49">
        <v>3</v>
      </c>
      <c r="F99" s="49">
        <v>2</v>
      </c>
      <c r="G99" s="49">
        <v>0</v>
      </c>
      <c r="H99" s="49">
        <v>0</v>
      </c>
      <c r="I99" s="49">
        <v>1</v>
      </c>
      <c r="J99" s="49">
        <v>1</v>
      </c>
      <c r="K99" s="49">
        <v>0</v>
      </c>
      <c r="L99" s="49">
        <v>2</v>
      </c>
      <c r="M99" s="49">
        <v>7</v>
      </c>
      <c r="N99" s="49">
        <v>0</v>
      </c>
      <c r="O99" s="15">
        <f t="shared" si="35"/>
        <v>25</v>
      </c>
      <c r="P99" s="15">
        <f t="shared" si="36"/>
        <v>32</v>
      </c>
      <c r="R99" s="8"/>
      <c r="T99"/>
    </row>
    <row r="100" spans="2:20" ht="23.1" customHeight="1" x14ac:dyDescent="0.25">
      <c r="B100" s="46" t="s">
        <v>140</v>
      </c>
      <c r="C100" s="49">
        <v>29</v>
      </c>
      <c r="D100" s="49">
        <v>6</v>
      </c>
      <c r="E100" s="49">
        <v>1</v>
      </c>
      <c r="F100" s="49">
        <v>4</v>
      </c>
      <c r="G100" s="49">
        <v>1</v>
      </c>
      <c r="H100" s="49">
        <v>1</v>
      </c>
      <c r="I100" s="49">
        <v>2</v>
      </c>
      <c r="J100" s="49">
        <v>2</v>
      </c>
      <c r="K100" s="49">
        <v>1</v>
      </c>
      <c r="L100" s="49">
        <v>1</v>
      </c>
      <c r="M100" s="49">
        <v>31</v>
      </c>
      <c r="N100" s="49">
        <v>0</v>
      </c>
      <c r="O100" s="15">
        <f t="shared" si="35"/>
        <v>48</v>
      </c>
      <c r="P100" s="15">
        <f t="shared" si="36"/>
        <v>79</v>
      </c>
      <c r="R100" s="8"/>
      <c r="T100"/>
    </row>
    <row r="101" spans="2:20" ht="23.1" customHeight="1" x14ac:dyDescent="0.25">
      <c r="B101" s="44" t="s">
        <v>141</v>
      </c>
      <c r="C101" s="49">
        <v>32</v>
      </c>
      <c r="D101" s="49">
        <v>12</v>
      </c>
      <c r="E101" s="49">
        <v>8</v>
      </c>
      <c r="F101" s="49">
        <v>11</v>
      </c>
      <c r="G101" s="49">
        <v>1</v>
      </c>
      <c r="H101" s="49">
        <v>0</v>
      </c>
      <c r="I101" s="49">
        <v>3</v>
      </c>
      <c r="J101" s="49">
        <v>1</v>
      </c>
      <c r="K101" s="49">
        <v>1</v>
      </c>
      <c r="L101" s="49">
        <v>2</v>
      </c>
      <c r="M101" s="49">
        <v>35</v>
      </c>
      <c r="N101" s="49">
        <v>0</v>
      </c>
      <c r="O101" s="15">
        <f t="shared" si="35"/>
        <v>71</v>
      </c>
      <c r="P101" s="15">
        <f t="shared" si="36"/>
        <v>106</v>
      </c>
      <c r="R101" s="8"/>
      <c r="T101"/>
    </row>
    <row r="102" spans="2:20" ht="23.1" customHeight="1" x14ac:dyDescent="0.25">
      <c r="B102" s="45" t="s">
        <v>142</v>
      </c>
      <c r="C102" s="49">
        <v>61</v>
      </c>
      <c r="D102" s="49">
        <v>22</v>
      </c>
      <c r="E102" s="49">
        <v>4</v>
      </c>
      <c r="F102" s="49">
        <v>8</v>
      </c>
      <c r="G102" s="49">
        <v>1</v>
      </c>
      <c r="H102" s="49">
        <v>0</v>
      </c>
      <c r="I102" s="49">
        <v>0</v>
      </c>
      <c r="J102" s="49">
        <v>1</v>
      </c>
      <c r="K102" s="49">
        <v>2</v>
      </c>
      <c r="L102" s="49">
        <v>1</v>
      </c>
      <c r="M102" s="49">
        <v>69</v>
      </c>
      <c r="N102" s="49">
        <v>0</v>
      </c>
      <c r="O102" s="15">
        <f t="shared" si="35"/>
        <v>100</v>
      </c>
      <c r="P102" s="15">
        <f t="shared" si="36"/>
        <v>169</v>
      </c>
      <c r="R102" s="8"/>
      <c r="T102"/>
    </row>
    <row r="103" spans="2:20" ht="23.1" customHeight="1" x14ac:dyDescent="0.25">
      <c r="B103" s="44" t="s">
        <v>143</v>
      </c>
      <c r="C103" s="49">
        <v>106</v>
      </c>
      <c r="D103" s="49">
        <v>24</v>
      </c>
      <c r="E103" s="49">
        <v>12</v>
      </c>
      <c r="F103" s="49">
        <v>10</v>
      </c>
      <c r="G103" s="49">
        <v>2</v>
      </c>
      <c r="H103" s="49">
        <v>0</v>
      </c>
      <c r="I103" s="49">
        <v>4</v>
      </c>
      <c r="J103" s="49">
        <v>1</v>
      </c>
      <c r="K103" s="49">
        <v>2</v>
      </c>
      <c r="L103" s="49">
        <v>0</v>
      </c>
      <c r="M103" s="49">
        <v>147</v>
      </c>
      <c r="N103" s="49">
        <v>0</v>
      </c>
      <c r="O103" s="15">
        <f t="shared" si="35"/>
        <v>161</v>
      </c>
      <c r="P103" s="15">
        <f t="shared" si="36"/>
        <v>308</v>
      </c>
      <c r="R103" s="8"/>
      <c r="T103"/>
    </row>
    <row r="104" spans="2:20" ht="23.1" customHeight="1" x14ac:dyDescent="0.25">
      <c r="B104" s="46" t="s">
        <v>144</v>
      </c>
      <c r="C104" s="49">
        <v>135</v>
      </c>
      <c r="D104" s="49">
        <v>31</v>
      </c>
      <c r="E104" s="49">
        <v>22</v>
      </c>
      <c r="F104" s="49">
        <v>16</v>
      </c>
      <c r="G104" s="49">
        <v>5</v>
      </c>
      <c r="H104" s="49">
        <v>0</v>
      </c>
      <c r="I104" s="49">
        <v>1</v>
      </c>
      <c r="J104" s="49">
        <v>3</v>
      </c>
      <c r="K104" s="49">
        <v>0</v>
      </c>
      <c r="L104" s="49">
        <v>4</v>
      </c>
      <c r="M104" s="49">
        <v>212</v>
      </c>
      <c r="N104" s="49">
        <v>0</v>
      </c>
      <c r="O104" s="15">
        <f t="shared" si="35"/>
        <v>217</v>
      </c>
      <c r="P104" s="15">
        <f t="shared" si="36"/>
        <v>429</v>
      </c>
      <c r="R104" s="8"/>
      <c r="T104"/>
    </row>
    <row r="105" spans="2:20" ht="23.1" customHeight="1" x14ac:dyDescent="0.25">
      <c r="B105" s="44" t="s">
        <v>145</v>
      </c>
      <c r="C105" s="49">
        <v>132</v>
      </c>
      <c r="D105" s="49">
        <v>72</v>
      </c>
      <c r="E105" s="49">
        <v>7</v>
      </c>
      <c r="F105" s="49">
        <v>18</v>
      </c>
      <c r="G105" s="49">
        <v>1</v>
      </c>
      <c r="H105" s="49">
        <v>0</v>
      </c>
      <c r="I105" s="49">
        <v>2</v>
      </c>
      <c r="J105" s="49">
        <v>0</v>
      </c>
      <c r="K105" s="49">
        <v>0</v>
      </c>
      <c r="L105" s="49">
        <v>2</v>
      </c>
      <c r="M105" s="49">
        <v>270</v>
      </c>
      <c r="N105" s="49">
        <v>0</v>
      </c>
      <c r="O105" s="15">
        <f t="shared" si="35"/>
        <v>234</v>
      </c>
      <c r="P105" s="15">
        <f t="shared" si="36"/>
        <v>504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11809</v>
      </c>
      <c r="D106" s="16">
        <f t="shared" ref="D106:P106" si="37">SUM(D10:D105)</f>
        <v>2775</v>
      </c>
      <c r="E106" s="16">
        <f t="shared" si="37"/>
        <v>977</v>
      </c>
      <c r="F106" s="16">
        <f t="shared" si="37"/>
        <v>813</v>
      </c>
      <c r="G106" s="16">
        <f t="shared" si="37"/>
        <v>59</v>
      </c>
      <c r="H106" s="16">
        <f t="shared" si="37"/>
        <v>14</v>
      </c>
      <c r="I106" s="16">
        <f t="shared" si="37"/>
        <v>284</v>
      </c>
      <c r="J106" s="16">
        <f t="shared" si="37"/>
        <v>172</v>
      </c>
      <c r="K106" s="16">
        <f t="shared" si="37"/>
        <v>73</v>
      </c>
      <c r="L106" s="16">
        <f t="shared" si="37"/>
        <v>143</v>
      </c>
      <c r="M106" s="16">
        <f t="shared" si="37"/>
        <v>19540</v>
      </c>
      <c r="N106" s="16">
        <f t="shared" si="37"/>
        <v>5</v>
      </c>
      <c r="O106" s="16">
        <f t="shared" si="37"/>
        <v>17124</v>
      </c>
      <c r="P106" s="16">
        <f t="shared" si="37"/>
        <v>36664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0.32208706087715472</v>
      </c>
      <c r="D107" s="42">
        <f t="shared" si="38"/>
        <v>7.5687322714379224E-2</v>
      </c>
      <c r="E107" s="42">
        <f t="shared" si="38"/>
        <v>2.6647392537639102E-2</v>
      </c>
      <c r="F107" s="42">
        <f t="shared" si="38"/>
        <v>2.2174339951996507E-2</v>
      </c>
      <c r="G107" s="42">
        <f t="shared" si="38"/>
        <v>1.6092079423958106E-3</v>
      </c>
      <c r="H107" s="42">
        <f t="shared" si="38"/>
        <v>3.8184595243290421E-4</v>
      </c>
      <c r="I107" s="42">
        <f t="shared" si="38"/>
        <v>7.7460178922103429E-3</v>
      </c>
      <c r="J107" s="42">
        <f t="shared" si="38"/>
        <v>4.6912502727471089E-3</v>
      </c>
      <c r="K107" s="42">
        <f t="shared" si="38"/>
        <v>1.9910538948287146E-3</v>
      </c>
      <c r="L107" s="42">
        <f t="shared" si="38"/>
        <v>3.9002836569932359E-3</v>
      </c>
      <c r="M107" s="42">
        <f t="shared" si="38"/>
        <v>0.53294785075278206</v>
      </c>
      <c r="N107" s="42">
        <f t="shared" si="38"/>
        <v>1.3637355444032293E-4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0.68961691193646346</v>
      </c>
      <c r="D108" s="43">
        <f t="shared" ref="D108:N108" si="39">D106/$O$106</f>
        <v>0.16205325858444289</v>
      </c>
      <c r="E108" s="43">
        <f t="shared" si="39"/>
        <v>5.7054426535856108E-2</v>
      </c>
      <c r="F108" s="43">
        <f t="shared" si="39"/>
        <v>4.7477224947442186E-2</v>
      </c>
      <c r="G108" s="43">
        <f t="shared" si="39"/>
        <v>3.4454566690025694E-3</v>
      </c>
      <c r="H108" s="43">
        <f t="shared" si="39"/>
        <v>8.1756598925484701E-4</v>
      </c>
      <c r="I108" s="43">
        <f t="shared" si="39"/>
        <v>1.6584910067741182E-2</v>
      </c>
      <c r="J108" s="43">
        <f t="shared" si="39"/>
        <v>1.0044382153702406E-2</v>
      </c>
      <c r="K108" s="43">
        <f t="shared" si="39"/>
        <v>4.2630226582574164E-3</v>
      </c>
      <c r="L108" s="43">
        <f t="shared" si="39"/>
        <v>8.3508526045316511E-3</v>
      </c>
      <c r="M108" s="43"/>
      <c r="N108" s="43">
        <f t="shared" si="39"/>
        <v>2.9198785330530251E-4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74"/>
  <sheetViews>
    <sheetView view="pageBreakPreview" topLeftCell="A37" zoomScale="60" workbookViewId="0">
      <selection activeCell="M65" sqref="M6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69" t="s">
        <v>173</v>
      </c>
      <c r="D3" s="69"/>
      <c r="E3" s="69"/>
      <c r="F3" s="69"/>
      <c r="G3" s="6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50" t="s">
        <v>168</v>
      </c>
      <c r="E5" s="3"/>
      <c r="F5" s="40" t="s">
        <v>1</v>
      </c>
      <c r="G5" s="60" t="s">
        <v>169</v>
      </c>
      <c r="H5" s="61"/>
      <c r="I5" s="14"/>
      <c r="J5" s="2" t="s">
        <v>5</v>
      </c>
      <c r="K5" s="60" t="s">
        <v>175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165</v>
      </c>
      <c r="E6" s="61"/>
      <c r="F6" s="2" t="s">
        <v>2</v>
      </c>
      <c r="G6" s="60" t="s">
        <v>167</v>
      </c>
      <c r="H6" s="61"/>
      <c r="J6" s="2" t="s">
        <v>21</v>
      </c>
      <c r="K6" s="60" t="s">
        <v>176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150</v>
      </c>
      <c r="D10" s="49">
        <v>18</v>
      </c>
      <c r="E10" s="49">
        <v>0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640</v>
      </c>
      <c r="N10" s="49">
        <v>0</v>
      </c>
      <c r="O10" s="15">
        <f t="shared" ref="O10:O57" si="0">SUM(C10:L10,N10)</f>
        <v>168</v>
      </c>
      <c r="P10" s="15">
        <f t="shared" ref="P10:P57" si="1">SUM(C10:N10)</f>
        <v>808</v>
      </c>
      <c r="R10" s="1" t="s">
        <v>6</v>
      </c>
      <c r="S10" s="17">
        <f t="shared" ref="S10:AF10" si="2">SUM(C10:C13)</f>
        <v>695</v>
      </c>
      <c r="T10" s="17">
        <f t="shared" si="2"/>
        <v>59</v>
      </c>
      <c r="U10" s="17">
        <f t="shared" si="2"/>
        <v>52</v>
      </c>
      <c r="V10" s="17">
        <f t="shared" si="2"/>
        <v>12</v>
      </c>
      <c r="W10" s="17">
        <f t="shared" si="2"/>
        <v>4</v>
      </c>
      <c r="X10" s="17">
        <f t="shared" si="2"/>
        <v>1</v>
      </c>
      <c r="Y10" s="17">
        <f t="shared" si="2"/>
        <v>5</v>
      </c>
      <c r="Z10" s="17">
        <f t="shared" si="2"/>
        <v>8</v>
      </c>
      <c r="AA10" s="17">
        <f t="shared" si="2"/>
        <v>3</v>
      </c>
      <c r="AB10" s="17">
        <f t="shared" si="2"/>
        <v>3</v>
      </c>
      <c r="AC10" s="17">
        <f t="shared" si="2"/>
        <v>2250</v>
      </c>
      <c r="AD10" s="17">
        <f t="shared" si="2"/>
        <v>0</v>
      </c>
      <c r="AE10" s="30">
        <f t="shared" si="2"/>
        <v>842</v>
      </c>
      <c r="AF10" s="30">
        <f t="shared" si="2"/>
        <v>3092</v>
      </c>
    </row>
    <row r="11" spans="2:32" s="6" customFormat="1" ht="23.1" customHeight="1" x14ac:dyDescent="0.25">
      <c r="B11" s="44" t="s">
        <v>38</v>
      </c>
      <c r="C11" s="49">
        <v>175</v>
      </c>
      <c r="D11" s="49">
        <v>23</v>
      </c>
      <c r="E11" s="49">
        <v>18</v>
      </c>
      <c r="F11" s="49">
        <v>2</v>
      </c>
      <c r="G11" s="49">
        <v>1</v>
      </c>
      <c r="H11" s="49">
        <v>0</v>
      </c>
      <c r="I11" s="49">
        <v>0</v>
      </c>
      <c r="J11" s="49">
        <v>3</v>
      </c>
      <c r="K11" s="49">
        <v>0</v>
      </c>
      <c r="L11" s="49">
        <v>0</v>
      </c>
      <c r="M11" s="49">
        <v>525</v>
      </c>
      <c r="N11" s="49">
        <v>0</v>
      </c>
      <c r="O11" s="15">
        <f t="shared" si="0"/>
        <v>222</v>
      </c>
      <c r="P11" s="15">
        <f t="shared" si="1"/>
        <v>747</v>
      </c>
      <c r="R11" s="1" t="s">
        <v>7</v>
      </c>
      <c r="S11" s="17">
        <f t="shared" ref="S11:AF11" si="3">SUM(C14:C17)</f>
        <v>645</v>
      </c>
      <c r="T11" s="17">
        <f t="shared" si="3"/>
        <v>61</v>
      </c>
      <c r="U11" s="17">
        <f t="shared" si="3"/>
        <v>40</v>
      </c>
      <c r="V11" s="17">
        <f t="shared" si="3"/>
        <v>8</v>
      </c>
      <c r="W11" s="17">
        <f t="shared" si="3"/>
        <v>4</v>
      </c>
      <c r="X11" s="17">
        <f t="shared" si="3"/>
        <v>2</v>
      </c>
      <c r="Y11" s="17">
        <f t="shared" si="3"/>
        <v>27</v>
      </c>
      <c r="Z11" s="17">
        <f t="shared" si="3"/>
        <v>14</v>
      </c>
      <c r="AA11" s="17">
        <f t="shared" si="3"/>
        <v>17</v>
      </c>
      <c r="AB11" s="17">
        <f t="shared" si="3"/>
        <v>3</v>
      </c>
      <c r="AC11" s="17">
        <f t="shared" si="3"/>
        <v>2390</v>
      </c>
      <c r="AD11" s="17">
        <f t="shared" si="3"/>
        <v>0</v>
      </c>
      <c r="AE11" s="30">
        <f t="shared" si="3"/>
        <v>821</v>
      </c>
      <c r="AF11" s="30">
        <f t="shared" si="3"/>
        <v>3211</v>
      </c>
    </row>
    <row r="12" spans="2:32" ht="23.1" customHeight="1" x14ac:dyDescent="0.25">
      <c r="B12" s="44" t="s">
        <v>39</v>
      </c>
      <c r="C12" s="49">
        <v>175</v>
      </c>
      <c r="D12" s="49">
        <v>12</v>
      </c>
      <c r="E12" s="49">
        <v>12</v>
      </c>
      <c r="F12" s="49">
        <v>4</v>
      </c>
      <c r="G12" s="49">
        <v>0</v>
      </c>
      <c r="H12" s="49">
        <v>0</v>
      </c>
      <c r="I12" s="49">
        <v>1</v>
      </c>
      <c r="J12" s="49">
        <v>2</v>
      </c>
      <c r="K12" s="49">
        <v>0</v>
      </c>
      <c r="L12" s="49">
        <v>0</v>
      </c>
      <c r="M12" s="49">
        <v>560</v>
      </c>
      <c r="N12" s="49">
        <v>0</v>
      </c>
      <c r="O12" s="15">
        <f t="shared" si="0"/>
        <v>206</v>
      </c>
      <c r="P12" s="15">
        <f t="shared" si="1"/>
        <v>766</v>
      </c>
      <c r="R12" s="1" t="s">
        <v>8</v>
      </c>
      <c r="S12" s="17">
        <f t="shared" ref="S12:AF12" si="4">SUM(C18:C21)</f>
        <v>591</v>
      </c>
      <c r="T12" s="17">
        <f t="shared" si="4"/>
        <v>89</v>
      </c>
      <c r="U12" s="17">
        <f t="shared" si="4"/>
        <v>52</v>
      </c>
      <c r="V12" s="17">
        <f t="shared" si="4"/>
        <v>7</v>
      </c>
      <c r="W12" s="17">
        <f t="shared" si="4"/>
        <v>0</v>
      </c>
      <c r="X12" s="17">
        <f t="shared" si="4"/>
        <v>0</v>
      </c>
      <c r="Y12" s="17">
        <f t="shared" si="4"/>
        <v>44</v>
      </c>
      <c r="Z12" s="17">
        <f t="shared" si="4"/>
        <v>15</v>
      </c>
      <c r="AA12" s="17">
        <f t="shared" si="4"/>
        <v>5</v>
      </c>
      <c r="AB12" s="17">
        <f t="shared" si="4"/>
        <v>7</v>
      </c>
      <c r="AC12" s="17">
        <f t="shared" si="4"/>
        <v>2422</v>
      </c>
      <c r="AD12" s="17">
        <f t="shared" si="4"/>
        <v>0</v>
      </c>
      <c r="AE12" s="30">
        <f t="shared" si="4"/>
        <v>810</v>
      </c>
      <c r="AF12" s="30">
        <f t="shared" si="4"/>
        <v>3232</v>
      </c>
    </row>
    <row r="13" spans="2:32" ht="23.1" customHeight="1" x14ac:dyDescent="0.25">
      <c r="B13" s="44" t="s">
        <v>40</v>
      </c>
      <c r="C13" s="49">
        <v>195</v>
      </c>
      <c r="D13" s="49">
        <v>6</v>
      </c>
      <c r="E13" s="49">
        <v>22</v>
      </c>
      <c r="F13" s="49">
        <v>6</v>
      </c>
      <c r="G13" s="49">
        <v>3</v>
      </c>
      <c r="H13" s="49">
        <v>1</v>
      </c>
      <c r="I13" s="49">
        <v>4</v>
      </c>
      <c r="J13" s="49">
        <v>3</v>
      </c>
      <c r="K13" s="49">
        <v>3</v>
      </c>
      <c r="L13" s="49">
        <v>3</v>
      </c>
      <c r="M13" s="49">
        <v>525</v>
      </c>
      <c r="N13" s="49">
        <v>0</v>
      </c>
      <c r="O13" s="15">
        <f t="shared" si="0"/>
        <v>246</v>
      </c>
      <c r="P13" s="15">
        <f t="shared" si="1"/>
        <v>771</v>
      </c>
      <c r="R13" s="1" t="s">
        <v>9</v>
      </c>
      <c r="S13" s="17">
        <f t="shared" ref="S13:AF13" si="5">SUM(C22:C25)</f>
        <v>596</v>
      </c>
      <c r="T13" s="17">
        <f t="shared" si="5"/>
        <v>79</v>
      </c>
      <c r="U13" s="17">
        <f t="shared" si="5"/>
        <v>69</v>
      </c>
      <c r="V13" s="17">
        <f t="shared" si="5"/>
        <v>7</v>
      </c>
      <c r="W13" s="17">
        <f t="shared" si="5"/>
        <v>4</v>
      </c>
      <c r="X13" s="17">
        <f t="shared" si="5"/>
        <v>0</v>
      </c>
      <c r="Y13" s="17">
        <f t="shared" si="5"/>
        <v>50</v>
      </c>
      <c r="Z13" s="17">
        <f t="shared" si="5"/>
        <v>21</v>
      </c>
      <c r="AA13" s="17">
        <f t="shared" si="5"/>
        <v>7</v>
      </c>
      <c r="AB13" s="17">
        <f t="shared" si="5"/>
        <v>5</v>
      </c>
      <c r="AC13" s="17">
        <f t="shared" si="5"/>
        <v>2489</v>
      </c>
      <c r="AD13" s="17">
        <f t="shared" si="5"/>
        <v>0</v>
      </c>
      <c r="AE13" s="30">
        <f t="shared" si="5"/>
        <v>838</v>
      </c>
      <c r="AF13" s="30">
        <f t="shared" si="5"/>
        <v>3327</v>
      </c>
    </row>
    <row r="14" spans="2:32" ht="23.1" customHeight="1" x14ac:dyDescent="0.25">
      <c r="B14" s="44" t="s">
        <v>41</v>
      </c>
      <c r="C14" s="49">
        <v>110</v>
      </c>
      <c r="D14" s="49">
        <v>10</v>
      </c>
      <c r="E14" s="49">
        <v>9</v>
      </c>
      <c r="F14" s="49">
        <v>1</v>
      </c>
      <c r="G14" s="49">
        <v>0</v>
      </c>
      <c r="H14" s="49">
        <v>0</v>
      </c>
      <c r="I14" s="49">
        <v>6</v>
      </c>
      <c r="J14" s="49">
        <v>2</v>
      </c>
      <c r="K14" s="49">
        <v>1</v>
      </c>
      <c r="L14" s="49">
        <v>2</v>
      </c>
      <c r="M14" s="49">
        <v>655</v>
      </c>
      <c r="N14" s="49">
        <v>0</v>
      </c>
      <c r="O14" s="15">
        <f t="shared" si="0"/>
        <v>141</v>
      </c>
      <c r="P14" s="15">
        <f t="shared" si="1"/>
        <v>796</v>
      </c>
      <c r="R14" s="1" t="s">
        <v>10</v>
      </c>
      <c r="S14" s="17">
        <f t="shared" ref="S14:AF14" si="6">SUM(C26:C29)</f>
        <v>722</v>
      </c>
      <c r="T14" s="17">
        <f t="shared" si="6"/>
        <v>95</v>
      </c>
      <c r="U14" s="17">
        <f t="shared" si="6"/>
        <v>70</v>
      </c>
      <c r="V14" s="17">
        <f t="shared" si="6"/>
        <v>10</v>
      </c>
      <c r="W14" s="17">
        <f t="shared" si="6"/>
        <v>6</v>
      </c>
      <c r="X14" s="17">
        <f t="shared" si="6"/>
        <v>1</v>
      </c>
      <c r="Y14" s="17">
        <f t="shared" si="6"/>
        <v>49</v>
      </c>
      <c r="Z14" s="17">
        <f t="shared" si="6"/>
        <v>19</v>
      </c>
      <c r="AA14" s="17">
        <f t="shared" si="6"/>
        <v>5</v>
      </c>
      <c r="AB14" s="17">
        <f t="shared" si="6"/>
        <v>6</v>
      </c>
      <c r="AC14" s="17">
        <f t="shared" si="6"/>
        <v>2330</v>
      </c>
      <c r="AD14" s="17">
        <f t="shared" si="6"/>
        <v>0</v>
      </c>
      <c r="AE14" s="30">
        <f t="shared" si="6"/>
        <v>983</v>
      </c>
      <c r="AF14" s="30">
        <f t="shared" si="6"/>
        <v>3313</v>
      </c>
    </row>
    <row r="15" spans="2:32" ht="23.1" customHeight="1" x14ac:dyDescent="0.25">
      <c r="B15" s="44" t="s">
        <v>42</v>
      </c>
      <c r="C15" s="49">
        <v>175</v>
      </c>
      <c r="D15" s="49">
        <v>17</v>
      </c>
      <c r="E15" s="49">
        <v>9</v>
      </c>
      <c r="F15" s="49">
        <v>4</v>
      </c>
      <c r="G15" s="49">
        <v>1</v>
      </c>
      <c r="H15" s="49">
        <v>0</v>
      </c>
      <c r="I15" s="49">
        <v>5</v>
      </c>
      <c r="J15" s="49">
        <v>1</v>
      </c>
      <c r="K15" s="49">
        <v>5</v>
      </c>
      <c r="L15" s="49">
        <v>0</v>
      </c>
      <c r="M15" s="49">
        <v>561</v>
      </c>
      <c r="N15" s="49">
        <v>0</v>
      </c>
      <c r="O15" s="15">
        <f t="shared" si="0"/>
        <v>217</v>
      </c>
      <c r="P15" s="15">
        <f t="shared" si="1"/>
        <v>778</v>
      </c>
      <c r="R15" s="1" t="s">
        <v>11</v>
      </c>
      <c r="S15" s="17">
        <f t="shared" ref="S15:AF15" si="7">SUM(C30:C33)</f>
        <v>635</v>
      </c>
      <c r="T15" s="17">
        <f t="shared" si="7"/>
        <v>68</v>
      </c>
      <c r="U15" s="17">
        <f t="shared" si="7"/>
        <v>48</v>
      </c>
      <c r="V15" s="17">
        <f t="shared" si="7"/>
        <v>5</v>
      </c>
      <c r="W15" s="17">
        <f t="shared" si="7"/>
        <v>8</v>
      </c>
      <c r="X15" s="17">
        <f t="shared" si="7"/>
        <v>3</v>
      </c>
      <c r="Y15" s="17">
        <f t="shared" si="7"/>
        <v>46</v>
      </c>
      <c r="Z15" s="17">
        <f t="shared" si="7"/>
        <v>21</v>
      </c>
      <c r="AA15" s="17">
        <f t="shared" si="7"/>
        <v>9</v>
      </c>
      <c r="AB15" s="17">
        <f t="shared" si="7"/>
        <v>6</v>
      </c>
      <c r="AC15" s="17">
        <f t="shared" si="7"/>
        <v>2010</v>
      </c>
      <c r="AD15" s="17">
        <f t="shared" si="7"/>
        <v>0</v>
      </c>
      <c r="AE15" s="30">
        <f t="shared" si="7"/>
        <v>849</v>
      </c>
      <c r="AF15" s="30">
        <f t="shared" si="7"/>
        <v>2859</v>
      </c>
    </row>
    <row r="16" spans="2:32" ht="23.1" customHeight="1" x14ac:dyDescent="0.25">
      <c r="B16" s="44" t="s">
        <v>43</v>
      </c>
      <c r="C16" s="49">
        <v>160</v>
      </c>
      <c r="D16" s="49">
        <v>14</v>
      </c>
      <c r="E16" s="49">
        <v>11</v>
      </c>
      <c r="F16" s="49">
        <v>1</v>
      </c>
      <c r="G16" s="49">
        <v>0</v>
      </c>
      <c r="H16" s="49">
        <v>2</v>
      </c>
      <c r="I16" s="49">
        <v>5</v>
      </c>
      <c r="J16" s="49">
        <v>5</v>
      </c>
      <c r="K16" s="49">
        <v>3</v>
      </c>
      <c r="L16" s="49">
        <v>0</v>
      </c>
      <c r="M16" s="49">
        <v>575</v>
      </c>
      <c r="N16" s="49">
        <v>0</v>
      </c>
      <c r="O16" s="15">
        <f t="shared" si="0"/>
        <v>201</v>
      </c>
      <c r="P16" s="15">
        <f t="shared" si="1"/>
        <v>776</v>
      </c>
      <c r="R16" s="1" t="s">
        <v>12</v>
      </c>
      <c r="S16" s="17">
        <f t="shared" ref="S16:AF16" si="8">SUM(C34:C37)</f>
        <v>500</v>
      </c>
      <c r="T16" s="17">
        <f t="shared" si="8"/>
        <v>61</v>
      </c>
      <c r="U16" s="17">
        <f t="shared" si="8"/>
        <v>44</v>
      </c>
      <c r="V16" s="17">
        <f t="shared" si="8"/>
        <v>2</v>
      </c>
      <c r="W16" s="17">
        <f t="shared" si="8"/>
        <v>3</v>
      </c>
      <c r="X16" s="17">
        <f t="shared" si="8"/>
        <v>1</v>
      </c>
      <c r="Y16" s="17">
        <f t="shared" si="8"/>
        <v>41</v>
      </c>
      <c r="Z16" s="17">
        <f t="shared" si="8"/>
        <v>16</v>
      </c>
      <c r="AA16" s="17">
        <f t="shared" si="8"/>
        <v>5</v>
      </c>
      <c r="AB16" s="17">
        <f t="shared" si="8"/>
        <v>9</v>
      </c>
      <c r="AC16" s="17">
        <f t="shared" si="8"/>
        <v>3040</v>
      </c>
      <c r="AD16" s="17">
        <f t="shared" si="8"/>
        <v>0</v>
      </c>
      <c r="AE16" s="30">
        <f t="shared" si="8"/>
        <v>682</v>
      </c>
      <c r="AF16" s="30">
        <f t="shared" si="8"/>
        <v>3722</v>
      </c>
    </row>
    <row r="17" spans="2:32" ht="23.1" customHeight="1" x14ac:dyDescent="0.25">
      <c r="B17" s="44" t="s">
        <v>44</v>
      </c>
      <c r="C17" s="49">
        <v>200</v>
      </c>
      <c r="D17" s="49">
        <v>20</v>
      </c>
      <c r="E17" s="49">
        <v>11</v>
      </c>
      <c r="F17" s="49">
        <v>2</v>
      </c>
      <c r="G17" s="49">
        <v>3</v>
      </c>
      <c r="H17" s="49">
        <v>0</v>
      </c>
      <c r="I17" s="49">
        <v>11</v>
      </c>
      <c r="J17" s="49">
        <v>6</v>
      </c>
      <c r="K17" s="49">
        <v>8</v>
      </c>
      <c r="L17" s="49">
        <v>1</v>
      </c>
      <c r="M17" s="49">
        <v>599</v>
      </c>
      <c r="N17" s="49">
        <v>0</v>
      </c>
      <c r="O17" s="15">
        <f t="shared" si="0"/>
        <v>262</v>
      </c>
      <c r="P17" s="15">
        <f t="shared" si="1"/>
        <v>861</v>
      </c>
      <c r="R17" s="1" t="s">
        <v>13</v>
      </c>
      <c r="S17" s="17">
        <f t="shared" ref="S17:AF17" si="9">SUM(C38:C41)</f>
        <v>680</v>
      </c>
      <c r="T17" s="17">
        <f t="shared" si="9"/>
        <v>58</v>
      </c>
      <c r="U17" s="17">
        <f t="shared" si="9"/>
        <v>73</v>
      </c>
      <c r="V17" s="17">
        <f t="shared" si="9"/>
        <v>8</v>
      </c>
      <c r="W17" s="17">
        <f t="shared" si="9"/>
        <v>6</v>
      </c>
      <c r="X17" s="17">
        <f t="shared" si="9"/>
        <v>1</v>
      </c>
      <c r="Y17" s="17">
        <f t="shared" si="9"/>
        <v>52</v>
      </c>
      <c r="Z17" s="17">
        <f t="shared" si="9"/>
        <v>35</v>
      </c>
      <c r="AA17" s="17">
        <f t="shared" si="9"/>
        <v>13</v>
      </c>
      <c r="AB17" s="17">
        <f t="shared" si="9"/>
        <v>8</v>
      </c>
      <c r="AC17" s="17">
        <f t="shared" si="9"/>
        <v>2506</v>
      </c>
      <c r="AD17" s="17">
        <f t="shared" si="9"/>
        <v>0</v>
      </c>
      <c r="AE17" s="30">
        <f t="shared" si="9"/>
        <v>934</v>
      </c>
      <c r="AF17" s="30">
        <f t="shared" si="9"/>
        <v>3440</v>
      </c>
    </row>
    <row r="18" spans="2:32" ht="23.1" customHeight="1" x14ac:dyDescent="0.25">
      <c r="B18" s="44" t="s">
        <v>45</v>
      </c>
      <c r="C18" s="49">
        <v>188</v>
      </c>
      <c r="D18" s="49">
        <v>4</v>
      </c>
      <c r="E18" s="49">
        <v>12</v>
      </c>
      <c r="F18" s="49">
        <v>2</v>
      </c>
      <c r="G18" s="49">
        <v>0</v>
      </c>
      <c r="H18" s="49">
        <v>0</v>
      </c>
      <c r="I18" s="49">
        <v>12</v>
      </c>
      <c r="J18" s="49">
        <v>3</v>
      </c>
      <c r="K18" s="49">
        <v>2</v>
      </c>
      <c r="L18" s="49">
        <v>2</v>
      </c>
      <c r="M18" s="49">
        <v>720</v>
      </c>
      <c r="N18" s="49">
        <v>0</v>
      </c>
      <c r="O18" s="15">
        <f t="shared" si="0"/>
        <v>225</v>
      </c>
      <c r="P18" s="15">
        <f t="shared" si="1"/>
        <v>945</v>
      </c>
      <c r="R18" s="1" t="s">
        <v>14</v>
      </c>
      <c r="S18" s="17">
        <f t="shared" ref="S18:AF18" si="10">SUM(C42:C45)</f>
        <v>800</v>
      </c>
      <c r="T18" s="17">
        <f t="shared" si="10"/>
        <v>120</v>
      </c>
      <c r="U18" s="17">
        <f t="shared" si="10"/>
        <v>45</v>
      </c>
      <c r="V18" s="17">
        <f t="shared" si="10"/>
        <v>19</v>
      </c>
      <c r="W18" s="17">
        <f t="shared" si="10"/>
        <v>3</v>
      </c>
      <c r="X18" s="17">
        <f t="shared" si="10"/>
        <v>3</v>
      </c>
      <c r="Y18" s="17">
        <f t="shared" si="10"/>
        <v>26</v>
      </c>
      <c r="Z18" s="17">
        <f t="shared" si="10"/>
        <v>27</v>
      </c>
      <c r="AA18" s="17">
        <f t="shared" si="10"/>
        <v>17</v>
      </c>
      <c r="AB18" s="17">
        <f t="shared" si="10"/>
        <v>9</v>
      </c>
      <c r="AC18" s="17">
        <f t="shared" si="10"/>
        <v>2593</v>
      </c>
      <c r="AD18" s="17">
        <f t="shared" si="10"/>
        <v>0</v>
      </c>
      <c r="AE18" s="30">
        <f t="shared" si="10"/>
        <v>1069</v>
      </c>
      <c r="AF18" s="30">
        <f t="shared" si="10"/>
        <v>3662</v>
      </c>
    </row>
    <row r="19" spans="2:32" ht="23.1" customHeight="1" x14ac:dyDescent="0.25">
      <c r="B19" s="44" t="s">
        <v>46</v>
      </c>
      <c r="C19" s="49">
        <v>93</v>
      </c>
      <c r="D19" s="49">
        <v>20</v>
      </c>
      <c r="E19" s="49">
        <v>12</v>
      </c>
      <c r="F19" s="49">
        <v>2</v>
      </c>
      <c r="G19" s="49">
        <v>0</v>
      </c>
      <c r="H19" s="49">
        <v>0</v>
      </c>
      <c r="I19" s="49">
        <v>6</v>
      </c>
      <c r="J19" s="49">
        <v>3</v>
      </c>
      <c r="K19" s="49">
        <v>1</v>
      </c>
      <c r="L19" s="49">
        <v>2</v>
      </c>
      <c r="M19" s="49">
        <v>675</v>
      </c>
      <c r="N19" s="49">
        <v>0</v>
      </c>
      <c r="O19" s="15">
        <f t="shared" si="0"/>
        <v>139</v>
      </c>
      <c r="P19" s="15">
        <f t="shared" si="1"/>
        <v>814</v>
      </c>
      <c r="R19" s="1" t="s">
        <v>15</v>
      </c>
      <c r="S19" s="17">
        <f t="shared" ref="S19:AF19" si="11">SUM(C46:C49)</f>
        <v>746</v>
      </c>
      <c r="T19" s="17">
        <f t="shared" si="11"/>
        <v>189</v>
      </c>
      <c r="U19" s="17">
        <f t="shared" si="11"/>
        <v>67</v>
      </c>
      <c r="V19" s="17">
        <f t="shared" si="11"/>
        <v>7</v>
      </c>
      <c r="W19" s="17">
        <f t="shared" si="11"/>
        <v>1</v>
      </c>
      <c r="X19" s="17">
        <f t="shared" si="11"/>
        <v>0</v>
      </c>
      <c r="Y19" s="17">
        <f t="shared" si="11"/>
        <v>41</v>
      </c>
      <c r="Z19" s="17">
        <f t="shared" si="11"/>
        <v>22</v>
      </c>
      <c r="AA19" s="17">
        <f t="shared" si="11"/>
        <v>9</v>
      </c>
      <c r="AB19" s="17">
        <f t="shared" si="11"/>
        <v>10</v>
      </c>
      <c r="AC19" s="17">
        <f t="shared" si="11"/>
        <v>2400</v>
      </c>
      <c r="AD19" s="17">
        <f t="shared" si="11"/>
        <v>0</v>
      </c>
      <c r="AE19" s="30">
        <f t="shared" si="11"/>
        <v>1092</v>
      </c>
      <c r="AF19" s="30">
        <f t="shared" si="11"/>
        <v>3492</v>
      </c>
    </row>
    <row r="20" spans="2:32" ht="23.1" customHeight="1" x14ac:dyDescent="0.25">
      <c r="B20" s="44" t="s">
        <v>47</v>
      </c>
      <c r="C20" s="49">
        <v>110</v>
      </c>
      <c r="D20" s="49">
        <v>23</v>
      </c>
      <c r="E20" s="49">
        <v>8</v>
      </c>
      <c r="F20" s="49">
        <v>1</v>
      </c>
      <c r="G20" s="49">
        <v>0</v>
      </c>
      <c r="H20" s="49">
        <v>0</v>
      </c>
      <c r="I20" s="49">
        <v>10</v>
      </c>
      <c r="J20" s="49">
        <v>7</v>
      </c>
      <c r="K20" s="49">
        <v>0</v>
      </c>
      <c r="L20" s="49">
        <v>1</v>
      </c>
      <c r="M20" s="49">
        <v>525</v>
      </c>
      <c r="N20" s="49">
        <v>0</v>
      </c>
      <c r="O20" s="15">
        <f t="shared" si="0"/>
        <v>160</v>
      </c>
      <c r="P20" s="15">
        <f t="shared" si="1"/>
        <v>685</v>
      </c>
      <c r="R20" s="1" t="s">
        <v>16</v>
      </c>
      <c r="S20" s="17">
        <f t="shared" ref="S20:AF20" si="12">SUM(C50:C53)</f>
        <v>743</v>
      </c>
      <c r="T20" s="17">
        <f t="shared" si="12"/>
        <v>119</v>
      </c>
      <c r="U20" s="17">
        <f t="shared" si="12"/>
        <v>68</v>
      </c>
      <c r="V20" s="17">
        <f t="shared" si="12"/>
        <v>3</v>
      </c>
      <c r="W20" s="17">
        <f t="shared" si="12"/>
        <v>4</v>
      </c>
      <c r="X20" s="17">
        <f t="shared" si="12"/>
        <v>1</v>
      </c>
      <c r="Y20" s="17">
        <f t="shared" si="12"/>
        <v>54</v>
      </c>
      <c r="Z20" s="17">
        <f t="shared" si="12"/>
        <v>18</v>
      </c>
      <c r="AA20" s="17">
        <f t="shared" si="12"/>
        <v>15</v>
      </c>
      <c r="AB20" s="17">
        <f t="shared" si="12"/>
        <v>12</v>
      </c>
      <c r="AC20" s="17">
        <f t="shared" si="12"/>
        <v>2355</v>
      </c>
      <c r="AD20" s="17">
        <f t="shared" si="12"/>
        <v>0</v>
      </c>
      <c r="AE20" s="30">
        <f t="shared" si="12"/>
        <v>1037</v>
      </c>
      <c r="AF20" s="30">
        <f t="shared" si="12"/>
        <v>3392</v>
      </c>
    </row>
    <row r="21" spans="2:32" ht="23.1" customHeight="1" x14ac:dyDescent="0.25">
      <c r="B21" s="44" t="s">
        <v>48</v>
      </c>
      <c r="C21" s="49">
        <v>200</v>
      </c>
      <c r="D21" s="49">
        <v>42</v>
      </c>
      <c r="E21" s="49">
        <v>20</v>
      </c>
      <c r="F21" s="49">
        <v>2</v>
      </c>
      <c r="G21" s="49">
        <v>0</v>
      </c>
      <c r="H21" s="49">
        <v>0</v>
      </c>
      <c r="I21" s="49">
        <v>16</v>
      </c>
      <c r="J21" s="49">
        <v>2</v>
      </c>
      <c r="K21" s="49">
        <v>2</v>
      </c>
      <c r="L21" s="49">
        <v>2</v>
      </c>
      <c r="M21" s="49">
        <v>502</v>
      </c>
      <c r="N21" s="49">
        <v>0</v>
      </c>
      <c r="O21" s="15">
        <f t="shared" si="0"/>
        <v>286</v>
      </c>
      <c r="P21" s="15">
        <f t="shared" si="1"/>
        <v>788</v>
      </c>
      <c r="R21" s="35" t="s">
        <v>20</v>
      </c>
      <c r="S21" s="33">
        <f t="shared" ref="S21:AF21" si="13">SUM(C54:C57)</f>
        <v>750</v>
      </c>
      <c r="T21" s="17">
        <f t="shared" si="13"/>
        <v>158</v>
      </c>
      <c r="U21" s="17">
        <f t="shared" si="13"/>
        <v>90</v>
      </c>
      <c r="V21" s="17">
        <f t="shared" si="13"/>
        <v>20</v>
      </c>
      <c r="W21" s="17">
        <f t="shared" si="13"/>
        <v>6</v>
      </c>
      <c r="X21" s="17">
        <f t="shared" si="13"/>
        <v>2</v>
      </c>
      <c r="Y21" s="17">
        <f t="shared" si="13"/>
        <v>33</v>
      </c>
      <c r="Z21" s="17">
        <f t="shared" si="13"/>
        <v>21</v>
      </c>
      <c r="AA21" s="17">
        <f t="shared" si="13"/>
        <v>18</v>
      </c>
      <c r="AB21" s="17">
        <f t="shared" si="13"/>
        <v>9</v>
      </c>
      <c r="AC21" s="17">
        <f t="shared" si="13"/>
        <v>2089</v>
      </c>
      <c r="AD21" s="17">
        <f t="shared" si="13"/>
        <v>0</v>
      </c>
      <c r="AE21" s="30">
        <f t="shared" si="13"/>
        <v>1107</v>
      </c>
      <c r="AF21" s="30">
        <f t="shared" si="13"/>
        <v>3196</v>
      </c>
    </row>
    <row r="22" spans="2:32" ht="23.1" customHeight="1" x14ac:dyDescent="0.25">
      <c r="B22" s="44" t="s">
        <v>49</v>
      </c>
      <c r="C22" s="49">
        <v>95</v>
      </c>
      <c r="D22" s="49">
        <v>18</v>
      </c>
      <c r="E22" s="49">
        <v>15</v>
      </c>
      <c r="F22" s="49">
        <v>2</v>
      </c>
      <c r="G22" s="49">
        <v>2</v>
      </c>
      <c r="H22" s="49">
        <v>0</v>
      </c>
      <c r="I22" s="49">
        <v>13</v>
      </c>
      <c r="J22" s="49">
        <v>4</v>
      </c>
      <c r="K22" s="49">
        <v>1</v>
      </c>
      <c r="L22" s="49">
        <v>1</v>
      </c>
      <c r="M22" s="49">
        <v>840</v>
      </c>
      <c r="N22" s="49">
        <v>0</v>
      </c>
      <c r="O22" s="15">
        <f t="shared" si="0"/>
        <v>151</v>
      </c>
      <c r="P22" s="15">
        <f t="shared" si="1"/>
        <v>991</v>
      </c>
      <c r="R22" s="35" t="s">
        <v>146</v>
      </c>
      <c r="S22" s="33">
        <f>SUM(C58:C61)</f>
        <v>765</v>
      </c>
      <c r="T22" s="33">
        <f t="shared" ref="T22:AF22" si="14">SUM(D58:D61)</f>
        <v>330</v>
      </c>
      <c r="U22" s="33">
        <f t="shared" si="14"/>
        <v>35</v>
      </c>
      <c r="V22" s="33">
        <f t="shared" si="14"/>
        <v>7</v>
      </c>
      <c r="W22" s="33">
        <f t="shared" si="14"/>
        <v>2</v>
      </c>
      <c r="X22" s="33">
        <f t="shared" si="14"/>
        <v>0</v>
      </c>
      <c r="Y22" s="33">
        <f t="shared" si="14"/>
        <v>19</v>
      </c>
      <c r="Z22" s="33">
        <f t="shared" si="14"/>
        <v>11</v>
      </c>
      <c r="AA22" s="33">
        <f t="shared" si="14"/>
        <v>8</v>
      </c>
      <c r="AB22" s="33">
        <f t="shared" si="14"/>
        <v>4</v>
      </c>
      <c r="AC22" s="33">
        <f t="shared" si="14"/>
        <v>1319</v>
      </c>
      <c r="AD22" s="33">
        <f t="shared" si="14"/>
        <v>0</v>
      </c>
      <c r="AE22" s="30">
        <f t="shared" si="14"/>
        <v>1181</v>
      </c>
      <c r="AF22" s="30">
        <f t="shared" si="14"/>
        <v>2500</v>
      </c>
    </row>
    <row r="23" spans="2:32" ht="23.1" customHeight="1" x14ac:dyDescent="0.25">
      <c r="B23" s="44" t="s">
        <v>50</v>
      </c>
      <c r="C23" s="49">
        <v>160</v>
      </c>
      <c r="D23" s="49">
        <v>19</v>
      </c>
      <c r="E23" s="49">
        <v>18</v>
      </c>
      <c r="F23" s="49">
        <v>4</v>
      </c>
      <c r="G23" s="49">
        <v>0</v>
      </c>
      <c r="H23" s="49">
        <v>0</v>
      </c>
      <c r="I23" s="49">
        <v>16</v>
      </c>
      <c r="J23" s="49">
        <v>7</v>
      </c>
      <c r="K23" s="49">
        <v>2</v>
      </c>
      <c r="L23" s="49">
        <v>2</v>
      </c>
      <c r="M23" s="49">
        <v>560</v>
      </c>
      <c r="N23" s="49">
        <v>0</v>
      </c>
      <c r="O23" s="15">
        <f t="shared" si="0"/>
        <v>228</v>
      </c>
      <c r="P23" s="15">
        <f t="shared" si="1"/>
        <v>788</v>
      </c>
      <c r="R23" s="35" t="s">
        <v>147</v>
      </c>
      <c r="S23" s="33">
        <f>SUM(C62:C65)</f>
        <v>815</v>
      </c>
      <c r="T23" s="33">
        <f t="shared" ref="T23:AF23" si="15">SUM(D62:D65)</f>
        <v>209</v>
      </c>
      <c r="U23" s="33">
        <f t="shared" si="15"/>
        <v>46</v>
      </c>
      <c r="V23" s="33">
        <f t="shared" si="15"/>
        <v>1</v>
      </c>
      <c r="W23" s="33">
        <f t="shared" si="15"/>
        <v>1</v>
      </c>
      <c r="X23" s="33">
        <f t="shared" si="15"/>
        <v>0</v>
      </c>
      <c r="Y23" s="33">
        <f t="shared" si="15"/>
        <v>13</v>
      </c>
      <c r="Z23" s="33">
        <f t="shared" si="15"/>
        <v>2</v>
      </c>
      <c r="AA23" s="33">
        <f t="shared" si="15"/>
        <v>5</v>
      </c>
      <c r="AB23" s="33">
        <f t="shared" si="15"/>
        <v>1</v>
      </c>
      <c r="AC23" s="33">
        <f t="shared" si="15"/>
        <v>627</v>
      </c>
      <c r="AD23" s="33">
        <f t="shared" si="15"/>
        <v>0</v>
      </c>
      <c r="AE23" s="30">
        <f t="shared" si="15"/>
        <v>1093</v>
      </c>
      <c r="AF23" s="30">
        <f t="shared" si="15"/>
        <v>1720</v>
      </c>
    </row>
    <row r="24" spans="2:32" ht="23.1" customHeight="1" x14ac:dyDescent="0.25">
      <c r="B24" s="44" t="s">
        <v>51</v>
      </c>
      <c r="C24" s="49">
        <v>166</v>
      </c>
      <c r="D24" s="49">
        <v>20</v>
      </c>
      <c r="E24" s="49">
        <v>26</v>
      </c>
      <c r="F24" s="49">
        <v>1</v>
      </c>
      <c r="G24" s="49">
        <v>1</v>
      </c>
      <c r="H24" s="49">
        <v>0</v>
      </c>
      <c r="I24" s="49">
        <v>13</v>
      </c>
      <c r="J24" s="49">
        <v>9</v>
      </c>
      <c r="K24" s="49">
        <v>3</v>
      </c>
      <c r="L24" s="49">
        <v>2</v>
      </c>
      <c r="M24" s="49">
        <v>525</v>
      </c>
      <c r="N24" s="49">
        <v>0</v>
      </c>
      <c r="O24" s="15">
        <f t="shared" si="0"/>
        <v>241</v>
      </c>
      <c r="P24" s="15">
        <f t="shared" si="1"/>
        <v>766</v>
      </c>
      <c r="R24" s="35" t="s">
        <v>148</v>
      </c>
      <c r="S24" s="33">
        <f>SUM(C66:C69)</f>
        <v>631</v>
      </c>
      <c r="T24" s="33">
        <f t="shared" ref="T24:AF24" si="16">SUM(D66:D69)</f>
        <v>265</v>
      </c>
      <c r="U24" s="33">
        <f t="shared" si="16"/>
        <v>32</v>
      </c>
      <c r="V24" s="33">
        <f t="shared" si="16"/>
        <v>1</v>
      </c>
      <c r="W24" s="33">
        <f t="shared" si="16"/>
        <v>2</v>
      </c>
      <c r="X24" s="33">
        <f t="shared" si="16"/>
        <v>0</v>
      </c>
      <c r="Y24" s="33">
        <f t="shared" si="16"/>
        <v>10</v>
      </c>
      <c r="Z24" s="33">
        <f t="shared" si="16"/>
        <v>9</v>
      </c>
      <c r="AA24" s="33">
        <f t="shared" si="16"/>
        <v>4</v>
      </c>
      <c r="AB24" s="33">
        <f t="shared" si="16"/>
        <v>16</v>
      </c>
      <c r="AC24" s="33">
        <f t="shared" si="16"/>
        <v>196</v>
      </c>
      <c r="AD24" s="33">
        <f t="shared" si="16"/>
        <v>0</v>
      </c>
      <c r="AE24" s="30">
        <f t="shared" si="16"/>
        <v>970</v>
      </c>
      <c r="AF24" s="30">
        <f t="shared" si="16"/>
        <v>1166</v>
      </c>
    </row>
    <row r="25" spans="2:32" ht="23.1" customHeight="1" x14ac:dyDescent="0.25">
      <c r="B25" s="44" t="s">
        <v>52</v>
      </c>
      <c r="C25" s="49">
        <v>175</v>
      </c>
      <c r="D25" s="49">
        <v>22</v>
      </c>
      <c r="E25" s="49">
        <v>10</v>
      </c>
      <c r="F25" s="49">
        <v>0</v>
      </c>
      <c r="G25" s="49">
        <v>1</v>
      </c>
      <c r="H25" s="49">
        <v>0</v>
      </c>
      <c r="I25" s="49">
        <v>8</v>
      </c>
      <c r="J25" s="49">
        <v>1</v>
      </c>
      <c r="K25" s="49">
        <v>1</v>
      </c>
      <c r="L25" s="49">
        <v>0</v>
      </c>
      <c r="M25" s="49">
        <v>564</v>
      </c>
      <c r="N25" s="49">
        <v>0</v>
      </c>
      <c r="O25" s="15">
        <f t="shared" si="0"/>
        <v>218</v>
      </c>
      <c r="P25" s="15">
        <f t="shared" si="1"/>
        <v>782</v>
      </c>
      <c r="R25" s="35" t="s">
        <v>149</v>
      </c>
      <c r="S25" s="33">
        <f>SUM(C70:C73)</f>
        <v>353</v>
      </c>
      <c r="T25" s="33">
        <f t="shared" ref="T25:AF25" si="17">SUM(D70:D73)</f>
        <v>98</v>
      </c>
      <c r="U25" s="33">
        <f t="shared" si="17"/>
        <v>23</v>
      </c>
      <c r="V25" s="33">
        <f t="shared" si="17"/>
        <v>1</v>
      </c>
      <c r="W25" s="33">
        <f t="shared" si="17"/>
        <v>0</v>
      </c>
      <c r="X25" s="33">
        <f t="shared" si="17"/>
        <v>0</v>
      </c>
      <c r="Y25" s="33">
        <f t="shared" si="17"/>
        <v>19</v>
      </c>
      <c r="Z25" s="33">
        <f t="shared" si="17"/>
        <v>1</v>
      </c>
      <c r="AA25" s="33">
        <f t="shared" si="17"/>
        <v>5</v>
      </c>
      <c r="AB25" s="33">
        <f t="shared" si="17"/>
        <v>5</v>
      </c>
      <c r="AC25" s="33">
        <f t="shared" si="17"/>
        <v>245</v>
      </c>
      <c r="AD25" s="33">
        <f t="shared" si="17"/>
        <v>0</v>
      </c>
      <c r="AE25" s="30">
        <f t="shared" si="17"/>
        <v>505</v>
      </c>
      <c r="AF25" s="30">
        <f t="shared" si="17"/>
        <v>750</v>
      </c>
    </row>
    <row r="26" spans="2:32" ht="23.1" customHeight="1" x14ac:dyDescent="0.25">
      <c r="B26" s="44" t="s">
        <v>53</v>
      </c>
      <c r="C26" s="49">
        <v>185</v>
      </c>
      <c r="D26" s="49">
        <v>15</v>
      </c>
      <c r="E26" s="49">
        <v>16</v>
      </c>
      <c r="F26" s="49">
        <v>1</v>
      </c>
      <c r="G26" s="49">
        <v>2</v>
      </c>
      <c r="H26" s="49">
        <v>1</v>
      </c>
      <c r="I26" s="49">
        <v>10</v>
      </c>
      <c r="J26" s="49">
        <v>3</v>
      </c>
      <c r="K26" s="49">
        <v>0</v>
      </c>
      <c r="L26" s="49">
        <v>2</v>
      </c>
      <c r="M26" s="49">
        <v>540</v>
      </c>
      <c r="N26" s="49">
        <v>0</v>
      </c>
      <c r="O26" s="15">
        <f t="shared" si="0"/>
        <v>235</v>
      </c>
      <c r="P26" s="15">
        <f t="shared" si="1"/>
        <v>775</v>
      </c>
      <c r="R26" s="35" t="s">
        <v>150</v>
      </c>
      <c r="S26" s="33">
        <f>SUM(C74:C77)</f>
        <v>191</v>
      </c>
      <c r="T26" s="33">
        <f t="shared" ref="T26:AF26" si="18">SUM(D74:D77)</f>
        <v>63</v>
      </c>
      <c r="U26" s="33">
        <f t="shared" si="18"/>
        <v>13</v>
      </c>
      <c r="V26" s="33">
        <f t="shared" si="18"/>
        <v>0</v>
      </c>
      <c r="W26" s="33">
        <f t="shared" si="18"/>
        <v>0</v>
      </c>
      <c r="X26" s="33">
        <f t="shared" si="18"/>
        <v>0</v>
      </c>
      <c r="Y26" s="33">
        <f t="shared" si="18"/>
        <v>10</v>
      </c>
      <c r="Z26" s="33">
        <f t="shared" si="18"/>
        <v>0</v>
      </c>
      <c r="AA26" s="33">
        <f t="shared" si="18"/>
        <v>1</v>
      </c>
      <c r="AB26" s="33">
        <f t="shared" si="18"/>
        <v>2</v>
      </c>
      <c r="AC26" s="33">
        <f t="shared" si="18"/>
        <v>220</v>
      </c>
      <c r="AD26" s="33">
        <f t="shared" si="18"/>
        <v>0</v>
      </c>
      <c r="AE26" s="30">
        <f t="shared" si="18"/>
        <v>280</v>
      </c>
      <c r="AF26" s="30">
        <f t="shared" si="18"/>
        <v>500</v>
      </c>
    </row>
    <row r="27" spans="2:32" ht="23.1" customHeight="1" x14ac:dyDescent="0.25">
      <c r="B27" s="44" t="s">
        <v>54</v>
      </c>
      <c r="C27" s="49">
        <v>200</v>
      </c>
      <c r="D27" s="49">
        <v>45</v>
      </c>
      <c r="E27" s="49">
        <v>24</v>
      </c>
      <c r="F27" s="49">
        <v>6</v>
      </c>
      <c r="G27" s="49">
        <v>2</v>
      </c>
      <c r="H27" s="49">
        <v>0</v>
      </c>
      <c r="I27" s="49">
        <v>16</v>
      </c>
      <c r="J27" s="49">
        <v>3</v>
      </c>
      <c r="K27" s="49">
        <v>3</v>
      </c>
      <c r="L27" s="49">
        <v>1</v>
      </c>
      <c r="M27" s="49">
        <v>600</v>
      </c>
      <c r="N27" s="49">
        <v>0</v>
      </c>
      <c r="O27" s="15">
        <f t="shared" si="0"/>
        <v>300</v>
      </c>
      <c r="P27" s="15">
        <f t="shared" si="1"/>
        <v>900</v>
      </c>
      <c r="R27" s="35" t="s">
        <v>151</v>
      </c>
      <c r="S27" s="33">
        <f>SUM(C78:C81)</f>
        <v>116</v>
      </c>
      <c r="T27" s="33">
        <f t="shared" ref="T27:AF27" si="19">SUM(D78:D81)</f>
        <v>25</v>
      </c>
      <c r="U27" s="33">
        <f t="shared" si="19"/>
        <v>9</v>
      </c>
      <c r="V27" s="33">
        <f t="shared" si="19"/>
        <v>0</v>
      </c>
      <c r="W27" s="33">
        <f t="shared" si="19"/>
        <v>1</v>
      </c>
      <c r="X27" s="33">
        <f t="shared" si="19"/>
        <v>0</v>
      </c>
      <c r="Y27" s="33">
        <f t="shared" si="19"/>
        <v>5</v>
      </c>
      <c r="Z27" s="33">
        <f t="shared" si="19"/>
        <v>0</v>
      </c>
      <c r="AA27" s="33">
        <f t="shared" si="19"/>
        <v>3</v>
      </c>
      <c r="AB27" s="33">
        <f t="shared" si="19"/>
        <v>5</v>
      </c>
      <c r="AC27" s="33">
        <f t="shared" si="19"/>
        <v>136</v>
      </c>
      <c r="AD27" s="33">
        <f t="shared" si="19"/>
        <v>0</v>
      </c>
      <c r="AE27" s="30">
        <f t="shared" si="19"/>
        <v>164</v>
      </c>
      <c r="AF27" s="30">
        <f t="shared" si="19"/>
        <v>300</v>
      </c>
    </row>
    <row r="28" spans="2:32" ht="23.1" customHeight="1" x14ac:dyDescent="0.25">
      <c r="B28" s="44" t="s">
        <v>55</v>
      </c>
      <c r="C28" s="49">
        <v>165</v>
      </c>
      <c r="D28" s="49">
        <v>23</v>
      </c>
      <c r="E28" s="49">
        <v>14</v>
      </c>
      <c r="F28" s="49">
        <v>1</v>
      </c>
      <c r="G28" s="49">
        <v>0</v>
      </c>
      <c r="H28" s="49">
        <v>0</v>
      </c>
      <c r="I28" s="49">
        <v>12</v>
      </c>
      <c r="J28" s="49">
        <v>5</v>
      </c>
      <c r="K28" s="49">
        <v>2</v>
      </c>
      <c r="L28" s="49">
        <v>2</v>
      </c>
      <c r="M28" s="49">
        <v>640</v>
      </c>
      <c r="N28" s="49">
        <v>0</v>
      </c>
      <c r="O28" s="15">
        <f t="shared" si="0"/>
        <v>224</v>
      </c>
      <c r="P28" s="15">
        <f t="shared" si="1"/>
        <v>864</v>
      </c>
      <c r="R28" s="35" t="s">
        <v>152</v>
      </c>
      <c r="S28" s="33">
        <f>SUM(C82:C85)</f>
        <v>43</v>
      </c>
      <c r="T28" s="33">
        <f t="shared" ref="T28:AF28" si="20">SUM(D82:D85)</f>
        <v>7</v>
      </c>
      <c r="U28" s="33">
        <f t="shared" si="20"/>
        <v>4</v>
      </c>
      <c r="V28" s="33">
        <f t="shared" si="20"/>
        <v>1</v>
      </c>
      <c r="W28" s="33">
        <f t="shared" si="20"/>
        <v>0</v>
      </c>
      <c r="X28" s="33">
        <f t="shared" si="20"/>
        <v>0</v>
      </c>
      <c r="Y28" s="33">
        <f t="shared" si="20"/>
        <v>14</v>
      </c>
      <c r="Z28" s="33">
        <f t="shared" si="20"/>
        <v>0</v>
      </c>
      <c r="AA28" s="33">
        <f t="shared" si="20"/>
        <v>3</v>
      </c>
      <c r="AB28" s="33">
        <f t="shared" si="20"/>
        <v>6</v>
      </c>
      <c r="AC28" s="33">
        <f t="shared" si="20"/>
        <v>79</v>
      </c>
      <c r="AD28" s="33">
        <f t="shared" si="20"/>
        <v>0</v>
      </c>
      <c r="AE28" s="30">
        <f t="shared" si="20"/>
        <v>78</v>
      </c>
      <c r="AF28" s="30">
        <f t="shared" si="20"/>
        <v>157</v>
      </c>
    </row>
    <row r="29" spans="2:32" ht="23.1" customHeight="1" x14ac:dyDescent="0.25">
      <c r="B29" s="44" t="s">
        <v>56</v>
      </c>
      <c r="C29" s="49">
        <v>172</v>
      </c>
      <c r="D29" s="49">
        <v>12</v>
      </c>
      <c r="E29" s="49">
        <v>16</v>
      </c>
      <c r="F29" s="49">
        <v>2</v>
      </c>
      <c r="G29" s="49">
        <v>2</v>
      </c>
      <c r="H29" s="49">
        <v>0</v>
      </c>
      <c r="I29" s="49">
        <v>11</v>
      </c>
      <c r="J29" s="49">
        <v>8</v>
      </c>
      <c r="K29" s="49">
        <v>0</v>
      </c>
      <c r="L29" s="49">
        <v>1</v>
      </c>
      <c r="M29" s="49">
        <v>550</v>
      </c>
      <c r="N29" s="49">
        <v>0</v>
      </c>
      <c r="O29" s="15">
        <f t="shared" si="0"/>
        <v>224</v>
      </c>
      <c r="P29" s="15">
        <f t="shared" si="1"/>
        <v>774</v>
      </c>
      <c r="R29" s="35" t="s">
        <v>153</v>
      </c>
      <c r="S29" s="33">
        <f>SUM(C86:C89)</f>
        <v>41</v>
      </c>
      <c r="T29" s="33">
        <f t="shared" ref="T29:AF29" si="21">SUM(D86:D89)</f>
        <v>3</v>
      </c>
      <c r="U29" s="33">
        <f t="shared" si="21"/>
        <v>5</v>
      </c>
      <c r="V29" s="33">
        <f t="shared" si="21"/>
        <v>0</v>
      </c>
      <c r="W29" s="33">
        <f t="shared" si="21"/>
        <v>0</v>
      </c>
      <c r="X29" s="33">
        <f t="shared" si="21"/>
        <v>0</v>
      </c>
      <c r="Y29" s="33">
        <f t="shared" si="21"/>
        <v>5</v>
      </c>
      <c r="Z29" s="33">
        <f t="shared" si="21"/>
        <v>0</v>
      </c>
      <c r="AA29" s="33">
        <f t="shared" si="21"/>
        <v>0</v>
      </c>
      <c r="AB29" s="33">
        <f t="shared" si="21"/>
        <v>0</v>
      </c>
      <c r="AC29" s="33">
        <f t="shared" si="21"/>
        <v>82</v>
      </c>
      <c r="AD29" s="33">
        <f t="shared" si="21"/>
        <v>0</v>
      </c>
      <c r="AE29" s="30">
        <f t="shared" si="21"/>
        <v>54</v>
      </c>
      <c r="AF29" s="30">
        <f t="shared" si="21"/>
        <v>136</v>
      </c>
    </row>
    <row r="30" spans="2:32" ht="23.1" customHeight="1" x14ac:dyDescent="0.25">
      <c r="B30" s="44" t="s">
        <v>57</v>
      </c>
      <c r="C30" s="49">
        <v>190</v>
      </c>
      <c r="D30" s="49">
        <v>37</v>
      </c>
      <c r="E30" s="49">
        <v>18</v>
      </c>
      <c r="F30" s="49">
        <v>3</v>
      </c>
      <c r="G30" s="49">
        <v>1</v>
      </c>
      <c r="H30" s="49">
        <v>0</v>
      </c>
      <c r="I30" s="49">
        <v>14</v>
      </c>
      <c r="J30" s="49">
        <v>6</v>
      </c>
      <c r="K30" s="49">
        <v>1</v>
      </c>
      <c r="L30" s="49">
        <v>2</v>
      </c>
      <c r="M30" s="49">
        <v>500</v>
      </c>
      <c r="N30" s="49">
        <v>0</v>
      </c>
      <c r="O30" s="15">
        <f t="shared" si="0"/>
        <v>272</v>
      </c>
      <c r="P30" s="15">
        <f t="shared" si="1"/>
        <v>772</v>
      </c>
      <c r="R30" s="35" t="s">
        <v>154</v>
      </c>
      <c r="S30" s="33">
        <f>SUM(C90:C93)</f>
        <v>50</v>
      </c>
      <c r="T30" s="33">
        <f t="shared" ref="T30:AF30" si="22">SUM(D90:D93)</f>
        <v>14</v>
      </c>
      <c r="U30" s="33">
        <f t="shared" si="22"/>
        <v>0</v>
      </c>
      <c r="V30" s="33">
        <f t="shared" si="22"/>
        <v>0</v>
      </c>
      <c r="W30" s="33">
        <f t="shared" si="22"/>
        <v>0</v>
      </c>
      <c r="X30" s="33">
        <f t="shared" si="22"/>
        <v>0</v>
      </c>
      <c r="Y30" s="33">
        <f t="shared" si="22"/>
        <v>8</v>
      </c>
      <c r="Z30" s="33">
        <f t="shared" si="22"/>
        <v>0</v>
      </c>
      <c r="AA30" s="33">
        <f t="shared" si="22"/>
        <v>0</v>
      </c>
      <c r="AB30" s="33">
        <f t="shared" si="22"/>
        <v>1</v>
      </c>
      <c r="AC30" s="33">
        <f t="shared" si="22"/>
        <v>100</v>
      </c>
      <c r="AD30" s="33">
        <f t="shared" si="22"/>
        <v>0</v>
      </c>
      <c r="AE30" s="30">
        <f t="shared" si="22"/>
        <v>73</v>
      </c>
      <c r="AF30" s="30">
        <f t="shared" si="22"/>
        <v>173</v>
      </c>
    </row>
    <row r="31" spans="2:32" ht="23.1" customHeight="1" x14ac:dyDescent="0.25">
      <c r="B31" s="45" t="s">
        <v>58</v>
      </c>
      <c r="C31" s="49">
        <v>175</v>
      </c>
      <c r="D31" s="49">
        <v>8</v>
      </c>
      <c r="E31" s="49">
        <v>13</v>
      </c>
      <c r="F31" s="49">
        <v>1</v>
      </c>
      <c r="G31" s="49">
        <v>6</v>
      </c>
      <c r="H31" s="49">
        <v>0</v>
      </c>
      <c r="I31" s="49">
        <v>11</v>
      </c>
      <c r="J31" s="49">
        <v>4</v>
      </c>
      <c r="K31" s="49">
        <v>3</v>
      </c>
      <c r="L31" s="49">
        <v>3</v>
      </c>
      <c r="M31" s="49">
        <v>420</v>
      </c>
      <c r="N31" s="49">
        <v>0</v>
      </c>
      <c r="O31" s="15">
        <f t="shared" si="0"/>
        <v>224</v>
      </c>
      <c r="P31" s="15">
        <f t="shared" si="1"/>
        <v>644</v>
      </c>
      <c r="R31" s="35" t="s">
        <v>155</v>
      </c>
      <c r="S31" s="33">
        <f>SUM(C94:C97)</f>
        <v>71</v>
      </c>
      <c r="T31" s="33">
        <f t="shared" ref="T31:AF31" si="23">SUM(D94:D97)</f>
        <v>18</v>
      </c>
      <c r="U31" s="33">
        <f t="shared" si="23"/>
        <v>0</v>
      </c>
      <c r="V31" s="33">
        <f t="shared" si="23"/>
        <v>0</v>
      </c>
      <c r="W31" s="33">
        <f t="shared" si="23"/>
        <v>0</v>
      </c>
      <c r="X31" s="33">
        <f t="shared" si="23"/>
        <v>0</v>
      </c>
      <c r="Y31" s="33">
        <f t="shared" si="23"/>
        <v>0</v>
      </c>
      <c r="Z31" s="33">
        <f t="shared" si="23"/>
        <v>0</v>
      </c>
      <c r="AA31" s="33">
        <f t="shared" si="23"/>
        <v>0</v>
      </c>
      <c r="AB31" s="33">
        <f t="shared" si="23"/>
        <v>0</v>
      </c>
      <c r="AC31" s="33">
        <f t="shared" si="23"/>
        <v>70</v>
      </c>
      <c r="AD31" s="33">
        <f t="shared" si="23"/>
        <v>0</v>
      </c>
      <c r="AE31" s="30">
        <f t="shared" si="23"/>
        <v>89</v>
      </c>
      <c r="AF31" s="30">
        <f t="shared" si="23"/>
        <v>159</v>
      </c>
    </row>
    <row r="32" spans="2:32" ht="23.1" customHeight="1" x14ac:dyDescent="0.25">
      <c r="B32" s="45" t="s">
        <v>59</v>
      </c>
      <c r="C32" s="49">
        <v>150</v>
      </c>
      <c r="D32" s="49">
        <v>12</v>
      </c>
      <c r="E32" s="49">
        <v>7</v>
      </c>
      <c r="F32" s="49">
        <v>1</v>
      </c>
      <c r="G32" s="49">
        <v>0</v>
      </c>
      <c r="H32" s="49">
        <v>3</v>
      </c>
      <c r="I32" s="49">
        <v>9</v>
      </c>
      <c r="J32" s="49">
        <v>3</v>
      </c>
      <c r="K32" s="49">
        <v>1</v>
      </c>
      <c r="L32" s="49">
        <v>0</v>
      </c>
      <c r="M32" s="49">
        <v>490</v>
      </c>
      <c r="N32" s="49">
        <v>0</v>
      </c>
      <c r="O32" s="15">
        <f t="shared" si="0"/>
        <v>186</v>
      </c>
      <c r="P32" s="15">
        <f t="shared" si="1"/>
        <v>676</v>
      </c>
      <c r="R32" s="32" t="s">
        <v>156</v>
      </c>
      <c r="S32" s="33">
        <f>SUM(C98:C101)</f>
        <v>38</v>
      </c>
      <c r="T32" s="33">
        <f t="shared" ref="T32:AF32" si="24">SUM(D98:D101)</f>
        <v>14</v>
      </c>
      <c r="U32" s="33">
        <f t="shared" si="24"/>
        <v>0</v>
      </c>
      <c r="V32" s="33">
        <f t="shared" si="24"/>
        <v>0</v>
      </c>
      <c r="W32" s="33">
        <f t="shared" si="24"/>
        <v>0</v>
      </c>
      <c r="X32" s="33">
        <f t="shared" si="24"/>
        <v>0</v>
      </c>
      <c r="Y32" s="33">
        <f t="shared" si="24"/>
        <v>0</v>
      </c>
      <c r="Z32" s="33">
        <f t="shared" si="24"/>
        <v>0</v>
      </c>
      <c r="AA32" s="33">
        <f t="shared" si="24"/>
        <v>0</v>
      </c>
      <c r="AB32" s="33">
        <f t="shared" si="24"/>
        <v>0</v>
      </c>
      <c r="AC32" s="33">
        <f t="shared" si="24"/>
        <v>117</v>
      </c>
      <c r="AD32" s="33">
        <f t="shared" si="24"/>
        <v>0</v>
      </c>
      <c r="AE32" s="30">
        <f t="shared" si="24"/>
        <v>52</v>
      </c>
      <c r="AF32" s="30">
        <f t="shared" si="24"/>
        <v>169</v>
      </c>
    </row>
    <row r="33" spans="2:32" ht="23.1" customHeight="1" x14ac:dyDescent="0.25">
      <c r="B33" s="44" t="s">
        <v>60</v>
      </c>
      <c r="C33" s="49">
        <v>120</v>
      </c>
      <c r="D33" s="49">
        <v>11</v>
      </c>
      <c r="E33" s="49">
        <v>10</v>
      </c>
      <c r="F33" s="49">
        <v>0</v>
      </c>
      <c r="G33" s="49">
        <v>1</v>
      </c>
      <c r="H33" s="49">
        <v>0</v>
      </c>
      <c r="I33" s="49">
        <v>12</v>
      </c>
      <c r="J33" s="49">
        <v>8</v>
      </c>
      <c r="K33" s="49">
        <v>4</v>
      </c>
      <c r="L33" s="49">
        <v>1</v>
      </c>
      <c r="M33" s="49">
        <v>600</v>
      </c>
      <c r="N33" s="49">
        <v>0</v>
      </c>
      <c r="O33" s="15">
        <f t="shared" si="0"/>
        <v>167</v>
      </c>
      <c r="P33" s="15">
        <f t="shared" si="1"/>
        <v>767</v>
      </c>
      <c r="R33" s="32" t="s">
        <v>157</v>
      </c>
      <c r="S33" s="33">
        <f>SUM(C102:C105)</f>
        <v>182</v>
      </c>
      <c r="T33" s="33">
        <f t="shared" ref="T33:AF33" si="25">SUM(D102:D105)</f>
        <v>53</v>
      </c>
      <c r="U33" s="33">
        <f t="shared" si="25"/>
        <v>22</v>
      </c>
      <c r="V33" s="33">
        <f t="shared" si="25"/>
        <v>0</v>
      </c>
      <c r="W33" s="33">
        <f t="shared" si="25"/>
        <v>0</v>
      </c>
      <c r="X33" s="33">
        <f t="shared" si="25"/>
        <v>0</v>
      </c>
      <c r="Y33" s="33">
        <f t="shared" si="25"/>
        <v>38</v>
      </c>
      <c r="Z33" s="33">
        <f t="shared" si="25"/>
        <v>0</v>
      </c>
      <c r="AA33" s="33">
        <f t="shared" si="25"/>
        <v>34</v>
      </c>
      <c r="AB33" s="33">
        <f t="shared" si="25"/>
        <v>0</v>
      </c>
      <c r="AC33" s="33">
        <f t="shared" si="25"/>
        <v>226</v>
      </c>
      <c r="AD33" s="33">
        <f t="shared" si="25"/>
        <v>0</v>
      </c>
      <c r="AE33" s="30">
        <f t="shared" si="25"/>
        <v>329</v>
      </c>
      <c r="AF33" s="30">
        <f t="shared" si="25"/>
        <v>555</v>
      </c>
    </row>
    <row r="34" spans="2:32" ht="23.1" customHeight="1" x14ac:dyDescent="0.25">
      <c r="B34" s="45" t="s">
        <v>61</v>
      </c>
      <c r="C34" s="49">
        <v>128</v>
      </c>
      <c r="D34" s="49">
        <v>14</v>
      </c>
      <c r="E34" s="49">
        <v>21</v>
      </c>
      <c r="F34" s="49">
        <v>1</v>
      </c>
      <c r="G34" s="49">
        <v>0</v>
      </c>
      <c r="H34" s="49">
        <v>1</v>
      </c>
      <c r="I34" s="49">
        <v>16</v>
      </c>
      <c r="J34" s="49">
        <v>6</v>
      </c>
      <c r="K34" s="49">
        <v>2</v>
      </c>
      <c r="L34" s="49">
        <v>1</v>
      </c>
      <c r="M34" s="49">
        <v>720</v>
      </c>
      <c r="N34" s="49">
        <v>0</v>
      </c>
      <c r="O34" s="15">
        <f t="shared" si="0"/>
        <v>190</v>
      </c>
      <c r="P34" s="15">
        <f t="shared" si="1"/>
        <v>910</v>
      </c>
      <c r="R34" s="37" t="s">
        <v>90</v>
      </c>
      <c r="S34" s="38">
        <f t="shared" ref="S34:AF34" si="26">MAX(S10:S12)</f>
        <v>695</v>
      </c>
      <c r="T34" s="38">
        <f t="shared" si="26"/>
        <v>89</v>
      </c>
      <c r="U34" s="38">
        <f t="shared" si="26"/>
        <v>52</v>
      </c>
      <c r="V34" s="38">
        <f t="shared" si="26"/>
        <v>12</v>
      </c>
      <c r="W34" s="38">
        <f t="shared" si="26"/>
        <v>4</v>
      </c>
      <c r="X34" s="38">
        <f t="shared" si="26"/>
        <v>2</v>
      </c>
      <c r="Y34" s="38">
        <f t="shared" si="26"/>
        <v>44</v>
      </c>
      <c r="Z34" s="38">
        <f t="shared" si="26"/>
        <v>15</v>
      </c>
      <c r="AA34" s="38">
        <f t="shared" si="26"/>
        <v>17</v>
      </c>
      <c r="AB34" s="38">
        <f t="shared" si="26"/>
        <v>7</v>
      </c>
      <c r="AC34" s="38">
        <f t="shared" si="26"/>
        <v>2422</v>
      </c>
      <c r="AD34" s="38">
        <f t="shared" si="26"/>
        <v>0</v>
      </c>
      <c r="AE34" s="39">
        <f t="shared" si="26"/>
        <v>842</v>
      </c>
      <c r="AF34" s="39">
        <f t="shared" si="26"/>
        <v>3232</v>
      </c>
    </row>
    <row r="35" spans="2:32" ht="23.1" customHeight="1" x14ac:dyDescent="0.25">
      <c r="B35" s="45" t="s">
        <v>62</v>
      </c>
      <c r="C35" s="49">
        <v>88</v>
      </c>
      <c r="D35" s="49">
        <v>8</v>
      </c>
      <c r="E35" s="49">
        <v>6</v>
      </c>
      <c r="F35" s="49">
        <v>0</v>
      </c>
      <c r="G35" s="49">
        <v>0</v>
      </c>
      <c r="H35" s="49">
        <v>0</v>
      </c>
      <c r="I35" s="49">
        <v>4</v>
      </c>
      <c r="J35" s="49">
        <v>3</v>
      </c>
      <c r="K35" s="49">
        <v>2</v>
      </c>
      <c r="L35" s="49">
        <v>5</v>
      </c>
      <c r="M35" s="49">
        <v>520</v>
      </c>
      <c r="N35" s="49">
        <v>0</v>
      </c>
      <c r="O35" s="15">
        <f t="shared" si="0"/>
        <v>116</v>
      </c>
      <c r="P35" s="15">
        <f t="shared" si="1"/>
        <v>636</v>
      </c>
      <c r="R35" s="37" t="s">
        <v>91</v>
      </c>
      <c r="S35" s="38">
        <f t="shared" ref="S35:AF35" si="27">MAX(S13:S18)</f>
        <v>800</v>
      </c>
      <c r="T35" s="38">
        <f t="shared" si="27"/>
        <v>120</v>
      </c>
      <c r="U35" s="38">
        <f t="shared" si="27"/>
        <v>73</v>
      </c>
      <c r="V35" s="38">
        <f t="shared" si="27"/>
        <v>19</v>
      </c>
      <c r="W35" s="38">
        <f t="shared" si="27"/>
        <v>8</v>
      </c>
      <c r="X35" s="38">
        <f t="shared" si="27"/>
        <v>3</v>
      </c>
      <c r="Y35" s="38">
        <f t="shared" si="27"/>
        <v>52</v>
      </c>
      <c r="Z35" s="38">
        <f t="shared" si="27"/>
        <v>35</v>
      </c>
      <c r="AA35" s="38">
        <f t="shared" si="27"/>
        <v>17</v>
      </c>
      <c r="AB35" s="38">
        <f t="shared" si="27"/>
        <v>9</v>
      </c>
      <c r="AC35" s="38">
        <f t="shared" si="27"/>
        <v>3040</v>
      </c>
      <c r="AD35" s="38">
        <f t="shared" si="27"/>
        <v>0</v>
      </c>
      <c r="AE35" s="39">
        <f t="shared" si="27"/>
        <v>1069</v>
      </c>
      <c r="AF35" s="39">
        <f t="shared" si="27"/>
        <v>3722</v>
      </c>
    </row>
    <row r="36" spans="2:32" ht="23.1" customHeight="1" x14ac:dyDescent="0.25">
      <c r="B36" s="45" t="s">
        <v>63</v>
      </c>
      <c r="C36" s="49">
        <v>137</v>
      </c>
      <c r="D36" s="49">
        <v>22</v>
      </c>
      <c r="E36" s="49">
        <v>6</v>
      </c>
      <c r="F36" s="49">
        <v>0</v>
      </c>
      <c r="G36" s="49">
        <v>2</v>
      </c>
      <c r="H36" s="49">
        <v>0</v>
      </c>
      <c r="I36" s="49">
        <v>6</v>
      </c>
      <c r="J36" s="49">
        <v>3</v>
      </c>
      <c r="K36" s="49">
        <v>0</v>
      </c>
      <c r="L36" s="49">
        <v>2</v>
      </c>
      <c r="M36" s="49">
        <v>850</v>
      </c>
      <c r="N36" s="49">
        <v>0</v>
      </c>
      <c r="O36" s="15">
        <f t="shared" si="0"/>
        <v>178</v>
      </c>
      <c r="P36" s="15">
        <f t="shared" si="1"/>
        <v>1028</v>
      </c>
      <c r="R36" s="37" t="s">
        <v>92</v>
      </c>
      <c r="S36" s="38">
        <f t="shared" ref="S36:AF36" si="28">MAX(S19:S21)</f>
        <v>750</v>
      </c>
      <c r="T36" s="38">
        <f t="shared" si="28"/>
        <v>189</v>
      </c>
      <c r="U36" s="38">
        <f t="shared" si="28"/>
        <v>90</v>
      </c>
      <c r="V36" s="38">
        <f t="shared" si="28"/>
        <v>20</v>
      </c>
      <c r="W36" s="38">
        <f t="shared" si="28"/>
        <v>6</v>
      </c>
      <c r="X36" s="38">
        <f t="shared" si="28"/>
        <v>2</v>
      </c>
      <c r="Y36" s="38">
        <f t="shared" si="28"/>
        <v>54</v>
      </c>
      <c r="Z36" s="38">
        <f t="shared" si="28"/>
        <v>22</v>
      </c>
      <c r="AA36" s="38">
        <f t="shared" si="28"/>
        <v>18</v>
      </c>
      <c r="AB36" s="38">
        <f t="shared" si="28"/>
        <v>12</v>
      </c>
      <c r="AC36" s="38">
        <f t="shared" si="28"/>
        <v>2400</v>
      </c>
      <c r="AD36" s="38">
        <f t="shared" si="28"/>
        <v>0</v>
      </c>
      <c r="AE36" s="39">
        <f t="shared" si="28"/>
        <v>1107</v>
      </c>
      <c r="AF36" s="39">
        <f t="shared" si="28"/>
        <v>3492</v>
      </c>
    </row>
    <row r="37" spans="2:32" ht="23.1" customHeight="1" x14ac:dyDescent="0.25">
      <c r="B37" s="44" t="s">
        <v>64</v>
      </c>
      <c r="C37" s="49">
        <v>147</v>
      </c>
      <c r="D37" s="49">
        <v>17</v>
      </c>
      <c r="E37" s="49">
        <v>11</v>
      </c>
      <c r="F37" s="49">
        <v>1</v>
      </c>
      <c r="G37" s="49">
        <v>1</v>
      </c>
      <c r="H37" s="49">
        <v>0</v>
      </c>
      <c r="I37" s="49">
        <v>15</v>
      </c>
      <c r="J37" s="49">
        <v>4</v>
      </c>
      <c r="K37" s="49">
        <v>1</v>
      </c>
      <c r="L37" s="49">
        <v>1</v>
      </c>
      <c r="M37" s="49">
        <v>950</v>
      </c>
      <c r="N37" s="49">
        <v>0</v>
      </c>
      <c r="O37" s="15">
        <f t="shared" si="0"/>
        <v>198</v>
      </c>
      <c r="P37" s="15">
        <f t="shared" si="1"/>
        <v>1148</v>
      </c>
      <c r="R37" s="36" t="s">
        <v>85</v>
      </c>
      <c r="S37" s="34">
        <f t="shared" ref="S37:AF37" si="29">SUM(S10:S12)</f>
        <v>1931</v>
      </c>
      <c r="T37" s="16">
        <f t="shared" si="29"/>
        <v>209</v>
      </c>
      <c r="U37" s="16">
        <f t="shared" si="29"/>
        <v>144</v>
      </c>
      <c r="V37" s="16">
        <f t="shared" si="29"/>
        <v>27</v>
      </c>
      <c r="W37" s="16">
        <f t="shared" si="29"/>
        <v>8</v>
      </c>
      <c r="X37" s="16">
        <f t="shared" si="29"/>
        <v>3</v>
      </c>
      <c r="Y37" s="16">
        <f t="shared" si="29"/>
        <v>76</v>
      </c>
      <c r="Z37" s="16">
        <f t="shared" si="29"/>
        <v>37</v>
      </c>
      <c r="AA37" s="16">
        <f t="shared" si="29"/>
        <v>25</v>
      </c>
      <c r="AB37" s="16">
        <f t="shared" si="29"/>
        <v>13</v>
      </c>
      <c r="AC37" s="16">
        <f t="shared" si="29"/>
        <v>7062</v>
      </c>
      <c r="AD37" s="16">
        <f t="shared" si="29"/>
        <v>0</v>
      </c>
      <c r="AE37" s="31">
        <f t="shared" si="29"/>
        <v>2473</v>
      </c>
      <c r="AF37" s="31">
        <f t="shared" si="29"/>
        <v>9535</v>
      </c>
    </row>
    <row r="38" spans="2:32" ht="23.1" customHeight="1" x14ac:dyDescent="0.25">
      <c r="B38" s="45" t="s">
        <v>65</v>
      </c>
      <c r="C38" s="49">
        <v>162</v>
      </c>
      <c r="D38" s="49">
        <v>15</v>
      </c>
      <c r="E38" s="49">
        <v>12</v>
      </c>
      <c r="F38" s="49">
        <v>2</v>
      </c>
      <c r="G38" s="49">
        <v>1</v>
      </c>
      <c r="H38" s="49">
        <v>0</v>
      </c>
      <c r="I38" s="49">
        <v>7</v>
      </c>
      <c r="J38" s="49">
        <v>5</v>
      </c>
      <c r="K38" s="49">
        <v>4</v>
      </c>
      <c r="L38" s="49">
        <v>2</v>
      </c>
      <c r="M38" s="49">
        <v>631</v>
      </c>
      <c r="N38" s="49">
        <v>0</v>
      </c>
      <c r="O38" s="15">
        <f t="shared" si="0"/>
        <v>210</v>
      </c>
      <c r="P38" s="15">
        <f t="shared" si="1"/>
        <v>841</v>
      </c>
      <c r="R38" s="27" t="s">
        <v>86</v>
      </c>
      <c r="S38" s="16">
        <f t="shared" ref="S38:AF38" si="30">SUM(S13:S18)</f>
        <v>3933</v>
      </c>
      <c r="T38" s="16">
        <f t="shared" si="30"/>
        <v>481</v>
      </c>
      <c r="U38" s="16">
        <f t="shared" si="30"/>
        <v>349</v>
      </c>
      <c r="V38" s="16">
        <f t="shared" si="30"/>
        <v>51</v>
      </c>
      <c r="W38" s="16">
        <f t="shared" si="30"/>
        <v>30</v>
      </c>
      <c r="X38" s="16">
        <f t="shared" si="30"/>
        <v>9</v>
      </c>
      <c r="Y38" s="16">
        <f t="shared" si="30"/>
        <v>264</v>
      </c>
      <c r="Z38" s="16">
        <f t="shared" si="30"/>
        <v>139</v>
      </c>
      <c r="AA38" s="16">
        <f t="shared" si="30"/>
        <v>56</v>
      </c>
      <c r="AB38" s="16">
        <f t="shared" si="30"/>
        <v>43</v>
      </c>
      <c r="AC38" s="16">
        <f t="shared" si="30"/>
        <v>14968</v>
      </c>
      <c r="AD38" s="16">
        <f t="shared" si="30"/>
        <v>0</v>
      </c>
      <c r="AE38" s="31">
        <f t="shared" si="30"/>
        <v>5355</v>
      </c>
      <c r="AF38" s="31">
        <f t="shared" si="30"/>
        <v>20323</v>
      </c>
    </row>
    <row r="39" spans="2:32" ht="23.1" customHeight="1" x14ac:dyDescent="0.25">
      <c r="B39" s="45" t="s">
        <v>66</v>
      </c>
      <c r="C39" s="49">
        <v>175</v>
      </c>
      <c r="D39" s="49">
        <v>20</v>
      </c>
      <c r="E39" s="49">
        <v>18</v>
      </c>
      <c r="F39" s="49">
        <v>5</v>
      </c>
      <c r="G39" s="49">
        <v>4</v>
      </c>
      <c r="H39" s="49">
        <v>1</v>
      </c>
      <c r="I39" s="49">
        <v>7</v>
      </c>
      <c r="J39" s="49">
        <v>9</v>
      </c>
      <c r="K39" s="49">
        <v>3</v>
      </c>
      <c r="L39" s="49">
        <v>3</v>
      </c>
      <c r="M39" s="49">
        <v>595</v>
      </c>
      <c r="N39" s="49">
        <v>0</v>
      </c>
      <c r="O39" s="15">
        <f t="shared" si="0"/>
        <v>245</v>
      </c>
      <c r="P39" s="15">
        <f t="shared" si="1"/>
        <v>840</v>
      </c>
      <c r="R39" s="28" t="s">
        <v>87</v>
      </c>
      <c r="S39" s="16">
        <f t="shared" ref="S39:AF39" si="31">SUM(S19:S21)</f>
        <v>2239</v>
      </c>
      <c r="T39" s="16">
        <f t="shared" si="31"/>
        <v>466</v>
      </c>
      <c r="U39" s="16">
        <f t="shared" si="31"/>
        <v>225</v>
      </c>
      <c r="V39" s="16">
        <f t="shared" si="31"/>
        <v>30</v>
      </c>
      <c r="W39" s="16">
        <f t="shared" si="31"/>
        <v>11</v>
      </c>
      <c r="X39" s="16">
        <f t="shared" si="31"/>
        <v>3</v>
      </c>
      <c r="Y39" s="16">
        <f t="shared" si="31"/>
        <v>128</v>
      </c>
      <c r="Z39" s="16">
        <f t="shared" si="31"/>
        <v>61</v>
      </c>
      <c r="AA39" s="16">
        <f t="shared" si="31"/>
        <v>42</v>
      </c>
      <c r="AB39" s="16">
        <f t="shared" si="31"/>
        <v>31</v>
      </c>
      <c r="AC39" s="16">
        <f t="shared" si="31"/>
        <v>6844</v>
      </c>
      <c r="AD39" s="16">
        <f t="shared" si="31"/>
        <v>0</v>
      </c>
      <c r="AE39" s="31">
        <f t="shared" si="31"/>
        <v>3236</v>
      </c>
      <c r="AF39" s="31">
        <f t="shared" si="31"/>
        <v>10080</v>
      </c>
    </row>
    <row r="40" spans="2:32" ht="23.1" customHeight="1" x14ac:dyDescent="0.25">
      <c r="B40" s="45" t="s">
        <v>67</v>
      </c>
      <c r="C40" s="49">
        <v>158</v>
      </c>
      <c r="D40" s="49">
        <v>13</v>
      </c>
      <c r="E40" s="49">
        <v>22</v>
      </c>
      <c r="F40" s="49">
        <v>1</v>
      </c>
      <c r="G40" s="49">
        <v>1</v>
      </c>
      <c r="H40" s="49">
        <v>0</v>
      </c>
      <c r="I40" s="49">
        <v>27</v>
      </c>
      <c r="J40" s="49">
        <v>14</v>
      </c>
      <c r="K40" s="49">
        <v>6</v>
      </c>
      <c r="L40" s="49">
        <v>2</v>
      </c>
      <c r="M40" s="49">
        <v>680</v>
      </c>
      <c r="N40" s="49">
        <v>0</v>
      </c>
      <c r="O40" s="15">
        <f t="shared" si="0"/>
        <v>244</v>
      </c>
      <c r="P40" s="15">
        <f t="shared" si="1"/>
        <v>924</v>
      </c>
      <c r="R40" s="5" t="s">
        <v>17</v>
      </c>
      <c r="S40" s="16">
        <f t="shared" ref="S40:AF40" si="32">SUM(S10:S21)</f>
        <v>8103</v>
      </c>
      <c r="T40" s="16">
        <f t="shared" si="32"/>
        <v>1156</v>
      </c>
      <c r="U40" s="16">
        <f t="shared" si="32"/>
        <v>718</v>
      </c>
      <c r="V40" s="16">
        <f t="shared" si="32"/>
        <v>108</v>
      </c>
      <c r="W40" s="16">
        <f t="shared" si="32"/>
        <v>49</v>
      </c>
      <c r="X40" s="16">
        <f t="shared" si="32"/>
        <v>15</v>
      </c>
      <c r="Y40" s="16">
        <f t="shared" si="32"/>
        <v>468</v>
      </c>
      <c r="Z40" s="16">
        <f t="shared" si="32"/>
        <v>237</v>
      </c>
      <c r="AA40" s="16">
        <f t="shared" si="32"/>
        <v>123</v>
      </c>
      <c r="AB40" s="16">
        <f t="shared" si="32"/>
        <v>87</v>
      </c>
      <c r="AC40" s="16">
        <f t="shared" si="32"/>
        <v>28874</v>
      </c>
      <c r="AD40" s="16">
        <f t="shared" si="32"/>
        <v>0</v>
      </c>
      <c r="AE40" s="31">
        <f t="shared" si="32"/>
        <v>11064</v>
      </c>
      <c r="AF40" s="31">
        <f t="shared" si="32"/>
        <v>39938</v>
      </c>
    </row>
    <row r="41" spans="2:32" ht="23.1" customHeight="1" x14ac:dyDescent="0.25">
      <c r="B41" s="44" t="s">
        <v>68</v>
      </c>
      <c r="C41" s="49">
        <v>185</v>
      </c>
      <c r="D41" s="49">
        <v>10</v>
      </c>
      <c r="E41" s="49">
        <v>21</v>
      </c>
      <c r="F41" s="49">
        <v>0</v>
      </c>
      <c r="G41" s="49">
        <v>0</v>
      </c>
      <c r="H41" s="49">
        <v>0</v>
      </c>
      <c r="I41" s="49">
        <v>11</v>
      </c>
      <c r="J41" s="49">
        <v>7</v>
      </c>
      <c r="K41" s="49">
        <v>0</v>
      </c>
      <c r="L41" s="49">
        <v>1</v>
      </c>
      <c r="M41" s="49">
        <v>600</v>
      </c>
      <c r="N41" s="49">
        <v>0</v>
      </c>
      <c r="O41" s="15">
        <f t="shared" si="0"/>
        <v>235</v>
      </c>
      <c r="P41" s="15">
        <f t="shared" si="1"/>
        <v>835</v>
      </c>
      <c r="R41" s="5" t="s">
        <v>159</v>
      </c>
      <c r="S41" s="16">
        <f>SUM(S10:S33)</f>
        <v>11399</v>
      </c>
      <c r="T41" s="16">
        <f t="shared" ref="T41:AF41" si="33">SUM(T10:T33)</f>
        <v>2255</v>
      </c>
      <c r="U41" s="16">
        <f t="shared" si="33"/>
        <v>907</v>
      </c>
      <c r="V41" s="16">
        <f t="shared" si="33"/>
        <v>119</v>
      </c>
      <c r="W41" s="16">
        <f t="shared" si="33"/>
        <v>55</v>
      </c>
      <c r="X41" s="16">
        <f t="shared" si="33"/>
        <v>15</v>
      </c>
      <c r="Y41" s="16">
        <f t="shared" si="33"/>
        <v>609</v>
      </c>
      <c r="Z41" s="16">
        <f t="shared" si="33"/>
        <v>260</v>
      </c>
      <c r="AA41" s="16">
        <f t="shared" si="33"/>
        <v>186</v>
      </c>
      <c r="AB41" s="16">
        <f t="shared" si="33"/>
        <v>127</v>
      </c>
      <c r="AC41" s="16">
        <f t="shared" si="33"/>
        <v>32291</v>
      </c>
      <c r="AD41" s="16">
        <f t="shared" si="33"/>
        <v>0</v>
      </c>
      <c r="AE41" s="31">
        <f t="shared" si="33"/>
        <v>15932</v>
      </c>
      <c r="AF41" s="31">
        <f t="shared" si="33"/>
        <v>48223</v>
      </c>
    </row>
    <row r="42" spans="2:32" ht="23.1" customHeight="1" x14ac:dyDescent="0.25">
      <c r="B42" s="45" t="s">
        <v>69</v>
      </c>
      <c r="C42" s="49">
        <v>182</v>
      </c>
      <c r="D42" s="49">
        <v>16</v>
      </c>
      <c r="E42" s="49">
        <v>10</v>
      </c>
      <c r="F42" s="49">
        <v>0</v>
      </c>
      <c r="G42" s="49">
        <v>0</v>
      </c>
      <c r="H42" s="49">
        <v>0</v>
      </c>
      <c r="I42" s="49">
        <v>3</v>
      </c>
      <c r="J42" s="49">
        <v>3</v>
      </c>
      <c r="K42" s="49">
        <v>1</v>
      </c>
      <c r="L42" s="49">
        <v>0</v>
      </c>
      <c r="M42" s="49">
        <v>630</v>
      </c>
      <c r="N42" s="49">
        <v>0</v>
      </c>
      <c r="O42" s="15">
        <f t="shared" si="0"/>
        <v>215</v>
      </c>
      <c r="P42" s="15">
        <f t="shared" si="1"/>
        <v>845</v>
      </c>
      <c r="R42" s="5" t="s">
        <v>160</v>
      </c>
      <c r="S42" s="47">
        <f>S41/S40</f>
        <v>1.4067629273108726</v>
      </c>
      <c r="T42" s="47">
        <f t="shared" ref="T42:AF42" si="34">T41/T40</f>
        <v>1.9506920415224913</v>
      </c>
      <c r="U42" s="47">
        <f t="shared" si="34"/>
        <v>1.2632311977715878</v>
      </c>
      <c r="V42" s="47">
        <f t="shared" si="34"/>
        <v>1.1018518518518519</v>
      </c>
      <c r="W42" s="47">
        <f t="shared" si="34"/>
        <v>1.1224489795918366</v>
      </c>
      <c r="X42" s="47">
        <f t="shared" si="34"/>
        <v>1</v>
      </c>
      <c r="Y42" s="47">
        <f t="shared" si="34"/>
        <v>1.3012820512820513</v>
      </c>
      <c r="Z42" s="47">
        <f t="shared" si="34"/>
        <v>1.0970464135021096</v>
      </c>
      <c r="AA42" s="47">
        <f t="shared" si="34"/>
        <v>1.5121951219512195</v>
      </c>
      <c r="AB42" s="47">
        <f t="shared" si="34"/>
        <v>1.4597701149425288</v>
      </c>
      <c r="AC42" s="47">
        <f t="shared" si="34"/>
        <v>1.1183417607536192</v>
      </c>
      <c r="AD42" s="47" t="e">
        <f t="shared" si="34"/>
        <v>#DIV/0!</v>
      </c>
      <c r="AE42" s="47">
        <f t="shared" si="34"/>
        <v>1.4399855386840203</v>
      </c>
      <c r="AF42" s="47">
        <f t="shared" si="34"/>
        <v>1.2074465421403175</v>
      </c>
    </row>
    <row r="43" spans="2:32" ht="23.1" customHeight="1" x14ac:dyDescent="0.25">
      <c r="B43" s="44" t="s">
        <v>70</v>
      </c>
      <c r="C43" s="49">
        <v>198</v>
      </c>
      <c r="D43" s="49">
        <v>40</v>
      </c>
      <c r="E43" s="49">
        <v>11</v>
      </c>
      <c r="F43" s="49">
        <v>1</v>
      </c>
      <c r="G43" s="49">
        <v>2</v>
      </c>
      <c r="H43" s="49">
        <v>0</v>
      </c>
      <c r="I43" s="49">
        <v>10</v>
      </c>
      <c r="J43" s="49">
        <v>6</v>
      </c>
      <c r="K43" s="49">
        <v>2</v>
      </c>
      <c r="L43" s="49">
        <v>3</v>
      </c>
      <c r="M43" s="49">
        <v>723</v>
      </c>
      <c r="N43" s="49">
        <v>0</v>
      </c>
      <c r="O43" s="15">
        <f t="shared" si="0"/>
        <v>273</v>
      </c>
      <c r="P43" s="15">
        <f t="shared" si="1"/>
        <v>996</v>
      </c>
    </row>
    <row r="44" spans="2:32" ht="23.1" customHeight="1" x14ac:dyDescent="0.25">
      <c r="B44" s="46" t="s">
        <v>71</v>
      </c>
      <c r="C44" s="49">
        <v>225</v>
      </c>
      <c r="D44" s="49">
        <v>24</v>
      </c>
      <c r="E44" s="49">
        <v>22</v>
      </c>
      <c r="F44" s="49">
        <v>0</v>
      </c>
      <c r="G44" s="49">
        <v>0</v>
      </c>
      <c r="H44" s="49">
        <v>2</v>
      </c>
      <c r="I44" s="49">
        <v>13</v>
      </c>
      <c r="J44" s="49">
        <v>3</v>
      </c>
      <c r="K44" s="49">
        <v>3</v>
      </c>
      <c r="L44" s="49">
        <v>1</v>
      </c>
      <c r="M44" s="49">
        <v>640</v>
      </c>
      <c r="N44" s="49">
        <v>0</v>
      </c>
      <c r="O44" s="15">
        <f t="shared" si="0"/>
        <v>293</v>
      </c>
      <c r="P44" s="15">
        <f t="shared" si="1"/>
        <v>933</v>
      </c>
    </row>
    <row r="45" spans="2:32" ht="23.1" customHeight="1" x14ac:dyDescent="0.25">
      <c r="B45" s="44" t="s">
        <v>72</v>
      </c>
      <c r="C45" s="49">
        <v>195</v>
      </c>
      <c r="D45" s="49">
        <v>40</v>
      </c>
      <c r="E45" s="49">
        <v>2</v>
      </c>
      <c r="F45" s="49">
        <v>18</v>
      </c>
      <c r="G45" s="49">
        <v>1</v>
      </c>
      <c r="H45" s="49">
        <v>1</v>
      </c>
      <c r="I45" s="49">
        <v>0</v>
      </c>
      <c r="J45" s="49">
        <v>15</v>
      </c>
      <c r="K45" s="49">
        <v>11</v>
      </c>
      <c r="L45" s="49">
        <v>5</v>
      </c>
      <c r="M45" s="49">
        <v>600</v>
      </c>
      <c r="N45" s="49">
        <v>0</v>
      </c>
      <c r="O45" s="15">
        <f t="shared" si="0"/>
        <v>288</v>
      </c>
      <c r="P45" s="15">
        <f t="shared" si="1"/>
        <v>888</v>
      </c>
    </row>
    <row r="46" spans="2:32" ht="23.1" customHeight="1" x14ac:dyDescent="0.25">
      <c r="B46" s="45" t="s">
        <v>73</v>
      </c>
      <c r="C46" s="49">
        <v>200</v>
      </c>
      <c r="D46" s="49">
        <v>40</v>
      </c>
      <c r="E46" s="49">
        <v>16</v>
      </c>
      <c r="F46" s="49">
        <v>3</v>
      </c>
      <c r="G46" s="49">
        <v>0</v>
      </c>
      <c r="H46" s="49">
        <v>0</v>
      </c>
      <c r="I46" s="49">
        <v>7</v>
      </c>
      <c r="J46" s="49">
        <v>8</v>
      </c>
      <c r="K46" s="49">
        <v>2</v>
      </c>
      <c r="L46" s="49">
        <v>0</v>
      </c>
      <c r="M46" s="49">
        <v>630</v>
      </c>
      <c r="N46" s="49">
        <v>0</v>
      </c>
      <c r="O46" s="15">
        <f t="shared" si="0"/>
        <v>276</v>
      </c>
      <c r="P46" s="15">
        <f t="shared" si="1"/>
        <v>906</v>
      </c>
      <c r="R46" s="8"/>
      <c r="T46"/>
    </row>
    <row r="47" spans="2:32" ht="23.1" customHeight="1" x14ac:dyDescent="0.25">
      <c r="B47" s="45" t="s">
        <v>74</v>
      </c>
      <c r="C47" s="49">
        <v>186</v>
      </c>
      <c r="D47" s="49">
        <v>45</v>
      </c>
      <c r="E47" s="49">
        <v>18</v>
      </c>
      <c r="F47" s="49">
        <v>2</v>
      </c>
      <c r="G47" s="49">
        <v>1</v>
      </c>
      <c r="H47" s="49">
        <v>0</v>
      </c>
      <c r="I47" s="49">
        <v>17</v>
      </c>
      <c r="J47" s="49">
        <v>5</v>
      </c>
      <c r="K47" s="49">
        <v>2</v>
      </c>
      <c r="L47" s="49">
        <v>1</v>
      </c>
      <c r="M47" s="49">
        <v>560</v>
      </c>
      <c r="N47" s="49">
        <v>0</v>
      </c>
      <c r="O47" s="15">
        <f t="shared" si="0"/>
        <v>277</v>
      </c>
      <c r="P47" s="15">
        <f t="shared" si="1"/>
        <v>837</v>
      </c>
      <c r="R47" s="8"/>
      <c r="T47"/>
    </row>
    <row r="48" spans="2:32" ht="23.1" customHeight="1" x14ac:dyDescent="0.25">
      <c r="B48" s="45" t="s">
        <v>75</v>
      </c>
      <c r="C48" s="49">
        <v>200</v>
      </c>
      <c r="D48" s="49">
        <v>49</v>
      </c>
      <c r="E48" s="49">
        <v>17</v>
      </c>
      <c r="F48" s="49">
        <v>0</v>
      </c>
      <c r="G48" s="49">
        <v>0</v>
      </c>
      <c r="H48" s="49">
        <v>0</v>
      </c>
      <c r="I48" s="49">
        <v>10</v>
      </c>
      <c r="J48" s="49">
        <v>8</v>
      </c>
      <c r="K48" s="49">
        <v>5</v>
      </c>
      <c r="L48" s="49">
        <v>6</v>
      </c>
      <c r="M48" s="49">
        <v>510</v>
      </c>
      <c r="N48" s="49">
        <v>0</v>
      </c>
      <c r="O48" s="15">
        <f t="shared" si="0"/>
        <v>295</v>
      </c>
      <c r="P48" s="15">
        <f t="shared" si="1"/>
        <v>805</v>
      </c>
      <c r="R48" s="8"/>
      <c r="T48"/>
    </row>
    <row r="49" spans="2:20" ht="23.1" customHeight="1" x14ac:dyDescent="0.25">
      <c r="B49" s="44" t="s">
        <v>76</v>
      </c>
      <c r="C49" s="49">
        <v>160</v>
      </c>
      <c r="D49" s="49">
        <v>55</v>
      </c>
      <c r="E49" s="49">
        <v>16</v>
      </c>
      <c r="F49" s="49">
        <v>2</v>
      </c>
      <c r="G49" s="49">
        <v>0</v>
      </c>
      <c r="H49" s="49">
        <v>0</v>
      </c>
      <c r="I49" s="49">
        <v>7</v>
      </c>
      <c r="J49" s="49">
        <v>1</v>
      </c>
      <c r="K49" s="49">
        <v>0</v>
      </c>
      <c r="L49" s="49">
        <v>3</v>
      </c>
      <c r="M49" s="49">
        <v>700</v>
      </c>
      <c r="N49" s="49">
        <v>0</v>
      </c>
      <c r="O49" s="15">
        <f t="shared" si="0"/>
        <v>244</v>
      </c>
      <c r="P49" s="15">
        <f t="shared" si="1"/>
        <v>944</v>
      </c>
      <c r="R49" s="8"/>
      <c r="T49"/>
    </row>
    <row r="50" spans="2:20" ht="23.1" customHeight="1" x14ac:dyDescent="0.25">
      <c r="B50" s="45" t="s">
        <v>77</v>
      </c>
      <c r="C50" s="49">
        <v>175</v>
      </c>
      <c r="D50" s="49">
        <v>33</v>
      </c>
      <c r="E50" s="49">
        <v>15</v>
      </c>
      <c r="F50" s="49">
        <v>1</v>
      </c>
      <c r="G50" s="49">
        <v>0</v>
      </c>
      <c r="H50" s="49">
        <v>0</v>
      </c>
      <c r="I50" s="49">
        <v>26</v>
      </c>
      <c r="J50" s="49">
        <v>3</v>
      </c>
      <c r="K50" s="49">
        <v>2</v>
      </c>
      <c r="L50" s="49">
        <v>2</v>
      </c>
      <c r="M50" s="49">
        <v>570</v>
      </c>
      <c r="N50" s="49">
        <v>0</v>
      </c>
      <c r="O50" s="15">
        <f t="shared" si="0"/>
        <v>257</v>
      </c>
      <c r="P50" s="15">
        <f t="shared" si="1"/>
        <v>827</v>
      </c>
      <c r="R50" s="8"/>
      <c r="T50"/>
    </row>
    <row r="51" spans="2:20" ht="23.1" customHeight="1" x14ac:dyDescent="0.25">
      <c r="B51" s="45" t="s">
        <v>78</v>
      </c>
      <c r="C51" s="49">
        <v>193</v>
      </c>
      <c r="D51" s="49">
        <v>35</v>
      </c>
      <c r="E51" s="49">
        <v>17</v>
      </c>
      <c r="F51" s="49">
        <v>1</v>
      </c>
      <c r="G51" s="49">
        <v>1</v>
      </c>
      <c r="H51" s="49">
        <v>0</v>
      </c>
      <c r="I51" s="49">
        <v>11</v>
      </c>
      <c r="J51" s="49">
        <v>5</v>
      </c>
      <c r="K51" s="49">
        <v>6</v>
      </c>
      <c r="L51" s="49">
        <v>4</v>
      </c>
      <c r="M51" s="49">
        <v>630</v>
      </c>
      <c r="N51" s="49">
        <v>0</v>
      </c>
      <c r="O51" s="15">
        <f t="shared" si="0"/>
        <v>273</v>
      </c>
      <c r="P51" s="15">
        <f t="shared" si="1"/>
        <v>903</v>
      </c>
      <c r="R51" s="8"/>
      <c r="T51"/>
    </row>
    <row r="52" spans="2:20" ht="23.1" customHeight="1" x14ac:dyDescent="0.25">
      <c r="B52" s="45" t="s">
        <v>79</v>
      </c>
      <c r="C52" s="49">
        <v>200</v>
      </c>
      <c r="D52" s="49">
        <v>25</v>
      </c>
      <c r="E52" s="49">
        <v>11</v>
      </c>
      <c r="F52" s="49">
        <v>0</v>
      </c>
      <c r="G52" s="49">
        <v>0</v>
      </c>
      <c r="H52" s="49">
        <v>0</v>
      </c>
      <c r="I52" s="49">
        <v>7</v>
      </c>
      <c r="J52" s="49">
        <v>4</v>
      </c>
      <c r="K52" s="49">
        <v>1</v>
      </c>
      <c r="L52" s="49">
        <v>2</v>
      </c>
      <c r="M52" s="49">
        <v>560</v>
      </c>
      <c r="N52" s="49">
        <v>0</v>
      </c>
      <c r="O52" s="15">
        <f t="shared" si="0"/>
        <v>250</v>
      </c>
      <c r="P52" s="15">
        <f t="shared" si="1"/>
        <v>810</v>
      </c>
      <c r="R52" s="8"/>
      <c r="T52"/>
    </row>
    <row r="53" spans="2:20" ht="23.1" customHeight="1" x14ac:dyDescent="0.25">
      <c r="B53" s="44" t="s">
        <v>80</v>
      </c>
      <c r="C53" s="49">
        <v>175</v>
      </c>
      <c r="D53" s="49">
        <v>26</v>
      </c>
      <c r="E53" s="49">
        <v>25</v>
      </c>
      <c r="F53" s="49">
        <v>1</v>
      </c>
      <c r="G53" s="49">
        <v>3</v>
      </c>
      <c r="H53" s="49">
        <v>1</v>
      </c>
      <c r="I53" s="49">
        <v>10</v>
      </c>
      <c r="J53" s="49">
        <v>6</v>
      </c>
      <c r="K53" s="49">
        <v>6</v>
      </c>
      <c r="L53" s="49">
        <v>4</v>
      </c>
      <c r="M53" s="49">
        <v>595</v>
      </c>
      <c r="N53" s="49">
        <v>0</v>
      </c>
      <c r="O53" s="15">
        <f t="shared" si="0"/>
        <v>257</v>
      </c>
      <c r="P53" s="15">
        <f t="shared" si="1"/>
        <v>852</v>
      </c>
      <c r="R53" s="8"/>
      <c r="T53"/>
    </row>
    <row r="54" spans="2:20" ht="23.1" customHeight="1" x14ac:dyDescent="0.25">
      <c r="B54" s="44" t="s">
        <v>81</v>
      </c>
      <c r="C54" s="49">
        <v>200</v>
      </c>
      <c r="D54" s="49">
        <v>78</v>
      </c>
      <c r="E54" s="49">
        <v>22</v>
      </c>
      <c r="F54" s="49">
        <v>2</v>
      </c>
      <c r="G54" s="49">
        <v>1</v>
      </c>
      <c r="H54" s="49">
        <v>1</v>
      </c>
      <c r="I54" s="49">
        <v>10</v>
      </c>
      <c r="J54" s="49">
        <v>9</v>
      </c>
      <c r="K54" s="49">
        <v>6</v>
      </c>
      <c r="L54" s="49">
        <v>2</v>
      </c>
      <c r="M54" s="49">
        <v>520</v>
      </c>
      <c r="N54" s="49">
        <v>0</v>
      </c>
      <c r="O54" s="15">
        <f t="shared" si="0"/>
        <v>331</v>
      </c>
      <c r="P54" s="15">
        <f t="shared" si="1"/>
        <v>851</v>
      </c>
      <c r="R54" s="8"/>
      <c r="T54"/>
    </row>
    <row r="55" spans="2:20" ht="23.1" customHeight="1" x14ac:dyDescent="0.25">
      <c r="B55" s="44" t="s">
        <v>82</v>
      </c>
      <c r="C55" s="49">
        <v>200</v>
      </c>
      <c r="D55" s="49">
        <v>60</v>
      </c>
      <c r="E55" s="49">
        <v>20</v>
      </c>
      <c r="F55" s="49">
        <v>5</v>
      </c>
      <c r="G55" s="49">
        <v>0</v>
      </c>
      <c r="H55" s="49">
        <v>0</v>
      </c>
      <c r="I55" s="49">
        <v>10</v>
      </c>
      <c r="J55" s="49">
        <v>1</v>
      </c>
      <c r="K55" s="49">
        <v>4</v>
      </c>
      <c r="L55" s="49">
        <v>3</v>
      </c>
      <c r="M55" s="49">
        <v>525</v>
      </c>
      <c r="N55" s="49">
        <v>0</v>
      </c>
      <c r="O55" s="15">
        <f t="shared" si="0"/>
        <v>303</v>
      </c>
      <c r="P55" s="15">
        <f t="shared" si="1"/>
        <v>828</v>
      </c>
      <c r="R55" s="8"/>
      <c r="T55"/>
    </row>
    <row r="56" spans="2:20" ht="23.1" customHeight="1" x14ac:dyDescent="0.25">
      <c r="B56" s="44" t="s">
        <v>83</v>
      </c>
      <c r="C56" s="49">
        <v>200</v>
      </c>
      <c r="D56" s="49">
        <v>20</v>
      </c>
      <c r="E56" s="49">
        <v>16</v>
      </c>
      <c r="F56" s="49">
        <v>3</v>
      </c>
      <c r="G56" s="49">
        <v>0</v>
      </c>
      <c r="H56" s="49">
        <v>0</v>
      </c>
      <c r="I56" s="49">
        <v>6</v>
      </c>
      <c r="J56" s="49">
        <v>5</v>
      </c>
      <c r="K56" s="49">
        <v>4</v>
      </c>
      <c r="L56" s="49">
        <v>2</v>
      </c>
      <c r="M56" s="49">
        <v>495</v>
      </c>
      <c r="N56" s="49">
        <v>0</v>
      </c>
      <c r="O56" s="15">
        <f t="shared" si="0"/>
        <v>256</v>
      </c>
      <c r="P56" s="15">
        <f t="shared" si="1"/>
        <v>751</v>
      </c>
      <c r="R56" s="8"/>
      <c r="T56"/>
    </row>
    <row r="57" spans="2:20" ht="23.1" customHeight="1" x14ac:dyDescent="0.25">
      <c r="B57" s="44" t="s">
        <v>84</v>
      </c>
      <c r="C57" s="49">
        <v>150</v>
      </c>
      <c r="D57" s="49">
        <v>0</v>
      </c>
      <c r="E57" s="49">
        <v>32</v>
      </c>
      <c r="F57" s="49">
        <v>10</v>
      </c>
      <c r="G57" s="49">
        <v>5</v>
      </c>
      <c r="H57" s="49">
        <v>1</v>
      </c>
      <c r="I57" s="49">
        <v>7</v>
      </c>
      <c r="J57" s="49">
        <v>6</v>
      </c>
      <c r="K57" s="49">
        <v>4</v>
      </c>
      <c r="L57" s="49">
        <v>2</v>
      </c>
      <c r="M57" s="49">
        <v>549</v>
      </c>
      <c r="N57" s="49">
        <v>0</v>
      </c>
      <c r="O57" s="15">
        <f t="shared" si="0"/>
        <v>217</v>
      </c>
      <c r="P57" s="15">
        <f t="shared" si="1"/>
        <v>766</v>
      </c>
      <c r="R57" s="8"/>
      <c r="T57"/>
    </row>
    <row r="58" spans="2:20" ht="23.1" customHeight="1" x14ac:dyDescent="0.25">
      <c r="B58" s="44" t="s">
        <v>99</v>
      </c>
      <c r="C58" s="49">
        <v>150</v>
      </c>
      <c r="D58" s="49">
        <v>60</v>
      </c>
      <c r="E58" s="49">
        <v>16</v>
      </c>
      <c r="F58" s="49">
        <v>7</v>
      </c>
      <c r="G58" s="49">
        <v>0</v>
      </c>
      <c r="H58" s="49">
        <v>0</v>
      </c>
      <c r="I58" s="49">
        <v>10</v>
      </c>
      <c r="J58" s="49">
        <v>3</v>
      </c>
      <c r="K58" s="49">
        <v>4</v>
      </c>
      <c r="L58" s="49">
        <v>2</v>
      </c>
      <c r="M58" s="49">
        <v>375</v>
      </c>
      <c r="N58" s="49">
        <v>0</v>
      </c>
      <c r="O58" s="15">
        <f t="shared" ref="O58:O105" si="35">SUM(C58:L58,N58)</f>
        <v>252</v>
      </c>
      <c r="P58" s="15">
        <f t="shared" ref="P58:P105" si="36">SUM(C58:N58)</f>
        <v>627</v>
      </c>
      <c r="R58" s="8"/>
      <c r="T58"/>
    </row>
    <row r="59" spans="2:20" ht="23.1" customHeight="1" x14ac:dyDescent="0.25">
      <c r="B59" s="44" t="s">
        <v>100</v>
      </c>
      <c r="C59" s="49">
        <v>150</v>
      </c>
      <c r="D59" s="49">
        <v>50</v>
      </c>
      <c r="E59" s="49">
        <v>8</v>
      </c>
      <c r="F59" s="49">
        <v>0</v>
      </c>
      <c r="G59" s="49">
        <v>2</v>
      </c>
      <c r="H59" s="49">
        <v>0</v>
      </c>
      <c r="I59" s="49">
        <v>4</v>
      </c>
      <c r="J59" s="49">
        <v>5</v>
      </c>
      <c r="K59" s="49">
        <v>2</v>
      </c>
      <c r="L59" s="49">
        <v>1</v>
      </c>
      <c r="M59" s="49">
        <v>340</v>
      </c>
      <c r="N59" s="49">
        <v>0</v>
      </c>
      <c r="O59" s="15">
        <f t="shared" si="35"/>
        <v>222</v>
      </c>
      <c r="P59" s="15">
        <f t="shared" si="36"/>
        <v>562</v>
      </c>
      <c r="R59" s="8"/>
      <c r="T59"/>
    </row>
    <row r="60" spans="2:20" ht="23.1" customHeight="1" x14ac:dyDescent="0.25">
      <c r="B60" s="44" t="s">
        <v>101</v>
      </c>
      <c r="C60" s="49">
        <v>225</v>
      </c>
      <c r="D60" s="49">
        <v>120</v>
      </c>
      <c r="E60" s="49">
        <v>2</v>
      </c>
      <c r="F60" s="49">
        <v>0</v>
      </c>
      <c r="G60" s="49">
        <v>0</v>
      </c>
      <c r="H60" s="49">
        <v>0</v>
      </c>
      <c r="I60" s="49">
        <v>3</v>
      </c>
      <c r="J60" s="49">
        <v>2</v>
      </c>
      <c r="K60" s="49">
        <v>1</v>
      </c>
      <c r="L60" s="49">
        <v>0</v>
      </c>
      <c r="M60" s="49">
        <v>359</v>
      </c>
      <c r="N60" s="49">
        <v>0</v>
      </c>
      <c r="O60" s="15">
        <f t="shared" si="35"/>
        <v>353</v>
      </c>
      <c r="P60" s="15">
        <f t="shared" si="36"/>
        <v>712</v>
      </c>
      <c r="R60" s="8"/>
      <c r="T60"/>
    </row>
    <row r="61" spans="2:20" ht="23.1" customHeight="1" x14ac:dyDescent="0.25">
      <c r="B61" s="44" t="s">
        <v>102</v>
      </c>
      <c r="C61" s="49">
        <v>240</v>
      </c>
      <c r="D61" s="49">
        <v>100</v>
      </c>
      <c r="E61" s="49">
        <v>9</v>
      </c>
      <c r="F61" s="49">
        <v>0</v>
      </c>
      <c r="G61" s="49">
        <v>0</v>
      </c>
      <c r="H61" s="49">
        <v>0</v>
      </c>
      <c r="I61" s="49">
        <v>2</v>
      </c>
      <c r="J61" s="49">
        <v>1</v>
      </c>
      <c r="K61" s="49">
        <v>1</v>
      </c>
      <c r="L61" s="49">
        <v>1</v>
      </c>
      <c r="M61" s="49">
        <v>245</v>
      </c>
      <c r="N61" s="49">
        <v>0</v>
      </c>
      <c r="O61" s="15">
        <f t="shared" si="35"/>
        <v>354</v>
      </c>
      <c r="P61" s="15">
        <f t="shared" si="36"/>
        <v>599</v>
      </c>
      <c r="R61" s="8"/>
      <c r="T61"/>
    </row>
    <row r="62" spans="2:20" ht="23.1" customHeight="1" x14ac:dyDescent="0.25">
      <c r="B62" s="44" t="s">
        <v>107</v>
      </c>
      <c r="C62" s="49">
        <v>240</v>
      </c>
      <c r="D62" s="49">
        <v>26</v>
      </c>
      <c r="E62" s="49">
        <v>21</v>
      </c>
      <c r="F62" s="49">
        <v>1</v>
      </c>
      <c r="G62" s="49">
        <v>0</v>
      </c>
      <c r="H62" s="49">
        <v>0</v>
      </c>
      <c r="I62" s="49">
        <v>5</v>
      </c>
      <c r="J62" s="49">
        <v>0</v>
      </c>
      <c r="K62" s="49">
        <v>2</v>
      </c>
      <c r="L62" s="49">
        <v>0</v>
      </c>
      <c r="M62" s="49">
        <v>375</v>
      </c>
      <c r="N62" s="49">
        <v>0</v>
      </c>
      <c r="O62" s="15">
        <f t="shared" si="35"/>
        <v>295</v>
      </c>
      <c r="P62" s="15">
        <f t="shared" si="36"/>
        <v>670</v>
      </c>
      <c r="R62" s="8"/>
      <c r="T62"/>
    </row>
    <row r="63" spans="2:20" ht="23.1" customHeight="1" x14ac:dyDescent="0.25">
      <c r="B63" s="44" t="s">
        <v>108</v>
      </c>
      <c r="C63" s="49">
        <v>200</v>
      </c>
      <c r="D63" s="49">
        <v>68</v>
      </c>
      <c r="E63" s="49">
        <v>15</v>
      </c>
      <c r="F63" s="49">
        <v>0</v>
      </c>
      <c r="G63" s="49">
        <v>1</v>
      </c>
      <c r="H63" s="49">
        <v>0</v>
      </c>
      <c r="I63" s="49">
        <v>5</v>
      </c>
      <c r="J63" s="49">
        <v>0</v>
      </c>
      <c r="K63" s="49">
        <v>0</v>
      </c>
      <c r="L63" s="49">
        <v>1</v>
      </c>
      <c r="M63" s="49">
        <v>141</v>
      </c>
      <c r="N63" s="49">
        <v>0</v>
      </c>
      <c r="O63" s="15">
        <f t="shared" si="35"/>
        <v>290</v>
      </c>
      <c r="P63" s="15">
        <f t="shared" si="36"/>
        <v>431</v>
      </c>
      <c r="R63" s="8"/>
      <c r="T63"/>
    </row>
    <row r="64" spans="2:20" ht="23.1" customHeight="1" x14ac:dyDescent="0.25">
      <c r="B64" s="44" t="s">
        <v>109</v>
      </c>
      <c r="C64" s="49">
        <v>200</v>
      </c>
      <c r="D64" s="49">
        <v>50</v>
      </c>
      <c r="E64" s="49">
        <v>4</v>
      </c>
      <c r="F64" s="49">
        <v>0</v>
      </c>
      <c r="G64" s="49">
        <v>0</v>
      </c>
      <c r="H64" s="49">
        <v>0</v>
      </c>
      <c r="I64" s="49">
        <v>2</v>
      </c>
      <c r="J64" s="49">
        <v>2</v>
      </c>
      <c r="K64" s="49">
        <v>0</v>
      </c>
      <c r="L64" s="49">
        <v>0</v>
      </c>
      <c r="M64" s="49">
        <v>65</v>
      </c>
      <c r="N64" s="49">
        <v>0</v>
      </c>
      <c r="O64" s="15">
        <f t="shared" si="35"/>
        <v>258</v>
      </c>
      <c r="P64" s="15">
        <f t="shared" si="36"/>
        <v>323</v>
      </c>
      <c r="R64" s="8"/>
      <c r="T64"/>
    </row>
    <row r="65" spans="2:20" ht="23.1" customHeight="1" x14ac:dyDescent="0.25">
      <c r="B65" s="44" t="s">
        <v>158</v>
      </c>
      <c r="C65" s="49">
        <v>175</v>
      </c>
      <c r="D65" s="49">
        <v>65</v>
      </c>
      <c r="E65" s="49">
        <v>6</v>
      </c>
      <c r="F65" s="49">
        <v>0</v>
      </c>
      <c r="G65" s="49">
        <v>0</v>
      </c>
      <c r="H65" s="49">
        <v>0</v>
      </c>
      <c r="I65" s="49">
        <v>1</v>
      </c>
      <c r="J65" s="49">
        <v>0</v>
      </c>
      <c r="K65" s="49">
        <v>3</v>
      </c>
      <c r="L65" s="49">
        <v>0</v>
      </c>
      <c r="M65" s="49">
        <v>46</v>
      </c>
      <c r="N65" s="49">
        <v>0</v>
      </c>
      <c r="O65" s="15">
        <f t="shared" si="35"/>
        <v>250</v>
      </c>
      <c r="P65" s="15">
        <f t="shared" si="36"/>
        <v>296</v>
      </c>
      <c r="R65" s="8"/>
      <c r="T65"/>
    </row>
    <row r="66" spans="2:20" ht="23.1" customHeight="1" x14ac:dyDescent="0.25">
      <c r="B66" s="44" t="s">
        <v>103</v>
      </c>
      <c r="C66" s="49">
        <v>200</v>
      </c>
      <c r="D66" s="49">
        <v>80</v>
      </c>
      <c r="E66" s="49">
        <v>20</v>
      </c>
      <c r="F66" s="49">
        <v>0</v>
      </c>
      <c r="G66" s="49">
        <v>0</v>
      </c>
      <c r="H66" s="49">
        <v>0</v>
      </c>
      <c r="I66" s="49">
        <v>0</v>
      </c>
      <c r="J66" s="49">
        <v>4</v>
      </c>
      <c r="K66" s="49">
        <v>3</v>
      </c>
      <c r="L66" s="49">
        <v>7</v>
      </c>
      <c r="M66" s="49">
        <v>31</v>
      </c>
      <c r="N66" s="49">
        <v>0</v>
      </c>
      <c r="O66" s="15">
        <f t="shared" si="35"/>
        <v>314</v>
      </c>
      <c r="P66" s="15">
        <f t="shared" si="36"/>
        <v>345</v>
      </c>
      <c r="R66" s="8"/>
      <c r="T66"/>
    </row>
    <row r="67" spans="2:20" ht="23.1" customHeight="1" x14ac:dyDescent="0.25">
      <c r="B67" s="44" t="s">
        <v>104</v>
      </c>
      <c r="C67" s="49">
        <v>130</v>
      </c>
      <c r="D67" s="49">
        <v>75</v>
      </c>
      <c r="E67" s="49">
        <v>1</v>
      </c>
      <c r="F67" s="49">
        <v>0</v>
      </c>
      <c r="G67" s="49">
        <v>1</v>
      </c>
      <c r="H67" s="49">
        <v>0</v>
      </c>
      <c r="I67" s="49">
        <v>0</v>
      </c>
      <c r="J67" s="49">
        <v>3</v>
      </c>
      <c r="K67" s="49">
        <v>0</v>
      </c>
      <c r="L67" s="49">
        <v>4</v>
      </c>
      <c r="M67" s="49">
        <v>60</v>
      </c>
      <c r="N67" s="49">
        <v>0</v>
      </c>
      <c r="O67" s="15">
        <f t="shared" si="35"/>
        <v>214</v>
      </c>
      <c r="P67" s="15">
        <f t="shared" si="36"/>
        <v>274</v>
      </c>
      <c r="R67" s="8"/>
      <c r="T67"/>
    </row>
    <row r="68" spans="2:20" ht="23.1" customHeight="1" x14ac:dyDescent="0.25">
      <c r="B68" s="44" t="s">
        <v>105</v>
      </c>
      <c r="C68" s="49">
        <v>186</v>
      </c>
      <c r="D68" s="49">
        <v>55</v>
      </c>
      <c r="E68" s="49">
        <v>3</v>
      </c>
      <c r="F68" s="49">
        <v>1</v>
      </c>
      <c r="G68" s="49">
        <v>1</v>
      </c>
      <c r="H68" s="49">
        <v>0</v>
      </c>
      <c r="I68" s="49">
        <v>1</v>
      </c>
      <c r="J68" s="49">
        <v>0</v>
      </c>
      <c r="K68" s="49">
        <v>1</v>
      </c>
      <c r="L68" s="49">
        <v>0</v>
      </c>
      <c r="M68" s="49">
        <v>45</v>
      </c>
      <c r="N68" s="49">
        <v>0</v>
      </c>
      <c r="O68" s="15">
        <f t="shared" si="35"/>
        <v>248</v>
      </c>
      <c r="P68" s="15">
        <f t="shared" si="36"/>
        <v>293</v>
      </c>
      <c r="R68" s="8"/>
      <c r="T68"/>
    </row>
    <row r="69" spans="2:20" ht="23.1" customHeight="1" x14ac:dyDescent="0.25">
      <c r="B69" s="44" t="s">
        <v>106</v>
      </c>
      <c r="C69" s="49">
        <v>115</v>
      </c>
      <c r="D69" s="49">
        <v>55</v>
      </c>
      <c r="E69" s="49">
        <v>8</v>
      </c>
      <c r="F69" s="49">
        <v>0</v>
      </c>
      <c r="G69" s="49">
        <v>0</v>
      </c>
      <c r="H69" s="49">
        <v>0</v>
      </c>
      <c r="I69" s="49">
        <v>9</v>
      </c>
      <c r="J69" s="49">
        <v>2</v>
      </c>
      <c r="K69" s="49">
        <v>0</v>
      </c>
      <c r="L69" s="49">
        <v>5</v>
      </c>
      <c r="M69" s="49">
        <v>60</v>
      </c>
      <c r="N69" s="49">
        <v>0</v>
      </c>
      <c r="O69" s="15">
        <f t="shared" si="35"/>
        <v>194</v>
      </c>
      <c r="P69" s="15">
        <f t="shared" si="36"/>
        <v>254</v>
      </c>
      <c r="R69" s="8"/>
      <c r="T69"/>
    </row>
    <row r="70" spans="2:20" ht="23.1" customHeight="1" x14ac:dyDescent="0.25">
      <c r="B70" s="44" t="s">
        <v>110</v>
      </c>
      <c r="C70" s="49">
        <v>126</v>
      </c>
      <c r="D70" s="49">
        <v>42</v>
      </c>
      <c r="E70" s="49">
        <v>5</v>
      </c>
      <c r="F70" s="49">
        <v>0</v>
      </c>
      <c r="G70" s="49">
        <v>0</v>
      </c>
      <c r="H70" s="49">
        <v>0</v>
      </c>
      <c r="I70" s="49">
        <v>9</v>
      </c>
      <c r="J70" s="49">
        <v>0</v>
      </c>
      <c r="K70" s="49">
        <v>2</v>
      </c>
      <c r="L70" s="49">
        <v>0</v>
      </c>
      <c r="M70" s="49">
        <v>103</v>
      </c>
      <c r="N70" s="49">
        <v>0</v>
      </c>
      <c r="O70" s="15">
        <f t="shared" si="35"/>
        <v>184</v>
      </c>
      <c r="P70" s="15">
        <f t="shared" si="36"/>
        <v>287</v>
      </c>
      <c r="R70" s="8"/>
      <c r="T70"/>
    </row>
    <row r="71" spans="2:20" ht="23.1" customHeight="1" x14ac:dyDescent="0.25">
      <c r="B71" s="44" t="s">
        <v>111</v>
      </c>
      <c r="C71" s="49">
        <v>80</v>
      </c>
      <c r="D71" s="49">
        <v>15</v>
      </c>
      <c r="E71" s="49">
        <v>7</v>
      </c>
      <c r="F71" s="49">
        <v>0</v>
      </c>
      <c r="G71" s="49">
        <v>0</v>
      </c>
      <c r="H71" s="49">
        <v>0</v>
      </c>
      <c r="I71" s="49">
        <v>6</v>
      </c>
      <c r="J71" s="49">
        <v>0</v>
      </c>
      <c r="K71" s="49">
        <v>1</v>
      </c>
      <c r="L71" s="49">
        <v>2</v>
      </c>
      <c r="M71" s="49">
        <v>62</v>
      </c>
      <c r="N71" s="49">
        <v>0</v>
      </c>
      <c r="O71" s="15">
        <f t="shared" si="35"/>
        <v>111</v>
      </c>
      <c r="P71" s="15">
        <f t="shared" si="36"/>
        <v>173</v>
      </c>
      <c r="R71" s="8"/>
      <c r="T71"/>
    </row>
    <row r="72" spans="2:20" ht="23.1" customHeight="1" x14ac:dyDescent="0.25">
      <c r="B72" s="44" t="s">
        <v>112</v>
      </c>
      <c r="C72" s="49">
        <v>80</v>
      </c>
      <c r="D72" s="49">
        <v>17</v>
      </c>
      <c r="E72" s="49">
        <v>6</v>
      </c>
      <c r="F72" s="49">
        <v>1</v>
      </c>
      <c r="G72" s="49">
        <v>0</v>
      </c>
      <c r="H72" s="49">
        <v>0</v>
      </c>
      <c r="I72" s="49">
        <v>2</v>
      </c>
      <c r="J72" s="49">
        <v>1</v>
      </c>
      <c r="K72" s="49">
        <v>0</v>
      </c>
      <c r="L72" s="49">
        <v>0</v>
      </c>
      <c r="M72" s="49">
        <v>40</v>
      </c>
      <c r="N72" s="49">
        <v>0</v>
      </c>
      <c r="O72" s="15">
        <f t="shared" si="35"/>
        <v>107</v>
      </c>
      <c r="P72" s="15">
        <f t="shared" si="36"/>
        <v>147</v>
      </c>
      <c r="R72" s="8"/>
      <c r="T72"/>
    </row>
    <row r="73" spans="2:20" ht="23.1" customHeight="1" x14ac:dyDescent="0.25">
      <c r="B73" s="44" t="s">
        <v>113</v>
      </c>
      <c r="C73" s="49">
        <v>67</v>
      </c>
      <c r="D73" s="49">
        <v>24</v>
      </c>
      <c r="E73" s="49">
        <v>5</v>
      </c>
      <c r="F73" s="49">
        <v>0</v>
      </c>
      <c r="G73" s="49">
        <v>0</v>
      </c>
      <c r="H73" s="49">
        <v>0</v>
      </c>
      <c r="I73" s="49">
        <v>2</v>
      </c>
      <c r="J73" s="49">
        <v>0</v>
      </c>
      <c r="K73" s="49">
        <v>2</v>
      </c>
      <c r="L73" s="49">
        <v>3</v>
      </c>
      <c r="M73" s="49">
        <v>40</v>
      </c>
      <c r="N73" s="49">
        <v>0</v>
      </c>
      <c r="O73" s="15">
        <f t="shared" si="35"/>
        <v>103</v>
      </c>
      <c r="P73" s="15">
        <f t="shared" si="36"/>
        <v>143</v>
      </c>
      <c r="R73" s="8"/>
      <c r="T73"/>
    </row>
    <row r="74" spans="2:20" ht="23.1" customHeight="1" x14ac:dyDescent="0.25">
      <c r="B74" s="44" t="s">
        <v>114</v>
      </c>
      <c r="C74" s="49">
        <v>47</v>
      </c>
      <c r="D74" s="49">
        <v>24</v>
      </c>
      <c r="E74" s="49">
        <v>1</v>
      </c>
      <c r="F74" s="49">
        <v>0</v>
      </c>
      <c r="G74" s="49">
        <v>0</v>
      </c>
      <c r="H74" s="49">
        <v>0</v>
      </c>
      <c r="I74" s="49">
        <v>1</v>
      </c>
      <c r="J74" s="49">
        <v>0</v>
      </c>
      <c r="K74" s="49">
        <v>0</v>
      </c>
      <c r="L74" s="49">
        <v>2</v>
      </c>
      <c r="M74" s="49">
        <v>53</v>
      </c>
      <c r="N74" s="49">
        <v>0</v>
      </c>
      <c r="O74" s="15">
        <f t="shared" si="35"/>
        <v>75</v>
      </c>
      <c r="P74" s="15">
        <f t="shared" si="36"/>
        <v>128</v>
      </c>
      <c r="R74" s="8"/>
      <c r="T74"/>
    </row>
    <row r="75" spans="2:20" ht="23.1" customHeight="1" x14ac:dyDescent="0.25">
      <c r="B75" s="44" t="s">
        <v>115</v>
      </c>
      <c r="C75" s="49">
        <v>36</v>
      </c>
      <c r="D75" s="49">
        <v>13</v>
      </c>
      <c r="E75" s="49">
        <v>4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68</v>
      </c>
      <c r="N75" s="49">
        <v>0</v>
      </c>
      <c r="O75" s="15">
        <f t="shared" si="35"/>
        <v>54</v>
      </c>
      <c r="P75" s="15">
        <f t="shared" si="36"/>
        <v>122</v>
      </c>
      <c r="R75" s="8"/>
      <c r="T75"/>
    </row>
    <row r="76" spans="2:20" ht="23.1" customHeight="1" x14ac:dyDescent="0.25">
      <c r="B76" s="44" t="s">
        <v>116</v>
      </c>
      <c r="C76" s="49">
        <v>52</v>
      </c>
      <c r="D76" s="49">
        <v>13</v>
      </c>
      <c r="E76" s="49">
        <v>3</v>
      </c>
      <c r="F76" s="49">
        <v>0</v>
      </c>
      <c r="G76" s="49">
        <v>0</v>
      </c>
      <c r="H76" s="49">
        <v>0</v>
      </c>
      <c r="I76" s="49">
        <v>7</v>
      </c>
      <c r="J76" s="49">
        <v>0</v>
      </c>
      <c r="K76" s="49">
        <v>0</v>
      </c>
      <c r="L76" s="49">
        <v>0</v>
      </c>
      <c r="M76" s="49">
        <v>46</v>
      </c>
      <c r="N76" s="49">
        <v>0</v>
      </c>
      <c r="O76" s="15">
        <f t="shared" si="35"/>
        <v>75</v>
      </c>
      <c r="P76" s="15">
        <f t="shared" si="36"/>
        <v>121</v>
      </c>
      <c r="R76" s="8"/>
      <c r="T76"/>
    </row>
    <row r="77" spans="2:20" ht="23.1" customHeight="1" x14ac:dyDescent="0.25">
      <c r="B77" s="44" t="s">
        <v>117</v>
      </c>
      <c r="C77" s="49">
        <v>56</v>
      </c>
      <c r="D77" s="49">
        <v>13</v>
      </c>
      <c r="E77" s="49">
        <v>5</v>
      </c>
      <c r="F77" s="49">
        <v>0</v>
      </c>
      <c r="G77" s="49">
        <v>0</v>
      </c>
      <c r="H77" s="49">
        <v>0</v>
      </c>
      <c r="I77" s="49">
        <v>2</v>
      </c>
      <c r="J77" s="49">
        <v>0</v>
      </c>
      <c r="K77" s="49">
        <v>0</v>
      </c>
      <c r="L77" s="49">
        <v>0</v>
      </c>
      <c r="M77" s="49">
        <v>53</v>
      </c>
      <c r="N77" s="49">
        <v>0</v>
      </c>
      <c r="O77" s="15">
        <f t="shared" si="35"/>
        <v>76</v>
      </c>
      <c r="P77" s="15">
        <f t="shared" si="36"/>
        <v>129</v>
      </c>
      <c r="R77" s="8"/>
      <c r="T77"/>
    </row>
    <row r="78" spans="2:20" ht="23.1" customHeight="1" x14ac:dyDescent="0.25">
      <c r="B78" s="45" t="s">
        <v>118</v>
      </c>
      <c r="C78" s="49">
        <v>35</v>
      </c>
      <c r="D78" s="49">
        <v>13</v>
      </c>
      <c r="E78" s="49">
        <v>1</v>
      </c>
      <c r="F78" s="49">
        <v>0</v>
      </c>
      <c r="G78" s="49">
        <v>0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16</v>
      </c>
      <c r="N78" s="49">
        <v>0</v>
      </c>
      <c r="O78" s="15">
        <f t="shared" si="35"/>
        <v>50</v>
      </c>
      <c r="P78" s="15">
        <f t="shared" si="36"/>
        <v>66</v>
      </c>
      <c r="R78" s="8"/>
      <c r="T78"/>
    </row>
    <row r="79" spans="2:20" ht="23.1" customHeight="1" x14ac:dyDescent="0.25">
      <c r="B79" s="44" t="s">
        <v>119</v>
      </c>
      <c r="C79" s="49">
        <v>55</v>
      </c>
      <c r="D79" s="49">
        <v>4</v>
      </c>
      <c r="E79" s="49">
        <v>2</v>
      </c>
      <c r="F79" s="49">
        <v>0</v>
      </c>
      <c r="G79" s="49">
        <v>0</v>
      </c>
      <c r="H79" s="49">
        <v>0</v>
      </c>
      <c r="I79" s="49">
        <v>0</v>
      </c>
      <c r="J79" s="49">
        <v>0</v>
      </c>
      <c r="K79" s="49">
        <v>3</v>
      </c>
      <c r="L79" s="49">
        <v>1</v>
      </c>
      <c r="M79" s="49">
        <v>45</v>
      </c>
      <c r="N79" s="49">
        <v>0</v>
      </c>
      <c r="O79" s="15">
        <f t="shared" si="35"/>
        <v>65</v>
      </c>
      <c r="P79" s="15">
        <f t="shared" si="36"/>
        <v>110</v>
      </c>
      <c r="R79" s="8"/>
      <c r="T79"/>
    </row>
    <row r="80" spans="2:20" ht="23.1" customHeight="1" x14ac:dyDescent="0.25">
      <c r="B80" s="46" t="s">
        <v>120</v>
      </c>
      <c r="C80" s="49">
        <v>12</v>
      </c>
      <c r="D80" s="49">
        <v>7</v>
      </c>
      <c r="E80" s="49">
        <v>4</v>
      </c>
      <c r="F80" s="49">
        <v>0</v>
      </c>
      <c r="G80" s="49">
        <v>1</v>
      </c>
      <c r="H80" s="49">
        <v>0</v>
      </c>
      <c r="I80" s="49">
        <v>2</v>
      </c>
      <c r="J80" s="49">
        <v>0</v>
      </c>
      <c r="K80" s="49">
        <v>0</v>
      </c>
      <c r="L80" s="49">
        <v>2</v>
      </c>
      <c r="M80" s="49">
        <v>52</v>
      </c>
      <c r="N80" s="49">
        <v>0</v>
      </c>
      <c r="O80" s="15">
        <f t="shared" si="35"/>
        <v>28</v>
      </c>
      <c r="P80" s="15">
        <f t="shared" si="36"/>
        <v>80</v>
      </c>
      <c r="R80" s="8"/>
      <c r="T80"/>
    </row>
    <row r="81" spans="2:20" ht="23.1" customHeight="1" x14ac:dyDescent="0.25">
      <c r="B81" s="44" t="s">
        <v>121</v>
      </c>
      <c r="C81" s="49">
        <v>14</v>
      </c>
      <c r="D81" s="49">
        <v>1</v>
      </c>
      <c r="E81" s="49">
        <v>2</v>
      </c>
      <c r="F81" s="49">
        <v>0</v>
      </c>
      <c r="G81" s="49">
        <v>0</v>
      </c>
      <c r="H81" s="49">
        <v>0</v>
      </c>
      <c r="I81" s="49">
        <v>2</v>
      </c>
      <c r="J81" s="49">
        <v>0</v>
      </c>
      <c r="K81" s="49">
        <v>0</v>
      </c>
      <c r="L81" s="49">
        <v>2</v>
      </c>
      <c r="M81" s="49">
        <v>23</v>
      </c>
      <c r="N81" s="49">
        <v>0</v>
      </c>
      <c r="O81" s="15">
        <f t="shared" si="35"/>
        <v>21</v>
      </c>
      <c r="P81" s="15">
        <f t="shared" si="36"/>
        <v>44</v>
      </c>
      <c r="R81" s="8"/>
      <c r="T81"/>
    </row>
    <row r="82" spans="2:20" ht="23.1" customHeight="1" x14ac:dyDescent="0.25">
      <c r="B82" s="45" t="s">
        <v>122</v>
      </c>
      <c r="C82" s="49">
        <v>16</v>
      </c>
      <c r="D82" s="49">
        <v>3</v>
      </c>
      <c r="E82" s="49">
        <v>1</v>
      </c>
      <c r="F82" s="49">
        <v>0</v>
      </c>
      <c r="G82" s="49">
        <v>0</v>
      </c>
      <c r="H82" s="49">
        <v>0</v>
      </c>
      <c r="I82" s="49">
        <v>5</v>
      </c>
      <c r="J82" s="49">
        <v>0</v>
      </c>
      <c r="K82" s="49">
        <v>0</v>
      </c>
      <c r="L82" s="49">
        <v>0</v>
      </c>
      <c r="M82" s="49">
        <v>20</v>
      </c>
      <c r="N82" s="49">
        <v>0</v>
      </c>
      <c r="O82" s="15">
        <f t="shared" si="35"/>
        <v>25</v>
      </c>
      <c r="P82" s="15">
        <f t="shared" si="36"/>
        <v>45</v>
      </c>
      <c r="R82" s="8"/>
      <c r="T82"/>
    </row>
    <row r="83" spans="2:20" ht="23.1" customHeight="1" x14ac:dyDescent="0.25">
      <c r="B83" s="44" t="s">
        <v>123</v>
      </c>
      <c r="C83" s="49">
        <v>13</v>
      </c>
      <c r="D83" s="49">
        <v>1</v>
      </c>
      <c r="E83" s="49">
        <v>2</v>
      </c>
      <c r="F83" s="49">
        <v>0</v>
      </c>
      <c r="G83" s="49">
        <v>0</v>
      </c>
      <c r="H83" s="49">
        <v>0</v>
      </c>
      <c r="I83" s="49">
        <v>0</v>
      </c>
      <c r="J83" s="49">
        <v>0</v>
      </c>
      <c r="K83" s="49">
        <v>1</v>
      </c>
      <c r="L83" s="49">
        <v>3</v>
      </c>
      <c r="M83" s="49">
        <v>31</v>
      </c>
      <c r="N83" s="49">
        <v>0</v>
      </c>
      <c r="O83" s="15">
        <f t="shared" si="35"/>
        <v>20</v>
      </c>
      <c r="P83" s="15">
        <f t="shared" si="36"/>
        <v>51</v>
      </c>
      <c r="R83" s="8"/>
      <c r="T83"/>
    </row>
    <row r="84" spans="2:20" ht="23.1" customHeight="1" x14ac:dyDescent="0.25">
      <c r="B84" s="46" t="s">
        <v>124</v>
      </c>
      <c r="C84" s="49">
        <v>6</v>
      </c>
      <c r="D84" s="49">
        <v>2</v>
      </c>
      <c r="E84" s="49">
        <v>1</v>
      </c>
      <c r="F84" s="49">
        <v>1</v>
      </c>
      <c r="G84" s="49">
        <v>0</v>
      </c>
      <c r="H84" s="49">
        <v>0</v>
      </c>
      <c r="I84" s="49">
        <v>5</v>
      </c>
      <c r="J84" s="49">
        <v>0</v>
      </c>
      <c r="K84" s="49">
        <v>2</v>
      </c>
      <c r="L84" s="49">
        <v>0</v>
      </c>
      <c r="M84" s="49">
        <v>15</v>
      </c>
      <c r="N84" s="49">
        <v>0</v>
      </c>
      <c r="O84" s="15">
        <f t="shared" si="35"/>
        <v>17</v>
      </c>
      <c r="P84" s="15">
        <f t="shared" si="36"/>
        <v>32</v>
      </c>
      <c r="R84" s="8"/>
      <c r="T84"/>
    </row>
    <row r="85" spans="2:20" ht="23.1" customHeight="1" x14ac:dyDescent="0.25">
      <c r="B85" s="44" t="s">
        <v>125</v>
      </c>
      <c r="C85" s="49">
        <v>8</v>
      </c>
      <c r="D85" s="49">
        <v>1</v>
      </c>
      <c r="E85" s="49">
        <v>0</v>
      </c>
      <c r="F85" s="49">
        <v>0</v>
      </c>
      <c r="G85" s="49">
        <v>0</v>
      </c>
      <c r="H85" s="49">
        <v>0</v>
      </c>
      <c r="I85" s="49">
        <v>4</v>
      </c>
      <c r="J85" s="49">
        <v>0</v>
      </c>
      <c r="K85" s="49">
        <v>0</v>
      </c>
      <c r="L85" s="49">
        <v>3</v>
      </c>
      <c r="M85" s="49">
        <v>13</v>
      </c>
      <c r="N85" s="49">
        <v>0</v>
      </c>
      <c r="O85" s="15">
        <f t="shared" si="35"/>
        <v>16</v>
      </c>
      <c r="P85" s="15">
        <f t="shared" si="36"/>
        <v>29</v>
      </c>
      <c r="R85" s="8"/>
      <c r="T85"/>
    </row>
    <row r="86" spans="2:20" ht="23.1" customHeight="1" x14ac:dyDescent="0.25">
      <c r="B86" s="45" t="s">
        <v>126</v>
      </c>
      <c r="C86" s="49">
        <v>16</v>
      </c>
      <c r="D86" s="49">
        <v>1</v>
      </c>
      <c r="E86" s="49">
        <v>2</v>
      </c>
      <c r="F86" s="49">
        <v>0</v>
      </c>
      <c r="G86" s="49">
        <v>0</v>
      </c>
      <c r="H86" s="49">
        <v>0</v>
      </c>
      <c r="I86" s="49">
        <v>5</v>
      </c>
      <c r="J86" s="49">
        <v>0</v>
      </c>
      <c r="K86" s="49">
        <v>0</v>
      </c>
      <c r="L86" s="49">
        <v>0</v>
      </c>
      <c r="M86" s="49">
        <v>18</v>
      </c>
      <c r="N86" s="49">
        <v>0</v>
      </c>
      <c r="O86" s="15">
        <f t="shared" si="35"/>
        <v>24</v>
      </c>
      <c r="P86" s="15">
        <f t="shared" si="36"/>
        <v>42</v>
      </c>
      <c r="R86" s="8"/>
      <c r="T86"/>
    </row>
    <row r="87" spans="2:20" ht="23.1" customHeight="1" x14ac:dyDescent="0.25">
      <c r="B87" s="44" t="s">
        <v>127</v>
      </c>
      <c r="C87" s="49">
        <v>8</v>
      </c>
      <c r="D87" s="49">
        <v>2</v>
      </c>
      <c r="E87" s="49">
        <v>0</v>
      </c>
      <c r="F87" s="49">
        <v>0</v>
      </c>
      <c r="G87" s="49">
        <v>0</v>
      </c>
      <c r="H87" s="49">
        <v>0</v>
      </c>
      <c r="I87" s="49">
        <v>0</v>
      </c>
      <c r="J87" s="49">
        <v>0</v>
      </c>
      <c r="K87" s="49">
        <v>0</v>
      </c>
      <c r="L87" s="49">
        <v>0</v>
      </c>
      <c r="M87" s="49">
        <v>21</v>
      </c>
      <c r="N87" s="49">
        <v>0</v>
      </c>
      <c r="O87" s="15">
        <f t="shared" si="35"/>
        <v>10</v>
      </c>
      <c r="P87" s="15">
        <f t="shared" si="36"/>
        <v>31</v>
      </c>
      <c r="R87" s="8"/>
      <c r="T87"/>
    </row>
    <row r="88" spans="2:20" ht="23.1" customHeight="1" x14ac:dyDescent="0.25">
      <c r="B88" s="46" t="s">
        <v>128</v>
      </c>
      <c r="C88" s="49">
        <v>10</v>
      </c>
      <c r="D88" s="49">
        <v>0</v>
      </c>
      <c r="E88" s="49">
        <v>3</v>
      </c>
      <c r="F88" s="49">
        <v>0</v>
      </c>
      <c r="G88" s="49">
        <v>0</v>
      </c>
      <c r="H88" s="49">
        <v>0</v>
      </c>
      <c r="I88" s="49">
        <v>0</v>
      </c>
      <c r="J88" s="49">
        <v>0</v>
      </c>
      <c r="K88" s="49">
        <v>0</v>
      </c>
      <c r="L88" s="49">
        <v>0</v>
      </c>
      <c r="M88" s="49">
        <v>26</v>
      </c>
      <c r="N88" s="49">
        <v>0</v>
      </c>
      <c r="O88" s="15">
        <f t="shared" si="35"/>
        <v>13</v>
      </c>
      <c r="P88" s="15">
        <f t="shared" si="36"/>
        <v>39</v>
      </c>
      <c r="R88" s="8"/>
      <c r="T88"/>
    </row>
    <row r="89" spans="2:20" ht="23.1" customHeight="1" x14ac:dyDescent="0.25">
      <c r="B89" s="44" t="s">
        <v>129</v>
      </c>
      <c r="C89" s="49">
        <v>7</v>
      </c>
      <c r="D89" s="49">
        <v>0</v>
      </c>
      <c r="E89" s="49">
        <v>0</v>
      </c>
      <c r="F89" s="49">
        <v>0</v>
      </c>
      <c r="G89" s="49">
        <v>0</v>
      </c>
      <c r="H89" s="49">
        <v>0</v>
      </c>
      <c r="I89" s="49">
        <v>0</v>
      </c>
      <c r="J89" s="49">
        <v>0</v>
      </c>
      <c r="K89" s="49">
        <v>0</v>
      </c>
      <c r="L89" s="49">
        <v>0</v>
      </c>
      <c r="M89" s="49">
        <v>17</v>
      </c>
      <c r="N89" s="49">
        <v>0</v>
      </c>
      <c r="O89" s="15">
        <f t="shared" si="35"/>
        <v>7</v>
      </c>
      <c r="P89" s="15">
        <f t="shared" si="36"/>
        <v>24</v>
      </c>
      <c r="R89" s="8"/>
      <c r="T89"/>
    </row>
    <row r="90" spans="2:20" ht="23.1" customHeight="1" x14ac:dyDescent="0.25">
      <c r="B90" s="45" t="s">
        <v>130</v>
      </c>
      <c r="C90" s="49">
        <v>8</v>
      </c>
      <c r="D90" s="49">
        <v>3</v>
      </c>
      <c r="E90" s="49">
        <v>0</v>
      </c>
      <c r="F90" s="49">
        <v>0</v>
      </c>
      <c r="G90" s="49">
        <v>0</v>
      </c>
      <c r="H90" s="49">
        <v>0</v>
      </c>
      <c r="I90" s="49">
        <v>8</v>
      </c>
      <c r="J90" s="49">
        <v>0</v>
      </c>
      <c r="K90" s="49">
        <v>0</v>
      </c>
      <c r="L90" s="49">
        <v>0</v>
      </c>
      <c r="M90" s="49">
        <v>19</v>
      </c>
      <c r="N90" s="49">
        <v>0</v>
      </c>
      <c r="O90" s="15">
        <f t="shared" si="35"/>
        <v>19</v>
      </c>
      <c r="P90" s="15">
        <f t="shared" si="36"/>
        <v>38</v>
      </c>
      <c r="R90" s="8"/>
      <c r="T90"/>
    </row>
    <row r="91" spans="2:20" ht="23.1" customHeight="1" x14ac:dyDescent="0.25">
      <c r="B91" s="44" t="s">
        <v>131</v>
      </c>
      <c r="C91" s="49">
        <v>17</v>
      </c>
      <c r="D91" s="49">
        <v>4</v>
      </c>
      <c r="E91" s="49">
        <v>0</v>
      </c>
      <c r="F91" s="49">
        <v>0</v>
      </c>
      <c r="G91" s="49">
        <v>0</v>
      </c>
      <c r="H91" s="49">
        <v>0</v>
      </c>
      <c r="I91" s="49">
        <v>0</v>
      </c>
      <c r="J91" s="49">
        <v>0</v>
      </c>
      <c r="K91" s="49">
        <v>0</v>
      </c>
      <c r="L91" s="49">
        <v>1</v>
      </c>
      <c r="M91" s="49">
        <v>30</v>
      </c>
      <c r="N91" s="49">
        <v>0</v>
      </c>
      <c r="O91" s="15">
        <f t="shared" si="35"/>
        <v>22</v>
      </c>
      <c r="P91" s="15">
        <f t="shared" si="36"/>
        <v>52</v>
      </c>
      <c r="R91" s="8"/>
      <c r="T91"/>
    </row>
    <row r="92" spans="2:20" ht="23.1" customHeight="1" x14ac:dyDescent="0.25">
      <c r="B92" s="46" t="s">
        <v>132</v>
      </c>
      <c r="C92" s="49">
        <v>10</v>
      </c>
      <c r="D92" s="49">
        <v>2</v>
      </c>
      <c r="E92" s="49">
        <v>0</v>
      </c>
      <c r="F92" s="49">
        <v>0</v>
      </c>
      <c r="G92" s="49">
        <v>0</v>
      </c>
      <c r="H92" s="49">
        <v>0</v>
      </c>
      <c r="I92" s="49">
        <v>0</v>
      </c>
      <c r="J92" s="49">
        <v>0</v>
      </c>
      <c r="K92" s="49">
        <v>0</v>
      </c>
      <c r="L92" s="49">
        <v>0</v>
      </c>
      <c r="M92" s="49">
        <v>26</v>
      </c>
      <c r="N92" s="49">
        <v>0</v>
      </c>
      <c r="O92" s="15">
        <f t="shared" si="35"/>
        <v>12</v>
      </c>
      <c r="P92" s="15">
        <f t="shared" si="36"/>
        <v>38</v>
      </c>
      <c r="R92" s="8"/>
      <c r="T92"/>
    </row>
    <row r="93" spans="2:20" ht="23.1" customHeight="1" x14ac:dyDescent="0.25">
      <c r="B93" s="44" t="s">
        <v>133</v>
      </c>
      <c r="C93" s="49">
        <v>15</v>
      </c>
      <c r="D93" s="49">
        <v>5</v>
      </c>
      <c r="E93" s="49">
        <v>0</v>
      </c>
      <c r="F93" s="49">
        <v>0</v>
      </c>
      <c r="G93" s="49">
        <v>0</v>
      </c>
      <c r="H93" s="49">
        <v>0</v>
      </c>
      <c r="I93" s="49">
        <v>0</v>
      </c>
      <c r="J93" s="49">
        <v>0</v>
      </c>
      <c r="K93" s="49">
        <v>0</v>
      </c>
      <c r="L93" s="49">
        <v>0</v>
      </c>
      <c r="M93" s="49">
        <v>25</v>
      </c>
      <c r="N93" s="49">
        <v>0</v>
      </c>
      <c r="O93" s="15">
        <f t="shared" si="35"/>
        <v>20</v>
      </c>
      <c r="P93" s="15">
        <f t="shared" si="36"/>
        <v>45</v>
      </c>
      <c r="R93" s="8"/>
      <c r="T93"/>
    </row>
    <row r="94" spans="2:20" ht="23.1" customHeight="1" x14ac:dyDescent="0.25">
      <c r="B94" s="45" t="s">
        <v>134</v>
      </c>
      <c r="C94" s="49">
        <v>20</v>
      </c>
      <c r="D94" s="49">
        <v>4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0</v>
      </c>
      <c r="L94" s="49">
        <v>0</v>
      </c>
      <c r="M94" s="49">
        <v>19</v>
      </c>
      <c r="N94" s="49">
        <v>0</v>
      </c>
      <c r="O94" s="15">
        <f t="shared" si="35"/>
        <v>24</v>
      </c>
      <c r="P94" s="15">
        <f t="shared" si="36"/>
        <v>43</v>
      </c>
      <c r="R94" s="8"/>
      <c r="T94"/>
    </row>
    <row r="95" spans="2:20" ht="23.1" customHeight="1" x14ac:dyDescent="0.25">
      <c r="B95" s="44" t="s">
        <v>135</v>
      </c>
      <c r="C95" s="49">
        <v>30</v>
      </c>
      <c r="D95" s="49">
        <v>8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0</v>
      </c>
      <c r="K95" s="49">
        <v>0</v>
      </c>
      <c r="L95" s="49">
        <v>0</v>
      </c>
      <c r="M95" s="49">
        <v>22</v>
      </c>
      <c r="N95" s="49">
        <v>0</v>
      </c>
      <c r="O95" s="15">
        <f t="shared" si="35"/>
        <v>38</v>
      </c>
      <c r="P95" s="15">
        <f t="shared" si="36"/>
        <v>60</v>
      </c>
      <c r="R95" s="8"/>
      <c r="T95"/>
    </row>
    <row r="96" spans="2:20" ht="23.1" customHeight="1" x14ac:dyDescent="0.25">
      <c r="B96" s="46" t="s">
        <v>136</v>
      </c>
      <c r="C96" s="49">
        <v>15</v>
      </c>
      <c r="D96" s="49">
        <v>6</v>
      </c>
      <c r="E96" s="49">
        <v>0</v>
      </c>
      <c r="F96" s="49">
        <v>0</v>
      </c>
      <c r="G96" s="49">
        <v>0</v>
      </c>
      <c r="H96" s="49">
        <v>0</v>
      </c>
      <c r="I96" s="49">
        <v>0</v>
      </c>
      <c r="J96" s="49">
        <v>0</v>
      </c>
      <c r="K96" s="49">
        <v>0</v>
      </c>
      <c r="L96" s="49">
        <v>0</v>
      </c>
      <c r="M96" s="49">
        <v>13</v>
      </c>
      <c r="N96" s="49">
        <v>0</v>
      </c>
      <c r="O96" s="15">
        <f t="shared" si="35"/>
        <v>21</v>
      </c>
      <c r="P96" s="15">
        <f t="shared" si="36"/>
        <v>34</v>
      </c>
      <c r="R96" s="8"/>
      <c r="T96"/>
    </row>
    <row r="97" spans="2:20" ht="23.1" customHeight="1" x14ac:dyDescent="0.25">
      <c r="B97" s="44" t="s">
        <v>137</v>
      </c>
      <c r="C97" s="49">
        <v>6</v>
      </c>
      <c r="D97" s="49">
        <v>0</v>
      </c>
      <c r="E97" s="49">
        <v>0</v>
      </c>
      <c r="F97" s="49">
        <v>0</v>
      </c>
      <c r="G97" s="49">
        <v>0</v>
      </c>
      <c r="H97" s="49">
        <v>0</v>
      </c>
      <c r="I97" s="49">
        <v>0</v>
      </c>
      <c r="J97" s="49">
        <v>0</v>
      </c>
      <c r="K97" s="49">
        <v>0</v>
      </c>
      <c r="L97" s="49">
        <v>0</v>
      </c>
      <c r="M97" s="49">
        <v>16</v>
      </c>
      <c r="N97" s="49">
        <v>0</v>
      </c>
      <c r="O97" s="15">
        <f t="shared" si="35"/>
        <v>6</v>
      </c>
      <c r="P97" s="15">
        <f t="shared" si="36"/>
        <v>22</v>
      </c>
      <c r="R97" s="8"/>
      <c r="T97"/>
    </row>
    <row r="98" spans="2:20" ht="23.1" customHeight="1" x14ac:dyDescent="0.25">
      <c r="B98" s="45" t="s">
        <v>138</v>
      </c>
      <c r="C98" s="49">
        <v>7</v>
      </c>
      <c r="D98" s="49">
        <v>1</v>
      </c>
      <c r="E98" s="49">
        <v>0</v>
      </c>
      <c r="F98" s="49">
        <v>0</v>
      </c>
      <c r="G98" s="49">
        <v>0</v>
      </c>
      <c r="H98" s="49">
        <v>0</v>
      </c>
      <c r="I98" s="49">
        <v>0</v>
      </c>
      <c r="J98" s="49">
        <v>0</v>
      </c>
      <c r="K98" s="49">
        <v>0</v>
      </c>
      <c r="L98" s="49">
        <v>0</v>
      </c>
      <c r="M98" s="49">
        <v>21</v>
      </c>
      <c r="N98" s="49">
        <v>0</v>
      </c>
      <c r="O98" s="15">
        <f t="shared" si="35"/>
        <v>8</v>
      </c>
      <c r="P98" s="15">
        <f t="shared" si="36"/>
        <v>29</v>
      </c>
      <c r="R98" s="8"/>
      <c r="T98"/>
    </row>
    <row r="99" spans="2:20" ht="23.1" customHeight="1" x14ac:dyDescent="0.25">
      <c r="B99" s="44" t="s">
        <v>139</v>
      </c>
      <c r="C99" s="49">
        <v>8</v>
      </c>
      <c r="D99" s="49">
        <v>6</v>
      </c>
      <c r="E99" s="49">
        <v>0</v>
      </c>
      <c r="F99" s="49">
        <v>0</v>
      </c>
      <c r="G99" s="49">
        <v>0</v>
      </c>
      <c r="H99" s="49">
        <v>0</v>
      </c>
      <c r="I99" s="49">
        <v>0</v>
      </c>
      <c r="J99" s="49">
        <v>0</v>
      </c>
      <c r="K99" s="49">
        <v>0</v>
      </c>
      <c r="L99" s="49">
        <v>0</v>
      </c>
      <c r="M99" s="49">
        <v>29</v>
      </c>
      <c r="N99" s="49">
        <v>0</v>
      </c>
      <c r="O99" s="15">
        <f t="shared" si="35"/>
        <v>14</v>
      </c>
      <c r="P99" s="15">
        <f t="shared" si="36"/>
        <v>43</v>
      </c>
      <c r="R99" s="8"/>
      <c r="T99"/>
    </row>
    <row r="100" spans="2:20" ht="23.1" customHeight="1" x14ac:dyDescent="0.25">
      <c r="B100" s="46" t="s">
        <v>140</v>
      </c>
      <c r="C100" s="49">
        <v>6</v>
      </c>
      <c r="D100" s="49">
        <v>3</v>
      </c>
      <c r="E100" s="49">
        <v>0</v>
      </c>
      <c r="F100" s="49">
        <v>0</v>
      </c>
      <c r="G100" s="49">
        <v>0</v>
      </c>
      <c r="H100" s="49">
        <v>0</v>
      </c>
      <c r="I100" s="49">
        <v>0</v>
      </c>
      <c r="J100" s="49">
        <v>0</v>
      </c>
      <c r="K100" s="49">
        <v>0</v>
      </c>
      <c r="L100" s="49">
        <v>0</v>
      </c>
      <c r="M100" s="49">
        <v>31</v>
      </c>
      <c r="N100" s="49">
        <v>0</v>
      </c>
      <c r="O100" s="15">
        <f t="shared" si="35"/>
        <v>9</v>
      </c>
      <c r="P100" s="15">
        <f t="shared" si="36"/>
        <v>40</v>
      </c>
      <c r="R100" s="8"/>
      <c r="T100"/>
    </row>
    <row r="101" spans="2:20" ht="23.1" customHeight="1" x14ac:dyDescent="0.25">
      <c r="B101" s="44" t="s">
        <v>141</v>
      </c>
      <c r="C101" s="49">
        <v>17</v>
      </c>
      <c r="D101" s="49">
        <v>4</v>
      </c>
      <c r="E101" s="49">
        <v>0</v>
      </c>
      <c r="F101" s="49">
        <v>0</v>
      </c>
      <c r="G101" s="49">
        <v>0</v>
      </c>
      <c r="H101" s="49">
        <v>0</v>
      </c>
      <c r="I101" s="49">
        <v>0</v>
      </c>
      <c r="J101" s="49">
        <v>0</v>
      </c>
      <c r="K101" s="49">
        <v>0</v>
      </c>
      <c r="L101" s="49">
        <v>0</v>
      </c>
      <c r="M101" s="49">
        <v>36</v>
      </c>
      <c r="N101" s="49">
        <v>0</v>
      </c>
      <c r="O101" s="15">
        <f t="shared" si="35"/>
        <v>21</v>
      </c>
      <c r="P101" s="15">
        <f t="shared" si="36"/>
        <v>57</v>
      </c>
      <c r="R101" s="8"/>
      <c r="T101"/>
    </row>
    <row r="102" spans="2:20" ht="23.1" customHeight="1" x14ac:dyDescent="0.25">
      <c r="B102" s="45" t="s">
        <v>142</v>
      </c>
      <c r="C102" s="49">
        <v>30</v>
      </c>
      <c r="D102" s="49">
        <v>10</v>
      </c>
      <c r="E102" s="49">
        <v>3</v>
      </c>
      <c r="F102" s="49">
        <v>0</v>
      </c>
      <c r="G102" s="49">
        <v>0</v>
      </c>
      <c r="H102" s="49">
        <v>0</v>
      </c>
      <c r="I102" s="49">
        <v>9</v>
      </c>
      <c r="J102" s="49">
        <v>0</v>
      </c>
      <c r="K102" s="49">
        <v>5</v>
      </c>
      <c r="L102" s="49">
        <v>0</v>
      </c>
      <c r="M102" s="49">
        <v>44</v>
      </c>
      <c r="N102" s="49">
        <v>0</v>
      </c>
      <c r="O102" s="15">
        <f t="shared" si="35"/>
        <v>57</v>
      </c>
      <c r="P102" s="15">
        <f t="shared" si="36"/>
        <v>101</v>
      </c>
      <c r="R102" s="8"/>
      <c r="T102"/>
    </row>
    <row r="103" spans="2:20" ht="23.1" customHeight="1" x14ac:dyDescent="0.25">
      <c r="B103" s="44" t="s">
        <v>143</v>
      </c>
      <c r="C103" s="49">
        <v>28</v>
      </c>
      <c r="D103" s="49">
        <v>11</v>
      </c>
      <c r="E103" s="49">
        <v>0</v>
      </c>
      <c r="F103" s="49">
        <v>0</v>
      </c>
      <c r="G103" s="49">
        <v>0</v>
      </c>
      <c r="H103" s="49">
        <v>0</v>
      </c>
      <c r="I103" s="49">
        <v>17</v>
      </c>
      <c r="J103" s="49">
        <v>0</v>
      </c>
      <c r="K103" s="49">
        <v>13</v>
      </c>
      <c r="L103" s="49">
        <v>0</v>
      </c>
      <c r="M103" s="49">
        <v>49</v>
      </c>
      <c r="N103" s="49">
        <v>0</v>
      </c>
      <c r="O103" s="15">
        <f t="shared" si="35"/>
        <v>69</v>
      </c>
      <c r="P103" s="15">
        <f t="shared" si="36"/>
        <v>118</v>
      </c>
      <c r="R103" s="8"/>
      <c r="T103"/>
    </row>
    <row r="104" spans="2:20" ht="23.1" customHeight="1" x14ac:dyDescent="0.25">
      <c r="B104" s="46" t="s">
        <v>144</v>
      </c>
      <c r="C104" s="49">
        <v>63</v>
      </c>
      <c r="D104" s="49">
        <v>16</v>
      </c>
      <c r="E104" s="49">
        <v>0</v>
      </c>
      <c r="F104" s="49">
        <v>0</v>
      </c>
      <c r="G104" s="49">
        <v>0</v>
      </c>
      <c r="H104" s="49">
        <v>0</v>
      </c>
      <c r="I104" s="49">
        <v>0</v>
      </c>
      <c r="J104" s="49">
        <v>0</v>
      </c>
      <c r="K104" s="49">
        <v>0</v>
      </c>
      <c r="L104" s="49">
        <v>0</v>
      </c>
      <c r="M104" s="49">
        <v>53</v>
      </c>
      <c r="N104" s="49">
        <v>0</v>
      </c>
      <c r="O104" s="15">
        <f t="shared" si="35"/>
        <v>79</v>
      </c>
      <c r="P104" s="15">
        <f t="shared" si="36"/>
        <v>132</v>
      </c>
      <c r="R104" s="8"/>
      <c r="T104"/>
    </row>
    <row r="105" spans="2:20" ht="23.1" customHeight="1" x14ac:dyDescent="0.25">
      <c r="B105" s="44" t="s">
        <v>145</v>
      </c>
      <c r="C105" s="49">
        <v>61</v>
      </c>
      <c r="D105" s="49">
        <v>16</v>
      </c>
      <c r="E105" s="49">
        <v>19</v>
      </c>
      <c r="F105" s="49">
        <v>0</v>
      </c>
      <c r="G105" s="49">
        <v>0</v>
      </c>
      <c r="H105" s="49">
        <v>0</v>
      </c>
      <c r="I105" s="49">
        <v>12</v>
      </c>
      <c r="J105" s="49">
        <v>0</v>
      </c>
      <c r="K105" s="49">
        <v>16</v>
      </c>
      <c r="L105" s="49">
        <v>0</v>
      </c>
      <c r="M105" s="49">
        <v>80</v>
      </c>
      <c r="N105" s="49">
        <v>0</v>
      </c>
      <c r="O105" s="15">
        <f t="shared" si="35"/>
        <v>124</v>
      </c>
      <c r="P105" s="15">
        <f t="shared" si="36"/>
        <v>204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11399</v>
      </c>
      <c r="D106" s="16">
        <f t="shared" ref="D106:P106" si="37">SUM(D10:D105)</f>
        <v>2255</v>
      </c>
      <c r="E106" s="16">
        <f t="shared" si="37"/>
        <v>907</v>
      </c>
      <c r="F106" s="16">
        <f t="shared" si="37"/>
        <v>119</v>
      </c>
      <c r="G106" s="16">
        <f t="shared" si="37"/>
        <v>55</v>
      </c>
      <c r="H106" s="16">
        <f t="shared" si="37"/>
        <v>15</v>
      </c>
      <c r="I106" s="16">
        <f t="shared" si="37"/>
        <v>609</v>
      </c>
      <c r="J106" s="16">
        <f t="shared" si="37"/>
        <v>260</v>
      </c>
      <c r="K106" s="16">
        <f t="shared" si="37"/>
        <v>186</v>
      </c>
      <c r="L106" s="16">
        <f t="shared" si="37"/>
        <v>127</v>
      </c>
      <c r="M106" s="16">
        <f t="shared" si="37"/>
        <v>32291</v>
      </c>
      <c r="N106" s="16">
        <f t="shared" si="37"/>
        <v>0</v>
      </c>
      <c r="O106" s="16">
        <f t="shared" si="37"/>
        <v>15932</v>
      </c>
      <c r="P106" s="16">
        <f t="shared" si="37"/>
        <v>48223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0.23638098003027602</v>
      </c>
      <c r="D107" s="42">
        <f t="shared" si="38"/>
        <v>4.676191858656658E-2</v>
      </c>
      <c r="E107" s="42">
        <f t="shared" si="38"/>
        <v>1.8808452398233207E-2</v>
      </c>
      <c r="F107" s="42">
        <f t="shared" si="38"/>
        <v>2.4677021338365512E-3</v>
      </c>
      <c r="G107" s="42">
        <f t="shared" si="38"/>
        <v>1.1405345996723555E-3</v>
      </c>
      <c r="H107" s="42">
        <f t="shared" si="38"/>
        <v>3.1105489081973331E-4</v>
      </c>
      <c r="I107" s="42">
        <f t="shared" si="38"/>
        <v>1.2628828567281173E-2</v>
      </c>
      <c r="J107" s="42">
        <f t="shared" si="38"/>
        <v>5.3916181075420446E-3</v>
      </c>
      <c r="K107" s="42">
        <f t="shared" si="38"/>
        <v>3.8570806461646931E-3</v>
      </c>
      <c r="L107" s="42">
        <f t="shared" si="38"/>
        <v>2.6335980756070753E-3</v>
      </c>
      <c r="M107" s="42">
        <f t="shared" si="38"/>
        <v>0.66961823196400061</v>
      </c>
      <c r="N107" s="42">
        <f t="shared" si="38"/>
        <v>0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0.71547828270148128</v>
      </c>
      <c r="D108" s="43">
        <f t="shared" ref="D108:N108" si="39">D106/$O$106</f>
        <v>0.14153904092392669</v>
      </c>
      <c r="E108" s="43">
        <f t="shared" si="39"/>
        <v>5.6929450163193569E-2</v>
      </c>
      <c r="F108" s="43">
        <f t="shared" si="39"/>
        <v>7.4692442882249559E-3</v>
      </c>
      <c r="G108" s="43">
        <f t="shared" si="39"/>
        <v>3.4521717298518703E-3</v>
      </c>
      <c r="H108" s="43">
        <f t="shared" si="39"/>
        <v>9.4150138086869191E-4</v>
      </c>
      <c r="I108" s="43">
        <f t="shared" si="39"/>
        <v>3.8224956063268895E-2</v>
      </c>
      <c r="J108" s="43">
        <f t="shared" si="39"/>
        <v>1.631935726839066E-2</v>
      </c>
      <c r="K108" s="43">
        <f t="shared" si="39"/>
        <v>1.1674617122771781E-2</v>
      </c>
      <c r="L108" s="43">
        <f t="shared" si="39"/>
        <v>7.971378358021591E-3</v>
      </c>
      <c r="M108" s="43"/>
      <c r="N108" s="43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topLeftCell="A4" zoomScale="60" workbookViewId="0">
      <selection activeCell="L57" sqref="L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'30.7.Jinja RD-Mukwano RD'!C3:G3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184</v>
      </c>
      <c r="E5" s="3"/>
      <c r="F5" s="40" t="s">
        <v>1</v>
      </c>
      <c r="G5" s="58" t="s">
        <v>178</v>
      </c>
      <c r="H5" s="59"/>
      <c r="I5" s="14"/>
      <c r="J5" s="2" t="s">
        <v>5</v>
      </c>
      <c r="K5" s="58" t="s">
        <v>185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'30.7.Jinja RD-Mukwano RD'!D6:E6</f>
        <v>Jinja RD</v>
      </c>
      <c r="E6" s="59"/>
      <c r="F6" s="2" t="s">
        <v>2</v>
      </c>
      <c r="G6" s="58" t="str">
        <f>'30.7.Jinja RD-Mukwano RD'!G6:H6</f>
        <v>Mukwano</v>
      </c>
      <c r="H6" s="59"/>
      <c r="J6" s="2" t="s">
        <v>21</v>
      </c>
      <c r="K6" s="58" t="s">
        <v>176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120</v>
      </c>
      <c r="D10" s="49">
        <v>17</v>
      </c>
      <c r="E10" s="49">
        <v>20</v>
      </c>
      <c r="F10" s="49">
        <v>0</v>
      </c>
      <c r="G10" s="49">
        <v>1</v>
      </c>
      <c r="H10" s="49">
        <v>0</v>
      </c>
      <c r="I10" s="49">
        <v>3</v>
      </c>
      <c r="J10" s="49">
        <v>0</v>
      </c>
      <c r="K10" s="49">
        <v>0</v>
      </c>
      <c r="L10" s="49">
        <v>7</v>
      </c>
      <c r="M10" s="49">
        <v>570</v>
      </c>
      <c r="N10" s="49">
        <v>0</v>
      </c>
      <c r="O10" s="15">
        <f t="shared" ref="O10:O57" si="0">SUM(C10:L10,N10)</f>
        <v>168</v>
      </c>
      <c r="P10" s="15">
        <f t="shared" ref="P10:P57" si="1">SUM(C10:N10)</f>
        <v>738</v>
      </c>
      <c r="R10" s="1" t="s">
        <v>6</v>
      </c>
      <c r="S10" s="17">
        <f t="shared" ref="S10:AF10" si="2">SUM(C10:C13)</f>
        <v>536</v>
      </c>
      <c r="T10" s="17">
        <f t="shared" si="2"/>
        <v>91</v>
      </c>
      <c r="U10" s="17">
        <f t="shared" si="2"/>
        <v>36</v>
      </c>
      <c r="V10" s="17">
        <f t="shared" si="2"/>
        <v>1</v>
      </c>
      <c r="W10" s="17">
        <f t="shared" si="2"/>
        <v>4</v>
      </c>
      <c r="X10" s="17">
        <f t="shared" si="2"/>
        <v>1</v>
      </c>
      <c r="Y10" s="17">
        <f t="shared" si="2"/>
        <v>19</v>
      </c>
      <c r="Z10" s="17">
        <f t="shared" si="2"/>
        <v>0</v>
      </c>
      <c r="AA10" s="17">
        <f t="shared" si="2"/>
        <v>0</v>
      </c>
      <c r="AB10" s="17">
        <f t="shared" si="2"/>
        <v>15</v>
      </c>
      <c r="AC10" s="17">
        <f t="shared" si="2"/>
        <v>2250</v>
      </c>
      <c r="AD10" s="17">
        <f t="shared" si="2"/>
        <v>0</v>
      </c>
      <c r="AE10" s="30">
        <f t="shared" si="2"/>
        <v>703</v>
      </c>
      <c r="AF10" s="30">
        <f t="shared" si="2"/>
        <v>2953</v>
      </c>
    </row>
    <row r="11" spans="2:32" s="6" customFormat="1" ht="23.1" customHeight="1" x14ac:dyDescent="0.25">
      <c r="B11" s="22" t="s">
        <v>38</v>
      </c>
      <c r="C11" s="49">
        <v>115</v>
      </c>
      <c r="D11" s="49">
        <v>15</v>
      </c>
      <c r="E11" s="49">
        <v>4</v>
      </c>
      <c r="F11" s="49">
        <v>1</v>
      </c>
      <c r="G11" s="49">
        <v>0</v>
      </c>
      <c r="H11" s="49">
        <v>0</v>
      </c>
      <c r="I11" s="49">
        <v>4</v>
      </c>
      <c r="J11" s="49">
        <v>0</v>
      </c>
      <c r="K11" s="49">
        <v>0</v>
      </c>
      <c r="L11" s="49">
        <v>8</v>
      </c>
      <c r="M11" s="49">
        <v>540</v>
      </c>
      <c r="N11" s="49">
        <v>0</v>
      </c>
      <c r="O11" s="15">
        <f t="shared" si="0"/>
        <v>147</v>
      </c>
      <c r="P11" s="15">
        <f t="shared" si="1"/>
        <v>687</v>
      </c>
      <c r="R11" s="1" t="s">
        <v>7</v>
      </c>
      <c r="S11" s="17">
        <f t="shared" ref="S11:AF11" si="3">SUM(C14:C17)</f>
        <v>540</v>
      </c>
      <c r="T11" s="17">
        <f t="shared" si="3"/>
        <v>76</v>
      </c>
      <c r="U11" s="17">
        <f t="shared" si="3"/>
        <v>61</v>
      </c>
      <c r="V11" s="17">
        <f t="shared" si="3"/>
        <v>7</v>
      </c>
      <c r="W11" s="17">
        <f t="shared" si="3"/>
        <v>7</v>
      </c>
      <c r="X11" s="17">
        <f t="shared" si="3"/>
        <v>4</v>
      </c>
      <c r="Y11" s="17">
        <f t="shared" si="3"/>
        <v>29</v>
      </c>
      <c r="Z11" s="17">
        <f t="shared" si="3"/>
        <v>18</v>
      </c>
      <c r="AA11" s="17">
        <f t="shared" si="3"/>
        <v>7</v>
      </c>
      <c r="AB11" s="17">
        <f t="shared" si="3"/>
        <v>4</v>
      </c>
      <c r="AC11" s="17">
        <f t="shared" si="3"/>
        <v>2120</v>
      </c>
      <c r="AD11" s="17">
        <f t="shared" si="3"/>
        <v>0</v>
      </c>
      <c r="AE11" s="30">
        <f t="shared" si="3"/>
        <v>753</v>
      </c>
      <c r="AF11" s="30">
        <f t="shared" si="3"/>
        <v>2873</v>
      </c>
    </row>
    <row r="12" spans="2:32" ht="23.1" customHeight="1" x14ac:dyDescent="0.25">
      <c r="B12" s="22" t="s">
        <v>39</v>
      </c>
      <c r="C12" s="49">
        <v>160</v>
      </c>
      <c r="D12" s="49">
        <v>24</v>
      </c>
      <c r="E12" s="49">
        <v>4</v>
      </c>
      <c r="F12" s="49">
        <v>0</v>
      </c>
      <c r="G12" s="49">
        <v>0</v>
      </c>
      <c r="H12" s="49">
        <v>1</v>
      </c>
      <c r="I12" s="49">
        <v>11</v>
      </c>
      <c r="J12" s="49">
        <v>0</v>
      </c>
      <c r="K12" s="49">
        <v>0</v>
      </c>
      <c r="L12" s="49">
        <v>0</v>
      </c>
      <c r="M12" s="49">
        <v>520</v>
      </c>
      <c r="N12" s="49">
        <v>0</v>
      </c>
      <c r="O12" s="15">
        <f t="shared" si="0"/>
        <v>200</v>
      </c>
      <c r="P12" s="15">
        <f t="shared" si="1"/>
        <v>720</v>
      </c>
      <c r="R12" s="1" t="s">
        <v>8</v>
      </c>
      <c r="S12" s="17">
        <f t="shared" ref="S12:AF12" si="4">SUM(C18:C21)</f>
        <v>595</v>
      </c>
      <c r="T12" s="17">
        <f t="shared" si="4"/>
        <v>116</v>
      </c>
      <c r="U12" s="17">
        <f t="shared" si="4"/>
        <v>45</v>
      </c>
      <c r="V12" s="17">
        <f t="shared" si="4"/>
        <v>6</v>
      </c>
      <c r="W12" s="17">
        <f t="shared" si="4"/>
        <v>6</v>
      </c>
      <c r="X12" s="17">
        <f t="shared" si="4"/>
        <v>1</v>
      </c>
      <c r="Y12" s="17">
        <f t="shared" si="4"/>
        <v>27</v>
      </c>
      <c r="Z12" s="17">
        <f t="shared" si="4"/>
        <v>15</v>
      </c>
      <c r="AA12" s="17">
        <f t="shared" si="4"/>
        <v>12</v>
      </c>
      <c r="AB12" s="17">
        <f t="shared" si="4"/>
        <v>8</v>
      </c>
      <c r="AC12" s="17">
        <f t="shared" si="4"/>
        <v>2525</v>
      </c>
      <c r="AD12" s="17">
        <f t="shared" si="4"/>
        <v>0</v>
      </c>
      <c r="AE12" s="30">
        <f t="shared" si="4"/>
        <v>831</v>
      </c>
      <c r="AF12" s="30">
        <f t="shared" si="4"/>
        <v>3356</v>
      </c>
    </row>
    <row r="13" spans="2:32" ht="23.1" customHeight="1" x14ac:dyDescent="0.25">
      <c r="B13" s="22" t="s">
        <v>40</v>
      </c>
      <c r="C13" s="49">
        <v>141</v>
      </c>
      <c r="D13" s="49">
        <v>35</v>
      </c>
      <c r="E13" s="49">
        <v>8</v>
      </c>
      <c r="F13" s="49">
        <v>0</v>
      </c>
      <c r="G13" s="49">
        <v>3</v>
      </c>
      <c r="H13" s="49">
        <v>0</v>
      </c>
      <c r="I13" s="49">
        <v>1</v>
      </c>
      <c r="J13" s="49">
        <v>0</v>
      </c>
      <c r="K13" s="49">
        <v>0</v>
      </c>
      <c r="L13" s="49">
        <v>0</v>
      </c>
      <c r="M13" s="49">
        <v>620</v>
      </c>
      <c r="N13" s="49">
        <v>0</v>
      </c>
      <c r="O13" s="15">
        <f t="shared" si="0"/>
        <v>188</v>
      </c>
      <c r="P13" s="15">
        <f t="shared" si="1"/>
        <v>808</v>
      </c>
      <c r="R13" s="1" t="s">
        <v>9</v>
      </c>
      <c r="S13" s="17">
        <f t="shared" ref="S13:AF13" si="5">SUM(C22:C25)</f>
        <v>610</v>
      </c>
      <c r="T13" s="17">
        <f t="shared" si="5"/>
        <v>132</v>
      </c>
      <c r="U13" s="17">
        <f t="shared" si="5"/>
        <v>98</v>
      </c>
      <c r="V13" s="17">
        <f t="shared" si="5"/>
        <v>13</v>
      </c>
      <c r="W13" s="17">
        <f t="shared" si="5"/>
        <v>6</v>
      </c>
      <c r="X13" s="17">
        <f t="shared" si="5"/>
        <v>2</v>
      </c>
      <c r="Y13" s="17">
        <f t="shared" si="5"/>
        <v>81</v>
      </c>
      <c r="Z13" s="17">
        <f t="shared" si="5"/>
        <v>28</v>
      </c>
      <c r="AA13" s="17">
        <f t="shared" si="5"/>
        <v>13</v>
      </c>
      <c r="AB13" s="17">
        <f t="shared" si="5"/>
        <v>8</v>
      </c>
      <c r="AC13" s="17">
        <f t="shared" si="5"/>
        <v>2650</v>
      </c>
      <c r="AD13" s="17">
        <f t="shared" si="5"/>
        <v>0</v>
      </c>
      <c r="AE13" s="30">
        <f t="shared" si="5"/>
        <v>991</v>
      </c>
      <c r="AF13" s="30">
        <f t="shared" si="5"/>
        <v>3641</v>
      </c>
    </row>
    <row r="14" spans="2:32" ht="23.1" customHeight="1" x14ac:dyDescent="0.25">
      <c r="B14" s="22" t="s">
        <v>41</v>
      </c>
      <c r="C14" s="49">
        <v>160</v>
      </c>
      <c r="D14" s="49">
        <v>3</v>
      </c>
      <c r="E14" s="49">
        <v>19</v>
      </c>
      <c r="F14" s="49">
        <v>3</v>
      </c>
      <c r="G14" s="49">
        <v>5</v>
      </c>
      <c r="H14" s="49">
        <v>0</v>
      </c>
      <c r="I14" s="49">
        <v>9</v>
      </c>
      <c r="J14" s="49">
        <v>6</v>
      </c>
      <c r="K14" s="49">
        <v>0</v>
      </c>
      <c r="L14" s="49">
        <v>3</v>
      </c>
      <c r="M14" s="49">
        <v>460</v>
      </c>
      <c r="N14" s="49">
        <v>0</v>
      </c>
      <c r="O14" s="15">
        <f t="shared" si="0"/>
        <v>208</v>
      </c>
      <c r="P14" s="15">
        <f t="shared" si="1"/>
        <v>668</v>
      </c>
      <c r="R14" s="1" t="s">
        <v>10</v>
      </c>
      <c r="S14" s="17">
        <f t="shared" ref="S14:AF14" si="6">SUM(C26:C29)</f>
        <v>660</v>
      </c>
      <c r="T14" s="17">
        <f t="shared" si="6"/>
        <v>183</v>
      </c>
      <c r="U14" s="17">
        <f t="shared" si="6"/>
        <v>52</v>
      </c>
      <c r="V14" s="17">
        <f t="shared" si="6"/>
        <v>5</v>
      </c>
      <c r="W14" s="17">
        <f t="shared" si="6"/>
        <v>1</v>
      </c>
      <c r="X14" s="17">
        <f t="shared" si="6"/>
        <v>0</v>
      </c>
      <c r="Y14" s="17">
        <f t="shared" si="6"/>
        <v>54</v>
      </c>
      <c r="Z14" s="17">
        <f t="shared" si="6"/>
        <v>21</v>
      </c>
      <c r="AA14" s="17">
        <f t="shared" si="6"/>
        <v>12</v>
      </c>
      <c r="AB14" s="17">
        <f t="shared" si="6"/>
        <v>9</v>
      </c>
      <c r="AC14" s="17">
        <f t="shared" si="6"/>
        <v>2650</v>
      </c>
      <c r="AD14" s="17">
        <f t="shared" si="6"/>
        <v>0</v>
      </c>
      <c r="AE14" s="30">
        <f t="shared" si="6"/>
        <v>997</v>
      </c>
      <c r="AF14" s="30">
        <f t="shared" si="6"/>
        <v>3647</v>
      </c>
    </row>
    <row r="15" spans="2:32" ht="23.1" customHeight="1" x14ac:dyDescent="0.25">
      <c r="B15" s="22" t="s">
        <v>42</v>
      </c>
      <c r="C15" s="49">
        <v>100</v>
      </c>
      <c r="D15" s="49">
        <v>30</v>
      </c>
      <c r="E15" s="49">
        <v>27</v>
      </c>
      <c r="F15" s="49">
        <v>2</v>
      </c>
      <c r="G15" s="49">
        <v>2</v>
      </c>
      <c r="H15" s="49">
        <v>4</v>
      </c>
      <c r="I15" s="49">
        <v>9</v>
      </c>
      <c r="J15" s="49">
        <v>5</v>
      </c>
      <c r="K15" s="49">
        <v>4</v>
      </c>
      <c r="L15" s="49">
        <v>0</v>
      </c>
      <c r="M15" s="49">
        <v>455</v>
      </c>
      <c r="N15" s="49">
        <v>0</v>
      </c>
      <c r="O15" s="15">
        <f t="shared" si="0"/>
        <v>183</v>
      </c>
      <c r="P15" s="15">
        <f t="shared" si="1"/>
        <v>638</v>
      </c>
      <c r="R15" s="1" t="s">
        <v>11</v>
      </c>
      <c r="S15" s="17">
        <f t="shared" ref="S15:AF15" si="7">SUM(C30:C33)</f>
        <v>560</v>
      </c>
      <c r="T15" s="17">
        <f t="shared" si="7"/>
        <v>143</v>
      </c>
      <c r="U15" s="17">
        <f t="shared" si="7"/>
        <v>65</v>
      </c>
      <c r="V15" s="17">
        <f t="shared" si="7"/>
        <v>20</v>
      </c>
      <c r="W15" s="17">
        <f t="shared" si="7"/>
        <v>10</v>
      </c>
      <c r="X15" s="17">
        <f t="shared" si="7"/>
        <v>4</v>
      </c>
      <c r="Y15" s="17">
        <f t="shared" si="7"/>
        <v>54</v>
      </c>
      <c r="Z15" s="17">
        <f t="shared" si="7"/>
        <v>18</v>
      </c>
      <c r="AA15" s="17">
        <f t="shared" si="7"/>
        <v>8</v>
      </c>
      <c r="AB15" s="17">
        <f t="shared" si="7"/>
        <v>6</v>
      </c>
      <c r="AC15" s="17">
        <f t="shared" si="7"/>
        <v>2510</v>
      </c>
      <c r="AD15" s="17">
        <f t="shared" si="7"/>
        <v>0</v>
      </c>
      <c r="AE15" s="30">
        <f t="shared" si="7"/>
        <v>888</v>
      </c>
      <c r="AF15" s="30">
        <f t="shared" si="7"/>
        <v>3398</v>
      </c>
    </row>
    <row r="16" spans="2:32" ht="23.1" customHeight="1" x14ac:dyDescent="0.25">
      <c r="B16" s="22" t="s">
        <v>43</v>
      </c>
      <c r="C16" s="49">
        <v>140</v>
      </c>
      <c r="D16" s="49">
        <v>23</v>
      </c>
      <c r="E16" s="49">
        <v>7</v>
      </c>
      <c r="F16" s="49">
        <v>0</v>
      </c>
      <c r="G16" s="49">
        <v>0</v>
      </c>
      <c r="H16" s="49">
        <v>0</v>
      </c>
      <c r="I16" s="49">
        <v>1</v>
      </c>
      <c r="J16" s="49">
        <v>1</v>
      </c>
      <c r="K16" s="49">
        <v>0</v>
      </c>
      <c r="L16" s="49">
        <v>0</v>
      </c>
      <c r="M16" s="49">
        <v>485</v>
      </c>
      <c r="N16" s="49">
        <v>0</v>
      </c>
      <c r="O16" s="15">
        <f t="shared" si="0"/>
        <v>172</v>
      </c>
      <c r="P16" s="15">
        <f t="shared" si="1"/>
        <v>657</v>
      </c>
      <c r="R16" s="1" t="s">
        <v>12</v>
      </c>
      <c r="S16" s="17">
        <f t="shared" ref="S16:AF16" si="8">SUM(C34:C37)</f>
        <v>415</v>
      </c>
      <c r="T16" s="17">
        <f t="shared" si="8"/>
        <v>106</v>
      </c>
      <c r="U16" s="17">
        <f t="shared" si="8"/>
        <v>58</v>
      </c>
      <c r="V16" s="17">
        <f t="shared" si="8"/>
        <v>9</v>
      </c>
      <c r="W16" s="17">
        <f t="shared" si="8"/>
        <v>11</v>
      </c>
      <c r="X16" s="17">
        <f t="shared" si="8"/>
        <v>0</v>
      </c>
      <c r="Y16" s="17">
        <f t="shared" si="8"/>
        <v>58</v>
      </c>
      <c r="Z16" s="17">
        <f t="shared" si="8"/>
        <v>13</v>
      </c>
      <c r="AA16" s="17">
        <f t="shared" si="8"/>
        <v>6</v>
      </c>
      <c r="AB16" s="17">
        <f t="shared" si="8"/>
        <v>5</v>
      </c>
      <c r="AC16" s="17">
        <f t="shared" si="8"/>
        <v>2219</v>
      </c>
      <c r="AD16" s="17">
        <f t="shared" si="8"/>
        <v>0</v>
      </c>
      <c r="AE16" s="30">
        <f t="shared" si="8"/>
        <v>681</v>
      </c>
      <c r="AF16" s="30">
        <f t="shared" si="8"/>
        <v>2900</v>
      </c>
    </row>
    <row r="17" spans="2:32" ht="23.1" customHeight="1" x14ac:dyDescent="0.25">
      <c r="B17" s="22" t="s">
        <v>44</v>
      </c>
      <c r="C17" s="49">
        <v>140</v>
      </c>
      <c r="D17" s="49">
        <v>20</v>
      </c>
      <c r="E17" s="49">
        <v>8</v>
      </c>
      <c r="F17" s="49">
        <v>2</v>
      </c>
      <c r="G17" s="49">
        <v>0</v>
      </c>
      <c r="H17" s="49">
        <v>0</v>
      </c>
      <c r="I17" s="49">
        <v>10</v>
      </c>
      <c r="J17" s="49">
        <v>6</v>
      </c>
      <c r="K17" s="49">
        <v>3</v>
      </c>
      <c r="L17" s="49">
        <v>1</v>
      </c>
      <c r="M17" s="49">
        <v>720</v>
      </c>
      <c r="N17" s="49">
        <v>0</v>
      </c>
      <c r="O17" s="15">
        <f t="shared" si="0"/>
        <v>190</v>
      </c>
      <c r="P17" s="15">
        <f t="shared" si="1"/>
        <v>910</v>
      </c>
      <c r="R17" s="1" t="s">
        <v>13</v>
      </c>
      <c r="S17" s="17">
        <f t="shared" ref="S17:AF17" si="9">SUM(C38:C41)</f>
        <v>399</v>
      </c>
      <c r="T17" s="17">
        <f t="shared" si="9"/>
        <v>85</v>
      </c>
      <c r="U17" s="17">
        <f t="shared" si="9"/>
        <v>60</v>
      </c>
      <c r="V17" s="17">
        <f t="shared" si="9"/>
        <v>8</v>
      </c>
      <c r="W17" s="17">
        <f t="shared" si="9"/>
        <v>4</v>
      </c>
      <c r="X17" s="17">
        <f t="shared" si="9"/>
        <v>2</v>
      </c>
      <c r="Y17" s="17">
        <f t="shared" si="9"/>
        <v>61</v>
      </c>
      <c r="Z17" s="17">
        <f t="shared" si="9"/>
        <v>11</v>
      </c>
      <c r="AA17" s="17">
        <f t="shared" si="9"/>
        <v>8</v>
      </c>
      <c r="AB17" s="17">
        <f t="shared" si="9"/>
        <v>11</v>
      </c>
      <c r="AC17" s="17">
        <f t="shared" si="9"/>
        <v>2255</v>
      </c>
      <c r="AD17" s="17">
        <f t="shared" si="9"/>
        <v>0</v>
      </c>
      <c r="AE17" s="30">
        <f t="shared" si="9"/>
        <v>649</v>
      </c>
      <c r="AF17" s="30">
        <f t="shared" si="9"/>
        <v>2904</v>
      </c>
    </row>
    <row r="18" spans="2:32" ht="23.1" customHeight="1" x14ac:dyDescent="0.25">
      <c r="B18" s="22" t="s">
        <v>45</v>
      </c>
      <c r="C18" s="49">
        <v>140</v>
      </c>
      <c r="D18" s="49">
        <v>23</v>
      </c>
      <c r="E18" s="49">
        <v>9</v>
      </c>
      <c r="F18" s="49">
        <v>3</v>
      </c>
      <c r="G18" s="49">
        <v>2</v>
      </c>
      <c r="H18" s="49">
        <v>0</v>
      </c>
      <c r="I18" s="49">
        <v>8</v>
      </c>
      <c r="J18" s="49">
        <v>2</v>
      </c>
      <c r="K18" s="49">
        <v>7</v>
      </c>
      <c r="L18" s="49">
        <v>4</v>
      </c>
      <c r="M18" s="49">
        <v>630</v>
      </c>
      <c r="N18" s="49">
        <v>0</v>
      </c>
      <c r="O18" s="15">
        <f t="shared" si="0"/>
        <v>198</v>
      </c>
      <c r="P18" s="15">
        <f t="shared" si="1"/>
        <v>828</v>
      </c>
      <c r="R18" s="1" t="s">
        <v>14</v>
      </c>
      <c r="S18" s="17">
        <f t="shared" ref="S18:AF18" si="10">SUM(C42:C45)</f>
        <v>630</v>
      </c>
      <c r="T18" s="17">
        <f t="shared" si="10"/>
        <v>170</v>
      </c>
      <c r="U18" s="17">
        <f t="shared" si="10"/>
        <v>60</v>
      </c>
      <c r="V18" s="17">
        <f t="shared" si="10"/>
        <v>6</v>
      </c>
      <c r="W18" s="17">
        <f t="shared" si="10"/>
        <v>3</v>
      </c>
      <c r="X18" s="17">
        <f t="shared" si="10"/>
        <v>0</v>
      </c>
      <c r="Y18" s="17">
        <f t="shared" si="10"/>
        <v>36</v>
      </c>
      <c r="Z18" s="17">
        <f t="shared" si="10"/>
        <v>25</v>
      </c>
      <c r="AA18" s="17">
        <f t="shared" si="10"/>
        <v>13</v>
      </c>
      <c r="AB18" s="17">
        <f t="shared" si="10"/>
        <v>10</v>
      </c>
      <c r="AC18" s="17">
        <f t="shared" si="10"/>
        <v>2147</v>
      </c>
      <c r="AD18" s="17">
        <f t="shared" si="10"/>
        <v>0</v>
      </c>
      <c r="AE18" s="30">
        <f t="shared" si="10"/>
        <v>953</v>
      </c>
      <c r="AF18" s="30">
        <f t="shared" si="10"/>
        <v>3100</v>
      </c>
    </row>
    <row r="19" spans="2:32" ht="23.1" customHeight="1" x14ac:dyDescent="0.25">
      <c r="B19" s="22" t="s">
        <v>46</v>
      </c>
      <c r="C19" s="49">
        <v>180</v>
      </c>
      <c r="D19" s="49">
        <v>27</v>
      </c>
      <c r="E19" s="49">
        <v>9</v>
      </c>
      <c r="F19" s="49">
        <v>2</v>
      </c>
      <c r="G19" s="49">
        <v>3</v>
      </c>
      <c r="H19" s="49">
        <v>0</v>
      </c>
      <c r="I19" s="49">
        <v>5</v>
      </c>
      <c r="J19" s="49">
        <v>2</v>
      </c>
      <c r="K19" s="49">
        <v>1</v>
      </c>
      <c r="L19" s="49">
        <v>0</v>
      </c>
      <c r="M19" s="49">
        <v>565</v>
      </c>
      <c r="N19" s="49">
        <v>0</v>
      </c>
      <c r="O19" s="15">
        <f t="shared" si="0"/>
        <v>229</v>
      </c>
      <c r="P19" s="15">
        <f t="shared" si="1"/>
        <v>794</v>
      </c>
      <c r="R19" s="1" t="s">
        <v>15</v>
      </c>
      <c r="S19" s="17">
        <f t="shared" ref="S19:AF19" si="11">SUM(C46:C49)</f>
        <v>660</v>
      </c>
      <c r="T19" s="17">
        <f t="shared" si="11"/>
        <v>173</v>
      </c>
      <c r="U19" s="17">
        <f t="shared" si="11"/>
        <v>87</v>
      </c>
      <c r="V19" s="17">
        <f t="shared" si="11"/>
        <v>7</v>
      </c>
      <c r="W19" s="17">
        <f t="shared" si="11"/>
        <v>4</v>
      </c>
      <c r="X19" s="17">
        <f t="shared" si="11"/>
        <v>0</v>
      </c>
      <c r="Y19" s="17">
        <f t="shared" si="11"/>
        <v>50</v>
      </c>
      <c r="Z19" s="17">
        <f t="shared" si="11"/>
        <v>32</v>
      </c>
      <c r="AA19" s="17">
        <f t="shared" si="11"/>
        <v>11</v>
      </c>
      <c r="AB19" s="17">
        <f t="shared" si="11"/>
        <v>6</v>
      </c>
      <c r="AC19" s="17">
        <f t="shared" si="11"/>
        <v>2100</v>
      </c>
      <c r="AD19" s="17">
        <f t="shared" si="11"/>
        <v>1</v>
      </c>
      <c r="AE19" s="30">
        <f t="shared" si="11"/>
        <v>1031</v>
      </c>
      <c r="AF19" s="30">
        <f t="shared" si="11"/>
        <v>3131</v>
      </c>
    </row>
    <row r="20" spans="2:32" ht="23.1" customHeight="1" x14ac:dyDescent="0.25">
      <c r="B20" s="22" t="s">
        <v>47</v>
      </c>
      <c r="C20" s="49">
        <v>135</v>
      </c>
      <c r="D20" s="49">
        <v>16</v>
      </c>
      <c r="E20" s="49">
        <v>15</v>
      </c>
      <c r="F20" s="49">
        <v>1</v>
      </c>
      <c r="G20" s="49">
        <v>0</v>
      </c>
      <c r="H20" s="49">
        <v>0</v>
      </c>
      <c r="I20" s="49">
        <v>11</v>
      </c>
      <c r="J20" s="49">
        <v>9</v>
      </c>
      <c r="K20" s="49">
        <v>1</v>
      </c>
      <c r="L20" s="49">
        <v>4</v>
      </c>
      <c r="M20" s="49">
        <v>510</v>
      </c>
      <c r="N20" s="49">
        <v>0</v>
      </c>
      <c r="O20" s="15">
        <f t="shared" si="0"/>
        <v>192</v>
      </c>
      <c r="P20" s="15">
        <f t="shared" si="1"/>
        <v>702</v>
      </c>
      <c r="R20" s="1" t="s">
        <v>16</v>
      </c>
      <c r="S20" s="17">
        <f t="shared" ref="S20:AF20" si="12">SUM(C50:C53)</f>
        <v>785</v>
      </c>
      <c r="T20" s="17">
        <f t="shared" si="12"/>
        <v>119</v>
      </c>
      <c r="U20" s="17">
        <f t="shared" si="12"/>
        <v>73</v>
      </c>
      <c r="V20" s="17">
        <f t="shared" si="12"/>
        <v>8</v>
      </c>
      <c r="W20" s="17">
        <f t="shared" si="12"/>
        <v>2</v>
      </c>
      <c r="X20" s="17">
        <f t="shared" si="12"/>
        <v>1</v>
      </c>
      <c r="Y20" s="17">
        <f t="shared" si="12"/>
        <v>32</v>
      </c>
      <c r="Z20" s="17">
        <f t="shared" si="12"/>
        <v>19</v>
      </c>
      <c r="AA20" s="17">
        <f t="shared" si="12"/>
        <v>8</v>
      </c>
      <c r="AB20" s="17">
        <f t="shared" si="12"/>
        <v>17</v>
      </c>
      <c r="AC20" s="17">
        <f t="shared" si="12"/>
        <v>1979</v>
      </c>
      <c r="AD20" s="17">
        <f t="shared" si="12"/>
        <v>2</v>
      </c>
      <c r="AE20" s="30">
        <f t="shared" si="12"/>
        <v>1066</v>
      </c>
      <c r="AF20" s="30">
        <f t="shared" si="12"/>
        <v>3045</v>
      </c>
    </row>
    <row r="21" spans="2:32" ht="23.1" customHeight="1" x14ac:dyDescent="0.25">
      <c r="B21" s="22" t="s">
        <v>48</v>
      </c>
      <c r="C21" s="49">
        <v>140</v>
      </c>
      <c r="D21" s="49">
        <v>50</v>
      </c>
      <c r="E21" s="49">
        <v>12</v>
      </c>
      <c r="F21" s="49">
        <v>0</v>
      </c>
      <c r="G21" s="49">
        <v>1</v>
      </c>
      <c r="H21" s="49">
        <v>1</v>
      </c>
      <c r="I21" s="49">
        <v>3</v>
      </c>
      <c r="J21" s="49">
        <v>2</v>
      </c>
      <c r="K21" s="49">
        <v>3</v>
      </c>
      <c r="L21" s="49">
        <v>0</v>
      </c>
      <c r="M21" s="49">
        <v>820</v>
      </c>
      <c r="N21" s="49">
        <v>0</v>
      </c>
      <c r="O21" s="15">
        <f t="shared" si="0"/>
        <v>212</v>
      </c>
      <c r="P21" s="15">
        <f t="shared" si="1"/>
        <v>1032</v>
      </c>
      <c r="R21" s="35" t="s">
        <v>20</v>
      </c>
      <c r="S21" s="33">
        <f t="shared" ref="S21:AF21" si="13">SUM(C54:C57)</f>
        <v>582</v>
      </c>
      <c r="T21" s="17">
        <f t="shared" si="13"/>
        <v>132</v>
      </c>
      <c r="U21" s="17">
        <f t="shared" si="13"/>
        <v>65</v>
      </c>
      <c r="V21" s="17">
        <f t="shared" si="13"/>
        <v>28</v>
      </c>
      <c r="W21" s="17">
        <f t="shared" si="13"/>
        <v>4</v>
      </c>
      <c r="X21" s="17">
        <f t="shared" si="13"/>
        <v>0</v>
      </c>
      <c r="Y21" s="17">
        <f t="shared" si="13"/>
        <v>45</v>
      </c>
      <c r="Z21" s="17">
        <f t="shared" si="13"/>
        <v>12</v>
      </c>
      <c r="AA21" s="17">
        <f t="shared" si="13"/>
        <v>7</v>
      </c>
      <c r="AB21" s="17">
        <f t="shared" si="13"/>
        <v>15</v>
      </c>
      <c r="AC21" s="17">
        <f t="shared" si="13"/>
        <v>1495</v>
      </c>
      <c r="AD21" s="17">
        <f t="shared" si="13"/>
        <v>0</v>
      </c>
      <c r="AE21" s="30">
        <f t="shared" si="13"/>
        <v>890</v>
      </c>
      <c r="AF21" s="30">
        <f t="shared" si="13"/>
        <v>2385</v>
      </c>
    </row>
    <row r="22" spans="2:32" ht="23.1" customHeight="1" x14ac:dyDescent="0.25">
      <c r="B22" s="22" t="s">
        <v>49</v>
      </c>
      <c r="C22" s="49">
        <v>160</v>
      </c>
      <c r="D22" s="49">
        <v>37</v>
      </c>
      <c r="E22" s="49">
        <v>21</v>
      </c>
      <c r="F22" s="49">
        <v>2</v>
      </c>
      <c r="G22" s="49">
        <v>0</v>
      </c>
      <c r="H22" s="49">
        <v>0</v>
      </c>
      <c r="I22" s="49">
        <v>15</v>
      </c>
      <c r="J22" s="49">
        <v>7</v>
      </c>
      <c r="K22" s="49">
        <v>4</v>
      </c>
      <c r="L22" s="49">
        <v>1</v>
      </c>
      <c r="M22" s="49">
        <v>725</v>
      </c>
      <c r="N22" s="49">
        <v>0</v>
      </c>
      <c r="O22" s="15">
        <f t="shared" si="0"/>
        <v>247</v>
      </c>
      <c r="P22" s="15">
        <f t="shared" si="1"/>
        <v>972</v>
      </c>
      <c r="R22" s="37" t="s">
        <v>90</v>
      </c>
      <c r="S22" s="38">
        <f>MAX(S10:S12)</f>
        <v>595</v>
      </c>
      <c r="T22" s="38">
        <f t="shared" ref="T22:AF22" si="14">MAX(T10:T12)</f>
        <v>116</v>
      </c>
      <c r="U22" s="38">
        <f t="shared" si="14"/>
        <v>61</v>
      </c>
      <c r="V22" s="38">
        <f t="shared" si="14"/>
        <v>7</v>
      </c>
      <c r="W22" s="38">
        <f t="shared" si="14"/>
        <v>7</v>
      </c>
      <c r="X22" s="38">
        <f t="shared" si="14"/>
        <v>4</v>
      </c>
      <c r="Y22" s="38">
        <f t="shared" si="14"/>
        <v>29</v>
      </c>
      <c r="Z22" s="38">
        <f t="shared" si="14"/>
        <v>18</v>
      </c>
      <c r="AA22" s="38">
        <f t="shared" si="14"/>
        <v>12</v>
      </c>
      <c r="AB22" s="38">
        <f t="shared" si="14"/>
        <v>15</v>
      </c>
      <c r="AC22" s="38">
        <f t="shared" si="14"/>
        <v>2525</v>
      </c>
      <c r="AD22" s="38">
        <f t="shared" si="14"/>
        <v>0</v>
      </c>
      <c r="AE22" s="39">
        <f t="shared" si="14"/>
        <v>831</v>
      </c>
      <c r="AF22" s="39">
        <f t="shared" si="14"/>
        <v>3356</v>
      </c>
    </row>
    <row r="23" spans="2:32" ht="23.1" customHeight="1" x14ac:dyDescent="0.25">
      <c r="B23" s="22" t="s">
        <v>50</v>
      </c>
      <c r="C23" s="49">
        <v>140</v>
      </c>
      <c r="D23" s="49">
        <v>50</v>
      </c>
      <c r="E23" s="49">
        <v>17</v>
      </c>
      <c r="F23" s="49">
        <v>5</v>
      </c>
      <c r="G23" s="49">
        <v>1</v>
      </c>
      <c r="H23" s="49">
        <v>2</v>
      </c>
      <c r="I23" s="49">
        <v>15</v>
      </c>
      <c r="J23" s="49">
        <v>1</v>
      </c>
      <c r="K23" s="49">
        <v>4</v>
      </c>
      <c r="L23" s="49">
        <v>3</v>
      </c>
      <c r="M23" s="49">
        <v>595</v>
      </c>
      <c r="N23" s="49">
        <v>0</v>
      </c>
      <c r="O23" s="15">
        <f t="shared" si="0"/>
        <v>238</v>
      </c>
      <c r="P23" s="15">
        <f t="shared" si="1"/>
        <v>833</v>
      </c>
      <c r="R23" s="37" t="s">
        <v>91</v>
      </c>
      <c r="S23" s="38">
        <f>MAX(S13:S18)</f>
        <v>660</v>
      </c>
      <c r="T23" s="38">
        <f t="shared" ref="T23:AF23" si="15">MAX(T13:T18)</f>
        <v>183</v>
      </c>
      <c r="U23" s="38">
        <f t="shared" si="15"/>
        <v>98</v>
      </c>
      <c r="V23" s="38">
        <f t="shared" si="15"/>
        <v>20</v>
      </c>
      <c r="W23" s="38">
        <f t="shared" si="15"/>
        <v>11</v>
      </c>
      <c r="X23" s="38">
        <f t="shared" si="15"/>
        <v>4</v>
      </c>
      <c r="Y23" s="38">
        <f t="shared" si="15"/>
        <v>81</v>
      </c>
      <c r="Z23" s="38">
        <f t="shared" si="15"/>
        <v>28</v>
      </c>
      <c r="AA23" s="38">
        <f t="shared" si="15"/>
        <v>13</v>
      </c>
      <c r="AB23" s="38">
        <f t="shared" si="15"/>
        <v>11</v>
      </c>
      <c r="AC23" s="38">
        <f t="shared" si="15"/>
        <v>2650</v>
      </c>
      <c r="AD23" s="38">
        <f t="shared" si="15"/>
        <v>0</v>
      </c>
      <c r="AE23" s="39">
        <f t="shared" si="15"/>
        <v>997</v>
      </c>
      <c r="AF23" s="39">
        <f t="shared" si="15"/>
        <v>3647</v>
      </c>
    </row>
    <row r="24" spans="2:32" ht="23.1" customHeight="1" x14ac:dyDescent="0.25">
      <c r="B24" s="22" t="s">
        <v>51</v>
      </c>
      <c r="C24" s="49">
        <v>140</v>
      </c>
      <c r="D24" s="49">
        <v>20</v>
      </c>
      <c r="E24" s="49">
        <v>30</v>
      </c>
      <c r="F24" s="49">
        <v>6</v>
      </c>
      <c r="G24" s="49">
        <v>1</v>
      </c>
      <c r="H24" s="49">
        <v>0</v>
      </c>
      <c r="I24" s="49">
        <v>31</v>
      </c>
      <c r="J24" s="49">
        <v>11</v>
      </c>
      <c r="K24" s="49">
        <v>3</v>
      </c>
      <c r="L24" s="49">
        <v>4</v>
      </c>
      <c r="M24" s="49">
        <v>625</v>
      </c>
      <c r="N24" s="49">
        <v>0</v>
      </c>
      <c r="O24" s="15">
        <f t="shared" si="0"/>
        <v>246</v>
      </c>
      <c r="P24" s="15">
        <f t="shared" si="1"/>
        <v>871</v>
      </c>
      <c r="R24" s="37" t="s">
        <v>92</v>
      </c>
      <c r="S24" s="38">
        <f>MAX(S19:S21)</f>
        <v>785</v>
      </c>
      <c r="T24" s="38">
        <f t="shared" ref="T24:AF24" si="16">MAX(T19:T21)</f>
        <v>173</v>
      </c>
      <c r="U24" s="38">
        <f t="shared" si="16"/>
        <v>87</v>
      </c>
      <c r="V24" s="38">
        <f t="shared" si="16"/>
        <v>28</v>
      </c>
      <c r="W24" s="38">
        <f t="shared" si="16"/>
        <v>4</v>
      </c>
      <c r="X24" s="38">
        <f t="shared" si="16"/>
        <v>1</v>
      </c>
      <c r="Y24" s="38">
        <f t="shared" si="16"/>
        <v>50</v>
      </c>
      <c r="Z24" s="38">
        <f t="shared" si="16"/>
        <v>32</v>
      </c>
      <c r="AA24" s="38">
        <f t="shared" si="16"/>
        <v>11</v>
      </c>
      <c r="AB24" s="38">
        <f t="shared" si="16"/>
        <v>17</v>
      </c>
      <c r="AC24" s="38">
        <f t="shared" si="16"/>
        <v>2100</v>
      </c>
      <c r="AD24" s="38">
        <f t="shared" si="16"/>
        <v>2</v>
      </c>
      <c r="AE24" s="39">
        <f t="shared" si="16"/>
        <v>1066</v>
      </c>
      <c r="AF24" s="39">
        <f t="shared" si="16"/>
        <v>3131</v>
      </c>
    </row>
    <row r="25" spans="2:32" ht="23.1" customHeight="1" x14ac:dyDescent="0.25">
      <c r="B25" s="22" t="s">
        <v>52</v>
      </c>
      <c r="C25" s="49">
        <v>170</v>
      </c>
      <c r="D25" s="49">
        <v>25</v>
      </c>
      <c r="E25" s="49">
        <v>30</v>
      </c>
      <c r="F25" s="49">
        <v>0</v>
      </c>
      <c r="G25" s="49">
        <v>4</v>
      </c>
      <c r="H25" s="49">
        <v>0</v>
      </c>
      <c r="I25" s="49">
        <v>20</v>
      </c>
      <c r="J25" s="49">
        <v>9</v>
      </c>
      <c r="K25" s="49">
        <v>2</v>
      </c>
      <c r="L25" s="49">
        <v>0</v>
      </c>
      <c r="M25" s="49">
        <v>705</v>
      </c>
      <c r="N25" s="49">
        <v>0</v>
      </c>
      <c r="O25" s="15">
        <f t="shared" si="0"/>
        <v>260</v>
      </c>
      <c r="P25" s="15">
        <f t="shared" si="1"/>
        <v>965</v>
      </c>
      <c r="R25" s="36" t="s">
        <v>85</v>
      </c>
      <c r="S25" s="34">
        <f t="shared" ref="S25:AF25" si="17">SUM(S10:S12)</f>
        <v>1671</v>
      </c>
      <c r="T25" s="16">
        <f t="shared" si="17"/>
        <v>283</v>
      </c>
      <c r="U25" s="16">
        <f t="shared" si="17"/>
        <v>142</v>
      </c>
      <c r="V25" s="16">
        <f t="shared" si="17"/>
        <v>14</v>
      </c>
      <c r="W25" s="16">
        <f t="shared" si="17"/>
        <v>17</v>
      </c>
      <c r="X25" s="16">
        <f t="shared" si="17"/>
        <v>6</v>
      </c>
      <c r="Y25" s="16">
        <f t="shared" si="17"/>
        <v>75</v>
      </c>
      <c r="Z25" s="16">
        <f t="shared" si="17"/>
        <v>33</v>
      </c>
      <c r="AA25" s="16">
        <f t="shared" si="17"/>
        <v>19</v>
      </c>
      <c r="AB25" s="16">
        <f t="shared" si="17"/>
        <v>27</v>
      </c>
      <c r="AC25" s="16">
        <f t="shared" si="17"/>
        <v>6895</v>
      </c>
      <c r="AD25" s="16">
        <f t="shared" si="17"/>
        <v>0</v>
      </c>
      <c r="AE25" s="31">
        <f t="shared" si="17"/>
        <v>2287</v>
      </c>
      <c r="AF25" s="31">
        <f t="shared" si="17"/>
        <v>9182</v>
      </c>
    </row>
    <row r="26" spans="2:32" ht="23.1" customHeight="1" x14ac:dyDescent="0.25">
      <c r="B26" s="22" t="s">
        <v>53</v>
      </c>
      <c r="C26" s="49">
        <v>160</v>
      </c>
      <c r="D26" s="49">
        <v>53</v>
      </c>
      <c r="E26" s="49">
        <v>8</v>
      </c>
      <c r="F26" s="49">
        <v>0</v>
      </c>
      <c r="G26" s="49">
        <v>0</v>
      </c>
      <c r="H26" s="49">
        <v>0</v>
      </c>
      <c r="I26" s="49">
        <v>4</v>
      </c>
      <c r="J26" s="49">
        <v>1</v>
      </c>
      <c r="K26" s="49">
        <v>0</v>
      </c>
      <c r="L26" s="49">
        <v>1</v>
      </c>
      <c r="M26" s="49">
        <v>770</v>
      </c>
      <c r="N26" s="49">
        <v>0</v>
      </c>
      <c r="O26" s="15">
        <f t="shared" si="0"/>
        <v>227</v>
      </c>
      <c r="P26" s="15">
        <f t="shared" si="1"/>
        <v>997</v>
      </c>
      <c r="R26" s="27" t="s">
        <v>86</v>
      </c>
      <c r="S26" s="16">
        <f t="shared" ref="S26:AF26" si="18">SUM(S13:S18)</f>
        <v>3274</v>
      </c>
      <c r="T26" s="16">
        <f t="shared" si="18"/>
        <v>819</v>
      </c>
      <c r="U26" s="16">
        <f t="shared" si="18"/>
        <v>393</v>
      </c>
      <c r="V26" s="16">
        <f t="shared" si="18"/>
        <v>61</v>
      </c>
      <c r="W26" s="16">
        <f t="shared" si="18"/>
        <v>35</v>
      </c>
      <c r="X26" s="16">
        <f t="shared" si="18"/>
        <v>8</v>
      </c>
      <c r="Y26" s="16">
        <f t="shared" si="18"/>
        <v>344</v>
      </c>
      <c r="Z26" s="16">
        <f t="shared" si="18"/>
        <v>116</v>
      </c>
      <c r="AA26" s="16">
        <f t="shared" si="18"/>
        <v>60</v>
      </c>
      <c r="AB26" s="16">
        <f t="shared" si="18"/>
        <v>49</v>
      </c>
      <c r="AC26" s="16">
        <f t="shared" si="18"/>
        <v>14431</v>
      </c>
      <c r="AD26" s="16">
        <f t="shared" si="18"/>
        <v>0</v>
      </c>
      <c r="AE26" s="31">
        <f t="shared" si="18"/>
        <v>5159</v>
      </c>
      <c r="AF26" s="31">
        <f t="shared" si="18"/>
        <v>19590</v>
      </c>
    </row>
    <row r="27" spans="2:32" ht="23.1" customHeight="1" x14ac:dyDescent="0.25">
      <c r="B27" s="22" t="s">
        <v>54</v>
      </c>
      <c r="C27" s="49">
        <v>180</v>
      </c>
      <c r="D27" s="49">
        <v>55</v>
      </c>
      <c r="E27" s="49">
        <v>23</v>
      </c>
      <c r="F27" s="49">
        <v>1</v>
      </c>
      <c r="G27" s="49">
        <v>1</v>
      </c>
      <c r="H27" s="49">
        <v>0</v>
      </c>
      <c r="I27" s="49">
        <v>23</v>
      </c>
      <c r="J27" s="49">
        <v>8</v>
      </c>
      <c r="K27" s="49">
        <v>5</v>
      </c>
      <c r="L27" s="49">
        <v>3</v>
      </c>
      <c r="M27" s="49">
        <v>535</v>
      </c>
      <c r="N27" s="49">
        <v>0</v>
      </c>
      <c r="O27" s="15">
        <f t="shared" si="0"/>
        <v>299</v>
      </c>
      <c r="P27" s="15">
        <f t="shared" si="1"/>
        <v>834</v>
      </c>
      <c r="R27" s="28" t="s">
        <v>87</v>
      </c>
      <c r="S27" s="16">
        <f t="shared" ref="S27:AF27" si="19">SUM(S19:S21)</f>
        <v>2027</v>
      </c>
      <c r="T27" s="16">
        <f t="shared" si="19"/>
        <v>424</v>
      </c>
      <c r="U27" s="16">
        <f t="shared" si="19"/>
        <v>225</v>
      </c>
      <c r="V27" s="16">
        <f t="shared" si="19"/>
        <v>43</v>
      </c>
      <c r="W27" s="16">
        <f t="shared" si="19"/>
        <v>10</v>
      </c>
      <c r="X27" s="16">
        <f t="shared" si="19"/>
        <v>1</v>
      </c>
      <c r="Y27" s="16">
        <f t="shared" si="19"/>
        <v>127</v>
      </c>
      <c r="Z27" s="16">
        <f t="shared" si="19"/>
        <v>63</v>
      </c>
      <c r="AA27" s="16">
        <f t="shared" si="19"/>
        <v>26</v>
      </c>
      <c r="AB27" s="16">
        <f t="shared" si="19"/>
        <v>38</v>
      </c>
      <c r="AC27" s="16">
        <f t="shared" si="19"/>
        <v>5574</v>
      </c>
      <c r="AD27" s="16">
        <f t="shared" si="19"/>
        <v>3</v>
      </c>
      <c r="AE27" s="31">
        <f t="shared" si="19"/>
        <v>2987</v>
      </c>
      <c r="AF27" s="31">
        <f t="shared" si="19"/>
        <v>8561</v>
      </c>
    </row>
    <row r="28" spans="2:32" ht="23.1" customHeight="1" x14ac:dyDescent="0.25">
      <c r="B28" s="22" t="s">
        <v>55</v>
      </c>
      <c r="C28" s="49">
        <v>160</v>
      </c>
      <c r="D28" s="49">
        <v>50</v>
      </c>
      <c r="E28" s="49">
        <v>13</v>
      </c>
      <c r="F28" s="49">
        <v>3</v>
      </c>
      <c r="G28" s="49">
        <v>0</v>
      </c>
      <c r="H28" s="49">
        <v>0</v>
      </c>
      <c r="I28" s="49">
        <v>17</v>
      </c>
      <c r="J28" s="49">
        <v>7</v>
      </c>
      <c r="K28" s="49">
        <v>1</v>
      </c>
      <c r="L28" s="49">
        <v>3</v>
      </c>
      <c r="M28" s="49">
        <v>585</v>
      </c>
      <c r="N28" s="49">
        <v>0</v>
      </c>
      <c r="O28" s="15">
        <f t="shared" si="0"/>
        <v>254</v>
      </c>
      <c r="P28" s="15">
        <f t="shared" si="1"/>
        <v>839</v>
      </c>
      <c r="R28" s="5" t="s">
        <v>17</v>
      </c>
      <c r="S28" s="16">
        <f t="shared" ref="S28:AF28" si="20">SUM(S10:S21)</f>
        <v>6972</v>
      </c>
      <c r="T28" s="16">
        <f t="shared" si="20"/>
        <v>1526</v>
      </c>
      <c r="U28" s="16">
        <f t="shared" si="20"/>
        <v>760</v>
      </c>
      <c r="V28" s="16">
        <f t="shared" si="20"/>
        <v>118</v>
      </c>
      <c r="W28" s="16">
        <f t="shared" si="20"/>
        <v>62</v>
      </c>
      <c r="X28" s="16">
        <f t="shared" si="20"/>
        <v>15</v>
      </c>
      <c r="Y28" s="16">
        <f t="shared" si="20"/>
        <v>546</v>
      </c>
      <c r="Z28" s="16">
        <f t="shared" si="20"/>
        <v>212</v>
      </c>
      <c r="AA28" s="16">
        <f t="shared" si="20"/>
        <v>105</v>
      </c>
      <c r="AB28" s="16">
        <f t="shared" si="20"/>
        <v>114</v>
      </c>
      <c r="AC28" s="16">
        <f t="shared" si="20"/>
        <v>26900</v>
      </c>
      <c r="AD28" s="16">
        <f t="shared" si="20"/>
        <v>3</v>
      </c>
      <c r="AE28" s="31">
        <f t="shared" si="20"/>
        <v>10433</v>
      </c>
      <c r="AF28" s="31">
        <f t="shared" si="20"/>
        <v>37333</v>
      </c>
    </row>
    <row r="29" spans="2:32" ht="23.1" customHeight="1" x14ac:dyDescent="0.25">
      <c r="B29" s="22" t="s">
        <v>56</v>
      </c>
      <c r="C29" s="49">
        <v>160</v>
      </c>
      <c r="D29" s="49">
        <v>25</v>
      </c>
      <c r="E29" s="49">
        <v>8</v>
      </c>
      <c r="F29" s="49">
        <v>1</v>
      </c>
      <c r="G29" s="49">
        <v>0</v>
      </c>
      <c r="H29" s="49">
        <v>0</v>
      </c>
      <c r="I29" s="49">
        <v>10</v>
      </c>
      <c r="J29" s="49">
        <v>5</v>
      </c>
      <c r="K29" s="49">
        <v>6</v>
      </c>
      <c r="L29" s="49">
        <v>2</v>
      </c>
      <c r="M29" s="49">
        <v>760</v>
      </c>
      <c r="N29" s="49">
        <v>0</v>
      </c>
      <c r="O29" s="15">
        <f t="shared" si="0"/>
        <v>217</v>
      </c>
      <c r="P29" s="15">
        <f t="shared" si="1"/>
        <v>977</v>
      </c>
      <c r="R29"/>
      <c r="S29" s="20"/>
      <c r="T29" s="19"/>
    </row>
    <row r="30" spans="2:32" ht="23.1" customHeight="1" x14ac:dyDescent="0.25">
      <c r="B30" s="22" t="s">
        <v>57</v>
      </c>
      <c r="C30" s="49">
        <v>160</v>
      </c>
      <c r="D30" s="49">
        <v>40</v>
      </c>
      <c r="E30" s="49">
        <v>22</v>
      </c>
      <c r="F30" s="49">
        <v>4</v>
      </c>
      <c r="G30" s="49">
        <v>5</v>
      </c>
      <c r="H30" s="49">
        <v>2</v>
      </c>
      <c r="I30" s="49">
        <v>18</v>
      </c>
      <c r="J30" s="49">
        <v>14</v>
      </c>
      <c r="K30" s="49">
        <v>4</v>
      </c>
      <c r="L30" s="49">
        <v>2</v>
      </c>
      <c r="M30" s="49">
        <v>670</v>
      </c>
      <c r="N30" s="49">
        <v>0</v>
      </c>
      <c r="O30" s="15">
        <f t="shared" si="0"/>
        <v>271</v>
      </c>
      <c r="P30" s="15">
        <f t="shared" si="1"/>
        <v>941</v>
      </c>
    </row>
    <row r="31" spans="2:32" ht="23.1" customHeight="1" x14ac:dyDescent="0.25">
      <c r="B31" s="23" t="s">
        <v>58</v>
      </c>
      <c r="C31" s="49">
        <v>120</v>
      </c>
      <c r="D31" s="49">
        <v>45</v>
      </c>
      <c r="E31" s="49">
        <v>7</v>
      </c>
      <c r="F31" s="49">
        <v>4</v>
      </c>
      <c r="G31" s="49">
        <v>1</v>
      </c>
      <c r="H31" s="49">
        <v>0</v>
      </c>
      <c r="I31" s="49">
        <v>8</v>
      </c>
      <c r="J31" s="49">
        <v>0</v>
      </c>
      <c r="K31" s="49">
        <v>1</v>
      </c>
      <c r="L31" s="49">
        <v>0</v>
      </c>
      <c r="M31" s="49">
        <v>575</v>
      </c>
      <c r="N31" s="49">
        <v>0</v>
      </c>
      <c r="O31" s="15">
        <f t="shared" si="0"/>
        <v>186</v>
      </c>
      <c r="P31" s="15">
        <f t="shared" si="1"/>
        <v>761</v>
      </c>
    </row>
    <row r="32" spans="2:32" ht="23.1" customHeight="1" x14ac:dyDescent="0.25">
      <c r="B32" s="23" t="s">
        <v>59</v>
      </c>
      <c r="C32" s="49">
        <v>140</v>
      </c>
      <c r="D32" s="49">
        <v>18</v>
      </c>
      <c r="E32" s="49">
        <v>22</v>
      </c>
      <c r="F32" s="49">
        <v>9</v>
      </c>
      <c r="G32" s="49">
        <v>2</v>
      </c>
      <c r="H32" s="49">
        <v>1</v>
      </c>
      <c r="I32" s="49">
        <v>24</v>
      </c>
      <c r="J32" s="49">
        <v>2</v>
      </c>
      <c r="K32" s="49">
        <v>2</v>
      </c>
      <c r="L32" s="49">
        <v>1</v>
      </c>
      <c r="M32" s="49">
        <v>540</v>
      </c>
      <c r="N32" s="49">
        <v>0</v>
      </c>
      <c r="O32" s="15">
        <f t="shared" si="0"/>
        <v>221</v>
      </c>
      <c r="P32" s="15">
        <f t="shared" si="1"/>
        <v>761</v>
      </c>
    </row>
    <row r="33" spans="2:20" ht="23.1" customHeight="1" x14ac:dyDescent="0.25">
      <c r="B33" s="22" t="s">
        <v>60</v>
      </c>
      <c r="C33" s="49">
        <v>140</v>
      </c>
      <c r="D33" s="49">
        <v>40</v>
      </c>
      <c r="E33" s="49">
        <v>14</v>
      </c>
      <c r="F33" s="49">
        <v>3</v>
      </c>
      <c r="G33" s="49">
        <v>2</v>
      </c>
      <c r="H33" s="49">
        <v>1</v>
      </c>
      <c r="I33" s="49">
        <v>4</v>
      </c>
      <c r="J33" s="49">
        <v>2</v>
      </c>
      <c r="K33" s="49">
        <v>1</v>
      </c>
      <c r="L33" s="49">
        <v>3</v>
      </c>
      <c r="M33" s="49">
        <v>725</v>
      </c>
      <c r="N33" s="49">
        <v>0</v>
      </c>
      <c r="O33" s="15">
        <f t="shared" si="0"/>
        <v>210</v>
      </c>
      <c r="P33" s="15">
        <f t="shared" si="1"/>
        <v>935</v>
      </c>
    </row>
    <row r="34" spans="2:20" ht="23.1" customHeight="1" x14ac:dyDescent="0.25">
      <c r="B34" s="23" t="s">
        <v>61</v>
      </c>
      <c r="C34" s="49">
        <v>160</v>
      </c>
      <c r="D34" s="49">
        <v>37</v>
      </c>
      <c r="E34" s="49">
        <v>21</v>
      </c>
      <c r="F34" s="49">
        <v>4</v>
      </c>
      <c r="G34" s="49">
        <v>7</v>
      </c>
      <c r="H34" s="49">
        <v>0</v>
      </c>
      <c r="I34" s="49">
        <v>24</v>
      </c>
      <c r="J34" s="49">
        <v>1</v>
      </c>
      <c r="K34" s="49">
        <v>2</v>
      </c>
      <c r="L34" s="49">
        <v>4</v>
      </c>
      <c r="M34" s="49">
        <v>633</v>
      </c>
      <c r="N34" s="49">
        <v>0</v>
      </c>
      <c r="O34" s="15">
        <f t="shared" si="0"/>
        <v>260</v>
      </c>
      <c r="P34" s="15">
        <f t="shared" si="1"/>
        <v>893</v>
      </c>
    </row>
    <row r="35" spans="2:20" ht="23.1" customHeight="1" x14ac:dyDescent="0.25">
      <c r="B35" s="23" t="s">
        <v>62</v>
      </c>
      <c r="C35" s="49">
        <v>150</v>
      </c>
      <c r="D35" s="49">
        <v>62</v>
      </c>
      <c r="E35" s="49">
        <v>7</v>
      </c>
      <c r="F35" s="49">
        <v>0</v>
      </c>
      <c r="G35" s="49">
        <v>0</v>
      </c>
      <c r="H35" s="49">
        <v>0</v>
      </c>
      <c r="I35" s="49">
        <v>8</v>
      </c>
      <c r="J35" s="49">
        <v>2</v>
      </c>
      <c r="K35" s="49">
        <v>1</v>
      </c>
      <c r="L35" s="49">
        <v>0</v>
      </c>
      <c r="M35" s="49">
        <v>505</v>
      </c>
      <c r="N35" s="49">
        <v>0</v>
      </c>
      <c r="O35" s="15">
        <f t="shared" si="0"/>
        <v>230</v>
      </c>
      <c r="P35" s="15">
        <f t="shared" si="1"/>
        <v>735</v>
      </c>
    </row>
    <row r="36" spans="2:20" ht="23.1" customHeight="1" x14ac:dyDescent="0.25">
      <c r="B36" s="23" t="s">
        <v>63</v>
      </c>
      <c r="C36" s="49">
        <v>100</v>
      </c>
      <c r="D36" s="49">
        <v>5</v>
      </c>
      <c r="E36" s="49">
        <v>16</v>
      </c>
      <c r="F36" s="49">
        <v>2</v>
      </c>
      <c r="G36" s="49">
        <v>3</v>
      </c>
      <c r="H36" s="49">
        <v>0</v>
      </c>
      <c r="I36" s="49">
        <v>13</v>
      </c>
      <c r="J36" s="49">
        <v>10</v>
      </c>
      <c r="K36" s="49">
        <v>1</v>
      </c>
      <c r="L36" s="49">
        <v>1</v>
      </c>
      <c r="M36" s="49">
        <v>541</v>
      </c>
      <c r="N36" s="49">
        <v>0</v>
      </c>
      <c r="O36" s="15">
        <f t="shared" si="0"/>
        <v>151</v>
      </c>
      <c r="P36" s="15">
        <f t="shared" si="1"/>
        <v>692</v>
      </c>
    </row>
    <row r="37" spans="2:20" ht="23.1" customHeight="1" x14ac:dyDescent="0.25">
      <c r="B37" s="22" t="s">
        <v>64</v>
      </c>
      <c r="C37" s="49">
        <v>5</v>
      </c>
      <c r="D37" s="49">
        <v>2</v>
      </c>
      <c r="E37" s="49">
        <v>14</v>
      </c>
      <c r="F37" s="49">
        <v>3</v>
      </c>
      <c r="G37" s="49">
        <v>1</v>
      </c>
      <c r="H37" s="49">
        <v>0</v>
      </c>
      <c r="I37" s="49">
        <v>13</v>
      </c>
      <c r="J37" s="49">
        <v>0</v>
      </c>
      <c r="K37" s="49">
        <v>2</v>
      </c>
      <c r="L37" s="49">
        <v>0</v>
      </c>
      <c r="M37" s="49">
        <v>540</v>
      </c>
      <c r="N37" s="49">
        <v>0</v>
      </c>
      <c r="O37" s="15">
        <f t="shared" si="0"/>
        <v>40</v>
      </c>
      <c r="P37" s="15">
        <f t="shared" si="1"/>
        <v>580</v>
      </c>
    </row>
    <row r="38" spans="2:20" ht="23.1" customHeight="1" x14ac:dyDescent="0.25">
      <c r="B38" s="23" t="s">
        <v>65</v>
      </c>
      <c r="C38" s="49">
        <v>71</v>
      </c>
      <c r="D38" s="49">
        <v>18</v>
      </c>
      <c r="E38" s="49">
        <v>7</v>
      </c>
      <c r="F38" s="49">
        <v>0</v>
      </c>
      <c r="G38" s="49">
        <v>1</v>
      </c>
      <c r="H38" s="49">
        <v>0</v>
      </c>
      <c r="I38" s="49">
        <v>12</v>
      </c>
      <c r="J38" s="49">
        <v>3</v>
      </c>
      <c r="K38" s="49">
        <v>2</v>
      </c>
      <c r="L38" s="49">
        <v>0</v>
      </c>
      <c r="M38" s="49">
        <v>635</v>
      </c>
      <c r="N38" s="49">
        <v>0</v>
      </c>
      <c r="O38" s="15">
        <f t="shared" si="0"/>
        <v>114</v>
      </c>
      <c r="P38" s="15">
        <f t="shared" si="1"/>
        <v>749</v>
      </c>
    </row>
    <row r="39" spans="2:20" ht="23.1" customHeight="1" x14ac:dyDescent="0.25">
      <c r="B39" s="23" t="s">
        <v>66</v>
      </c>
      <c r="C39" s="49">
        <v>108</v>
      </c>
      <c r="D39" s="49">
        <v>27</v>
      </c>
      <c r="E39" s="49">
        <v>40</v>
      </c>
      <c r="F39" s="49">
        <v>7</v>
      </c>
      <c r="G39" s="49">
        <v>3</v>
      </c>
      <c r="H39" s="49">
        <v>0</v>
      </c>
      <c r="I39" s="49">
        <v>39</v>
      </c>
      <c r="J39" s="49">
        <v>6</v>
      </c>
      <c r="K39" s="49">
        <v>4</v>
      </c>
      <c r="L39" s="49">
        <v>7</v>
      </c>
      <c r="M39" s="49">
        <v>560</v>
      </c>
      <c r="N39" s="49">
        <v>0</v>
      </c>
      <c r="O39" s="15">
        <f t="shared" si="0"/>
        <v>241</v>
      </c>
      <c r="P39" s="15">
        <f t="shared" si="1"/>
        <v>801</v>
      </c>
    </row>
    <row r="40" spans="2:20" ht="23.1" customHeight="1" x14ac:dyDescent="0.25">
      <c r="B40" s="23" t="s">
        <v>67</v>
      </c>
      <c r="C40" s="49">
        <v>60</v>
      </c>
      <c r="D40" s="49">
        <v>5</v>
      </c>
      <c r="E40" s="49">
        <v>2</v>
      </c>
      <c r="F40" s="49">
        <v>0</v>
      </c>
      <c r="G40" s="49">
        <v>0</v>
      </c>
      <c r="H40" s="49">
        <v>1</v>
      </c>
      <c r="I40" s="49">
        <v>4</v>
      </c>
      <c r="J40" s="49">
        <v>0</v>
      </c>
      <c r="K40" s="49">
        <v>1</v>
      </c>
      <c r="L40" s="49">
        <v>2</v>
      </c>
      <c r="M40" s="49">
        <v>525</v>
      </c>
      <c r="N40" s="49">
        <v>0</v>
      </c>
      <c r="O40" s="15">
        <f t="shared" si="0"/>
        <v>75</v>
      </c>
      <c r="P40" s="15">
        <f t="shared" si="1"/>
        <v>600</v>
      </c>
    </row>
    <row r="41" spans="2:20" ht="23.1" customHeight="1" x14ac:dyDescent="0.25">
      <c r="B41" s="22" t="s">
        <v>68</v>
      </c>
      <c r="C41" s="49">
        <v>160</v>
      </c>
      <c r="D41" s="49">
        <v>35</v>
      </c>
      <c r="E41" s="49">
        <v>11</v>
      </c>
      <c r="F41" s="49">
        <v>1</v>
      </c>
      <c r="G41" s="49">
        <v>0</v>
      </c>
      <c r="H41" s="49">
        <v>1</v>
      </c>
      <c r="I41" s="49">
        <v>6</v>
      </c>
      <c r="J41" s="49">
        <v>2</v>
      </c>
      <c r="K41" s="49">
        <v>1</v>
      </c>
      <c r="L41" s="49">
        <v>2</v>
      </c>
      <c r="M41" s="49">
        <v>535</v>
      </c>
      <c r="N41" s="49">
        <v>0</v>
      </c>
      <c r="O41" s="15">
        <f t="shared" si="0"/>
        <v>219</v>
      </c>
      <c r="P41" s="15">
        <f t="shared" si="1"/>
        <v>754</v>
      </c>
    </row>
    <row r="42" spans="2:20" ht="23.1" customHeight="1" x14ac:dyDescent="0.25">
      <c r="B42" s="23" t="s">
        <v>69</v>
      </c>
      <c r="C42" s="49">
        <v>160</v>
      </c>
      <c r="D42" s="49">
        <v>29</v>
      </c>
      <c r="E42" s="49">
        <v>16</v>
      </c>
      <c r="F42" s="49">
        <v>3</v>
      </c>
      <c r="G42" s="49">
        <v>1</v>
      </c>
      <c r="H42" s="49">
        <v>0</v>
      </c>
      <c r="I42" s="49">
        <v>13</v>
      </c>
      <c r="J42" s="49">
        <v>6</v>
      </c>
      <c r="K42" s="49">
        <v>0</v>
      </c>
      <c r="L42" s="49">
        <v>1</v>
      </c>
      <c r="M42" s="49">
        <v>587</v>
      </c>
      <c r="N42" s="49">
        <v>0</v>
      </c>
      <c r="O42" s="15">
        <f t="shared" si="0"/>
        <v>229</v>
      </c>
      <c r="P42" s="15">
        <f t="shared" si="1"/>
        <v>816</v>
      </c>
    </row>
    <row r="43" spans="2:20" ht="23.1" customHeight="1" x14ac:dyDescent="0.25">
      <c r="B43" s="22" t="s">
        <v>70</v>
      </c>
      <c r="C43" s="49">
        <v>160</v>
      </c>
      <c r="D43" s="49">
        <v>50</v>
      </c>
      <c r="E43" s="49">
        <v>22</v>
      </c>
      <c r="F43" s="49">
        <v>3</v>
      </c>
      <c r="G43" s="49">
        <v>0</v>
      </c>
      <c r="H43" s="49">
        <v>0</v>
      </c>
      <c r="I43" s="49">
        <v>8</v>
      </c>
      <c r="J43" s="49">
        <v>8</v>
      </c>
      <c r="K43" s="49">
        <v>7</v>
      </c>
      <c r="L43" s="49">
        <v>5</v>
      </c>
      <c r="M43" s="49">
        <v>470</v>
      </c>
      <c r="N43" s="49">
        <v>0</v>
      </c>
      <c r="O43" s="15">
        <f t="shared" si="0"/>
        <v>263</v>
      </c>
      <c r="P43" s="15">
        <f t="shared" si="1"/>
        <v>733</v>
      </c>
    </row>
    <row r="44" spans="2:20" ht="23.1" customHeight="1" x14ac:dyDescent="0.25">
      <c r="B44" s="24" t="s">
        <v>71</v>
      </c>
      <c r="C44" s="49">
        <v>150</v>
      </c>
      <c r="D44" s="49">
        <v>43</v>
      </c>
      <c r="E44" s="49">
        <v>15</v>
      </c>
      <c r="F44" s="49">
        <v>0</v>
      </c>
      <c r="G44" s="49">
        <v>1</v>
      </c>
      <c r="H44" s="49">
        <v>0</v>
      </c>
      <c r="I44" s="49">
        <v>9</v>
      </c>
      <c r="J44" s="49">
        <v>6</v>
      </c>
      <c r="K44" s="49">
        <v>3</v>
      </c>
      <c r="L44" s="49">
        <v>1</v>
      </c>
      <c r="M44" s="49">
        <v>535</v>
      </c>
      <c r="N44" s="49">
        <v>0</v>
      </c>
      <c r="O44" s="15">
        <f t="shared" si="0"/>
        <v>228</v>
      </c>
      <c r="P44" s="15">
        <f t="shared" si="1"/>
        <v>763</v>
      </c>
    </row>
    <row r="45" spans="2:20" ht="23.1" customHeight="1" x14ac:dyDescent="0.25">
      <c r="B45" s="22" t="s">
        <v>72</v>
      </c>
      <c r="C45" s="49">
        <v>160</v>
      </c>
      <c r="D45" s="49">
        <v>48</v>
      </c>
      <c r="E45" s="49">
        <v>7</v>
      </c>
      <c r="F45" s="49">
        <v>0</v>
      </c>
      <c r="G45" s="49">
        <v>1</v>
      </c>
      <c r="H45" s="49">
        <v>0</v>
      </c>
      <c r="I45" s="49">
        <v>6</v>
      </c>
      <c r="J45" s="49">
        <v>5</v>
      </c>
      <c r="K45" s="49">
        <v>3</v>
      </c>
      <c r="L45" s="49">
        <v>3</v>
      </c>
      <c r="M45" s="49">
        <v>555</v>
      </c>
      <c r="N45" s="49">
        <v>0</v>
      </c>
      <c r="O45" s="15">
        <f t="shared" si="0"/>
        <v>233</v>
      </c>
      <c r="P45" s="15">
        <f t="shared" si="1"/>
        <v>788</v>
      </c>
    </row>
    <row r="46" spans="2:20" ht="23.1" customHeight="1" x14ac:dyDescent="0.25">
      <c r="B46" s="23" t="s">
        <v>73</v>
      </c>
      <c r="C46" s="49">
        <v>160</v>
      </c>
      <c r="D46" s="49">
        <v>44</v>
      </c>
      <c r="E46" s="49">
        <v>28</v>
      </c>
      <c r="F46" s="49">
        <v>0</v>
      </c>
      <c r="G46" s="49">
        <v>1</v>
      </c>
      <c r="H46" s="49">
        <v>0</v>
      </c>
      <c r="I46" s="49">
        <v>13</v>
      </c>
      <c r="J46" s="49">
        <v>7</v>
      </c>
      <c r="K46" s="49">
        <v>3</v>
      </c>
      <c r="L46" s="49">
        <v>1</v>
      </c>
      <c r="M46" s="49">
        <v>350</v>
      </c>
      <c r="N46" s="49">
        <v>0</v>
      </c>
      <c r="O46" s="15">
        <f t="shared" si="0"/>
        <v>257</v>
      </c>
      <c r="P46" s="15">
        <f t="shared" si="1"/>
        <v>607</v>
      </c>
      <c r="R46" s="8"/>
      <c r="T46"/>
    </row>
    <row r="47" spans="2:20" ht="23.1" customHeight="1" x14ac:dyDescent="0.25">
      <c r="B47" s="23" t="s">
        <v>74</v>
      </c>
      <c r="C47" s="49">
        <v>140</v>
      </c>
      <c r="D47" s="49">
        <v>37</v>
      </c>
      <c r="E47" s="49">
        <v>20</v>
      </c>
      <c r="F47" s="49">
        <v>4</v>
      </c>
      <c r="G47" s="49">
        <v>1</v>
      </c>
      <c r="H47" s="49">
        <v>0</v>
      </c>
      <c r="I47" s="49">
        <v>12</v>
      </c>
      <c r="J47" s="49">
        <v>15</v>
      </c>
      <c r="K47" s="49">
        <v>2</v>
      </c>
      <c r="L47" s="49">
        <v>3</v>
      </c>
      <c r="M47" s="49">
        <v>450</v>
      </c>
      <c r="N47" s="49">
        <v>0</v>
      </c>
      <c r="O47" s="15">
        <f t="shared" si="0"/>
        <v>234</v>
      </c>
      <c r="P47" s="15">
        <f t="shared" si="1"/>
        <v>684</v>
      </c>
      <c r="R47" s="8"/>
      <c r="T47"/>
    </row>
    <row r="48" spans="2:20" ht="23.1" customHeight="1" x14ac:dyDescent="0.25">
      <c r="B48" s="23" t="s">
        <v>75</v>
      </c>
      <c r="C48" s="49">
        <v>160</v>
      </c>
      <c r="D48" s="49">
        <v>52</v>
      </c>
      <c r="E48" s="49">
        <v>21</v>
      </c>
      <c r="F48" s="49">
        <v>1</v>
      </c>
      <c r="G48" s="49">
        <v>0</v>
      </c>
      <c r="H48" s="49">
        <v>0</v>
      </c>
      <c r="I48" s="49">
        <v>19</v>
      </c>
      <c r="J48" s="49">
        <v>5</v>
      </c>
      <c r="K48" s="49">
        <v>2</v>
      </c>
      <c r="L48" s="49">
        <v>0</v>
      </c>
      <c r="M48" s="49">
        <v>550</v>
      </c>
      <c r="N48" s="49">
        <v>0</v>
      </c>
      <c r="O48" s="15">
        <f t="shared" si="0"/>
        <v>260</v>
      </c>
      <c r="P48" s="15">
        <f t="shared" si="1"/>
        <v>810</v>
      </c>
      <c r="R48" s="8"/>
      <c r="T48"/>
    </row>
    <row r="49" spans="2:20" ht="23.1" customHeight="1" x14ac:dyDescent="0.25">
      <c r="B49" s="22" t="s">
        <v>76</v>
      </c>
      <c r="C49" s="49">
        <v>200</v>
      </c>
      <c r="D49" s="49">
        <v>40</v>
      </c>
      <c r="E49" s="49">
        <v>18</v>
      </c>
      <c r="F49" s="49">
        <v>2</v>
      </c>
      <c r="G49" s="49">
        <v>2</v>
      </c>
      <c r="H49" s="49">
        <v>0</v>
      </c>
      <c r="I49" s="49">
        <v>6</v>
      </c>
      <c r="J49" s="49">
        <v>5</v>
      </c>
      <c r="K49" s="49">
        <v>4</v>
      </c>
      <c r="L49" s="49">
        <v>2</v>
      </c>
      <c r="M49" s="49">
        <v>750</v>
      </c>
      <c r="N49" s="49">
        <v>1</v>
      </c>
      <c r="O49" s="15">
        <f t="shared" si="0"/>
        <v>280</v>
      </c>
      <c r="P49" s="15">
        <f t="shared" si="1"/>
        <v>1030</v>
      </c>
      <c r="R49" s="8"/>
      <c r="T49"/>
    </row>
    <row r="50" spans="2:20" ht="23.1" customHeight="1" x14ac:dyDescent="0.25">
      <c r="B50" s="23" t="s">
        <v>77</v>
      </c>
      <c r="C50" s="49">
        <v>185</v>
      </c>
      <c r="D50" s="49">
        <v>30</v>
      </c>
      <c r="E50" s="49">
        <v>16</v>
      </c>
      <c r="F50" s="49">
        <v>4</v>
      </c>
      <c r="G50" s="49">
        <v>2</v>
      </c>
      <c r="H50" s="49">
        <v>0</v>
      </c>
      <c r="I50" s="49">
        <v>6</v>
      </c>
      <c r="J50" s="49">
        <v>4</v>
      </c>
      <c r="K50" s="49">
        <v>2</v>
      </c>
      <c r="L50" s="49">
        <v>10</v>
      </c>
      <c r="M50" s="49">
        <v>578</v>
      </c>
      <c r="N50" s="49">
        <v>0</v>
      </c>
      <c r="O50" s="15">
        <f t="shared" si="0"/>
        <v>259</v>
      </c>
      <c r="P50" s="15">
        <f t="shared" si="1"/>
        <v>837</v>
      </c>
      <c r="R50" s="8"/>
      <c r="T50"/>
    </row>
    <row r="51" spans="2:20" ht="23.1" customHeight="1" x14ac:dyDescent="0.25">
      <c r="B51" s="23" t="s">
        <v>78</v>
      </c>
      <c r="C51" s="49">
        <v>200</v>
      </c>
      <c r="D51" s="49">
        <v>35</v>
      </c>
      <c r="E51" s="49">
        <v>20</v>
      </c>
      <c r="F51" s="49">
        <v>1</v>
      </c>
      <c r="G51" s="49">
        <v>0</v>
      </c>
      <c r="H51" s="49">
        <v>0</v>
      </c>
      <c r="I51" s="49">
        <v>11</v>
      </c>
      <c r="J51" s="49">
        <v>5</v>
      </c>
      <c r="K51" s="49">
        <v>0</v>
      </c>
      <c r="L51" s="49">
        <v>2</v>
      </c>
      <c r="M51" s="49">
        <v>466</v>
      </c>
      <c r="N51" s="49">
        <v>0</v>
      </c>
      <c r="O51" s="15">
        <f t="shared" si="0"/>
        <v>274</v>
      </c>
      <c r="P51" s="15">
        <f t="shared" si="1"/>
        <v>740</v>
      </c>
      <c r="R51" s="8"/>
      <c r="T51"/>
    </row>
    <row r="52" spans="2:20" ht="23.1" customHeight="1" x14ac:dyDescent="0.25">
      <c r="B52" s="23" t="s">
        <v>79</v>
      </c>
      <c r="C52" s="49">
        <v>200</v>
      </c>
      <c r="D52" s="49">
        <v>35</v>
      </c>
      <c r="E52" s="49">
        <v>17</v>
      </c>
      <c r="F52" s="49">
        <v>0</v>
      </c>
      <c r="G52" s="49">
        <v>0</v>
      </c>
      <c r="H52" s="49">
        <v>1</v>
      </c>
      <c r="I52" s="49">
        <v>7</v>
      </c>
      <c r="J52" s="49">
        <v>7</v>
      </c>
      <c r="K52" s="49">
        <v>3</v>
      </c>
      <c r="L52" s="49">
        <v>2</v>
      </c>
      <c r="M52" s="49">
        <v>455</v>
      </c>
      <c r="N52" s="49">
        <v>1</v>
      </c>
      <c r="O52" s="15">
        <f t="shared" si="0"/>
        <v>273</v>
      </c>
      <c r="P52" s="15">
        <f t="shared" si="1"/>
        <v>728</v>
      </c>
      <c r="R52" s="8"/>
      <c r="T52"/>
    </row>
    <row r="53" spans="2:20" ht="23.1" customHeight="1" x14ac:dyDescent="0.25">
      <c r="B53" s="22" t="s">
        <v>80</v>
      </c>
      <c r="C53" s="49">
        <v>200</v>
      </c>
      <c r="D53" s="49">
        <v>19</v>
      </c>
      <c r="E53" s="49">
        <v>20</v>
      </c>
      <c r="F53" s="49">
        <v>3</v>
      </c>
      <c r="G53" s="49">
        <v>0</v>
      </c>
      <c r="H53" s="49">
        <v>0</v>
      </c>
      <c r="I53" s="49">
        <v>8</v>
      </c>
      <c r="J53" s="49">
        <v>3</v>
      </c>
      <c r="K53" s="49">
        <v>3</v>
      </c>
      <c r="L53" s="49">
        <v>3</v>
      </c>
      <c r="M53" s="49">
        <v>480</v>
      </c>
      <c r="N53" s="49">
        <v>1</v>
      </c>
      <c r="O53" s="15">
        <f t="shared" si="0"/>
        <v>260</v>
      </c>
      <c r="P53" s="15">
        <f t="shared" si="1"/>
        <v>740</v>
      </c>
      <c r="R53" s="8"/>
      <c r="T53"/>
    </row>
    <row r="54" spans="2:20" ht="23.1" customHeight="1" x14ac:dyDescent="0.25">
      <c r="B54" s="22" t="s">
        <v>81</v>
      </c>
      <c r="C54" s="49">
        <v>160</v>
      </c>
      <c r="D54" s="49">
        <v>40</v>
      </c>
      <c r="E54" s="49">
        <v>19</v>
      </c>
      <c r="F54" s="49">
        <v>2</v>
      </c>
      <c r="G54" s="49">
        <v>1</v>
      </c>
      <c r="H54" s="49">
        <v>0</v>
      </c>
      <c r="I54" s="49">
        <v>14</v>
      </c>
      <c r="J54" s="49">
        <v>5</v>
      </c>
      <c r="K54" s="49">
        <v>2</v>
      </c>
      <c r="L54" s="49">
        <v>6</v>
      </c>
      <c r="M54" s="49">
        <v>525</v>
      </c>
      <c r="N54" s="49">
        <v>0</v>
      </c>
      <c r="O54" s="15">
        <f t="shared" si="0"/>
        <v>249</v>
      </c>
      <c r="P54" s="15">
        <f t="shared" si="1"/>
        <v>774</v>
      </c>
      <c r="R54" s="8"/>
      <c r="T54"/>
    </row>
    <row r="55" spans="2:20" ht="23.1" customHeight="1" x14ac:dyDescent="0.25">
      <c r="B55" s="22" t="s">
        <v>82</v>
      </c>
      <c r="C55" s="49">
        <v>160</v>
      </c>
      <c r="D55" s="49">
        <v>35</v>
      </c>
      <c r="E55" s="49">
        <v>11</v>
      </c>
      <c r="F55" s="49">
        <v>4</v>
      </c>
      <c r="G55" s="49">
        <v>0</v>
      </c>
      <c r="H55" s="49">
        <v>0</v>
      </c>
      <c r="I55" s="49">
        <v>8</v>
      </c>
      <c r="J55" s="49">
        <v>3</v>
      </c>
      <c r="K55" s="49">
        <v>0</v>
      </c>
      <c r="L55" s="49">
        <v>1</v>
      </c>
      <c r="M55" s="49">
        <v>350</v>
      </c>
      <c r="N55" s="49">
        <v>0</v>
      </c>
      <c r="O55" s="15">
        <f t="shared" si="0"/>
        <v>222</v>
      </c>
      <c r="P55" s="15">
        <f t="shared" si="1"/>
        <v>572</v>
      </c>
      <c r="R55" s="8"/>
      <c r="T55"/>
    </row>
    <row r="56" spans="2:20" ht="23.1" customHeight="1" x14ac:dyDescent="0.25">
      <c r="B56" s="22" t="s">
        <v>83</v>
      </c>
      <c r="C56" s="49">
        <v>150</v>
      </c>
      <c r="D56" s="49">
        <v>40</v>
      </c>
      <c r="E56" s="49">
        <v>14</v>
      </c>
      <c r="F56" s="49">
        <v>4</v>
      </c>
      <c r="G56" s="49">
        <v>1</v>
      </c>
      <c r="H56" s="49">
        <v>0</v>
      </c>
      <c r="I56" s="49">
        <v>13</v>
      </c>
      <c r="J56" s="49">
        <v>1</v>
      </c>
      <c r="K56" s="49">
        <v>3</v>
      </c>
      <c r="L56" s="49">
        <v>2</v>
      </c>
      <c r="M56" s="49">
        <v>330</v>
      </c>
      <c r="N56" s="49">
        <v>0</v>
      </c>
      <c r="O56" s="15">
        <f t="shared" si="0"/>
        <v>228</v>
      </c>
      <c r="P56" s="15">
        <f t="shared" si="1"/>
        <v>558</v>
      </c>
      <c r="R56" s="8"/>
      <c r="T56"/>
    </row>
    <row r="57" spans="2:20" ht="23.1" customHeight="1" x14ac:dyDescent="0.25">
      <c r="B57" s="22" t="s">
        <v>84</v>
      </c>
      <c r="C57" s="49">
        <v>112</v>
      </c>
      <c r="D57" s="49">
        <v>17</v>
      </c>
      <c r="E57" s="49">
        <v>21</v>
      </c>
      <c r="F57" s="49">
        <v>18</v>
      </c>
      <c r="G57" s="49">
        <v>2</v>
      </c>
      <c r="H57" s="49">
        <v>0</v>
      </c>
      <c r="I57" s="49">
        <v>10</v>
      </c>
      <c r="J57" s="49">
        <v>3</v>
      </c>
      <c r="K57" s="49">
        <v>2</v>
      </c>
      <c r="L57" s="49">
        <v>6</v>
      </c>
      <c r="M57" s="49">
        <v>290</v>
      </c>
      <c r="N57" s="49">
        <v>0</v>
      </c>
      <c r="O57" s="15">
        <f t="shared" si="0"/>
        <v>191</v>
      </c>
      <c r="P57" s="15">
        <f t="shared" si="1"/>
        <v>481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6972</v>
      </c>
      <c r="D58" s="16">
        <f t="shared" si="21"/>
        <v>1526</v>
      </c>
      <c r="E58" s="16">
        <f t="shared" si="21"/>
        <v>760</v>
      </c>
      <c r="F58" s="16">
        <f t="shared" si="21"/>
        <v>118</v>
      </c>
      <c r="G58" s="16">
        <f t="shared" si="21"/>
        <v>62</v>
      </c>
      <c r="H58" s="16">
        <f t="shared" si="21"/>
        <v>15</v>
      </c>
      <c r="I58" s="16">
        <f t="shared" si="21"/>
        <v>546</v>
      </c>
      <c r="J58" s="16">
        <f t="shared" si="21"/>
        <v>212</v>
      </c>
      <c r="K58" s="16">
        <f t="shared" si="21"/>
        <v>105</v>
      </c>
      <c r="L58" s="16">
        <f t="shared" si="21"/>
        <v>114</v>
      </c>
      <c r="M58" s="16">
        <f t="shared" si="21"/>
        <v>26900</v>
      </c>
      <c r="N58" s="16">
        <f t="shared" si="21"/>
        <v>3</v>
      </c>
      <c r="O58" s="16">
        <f t="shared" si="21"/>
        <v>10433</v>
      </c>
      <c r="P58" s="16">
        <f t="shared" si="21"/>
        <v>37333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0.18675166742560201</v>
      </c>
      <c r="D59" s="42">
        <f t="shared" si="22"/>
        <v>4.0875364958615705E-2</v>
      </c>
      <c r="E59" s="42">
        <f t="shared" si="22"/>
        <v>2.0357324618969812E-2</v>
      </c>
      <c r="F59" s="42">
        <f t="shared" si="22"/>
        <v>3.1607425066295233E-3</v>
      </c>
      <c r="G59" s="42">
        <f t="shared" si="22"/>
        <v>1.6607291136528004E-3</v>
      </c>
      <c r="H59" s="42">
        <f t="shared" si="22"/>
        <v>4.0178930169019366E-4</v>
      </c>
      <c r="I59" s="42">
        <f t="shared" si="22"/>
        <v>1.4625130581523049E-2</v>
      </c>
      <c r="J59" s="42">
        <f t="shared" si="22"/>
        <v>5.6786221305547375E-3</v>
      </c>
      <c r="K59" s="42">
        <f t="shared" si="22"/>
        <v>2.8125251118313556E-3</v>
      </c>
      <c r="L59" s="42">
        <f t="shared" si="22"/>
        <v>3.0535986928454718E-3</v>
      </c>
      <c r="M59" s="42">
        <f t="shared" si="22"/>
        <v>0.72054214769774727</v>
      </c>
      <c r="N59" s="42">
        <f t="shared" si="22"/>
        <v>8.0357860338038729E-5</v>
      </c>
      <c r="R59" s="8"/>
      <c r="T59"/>
    </row>
    <row r="60" spans="2:20" ht="23.1" customHeight="1" x14ac:dyDescent="0.25">
      <c r="B60" s="41" t="s">
        <v>94</v>
      </c>
      <c r="C60" s="43">
        <f>C58/$O$58</f>
        <v>0.66826416179430648</v>
      </c>
      <c r="D60" s="43">
        <f t="shared" ref="D60:N60" si="23">D58/$O$58</f>
        <v>0.14626665388670565</v>
      </c>
      <c r="E60" s="43">
        <f t="shared" si="23"/>
        <v>7.2845777820377641E-2</v>
      </c>
      <c r="F60" s="43">
        <f t="shared" si="23"/>
        <v>1.1310265503690214E-2</v>
      </c>
      <c r="G60" s="43">
        <f t="shared" si="23"/>
        <v>5.9426818748202822E-3</v>
      </c>
      <c r="H60" s="43">
        <f t="shared" si="23"/>
        <v>1.4377456148758746E-3</v>
      </c>
      <c r="I60" s="43">
        <f t="shared" si="23"/>
        <v>5.2333940381481835E-2</v>
      </c>
      <c r="J60" s="43">
        <f t="shared" si="23"/>
        <v>2.0320138023579029E-2</v>
      </c>
      <c r="K60" s="43">
        <f t="shared" si="23"/>
        <v>1.0064219304131122E-2</v>
      </c>
      <c r="L60" s="43">
        <f t="shared" si="23"/>
        <v>1.0926866673056647E-2</v>
      </c>
      <c r="M60" s="43"/>
      <c r="N60" s="43">
        <f t="shared" si="23"/>
        <v>2.8754912297517492E-4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topLeftCell="A6" zoomScale="60" workbookViewId="0">
      <selection activeCell="L54" sqref="L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'30.7.Jinja RD-Mukwano RD'!C3:G3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186</v>
      </c>
      <c r="E5" s="3"/>
      <c r="F5" s="40" t="s">
        <v>1</v>
      </c>
      <c r="G5" s="58" t="e">
        <f>#REF!</f>
        <v>#REF!</v>
      </c>
      <c r="H5" s="59"/>
      <c r="I5" s="14"/>
      <c r="J5" s="2" t="s">
        <v>5</v>
      </c>
      <c r="K5" s="58" t="s">
        <v>170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166</v>
      </c>
      <c r="E6" s="59"/>
      <c r="F6" s="2" t="s">
        <v>2</v>
      </c>
      <c r="G6" s="58" t="s">
        <v>165</v>
      </c>
      <c r="H6" s="59"/>
      <c r="J6" s="2" t="s">
        <v>21</v>
      </c>
      <c r="K6" s="58" t="e">
        <f>#REF!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170</v>
      </c>
      <c r="D10" s="49">
        <v>43</v>
      </c>
      <c r="E10" s="49">
        <v>21</v>
      </c>
      <c r="F10" s="49">
        <v>16</v>
      </c>
      <c r="G10" s="49">
        <v>1</v>
      </c>
      <c r="H10" s="49">
        <v>0</v>
      </c>
      <c r="I10" s="49">
        <v>8</v>
      </c>
      <c r="J10" s="49">
        <v>2</v>
      </c>
      <c r="K10" s="49">
        <v>1</v>
      </c>
      <c r="L10" s="49">
        <v>1</v>
      </c>
      <c r="M10" s="49">
        <v>240</v>
      </c>
      <c r="N10" s="49">
        <v>0</v>
      </c>
      <c r="O10" s="15">
        <f t="shared" ref="O10:O57" si="0">SUM(C10:L10,N10)</f>
        <v>263</v>
      </c>
      <c r="P10" s="15">
        <f t="shared" ref="P10:P57" si="1">SUM(C10:N10)</f>
        <v>503</v>
      </c>
      <c r="R10" s="1" t="s">
        <v>6</v>
      </c>
      <c r="S10" s="17">
        <f t="shared" ref="S10:AF10" si="2">SUM(C10:C13)</f>
        <v>823</v>
      </c>
      <c r="T10" s="17">
        <f t="shared" si="2"/>
        <v>225</v>
      </c>
      <c r="U10" s="17">
        <f t="shared" si="2"/>
        <v>68</v>
      </c>
      <c r="V10" s="17">
        <f t="shared" si="2"/>
        <v>64</v>
      </c>
      <c r="W10" s="17">
        <f t="shared" si="2"/>
        <v>3</v>
      </c>
      <c r="X10" s="17">
        <f t="shared" si="2"/>
        <v>1</v>
      </c>
      <c r="Y10" s="17">
        <f t="shared" si="2"/>
        <v>14</v>
      </c>
      <c r="Z10" s="17">
        <f t="shared" si="2"/>
        <v>3</v>
      </c>
      <c r="AA10" s="17">
        <f t="shared" si="2"/>
        <v>3</v>
      </c>
      <c r="AB10" s="17">
        <f t="shared" si="2"/>
        <v>4</v>
      </c>
      <c r="AC10" s="17">
        <f t="shared" si="2"/>
        <v>1225</v>
      </c>
      <c r="AD10" s="17">
        <f t="shared" si="2"/>
        <v>0</v>
      </c>
      <c r="AE10" s="30">
        <f t="shared" si="2"/>
        <v>1208</v>
      </c>
      <c r="AF10" s="30">
        <f t="shared" si="2"/>
        <v>2433</v>
      </c>
    </row>
    <row r="11" spans="2:32" s="6" customFormat="1" ht="23.1" customHeight="1" x14ac:dyDescent="0.25">
      <c r="B11" s="22" t="s">
        <v>38</v>
      </c>
      <c r="C11" s="49">
        <v>183</v>
      </c>
      <c r="D11" s="49">
        <v>60</v>
      </c>
      <c r="E11" s="49">
        <v>13</v>
      </c>
      <c r="F11" s="49">
        <v>18</v>
      </c>
      <c r="G11" s="49">
        <v>2</v>
      </c>
      <c r="H11" s="49">
        <v>0</v>
      </c>
      <c r="I11" s="49">
        <v>1</v>
      </c>
      <c r="J11" s="49">
        <v>0</v>
      </c>
      <c r="K11" s="49">
        <v>0</v>
      </c>
      <c r="L11" s="49">
        <v>0</v>
      </c>
      <c r="M11" s="49">
        <v>350</v>
      </c>
      <c r="N11" s="49">
        <v>0</v>
      </c>
      <c r="O11" s="15">
        <f t="shared" si="0"/>
        <v>277</v>
      </c>
      <c r="P11" s="15">
        <f t="shared" si="1"/>
        <v>627</v>
      </c>
      <c r="R11" s="1" t="s">
        <v>7</v>
      </c>
      <c r="S11" s="17">
        <f t="shared" ref="S11:AF11" si="3">SUM(C14:C17)</f>
        <v>757</v>
      </c>
      <c r="T11" s="17">
        <f t="shared" si="3"/>
        <v>209</v>
      </c>
      <c r="U11" s="17">
        <f t="shared" si="3"/>
        <v>43</v>
      </c>
      <c r="V11" s="17">
        <f t="shared" si="3"/>
        <v>48</v>
      </c>
      <c r="W11" s="17">
        <f t="shared" si="3"/>
        <v>1</v>
      </c>
      <c r="X11" s="17">
        <f t="shared" si="3"/>
        <v>0</v>
      </c>
      <c r="Y11" s="17">
        <f t="shared" si="3"/>
        <v>12</v>
      </c>
      <c r="Z11" s="17">
        <f t="shared" si="3"/>
        <v>7</v>
      </c>
      <c r="AA11" s="17">
        <f t="shared" si="3"/>
        <v>1</v>
      </c>
      <c r="AB11" s="17">
        <f t="shared" si="3"/>
        <v>1</v>
      </c>
      <c r="AC11" s="17">
        <f t="shared" si="3"/>
        <v>1298</v>
      </c>
      <c r="AD11" s="17">
        <f t="shared" si="3"/>
        <v>0</v>
      </c>
      <c r="AE11" s="30">
        <f t="shared" si="3"/>
        <v>1079</v>
      </c>
      <c r="AF11" s="30">
        <f t="shared" si="3"/>
        <v>2377</v>
      </c>
    </row>
    <row r="12" spans="2:32" ht="23.1" customHeight="1" x14ac:dyDescent="0.25">
      <c r="B12" s="22" t="s">
        <v>39</v>
      </c>
      <c r="C12" s="49">
        <v>229</v>
      </c>
      <c r="D12" s="49">
        <v>51</v>
      </c>
      <c r="E12" s="49">
        <v>17</v>
      </c>
      <c r="F12" s="49">
        <v>17</v>
      </c>
      <c r="G12" s="49">
        <v>0</v>
      </c>
      <c r="H12" s="49">
        <v>0</v>
      </c>
      <c r="I12" s="49">
        <v>2</v>
      </c>
      <c r="J12" s="49">
        <v>1</v>
      </c>
      <c r="K12" s="49">
        <v>2</v>
      </c>
      <c r="L12" s="49">
        <v>1</v>
      </c>
      <c r="M12" s="49">
        <v>260</v>
      </c>
      <c r="N12" s="49">
        <v>0</v>
      </c>
      <c r="O12" s="15">
        <f t="shared" si="0"/>
        <v>320</v>
      </c>
      <c r="P12" s="15">
        <f t="shared" si="1"/>
        <v>580</v>
      </c>
      <c r="R12" s="1" t="s">
        <v>8</v>
      </c>
      <c r="S12" s="17">
        <f t="shared" ref="S12:AF12" si="4">SUM(C18:C21)</f>
        <v>765</v>
      </c>
      <c r="T12" s="17">
        <f t="shared" si="4"/>
        <v>243</v>
      </c>
      <c r="U12" s="17">
        <f t="shared" si="4"/>
        <v>54</v>
      </c>
      <c r="V12" s="17">
        <f t="shared" si="4"/>
        <v>36</v>
      </c>
      <c r="W12" s="17">
        <f t="shared" si="4"/>
        <v>7</v>
      </c>
      <c r="X12" s="17">
        <f t="shared" si="4"/>
        <v>2</v>
      </c>
      <c r="Y12" s="17">
        <f t="shared" si="4"/>
        <v>9</v>
      </c>
      <c r="Z12" s="17">
        <f t="shared" si="4"/>
        <v>21</v>
      </c>
      <c r="AA12" s="17">
        <f t="shared" si="4"/>
        <v>4</v>
      </c>
      <c r="AB12" s="17">
        <f t="shared" si="4"/>
        <v>3</v>
      </c>
      <c r="AC12" s="17">
        <f t="shared" si="4"/>
        <v>1219</v>
      </c>
      <c r="AD12" s="17">
        <f t="shared" si="4"/>
        <v>0</v>
      </c>
      <c r="AE12" s="30">
        <f t="shared" si="4"/>
        <v>1144</v>
      </c>
      <c r="AF12" s="30">
        <f t="shared" si="4"/>
        <v>2363</v>
      </c>
    </row>
    <row r="13" spans="2:32" ht="23.1" customHeight="1" x14ac:dyDescent="0.25">
      <c r="B13" s="22" t="s">
        <v>40</v>
      </c>
      <c r="C13" s="49">
        <v>241</v>
      </c>
      <c r="D13" s="49">
        <v>71</v>
      </c>
      <c r="E13" s="49">
        <v>17</v>
      </c>
      <c r="F13" s="49">
        <v>13</v>
      </c>
      <c r="G13" s="49">
        <v>0</v>
      </c>
      <c r="H13" s="49">
        <v>1</v>
      </c>
      <c r="I13" s="49">
        <v>3</v>
      </c>
      <c r="J13" s="49">
        <v>0</v>
      </c>
      <c r="K13" s="49">
        <v>0</v>
      </c>
      <c r="L13" s="49">
        <v>2</v>
      </c>
      <c r="M13" s="49">
        <v>375</v>
      </c>
      <c r="N13" s="49">
        <v>0</v>
      </c>
      <c r="O13" s="15">
        <f t="shared" si="0"/>
        <v>348</v>
      </c>
      <c r="P13" s="15">
        <f t="shared" si="1"/>
        <v>723</v>
      </c>
      <c r="R13" s="1" t="s">
        <v>9</v>
      </c>
      <c r="S13" s="17">
        <f t="shared" ref="S13:AF13" si="5">SUM(C22:C25)</f>
        <v>648</v>
      </c>
      <c r="T13" s="17">
        <f t="shared" si="5"/>
        <v>214</v>
      </c>
      <c r="U13" s="17">
        <f t="shared" si="5"/>
        <v>44</v>
      </c>
      <c r="V13" s="17">
        <f t="shared" si="5"/>
        <v>16</v>
      </c>
      <c r="W13" s="17">
        <f t="shared" si="5"/>
        <v>2</v>
      </c>
      <c r="X13" s="17">
        <f t="shared" si="5"/>
        <v>0</v>
      </c>
      <c r="Y13" s="17">
        <f t="shared" si="5"/>
        <v>18</v>
      </c>
      <c r="Z13" s="17">
        <f t="shared" si="5"/>
        <v>12</v>
      </c>
      <c r="AA13" s="17">
        <f t="shared" si="5"/>
        <v>7</v>
      </c>
      <c r="AB13" s="17">
        <f t="shared" si="5"/>
        <v>6</v>
      </c>
      <c r="AC13" s="17">
        <f t="shared" si="5"/>
        <v>1297</v>
      </c>
      <c r="AD13" s="17">
        <f t="shared" si="5"/>
        <v>0</v>
      </c>
      <c r="AE13" s="30">
        <f t="shared" si="5"/>
        <v>967</v>
      </c>
      <c r="AF13" s="30">
        <f t="shared" si="5"/>
        <v>2264</v>
      </c>
    </row>
    <row r="14" spans="2:32" ht="23.1" customHeight="1" x14ac:dyDescent="0.25">
      <c r="B14" s="22" t="s">
        <v>41</v>
      </c>
      <c r="C14" s="49">
        <v>190</v>
      </c>
      <c r="D14" s="49">
        <v>46</v>
      </c>
      <c r="E14" s="49">
        <v>9</v>
      </c>
      <c r="F14" s="49">
        <v>16</v>
      </c>
      <c r="G14" s="49">
        <v>0</v>
      </c>
      <c r="H14" s="49">
        <v>0</v>
      </c>
      <c r="I14" s="49">
        <v>5</v>
      </c>
      <c r="J14" s="49">
        <v>2</v>
      </c>
      <c r="K14" s="49">
        <v>0</v>
      </c>
      <c r="L14" s="49">
        <v>0</v>
      </c>
      <c r="M14" s="49">
        <v>273</v>
      </c>
      <c r="N14" s="49">
        <v>0</v>
      </c>
      <c r="O14" s="15">
        <f t="shared" si="0"/>
        <v>268</v>
      </c>
      <c r="P14" s="15">
        <f t="shared" si="1"/>
        <v>541</v>
      </c>
      <c r="R14" s="1" t="s">
        <v>10</v>
      </c>
      <c r="S14" s="17">
        <f t="shared" ref="S14:AF14" si="6">SUM(C26:C29)</f>
        <v>823</v>
      </c>
      <c r="T14" s="17">
        <f t="shared" si="6"/>
        <v>190</v>
      </c>
      <c r="U14" s="17">
        <f t="shared" si="6"/>
        <v>59</v>
      </c>
      <c r="V14" s="17">
        <f t="shared" si="6"/>
        <v>42</v>
      </c>
      <c r="W14" s="17">
        <f t="shared" si="6"/>
        <v>10</v>
      </c>
      <c r="X14" s="17">
        <f t="shared" si="6"/>
        <v>0</v>
      </c>
      <c r="Y14" s="17">
        <f t="shared" si="6"/>
        <v>18</v>
      </c>
      <c r="Z14" s="17">
        <f t="shared" si="6"/>
        <v>28</v>
      </c>
      <c r="AA14" s="17">
        <f t="shared" si="6"/>
        <v>9</v>
      </c>
      <c r="AB14" s="17">
        <f t="shared" si="6"/>
        <v>11</v>
      </c>
      <c r="AC14" s="17">
        <f t="shared" si="6"/>
        <v>1194</v>
      </c>
      <c r="AD14" s="17">
        <f t="shared" si="6"/>
        <v>0</v>
      </c>
      <c r="AE14" s="30">
        <f t="shared" si="6"/>
        <v>1190</v>
      </c>
      <c r="AF14" s="30">
        <f t="shared" si="6"/>
        <v>2384</v>
      </c>
    </row>
    <row r="15" spans="2:32" ht="23.1" customHeight="1" x14ac:dyDescent="0.25">
      <c r="B15" s="22" t="s">
        <v>42</v>
      </c>
      <c r="C15" s="49">
        <v>179</v>
      </c>
      <c r="D15" s="49">
        <v>55</v>
      </c>
      <c r="E15" s="49">
        <v>11</v>
      </c>
      <c r="F15" s="49">
        <v>13</v>
      </c>
      <c r="G15" s="49">
        <v>1</v>
      </c>
      <c r="H15" s="49">
        <v>0</v>
      </c>
      <c r="I15" s="49">
        <v>4</v>
      </c>
      <c r="J15" s="49">
        <v>2</v>
      </c>
      <c r="K15" s="49">
        <v>1</v>
      </c>
      <c r="L15" s="49">
        <v>1</v>
      </c>
      <c r="M15" s="49">
        <v>380</v>
      </c>
      <c r="N15" s="49">
        <v>0</v>
      </c>
      <c r="O15" s="15">
        <f t="shared" si="0"/>
        <v>267</v>
      </c>
      <c r="P15" s="15">
        <f t="shared" si="1"/>
        <v>647</v>
      </c>
      <c r="R15" s="1" t="s">
        <v>11</v>
      </c>
      <c r="S15" s="17">
        <f t="shared" ref="S15:AF15" si="7">SUM(C30:C33)</f>
        <v>767</v>
      </c>
      <c r="T15" s="17">
        <f t="shared" si="7"/>
        <v>207</v>
      </c>
      <c r="U15" s="17">
        <f t="shared" si="7"/>
        <v>42</v>
      </c>
      <c r="V15" s="17">
        <f t="shared" si="7"/>
        <v>43</v>
      </c>
      <c r="W15" s="17">
        <f t="shared" si="7"/>
        <v>1</v>
      </c>
      <c r="X15" s="17">
        <f t="shared" si="7"/>
        <v>0</v>
      </c>
      <c r="Y15" s="17">
        <f t="shared" si="7"/>
        <v>19</v>
      </c>
      <c r="Z15" s="17">
        <f t="shared" si="7"/>
        <v>14</v>
      </c>
      <c r="AA15" s="17">
        <f t="shared" si="7"/>
        <v>2</v>
      </c>
      <c r="AB15" s="17">
        <f t="shared" si="7"/>
        <v>9</v>
      </c>
      <c r="AC15" s="17">
        <f t="shared" si="7"/>
        <v>1268</v>
      </c>
      <c r="AD15" s="17">
        <f t="shared" si="7"/>
        <v>1</v>
      </c>
      <c r="AE15" s="30">
        <f t="shared" si="7"/>
        <v>1105</v>
      </c>
      <c r="AF15" s="30">
        <f t="shared" si="7"/>
        <v>2373</v>
      </c>
    </row>
    <row r="16" spans="2:32" ht="23.1" customHeight="1" x14ac:dyDescent="0.25">
      <c r="B16" s="22" t="s">
        <v>43</v>
      </c>
      <c r="C16" s="49">
        <v>187</v>
      </c>
      <c r="D16" s="49">
        <v>45</v>
      </c>
      <c r="E16" s="49">
        <v>8</v>
      </c>
      <c r="F16" s="49">
        <v>9</v>
      </c>
      <c r="G16" s="49">
        <v>0</v>
      </c>
      <c r="H16" s="49">
        <v>0</v>
      </c>
      <c r="I16" s="49">
        <v>1</v>
      </c>
      <c r="J16" s="49">
        <v>0</v>
      </c>
      <c r="K16" s="49">
        <v>0</v>
      </c>
      <c r="L16" s="49">
        <v>0</v>
      </c>
      <c r="M16" s="49">
        <v>320</v>
      </c>
      <c r="N16" s="49">
        <v>0</v>
      </c>
      <c r="O16" s="15">
        <f t="shared" si="0"/>
        <v>250</v>
      </c>
      <c r="P16" s="15">
        <f t="shared" si="1"/>
        <v>570</v>
      </c>
      <c r="R16" s="1" t="s">
        <v>12</v>
      </c>
      <c r="S16" s="17">
        <f t="shared" ref="S16:AF16" si="8">SUM(C34:C37)</f>
        <v>492</v>
      </c>
      <c r="T16" s="17">
        <f t="shared" si="8"/>
        <v>95</v>
      </c>
      <c r="U16" s="17">
        <f t="shared" si="8"/>
        <v>35</v>
      </c>
      <c r="V16" s="17">
        <f t="shared" si="8"/>
        <v>19</v>
      </c>
      <c r="W16" s="17">
        <f t="shared" si="8"/>
        <v>4</v>
      </c>
      <c r="X16" s="17">
        <f t="shared" si="8"/>
        <v>0</v>
      </c>
      <c r="Y16" s="17">
        <f t="shared" si="8"/>
        <v>25</v>
      </c>
      <c r="Z16" s="17">
        <f t="shared" si="8"/>
        <v>8</v>
      </c>
      <c r="AA16" s="17">
        <f t="shared" si="8"/>
        <v>2</v>
      </c>
      <c r="AB16" s="17">
        <f t="shared" si="8"/>
        <v>6</v>
      </c>
      <c r="AC16" s="17">
        <f t="shared" si="8"/>
        <v>985</v>
      </c>
      <c r="AD16" s="17">
        <f t="shared" si="8"/>
        <v>0</v>
      </c>
      <c r="AE16" s="30">
        <f t="shared" si="8"/>
        <v>686</v>
      </c>
      <c r="AF16" s="30">
        <f t="shared" si="8"/>
        <v>1671</v>
      </c>
    </row>
    <row r="17" spans="2:32" ht="23.1" customHeight="1" x14ac:dyDescent="0.25">
      <c r="B17" s="22" t="s">
        <v>44</v>
      </c>
      <c r="C17" s="49">
        <v>201</v>
      </c>
      <c r="D17" s="49">
        <v>63</v>
      </c>
      <c r="E17" s="49">
        <v>15</v>
      </c>
      <c r="F17" s="49">
        <v>10</v>
      </c>
      <c r="G17" s="49">
        <v>0</v>
      </c>
      <c r="H17" s="49">
        <v>0</v>
      </c>
      <c r="I17" s="49">
        <v>2</v>
      </c>
      <c r="J17" s="49">
        <v>3</v>
      </c>
      <c r="K17" s="49">
        <v>0</v>
      </c>
      <c r="L17" s="49">
        <v>0</v>
      </c>
      <c r="M17" s="49">
        <v>325</v>
      </c>
      <c r="N17" s="49">
        <v>0</v>
      </c>
      <c r="O17" s="15">
        <f t="shared" si="0"/>
        <v>294</v>
      </c>
      <c r="P17" s="15">
        <f t="shared" si="1"/>
        <v>619</v>
      </c>
      <c r="R17" s="1" t="s">
        <v>13</v>
      </c>
      <c r="S17" s="17">
        <f t="shared" ref="S17:AF17" si="9">SUM(C38:C41)</f>
        <v>469</v>
      </c>
      <c r="T17" s="17">
        <f t="shared" si="9"/>
        <v>135</v>
      </c>
      <c r="U17" s="17">
        <f t="shared" si="9"/>
        <v>45</v>
      </c>
      <c r="V17" s="17">
        <f t="shared" si="9"/>
        <v>31</v>
      </c>
      <c r="W17" s="17">
        <f t="shared" si="9"/>
        <v>0</v>
      </c>
      <c r="X17" s="17">
        <f t="shared" si="9"/>
        <v>2</v>
      </c>
      <c r="Y17" s="17">
        <f t="shared" si="9"/>
        <v>15</v>
      </c>
      <c r="Z17" s="17">
        <f t="shared" si="9"/>
        <v>10</v>
      </c>
      <c r="AA17" s="17">
        <f t="shared" si="9"/>
        <v>4</v>
      </c>
      <c r="AB17" s="17">
        <f t="shared" si="9"/>
        <v>14</v>
      </c>
      <c r="AC17" s="17">
        <f t="shared" si="9"/>
        <v>1539</v>
      </c>
      <c r="AD17" s="17">
        <f t="shared" si="9"/>
        <v>0</v>
      </c>
      <c r="AE17" s="30">
        <f t="shared" si="9"/>
        <v>725</v>
      </c>
      <c r="AF17" s="30">
        <f t="shared" si="9"/>
        <v>2264</v>
      </c>
    </row>
    <row r="18" spans="2:32" ht="23.1" customHeight="1" x14ac:dyDescent="0.25">
      <c r="B18" s="22" t="s">
        <v>45</v>
      </c>
      <c r="C18" s="49">
        <v>235</v>
      </c>
      <c r="D18" s="49">
        <v>67</v>
      </c>
      <c r="E18" s="49">
        <v>16</v>
      </c>
      <c r="F18" s="49">
        <v>8</v>
      </c>
      <c r="G18" s="49">
        <v>0</v>
      </c>
      <c r="H18" s="49">
        <v>0</v>
      </c>
      <c r="I18" s="49">
        <v>3</v>
      </c>
      <c r="J18" s="49">
        <v>6</v>
      </c>
      <c r="K18" s="49">
        <v>0</v>
      </c>
      <c r="L18" s="49">
        <v>1</v>
      </c>
      <c r="M18" s="49">
        <v>302</v>
      </c>
      <c r="N18" s="49">
        <v>0</v>
      </c>
      <c r="O18" s="15">
        <f t="shared" si="0"/>
        <v>336</v>
      </c>
      <c r="P18" s="15">
        <f t="shared" si="1"/>
        <v>638</v>
      </c>
      <c r="R18" s="1" t="s">
        <v>14</v>
      </c>
      <c r="S18" s="17">
        <f t="shared" ref="S18:AF18" si="10">SUM(C42:C45)</f>
        <v>443</v>
      </c>
      <c r="T18" s="17">
        <f t="shared" si="10"/>
        <v>111</v>
      </c>
      <c r="U18" s="17">
        <f t="shared" si="10"/>
        <v>55</v>
      </c>
      <c r="V18" s="17">
        <f t="shared" si="10"/>
        <v>31</v>
      </c>
      <c r="W18" s="17">
        <f t="shared" si="10"/>
        <v>3</v>
      </c>
      <c r="X18" s="17">
        <f t="shared" si="10"/>
        <v>1</v>
      </c>
      <c r="Y18" s="17">
        <f t="shared" si="10"/>
        <v>21</v>
      </c>
      <c r="Z18" s="17">
        <f t="shared" si="10"/>
        <v>10</v>
      </c>
      <c r="AA18" s="17">
        <f t="shared" si="10"/>
        <v>2</v>
      </c>
      <c r="AB18" s="17">
        <f t="shared" si="10"/>
        <v>14</v>
      </c>
      <c r="AC18" s="17">
        <f t="shared" si="10"/>
        <v>947</v>
      </c>
      <c r="AD18" s="17">
        <f t="shared" si="10"/>
        <v>0</v>
      </c>
      <c r="AE18" s="30">
        <f t="shared" si="10"/>
        <v>691</v>
      </c>
      <c r="AF18" s="30">
        <f t="shared" si="10"/>
        <v>1638</v>
      </c>
    </row>
    <row r="19" spans="2:32" ht="23.1" customHeight="1" x14ac:dyDescent="0.25">
      <c r="B19" s="22" t="s">
        <v>46</v>
      </c>
      <c r="C19" s="49">
        <v>197</v>
      </c>
      <c r="D19" s="49">
        <v>72</v>
      </c>
      <c r="E19" s="49">
        <v>11</v>
      </c>
      <c r="F19" s="49">
        <v>12</v>
      </c>
      <c r="G19" s="49">
        <v>4</v>
      </c>
      <c r="H19" s="49">
        <v>0</v>
      </c>
      <c r="I19" s="49">
        <v>2</v>
      </c>
      <c r="J19" s="49">
        <v>4</v>
      </c>
      <c r="K19" s="49">
        <v>1</v>
      </c>
      <c r="L19" s="49">
        <v>0</v>
      </c>
      <c r="M19" s="49">
        <v>305</v>
      </c>
      <c r="N19" s="49">
        <v>0</v>
      </c>
      <c r="O19" s="15">
        <f t="shared" si="0"/>
        <v>303</v>
      </c>
      <c r="P19" s="15">
        <f t="shared" si="1"/>
        <v>608</v>
      </c>
      <c r="R19" s="1" t="s">
        <v>15</v>
      </c>
      <c r="S19" s="17">
        <f t="shared" ref="S19:AF19" si="11">SUM(C46:C49)</f>
        <v>545</v>
      </c>
      <c r="T19" s="17">
        <f t="shared" si="11"/>
        <v>124</v>
      </c>
      <c r="U19" s="17">
        <f t="shared" si="11"/>
        <v>59</v>
      </c>
      <c r="V19" s="17">
        <f t="shared" si="11"/>
        <v>38</v>
      </c>
      <c r="W19" s="17">
        <f t="shared" si="11"/>
        <v>7</v>
      </c>
      <c r="X19" s="17">
        <f t="shared" si="11"/>
        <v>0</v>
      </c>
      <c r="Y19" s="17">
        <f t="shared" si="11"/>
        <v>16</v>
      </c>
      <c r="Z19" s="17">
        <f t="shared" si="11"/>
        <v>15</v>
      </c>
      <c r="AA19" s="17">
        <f t="shared" si="11"/>
        <v>7</v>
      </c>
      <c r="AB19" s="17">
        <f t="shared" si="11"/>
        <v>13</v>
      </c>
      <c r="AC19" s="17">
        <f t="shared" si="11"/>
        <v>1031</v>
      </c>
      <c r="AD19" s="17">
        <f t="shared" si="11"/>
        <v>0</v>
      </c>
      <c r="AE19" s="30">
        <f t="shared" si="11"/>
        <v>824</v>
      </c>
      <c r="AF19" s="30">
        <f t="shared" si="11"/>
        <v>1855</v>
      </c>
    </row>
    <row r="20" spans="2:32" ht="23.1" customHeight="1" x14ac:dyDescent="0.25">
      <c r="B20" s="22" t="s">
        <v>47</v>
      </c>
      <c r="C20" s="49">
        <v>150</v>
      </c>
      <c r="D20" s="49">
        <v>45</v>
      </c>
      <c r="E20" s="49">
        <v>15</v>
      </c>
      <c r="F20" s="49">
        <v>9</v>
      </c>
      <c r="G20" s="49">
        <v>1</v>
      </c>
      <c r="H20" s="49">
        <v>0</v>
      </c>
      <c r="I20" s="49">
        <v>2</v>
      </c>
      <c r="J20" s="49">
        <v>6</v>
      </c>
      <c r="K20" s="49">
        <v>2</v>
      </c>
      <c r="L20" s="49">
        <v>2</v>
      </c>
      <c r="M20" s="49">
        <v>325</v>
      </c>
      <c r="N20" s="49">
        <v>0</v>
      </c>
      <c r="O20" s="15">
        <f t="shared" si="0"/>
        <v>232</v>
      </c>
      <c r="P20" s="15">
        <f t="shared" si="1"/>
        <v>557</v>
      </c>
      <c r="R20" s="1" t="s">
        <v>16</v>
      </c>
      <c r="S20" s="17">
        <f t="shared" ref="S20:AF20" si="12">SUM(C50:C53)</f>
        <v>450</v>
      </c>
      <c r="T20" s="17">
        <f t="shared" si="12"/>
        <v>123</v>
      </c>
      <c r="U20" s="17">
        <f t="shared" si="12"/>
        <v>57</v>
      </c>
      <c r="V20" s="17">
        <f t="shared" si="12"/>
        <v>49</v>
      </c>
      <c r="W20" s="17">
        <f t="shared" si="12"/>
        <v>6</v>
      </c>
      <c r="X20" s="17">
        <f t="shared" si="12"/>
        <v>0</v>
      </c>
      <c r="Y20" s="17">
        <f t="shared" si="12"/>
        <v>11</v>
      </c>
      <c r="Z20" s="17">
        <f t="shared" si="12"/>
        <v>12</v>
      </c>
      <c r="AA20" s="17">
        <f t="shared" si="12"/>
        <v>3</v>
      </c>
      <c r="AB20" s="17">
        <f t="shared" si="12"/>
        <v>13</v>
      </c>
      <c r="AC20" s="17">
        <f t="shared" si="12"/>
        <v>1419</v>
      </c>
      <c r="AD20" s="17">
        <f t="shared" si="12"/>
        <v>0</v>
      </c>
      <c r="AE20" s="30">
        <f t="shared" si="12"/>
        <v>724</v>
      </c>
      <c r="AF20" s="30">
        <f t="shared" si="12"/>
        <v>2143</v>
      </c>
    </row>
    <row r="21" spans="2:32" ht="23.1" customHeight="1" x14ac:dyDescent="0.25">
      <c r="B21" s="22" t="s">
        <v>48</v>
      </c>
      <c r="C21" s="49">
        <v>183</v>
      </c>
      <c r="D21" s="49">
        <v>59</v>
      </c>
      <c r="E21" s="49">
        <v>12</v>
      </c>
      <c r="F21" s="49">
        <v>7</v>
      </c>
      <c r="G21" s="49">
        <v>2</v>
      </c>
      <c r="H21" s="49">
        <v>2</v>
      </c>
      <c r="I21" s="49">
        <v>2</v>
      </c>
      <c r="J21" s="49">
        <v>5</v>
      </c>
      <c r="K21" s="49">
        <v>1</v>
      </c>
      <c r="L21" s="49">
        <v>0</v>
      </c>
      <c r="M21" s="49">
        <v>287</v>
      </c>
      <c r="N21" s="49">
        <v>0</v>
      </c>
      <c r="O21" s="15">
        <f t="shared" si="0"/>
        <v>273</v>
      </c>
      <c r="P21" s="15">
        <f t="shared" si="1"/>
        <v>560</v>
      </c>
      <c r="R21" s="35" t="s">
        <v>20</v>
      </c>
      <c r="S21" s="33">
        <f t="shared" ref="S21:AF21" si="13">SUM(C54:C57)</f>
        <v>340</v>
      </c>
      <c r="T21" s="17">
        <f t="shared" si="13"/>
        <v>71</v>
      </c>
      <c r="U21" s="17">
        <f t="shared" si="13"/>
        <v>32</v>
      </c>
      <c r="V21" s="17">
        <f t="shared" si="13"/>
        <v>34</v>
      </c>
      <c r="W21" s="17">
        <f t="shared" si="13"/>
        <v>9</v>
      </c>
      <c r="X21" s="17">
        <f t="shared" si="13"/>
        <v>0</v>
      </c>
      <c r="Y21" s="17">
        <f t="shared" si="13"/>
        <v>14</v>
      </c>
      <c r="Z21" s="17">
        <f t="shared" si="13"/>
        <v>12</v>
      </c>
      <c r="AA21" s="17">
        <f t="shared" si="13"/>
        <v>2</v>
      </c>
      <c r="AB21" s="17">
        <f t="shared" si="13"/>
        <v>8</v>
      </c>
      <c r="AC21" s="17">
        <f t="shared" si="13"/>
        <v>843</v>
      </c>
      <c r="AD21" s="17">
        <f t="shared" si="13"/>
        <v>1</v>
      </c>
      <c r="AE21" s="30">
        <f t="shared" si="13"/>
        <v>523</v>
      </c>
      <c r="AF21" s="30">
        <f t="shared" si="13"/>
        <v>1366</v>
      </c>
    </row>
    <row r="22" spans="2:32" ht="23.1" customHeight="1" x14ac:dyDescent="0.25">
      <c r="B22" s="22" t="s">
        <v>49</v>
      </c>
      <c r="C22" s="49">
        <v>155</v>
      </c>
      <c r="D22" s="49">
        <v>58</v>
      </c>
      <c r="E22" s="49">
        <v>13</v>
      </c>
      <c r="F22" s="49">
        <v>2</v>
      </c>
      <c r="G22" s="49">
        <v>1</v>
      </c>
      <c r="H22" s="49">
        <v>0</v>
      </c>
      <c r="I22" s="49">
        <v>8</v>
      </c>
      <c r="J22" s="49">
        <v>6</v>
      </c>
      <c r="K22" s="49">
        <v>3</v>
      </c>
      <c r="L22" s="49">
        <v>4</v>
      </c>
      <c r="M22" s="49">
        <v>327</v>
      </c>
      <c r="N22" s="49">
        <v>0</v>
      </c>
      <c r="O22" s="15">
        <f t="shared" si="0"/>
        <v>250</v>
      </c>
      <c r="P22" s="15">
        <f t="shared" si="1"/>
        <v>577</v>
      </c>
      <c r="R22" s="37" t="s">
        <v>90</v>
      </c>
      <c r="S22" s="38">
        <f>MAX(S10:S12)</f>
        <v>823</v>
      </c>
      <c r="T22" s="38">
        <f t="shared" ref="T22:AF22" si="14">MAX(T10:T12)</f>
        <v>243</v>
      </c>
      <c r="U22" s="38">
        <f t="shared" si="14"/>
        <v>68</v>
      </c>
      <c r="V22" s="38">
        <f t="shared" si="14"/>
        <v>64</v>
      </c>
      <c r="W22" s="38">
        <f t="shared" si="14"/>
        <v>7</v>
      </c>
      <c r="X22" s="38">
        <f t="shared" si="14"/>
        <v>2</v>
      </c>
      <c r="Y22" s="38">
        <f t="shared" si="14"/>
        <v>14</v>
      </c>
      <c r="Z22" s="38">
        <f t="shared" si="14"/>
        <v>21</v>
      </c>
      <c r="AA22" s="38">
        <f t="shared" si="14"/>
        <v>4</v>
      </c>
      <c r="AB22" s="38">
        <f t="shared" si="14"/>
        <v>4</v>
      </c>
      <c r="AC22" s="38">
        <f t="shared" si="14"/>
        <v>1298</v>
      </c>
      <c r="AD22" s="38">
        <f t="shared" si="14"/>
        <v>0</v>
      </c>
      <c r="AE22" s="39">
        <f t="shared" si="14"/>
        <v>1208</v>
      </c>
      <c r="AF22" s="39">
        <f t="shared" si="14"/>
        <v>2433</v>
      </c>
    </row>
    <row r="23" spans="2:32" ht="23.1" customHeight="1" x14ac:dyDescent="0.25">
      <c r="B23" s="22" t="s">
        <v>50</v>
      </c>
      <c r="C23" s="49">
        <v>188</v>
      </c>
      <c r="D23" s="49">
        <v>72</v>
      </c>
      <c r="E23" s="49">
        <v>9</v>
      </c>
      <c r="F23" s="49">
        <v>2</v>
      </c>
      <c r="G23" s="49">
        <v>0</v>
      </c>
      <c r="H23" s="49">
        <v>0</v>
      </c>
      <c r="I23" s="49">
        <v>3</v>
      </c>
      <c r="J23" s="49">
        <v>1</v>
      </c>
      <c r="K23" s="49">
        <v>0</v>
      </c>
      <c r="L23" s="49">
        <v>0</v>
      </c>
      <c r="M23" s="49">
        <v>310</v>
      </c>
      <c r="N23" s="49">
        <v>0</v>
      </c>
      <c r="O23" s="15">
        <f t="shared" si="0"/>
        <v>275</v>
      </c>
      <c r="P23" s="15">
        <f t="shared" si="1"/>
        <v>585</v>
      </c>
      <c r="R23" s="37" t="s">
        <v>91</v>
      </c>
      <c r="S23" s="38">
        <f>MAX(S13:S18)</f>
        <v>823</v>
      </c>
      <c r="T23" s="38">
        <f t="shared" ref="T23:AF23" si="15">MAX(T13:T18)</f>
        <v>214</v>
      </c>
      <c r="U23" s="38">
        <f t="shared" si="15"/>
        <v>59</v>
      </c>
      <c r="V23" s="38">
        <f t="shared" si="15"/>
        <v>43</v>
      </c>
      <c r="W23" s="38">
        <f t="shared" si="15"/>
        <v>10</v>
      </c>
      <c r="X23" s="38">
        <f t="shared" si="15"/>
        <v>2</v>
      </c>
      <c r="Y23" s="38">
        <f t="shared" si="15"/>
        <v>25</v>
      </c>
      <c r="Z23" s="38">
        <f t="shared" si="15"/>
        <v>28</v>
      </c>
      <c r="AA23" s="38">
        <f t="shared" si="15"/>
        <v>9</v>
      </c>
      <c r="AB23" s="38">
        <f t="shared" si="15"/>
        <v>14</v>
      </c>
      <c r="AC23" s="38">
        <f t="shared" si="15"/>
        <v>1539</v>
      </c>
      <c r="AD23" s="38">
        <f t="shared" si="15"/>
        <v>1</v>
      </c>
      <c r="AE23" s="39">
        <f t="shared" si="15"/>
        <v>1190</v>
      </c>
      <c r="AF23" s="39">
        <f t="shared" si="15"/>
        <v>2384</v>
      </c>
    </row>
    <row r="24" spans="2:32" ht="23.1" customHeight="1" x14ac:dyDescent="0.25">
      <c r="B24" s="22" t="s">
        <v>51</v>
      </c>
      <c r="C24" s="49">
        <v>137</v>
      </c>
      <c r="D24" s="49">
        <v>43</v>
      </c>
      <c r="E24" s="49">
        <v>7</v>
      </c>
      <c r="F24" s="49">
        <v>2</v>
      </c>
      <c r="G24" s="49">
        <v>0</v>
      </c>
      <c r="H24" s="49">
        <v>0</v>
      </c>
      <c r="I24" s="49">
        <v>5</v>
      </c>
      <c r="J24" s="49">
        <v>2</v>
      </c>
      <c r="K24" s="49">
        <v>1</v>
      </c>
      <c r="L24" s="49">
        <v>0</v>
      </c>
      <c r="M24" s="49">
        <v>335</v>
      </c>
      <c r="N24" s="49">
        <v>0</v>
      </c>
      <c r="O24" s="15">
        <f t="shared" si="0"/>
        <v>197</v>
      </c>
      <c r="P24" s="15">
        <f t="shared" si="1"/>
        <v>532</v>
      </c>
      <c r="R24" s="37" t="s">
        <v>92</v>
      </c>
      <c r="S24" s="38">
        <f>MAX(S19:S21)</f>
        <v>545</v>
      </c>
      <c r="T24" s="38">
        <f t="shared" ref="T24:AF24" si="16">MAX(T19:T21)</f>
        <v>124</v>
      </c>
      <c r="U24" s="38">
        <f t="shared" si="16"/>
        <v>59</v>
      </c>
      <c r="V24" s="38">
        <f t="shared" si="16"/>
        <v>49</v>
      </c>
      <c r="W24" s="38">
        <f t="shared" si="16"/>
        <v>9</v>
      </c>
      <c r="X24" s="38">
        <f t="shared" si="16"/>
        <v>0</v>
      </c>
      <c r="Y24" s="38">
        <f t="shared" si="16"/>
        <v>16</v>
      </c>
      <c r="Z24" s="38">
        <f t="shared" si="16"/>
        <v>15</v>
      </c>
      <c r="AA24" s="38">
        <f t="shared" si="16"/>
        <v>7</v>
      </c>
      <c r="AB24" s="38">
        <f t="shared" si="16"/>
        <v>13</v>
      </c>
      <c r="AC24" s="38">
        <f t="shared" si="16"/>
        <v>1419</v>
      </c>
      <c r="AD24" s="38">
        <f t="shared" si="16"/>
        <v>1</v>
      </c>
      <c r="AE24" s="39">
        <f t="shared" si="16"/>
        <v>824</v>
      </c>
      <c r="AF24" s="39">
        <f t="shared" si="16"/>
        <v>2143</v>
      </c>
    </row>
    <row r="25" spans="2:32" ht="23.1" customHeight="1" x14ac:dyDescent="0.25">
      <c r="B25" s="22" t="s">
        <v>52</v>
      </c>
      <c r="C25" s="49">
        <v>168</v>
      </c>
      <c r="D25" s="49">
        <v>41</v>
      </c>
      <c r="E25" s="49">
        <v>15</v>
      </c>
      <c r="F25" s="49">
        <v>10</v>
      </c>
      <c r="G25" s="49">
        <v>1</v>
      </c>
      <c r="H25" s="49">
        <v>0</v>
      </c>
      <c r="I25" s="49">
        <v>2</v>
      </c>
      <c r="J25" s="49">
        <v>3</v>
      </c>
      <c r="K25" s="49">
        <v>3</v>
      </c>
      <c r="L25" s="49">
        <v>2</v>
      </c>
      <c r="M25" s="49">
        <v>325</v>
      </c>
      <c r="N25" s="49">
        <v>0</v>
      </c>
      <c r="O25" s="15">
        <f t="shared" si="0"/>
        <v>245</v>
      </c>
      <c r="P25" s="15">
        <f t="shared" si="1"/>
        <v>570</v>
      </c>
      <c r="R25" s="36" t="s">
        <v>85</v>
      </c>
      <c r="S25" s="34">
        <f t="shared" ref="S25:AF25" si="17">SUM(S10:S12)</f>
        <v>2345</v>
      </c>
      <c r="T25" s="16">
        <f t="shared" si="17"/>
        <v>677</v>
      </c>
      <c r="U25" s="16">
        <f t="shared" si="17"/>
        <v>165</v>
      </c>
      <c r="V25" s="16">
        <f t="shared" si="17"/>
        <v>148</v>
      </c>
      <c r="W25" s="16">
        <f t="shared" si="17"/>
        <v>11</v>
      </c>
      <c r="X25" s="16">
        <f t="shared" si="17"/>
        <v>3</v>
      </c>
      <c r="Y25" s="16">
        <f t="shared" si="17"/>
        <v>35</v>
      </c>
      <c r="Z25" s="16">
        <f t="shared" si="17"/>
        <v>31</v>
      </c>
      <c r="AA25" s="16">
        <f t="shared" si="17"/>
        <v>8</v>
      </c>
      <c r="AB25" s="16">
        <f t="shared" si="17"/>
        <v>8</v>
      </c>
      <c r="AC25" s="16">
        <f t="shared" si="17"/>
        <v>3742</v>
      </c>
      <c r="AD25" s="16">
        <f t="shared" si="17"/>
        <v>0</v>
      </c>
      <c r="AE25" s="31">
        <f t="shared" si="17"/>
        <v>3431</v>
      </c>
      <c r="AF25" s="31">
        <f t="shared" si="17"/>
        <v>7173</v>
      </c>
    </row>
    <row r="26" spans="2:32" ht="23.1" customHeight="1" x14ac:dyDescent="0.25">
      <c r="B26" s="22" t="s">
        <v>53</v>
      </c>
      <c r="C26" s="49">
        <v>208</v>
      </c>
      <c r="D26" s="49">
        <v>69</v>
      </c>
      <c r="E26" s="49">
        <v>18</v>
      </c>
      <c r="F26" s="49">
        <v>12</v>
      </c>
      <c r="G26" s="49">
        <v>6</v>
      </c>
      <c r="H26" s="49">
        <v>0</v>
      </c>
      <c r="I26" s="49">
        <v>10</v>
      </c>
      <c r="J26" s="49">
        <v>18</v>
      </c>
      <c r="K26" s="49">
        <v>4</v>
      </c>
      <c r="L26" s="49">
        <v>4</v>
      </c>
      <c r="M26" s="49">
        <v>330</v>
      </c>
      <c r="N26" s="49">
        <v>0</v>
      </c>
      <c r="O26" s="15">
        <f t="shared" si="0"/>
        <v>349</v>
      </c>
      <c r="P26" s="15">
        <f t="shared" si="1"/>
        <v>679</v>
      </c>
      <c r="R26" s="27" t="s">
        <v>86</v>
      </c>
      <c r="S26" s="16">
        <f t="shared" ref="S26:AF26" si="18">SUM(S13:S18)</f>
        <v>3642</v>
      </c>
      <c r="T26" s="16">
        <f t="shared" si="18"/>
        <v>952</v>
      </c>
      <c r="U26" s="16">
        <f t="shared" si="18"/>
        <v>280</v>
      </c>
      <c r="V26" s="16">
        <f t="shared" si="18"/>
        <v>182</v>
      </c>
      <c r="W26" s="16">
        <f t="shared" si="18"/>
        <v>20</v>
      </c>
      <c r="X26" s="16">
        <f t="shared" si="18"/>
        <v>3</v>
      </c>
      <c r="Y26" s="16">
        <f t="shared" si="18"/>
        <v>116</v>
      </c>
      <c r="Z26" s="16">
        <f t="shared" si="18"/>
        <v>82</v>
      </c>
      <c r="AA26" s="16">
        <f t="shared" si="18"/>
        <v>26</v>
      </c>
      <c r="AB26" s="16">
        <f t="shared" si="18"/>
        <v>60</v>
      </c>
      <c r="AC26" s="16">
        <f t="shared" si="18"/>
        <v>7230</v>
      </c>
      <c r="AD26" s="16">
        <f t="shared" si="18"/>
        <v>1</v>
      </c>
      <c r="AE26" s="31">
        <f t="shared" si="18"/>
        <v>5364</v>
      </c>
      <c r="AF26" s="31">
        <f t="shared" si="18"/>
        <v>12594</v>
      </c>
    </row>
    <row r="27" spans="2:32" ht="23.1" customHeight="1" x14ac:dyDescent="0.25">
      <c r="B27" s="22" t="s">
        <v>54</v>
      </c>
      <c r="C27" s="49">
        <v>229</v>
      </c>
      <c r="D27" s="49">
        <v>33</v>
      </c>
      <c r="E27" s="49">
        <v>9</v>
      </c>
      <c r="F27" s="49">
        <v>4</v>
      </c>
      <c r="G27" s="49">
        <v>2</v>
      </c>
      <c r="H27" s="49">
        <v>0</v>
      </c>
      <c r="I27" s="49">
        <v>2</v>
      </c>
      <c r="J27" s="49">
        <v>1</v>
      </c>
      <c r="K27" s="49">
        <v>3</v>
      </c>
      <c r="L27" s="49">
        <v>2</v>
      </c>
      <c r="M27" s="49">
        <v>276</v>
      </c>
      <c r="N27" s="49">
        <v>0</v>
      </c>
      <c r="O27" s="15">
        <f t="shared" si="0"/>
        <v>285</v>
      </c>
      <c r="P27" s="15">
        <f t="shared" si="1"/>
        <v>561</v>
      </c>
      <c r="R27" s="28" t="s">
        <v>87</v>
      </c>
      <c r="S27" s="16">
        <f t="shared" ref="S27:AF27" si="19">SUM(S19:S21)</f>
        <v>1335</v>
      </c>
      <c r="T27" s="16">
        <f t="shared" si="19"/>
        <v>318</v>
      </c>
      <c r="U27" s="16">
        <f t="shared" si="19"/>
        <v>148</v>
      </c>
      <c r="V27" s="16">
        <f t="shared" si="19"/>
        <v>121</v>
      </c>
      <c r="W27" s="16">
        <f t="shared" si="19"/>
        <v>22</v>
      </c>
      <c r="X27" s="16">
        <f t="shared" si="19"/>
        <v>0</v>
      </c>
      <c r="Y27" s="16">
        <f t="shared" si="19"/>
        <v>41</v>
      </c>
      <c r="Z27" s="16">
        <f t="shared" si="19"/>
        <v>39</v>
      </c>
      <c r="AA27" s="16">
        <f t="shared" si="19"/>
        <v>12</v>
      </c>
      <c r="AB27" s="16">
        <f t="shared" si="19"/>
        <v>34</v>
      </c>
      <c r="AC27" s="16">
        <f t="shared" si="19"/>
        <v>3293</v>
      </c>
      <c r="AD27" s="16">
        <f t="shared" si="19"/>
        <v>1</v>
      </c>
      <c r="AE27" s="31">
        <f t="shared" si="19"/>
        <v>2071</v>
      </c>
      <c r="AF27" s="31">
        <f t="shared" si="19"/>
        <v>5364</v>
      </c>
    </row>
    <row r="28" spans="2:32" ht="23.1" customHeight="1" x14ac:dyDescent="0.25">
      <c r="B28" s="22" t="s">
        <v>55</v>
      </c>
      <c r="C28" s="49">
        <v>159</v>
      </c>
      <c r="D28" s="49">
        <v>52</v>
      </c>
      <c r="E28" s="49">
        <v>14</v>
      </c>
      <c r="F28" s="49">
        <v>12</v>
      </c>
      <c r="G28" s="49">
        <v>1</v>
      </c>
      <c r="H28" s="49">
        <v>0</v>
      </c>
      <c r="I28" s="49">
        <v>2</v>
      </c>
      <c r="J28" s="49">
        <v>4</v>
      </c>
      <c r="K28" s="49">
        <v>1</v>
      </c>
      <c r="L28" s="49">
        <v>2</v>
      </c>
      <c r="M28" s="49">
        <v>298</v>
      </c>
      <c r="N28" s="49">
        <v>0</v>
      </c>
      <c r="O28" s="15">
        <f t="shared" si="0"/>
        <v>247</v>
      </c>
      <c r="P28" s="15">
        <f t="shared" si="1"/>
        <v>545</v>
      </c>
      <c r="R28" s="5" t="s">
        <v>17</v>
      </c>
      <c r="S28" s="16">
        <f t="shared" ref="S28:AF28" si="20">SUM(S10:S21)</f>
        <v>7322</v>
      </c>
      <c r="T28" s="16">
        <f t="shared" si="20"/>
        <v>1947</v>
      </c>
      <c r="U28" s="16">
        <f t="shared" si="20"/>
        <v>593</v>
      </c>
      <c r="V28" s="16">
        <f t="shared" si="20"/>
        <v>451</v>
      </c>
      <c r="W28" s="16">
        <f t="shared" si="20"/>
        <v>53</v>
      </c>
      <c r="X28" s="16">
        <f t="shared" si="20"/>
        <v>6</v>
      </c>
      <c r="Y28" s="16">
        <f t="shared" si="20"/>
        <v>192</v>
      </c>
      <c r="Z28" s="16">
        <f t="shared" si="20"/>
        <v>152</v>
      </c>
      <c r="AA28" s="16">
        <f t="shared" si="20"/>
        <v>46</v>
      </c>
      <c r="AB28" s="16">
        <f t="shared" si="20"/>
        <v>102</v>
      </c>
      <c r="AC28" s="16">
        <f t="shared" si="20"/>
        <v>14265</v>
      </c>
      <c r="AD28" s="16">
        <f t="shared" si="20"/>
        <v>2</v>
      </c>
      <c r="AE28" s="31">
        <f t="shared" si="20"/>
        <v>10866</v>
      </c>
      <c r="AF28" s="31">
        <f t="shared" si="20"/>
        <v>25131</v>
      </c>
    </row>
    <row r="29" spans="2:32" ht="23.1" customHeight="1" x14ac:dyDescent="0.25">
      <c r="B29" s="22" t="s">
        <v>56</v>
      </c>
      <c r="C29" s="49">
        <v>227</v>
      </c>
      <c r="D29" s="49">
        <v>36</v>
      </c>
      <c r="E29" s="49">
        <v>18</v>
      </c>
      <c r="F29" s="49">
        <v>14</v>
      </c>
      <c r="G29" s="49">
        <v>1</v>
      </c>
      <c r="H29" s="49">
        <v>0</v>
      </c>
      <c r="I29" s="49">
        <v>4</v>
      </c>
      <c r="J29" s="49">
        <v>5</v>
      </c>
      <c r="K29" s="49">
        <v>1</v>
      </c>
      <c r="L29" s="49">
        <v>3</v>
      </c>
      <c r="M29" s="49">
        <v>290</v>
      </c>
      <c r="N29" s="49">
        <v>0</v>
      </c>
      <c r="O29" s="15">
        <f t="shared" si="0"/>
        <v>309</v>
      </c>
      <c r="P29" s="15">
        <f t="shared" si="1"/>
        <v>599</v>
      </c>
      <c r="R29"/>
      <c r="S29" s="20"/>
      <c r="T29" s="19"/>
    </row>
    <row r="30" spans="2:32" ht="23.1" customHeight="1" x14ac:dyDescent="0.25">
      <c r="B30" s="22" t="s">
        <v>57</v>
      </c>
      <c r="C30" s="49">
        <v>184</v>
      </c>
      <c r="D30" s="49">
        <v>63</v>
      </c>
      <c r="E30" s="49">
        <v>8</v>
      </c>
      <c r="F30" s="49">
        <v>14</v>
      </c>
      <c r="G30" s="49">
        <v>0</v>
      </c>
      <c r="H30" s="49">
        <v>0</v>
      </c>
      <c r="I30" s="49">
        <v>3</v>
      </c>
      <c r="J30" s="49">
        <v>2</v>
      </c>
      <c r="K30" s="49">
        <v>0</v>
      </c>
      <c r="L30" s="49">
        <v>2</v>
      </c>
      <c r="M30" s="49">
        <v>390</v>
      </c>
      <c r="N30" s="49">
        <v>1</v>
      </c>
      <c r="O30" s="15">
        <f t="shared" si="0"/>
        <v>277</v>
      </c>
      <c r="P30" s="15">
        <f t="shared" si="1"/>
        <v>667</v>
      </c>
    </row>
    <row r="31" spans="2:32" ht="23.1" customHeight="1" x14ac:dyDescent="0.25">
      <c r="B31" s="23" t="s">
        <v>58</v>
      </c>
      <c r="C31" s="49">
        <v>195</v>
      </c>
      <c r="D31" s="49">
        <v>61</v>
      </c>
      <c r="E31" s="49">
        <v>9</v>
      </c>
      <c r="F31" s="49">
        <v>7</v>
      </c>
      <c r="G31" s="49">
        <v>0</v>
      </c>
      <c r="H31" s="49">
        <v>0</v>
      </c>
      <c r="I31" s="49">
        <v>4</v>
      </c>
      <c r="J31" s="49">
        <v>4</v>
      </c>
      <c r="K31" s="49">
        <v>0</v>
      </c>
      <c r="L31" s="49">
        <v>3</v>
      </c>
      <c r="M31" s="49">
        <v>347</v>
      </c>
      <c r="N31" s="49">
        <v>0</v>
      </c>
      <c r="O31" s="15">
        <f t="shared" si="0"/>
        <v>283</v>
      </c>
      <c r="P31" s="15">
        <f t="shared" si="1"/>
        <v>630</v>
      </c>
    </row>
    <row r="32" spans="2:32" ht="23.1" customHeight="1" x14ac:dyDescent="0.25">
      <c r="B32" s="23" t="s">
        <v>59</v>
      </c>
      <c r="C32" s="49">
        <v>187</v>
      </c>
      <c r="D32" s="49">
        <v>50</v>
      </c>
      <c r="E32" s="49">
        <v>12</v>
      </c>
      <c r="F32" s="49">
        <v>16</v>
      </c>
      <c r="G32" s="49">
        <v>1</v>
      </c>
      <c r="H32" s="49">
        <v>0</v>
      </c>
      <c r="I32" s="49">
        <v>6</v>
      </c>
      <c r="J32" s="49">
        <v>5</v>
      </c>
      <c r="K32" s="49">
        <v>1</v>
      </c>
      <c r="L32" s="49">
        <v>2</v>
      </c>
      <c r="M32" s="49">
        <v>330</v>
      </c>
      <c r="N32" s="49">
        <v>0</v>
      </c>
      <c r="O32" s="15">
        <f t="shared" si="0"/>
        <v>280</v>
      </c>
      <c r="P32" s="15">
        <f t="shared" si="1"/>
        <v>610</v>
      </c>
    </row>
    <row r="33" spans="2:20" ht="23.1" customHeight="1" x14ac:dyDescent="0.25">
      <c r="B33" s="22" t="s">
        <v>60</v>
      </c>
      <c r="C33" s="49">
        <v>201</v>
      </c>
      <c r="D33" s="49">
        <v>33</v>
      </c>
      <c r="E33" s="49">
        <v>13</v>
      </c>
      <c r="F33" s="49">
        <v>6</v>
      </c>
      <c r="G33" s="49">
        <v>0</v>
      </c>
      <c r="H33" s="49">
        <v>0</v>
      </c>
      <c r="I33" s="49">
        <v>6</v>
      </c>
      <c r="J33" s="49">
        <v>3</v>
      </c>
      <c r="K33" s="49">
        <v>1</v>
      </c>
      <c r="L33" s="49">
        <v>2</v>
      </c>
      <c r="M33" s="49">
        <v>201</v>
      </c>
      <c r="N33" s="49">
        <v>0</v>
      </c>
      <c r="O33" s="15">
        <f t="shared" si="0"/>
        <v>265</v>
      </c>
      <c r="P33" s="15">
        <f t="shared" si="1"/>
        <v>466</v>
      </c>
    </row>
    <row r="34" spans="2:20" ht="23.1" customHeight="1" x14ac:dyDescent="0.25">
      <c r="B34" s="23" t="s">
        <v>61</v>
      </c>
      <c r="C34" s="49">
        <v>121</v>
      </c>
      <c r="D34" s="49">
        <v>28</v>
      </c>
      <c r="E34" s="49">
        <v>11</v>
      </c>
      <c r="F34" s="49">
        <v>6</v>
      </c>
      <c r="G34" s="49">
        <v>2</v>
      </c>
      <c r="H34" s="49">
        <v>0</v>
      </c>
      <c r="I34" s="49">
        <v>1</v>
      </c>
      <c r="J34" s="49">
        <v>2</v>
      </c>
      <c r="K34" s="49">
        <v>1</v>
      </c>
      <c r="L34" s="49">
        <v>1</v>
      </c>
      <c r="M34" s="49">
        <v>295</v>
      </c>
      <c r="N34" s="49">
        <v>0</v>
      </c>
      <c r="O34" s="15">
        <f t="shared" si="0"/>
        <v>173</v>
      </c>
      <c r="P34" s="15">
        <f t="shared" si="1"/>
        <v>468</v>
      </c>
    </row>
    <row r="35" spans="2:20" ht="23.1" customHeight="1" x14ac:dyDescent="0.25">
      <c r="B35" s="23" t="s">
        <v>62</v>
      </c>
      <c r="C35" s="49">
        <v>158</v>
      </c>
      <c r="D35" s="49">
        <v>30</v>
      </c>
      <c r="E35" s="49">
        <v>10</v>
      </c>
      <c r="F35" s="49">
        <v>7</v>
      </c>
      <c r="G35" s="49">
        <v>1</v>
      </c>
      <c r="H35" s="49">
        <v>0</v>
      </c>
      <c r="I35" s="49">
        <v>17</v>
      </c>
      <c r="J35" s="49">
        <v>3</v>
      </c>
      <c r="K35" s="49">
        <v>0</v>
      </c>
      <c r="L35" s="49">
        <v>1</v>
      </c>
      <c r="M35" s="49">
        <v>298</v>
      </c>
      <c r="N35" s="49">
        <v>0</v>
      </c>
      <c r="O35" s="15">
        <f t="shared" si="0"/>
        <v>227</v>
      </c>
      <c r="P35" s="15">
        <f t="shared" si="1"/>
        <v>525</v>
      </c>
    </row>
    <row r="36" spans="2:20" ht="23.1" customHeight="1" x14ac:dyDescent="0.25">
      <c r="B36" s="23" t="s">
        <v>63</v>
      </c>
      <c r="C36" s="49">
        <v>110</v>
      </c>
      <c r="D36" s="49">
        <v>17</v>
      </c>
      <c r="E36" s="49">
        <v>6</v>
      </c>
      <c r="F36" s="49">
        <v>0</v>
      </c>
      <c r="G36" s="49">
        <v>0</v>
      </c>
      <c r="H36" s="49">
        <v>0</v>
      </c>
      <c r="I36" s="49">
        <v>3</v>
      </c>
      <c r="J36" s="49">
        <v>1</v>
      </c>
      <c r="K36" s="49">
        <v>1</v>
      </c>
      <c r="L36" s="49">
        <v>0</v>
      </c>
      <c r="M36" s="49">
        <v>272</v>
      </c>
      <c r="N36" s="49">
        <v>0</v>
      </c>
      <c r="O36" s="15">
        <f t="shared" si="0"/>
        <v>138</v>
      </c>
      <c r="P36" s="15">
        <f t="shared" si="1"/>
        <v>410</v>
      </c>
    </row>
    <row r="37" spans="2:20" ht="23.1" customHeight="1" x14ac:dyDescent="0.25">
      <c r="B37" s="22" t="s">
        <v>64</v>
      </c>
      <c r="C37" s="49">
        <v>103</v>
      </c>
      <c r="D37" s="49">
        <v>20</v>
      </c>
      <c r="E37" s="49">
        <v>8</v>
      </c>
      <c r="F37" s="49">
        <v>6</v>
      </c>
      <c r="G37" s="49">
        <v>1</v>
      </c>
      <c r="H37" s="49">
        <v>0</v>
      </c>
      <c r="I37" s="49">
        <v>4</v>
      </c>
      <c r="J37" s="49">
        <v>2</v>
      </c>
      <c r="K37" s="49">
        <v>0</v>
      </c>
      <c r="L37" s="49">
        <v>4</v>
      </c>
      <c r="M37" s="49">
        <v>120</v>
      </c>
      <c r="N37" s="49">
        <v>0</v>
      </c>
      <c r="O37" s="15">
        <f t="shared" si="0"/>
        <v>148</v>
      </c>
      <c r="P37" s="15">
        <f t="shared" si="1"/>
        <v>268</v>
      </c>
    </row>
    <row r="38" spans="2:20" ht="23.1" customHeight="1" x14ac:dyDescent="0.25">
      <c r="B38" s="23" t="s">
        <v>65</v>
      </c>
      <c r="C38" s="49">
        <v>93</v>
      </c>
      <c r="D38" s="49">
        <v>22</v>
      </c>
      <c r="E38" s="49">
        <v>4</v>
      </c>
      <c r="F38" s="49">
        <v>3</v>
      </c>
      <c r="G38" s="49">
        <v>0</v>
      </c>
      <c r="H38" s="49">
        <v>0</v>
      </c>
      <c r="I38" s="49">
        <v>0</v>
      </c>
      <c r="J38" s="49">
        <v>2</v>
      </c>
      <c r="K38" s="49">
        <v>2</v>
      </c>
      <c r="L38" s="49">
        <v>3</v>
      </c>
      <c r="M38" s="49">
        <v>515</v>
      </c>
      <c r="N38" s="49">
        <v>0</v>
      </c>
      <c r="O38" s="15">
        <f t="shared" si="0"/>
        <v>129</v>
      </c>
      <c r="P38" s="15">
        <f t="shared" si="1"/>
        <v>644</v>
      </c>
    </row>
    <row r="39" spans="2:20" ht="23.1" customHeight="1" x14ac:dyDescent="0.25">
      <c r="B39" s="23" t="s">
        <v>66</v>
      </c>
      <c r="C39" s="49">
        <v>105</v>
      </c>
      <c r="D39" s="49">
        <v>40</v>
      </c>
      <c r="E39" s="49">
        <v>15</v>
      </c>
      <c r="F39" s="49">
        <v>10</v>
      </c>
      <c r="G39" s="49">
        <v>0</v>
      </c>
      <c r="H39" s="49">
        <v>1</v>
      </c>
      <c r="I39" s="49">
        <v>6</v>
      </c>
      <c r="J39" s="49">
        <v>3</v>
      </c>
      <c r="K39" s="49">
        <v>2</v>
      </c>
      <c r="L39" s="49">
        <v>6</v>
      </c>
      <c r="M39" s="49">
        <v>405</v>
      </c>
      <c r="N39" s="49">
        <v>0</v>
      </c>
      <c r="O39" s="15">
        <f t="shared" si="0"/>
        <v>188</v>
      </c>
      <c r="P39" s="15">
        <f t="shared" si="1"/>
        <v>593</v>
      </c>
    </row>
    <row r="40" spans="2:20" ht="23.1" customHeight="1" x14ac:dyDescent="0.25">
      <c r="B40" s="23" t="s">
        <v>67</v>
      </c>
      <c r="C40" s="49">
        <v>117</v>
      </c>
      <c r="D40" s="49">
        <v>43</v>
      </c>
      <c r="E40" s="49">
        <v>9</v>
      </c>
      <c r="F40" s="49">
        <v>11</v>
      </c>
      <c r="G40" s="49">
        <v>0</v>
      </c>
      <c r="H40" s="49">
        <v>1</v>
      </c>
      <c r="I40" s="49">
        <v>5</v>
      </c>
      <c r="J40" s="49">
        <v>2</v>
      </c>
      <c r="K40" s="49">
        <v>0</v>
      </c>
      <c r="L40" s="49">
        <v>1</v>
      </c>
      <c r="M40" s="49">
        <v>371</v>
      </c>
      <c r="N40" s="49">
        <v>0</v>
      </c>
      <c r="O40" s="15">
        <f t="shared" si="0"/>
        <v>189</v>
      </c>
      <c r="P40" s="15">
        <f t="shared" si="1"/>
        <v>560</v>
      </c>
    </row>
    <row r="41" spans="2:20" ht="23.1" customHeight="1" x14ac:dyDescent="0.25">
      <c r="B41" s="22" t="s">
        <v>68</v>
      </c>
      <c r="C41" s="49">
        <v>154</v>
      </c>
      <c r="D41" s="49">
        <v>30</v>
      </c>
      <c r="E41" s="49">
        <v>17</v>
      </c>
      <c r="F41" s="49">
        <v>7</v>
      </c>
      <c r="G41" s="49">
        <v>0</v>
      </c>
      <c r="H41" s="49">
        <v>0</v>
      </c>
      <c r="I41" s="49">
        <v>4</v>
      </c>
      <c r="J41" s="49">
        <v>3</v>
      </c>
      <c r="K41" s="49">
        <v>0</v>
      </c>
      <c r="L41" s="49">
        <v>4</v>
      </c>
      <c r="M41" s="49">
        <v>248</v>
      </c>
      <c r="N41" s="49">
        <v>0</v>
      </c>
      <c r="O41" s="15">
        <f t="shared" si="0"/>
        <v>219</v>
      </c>
      <c r="P41" s="15">
        <f t="shared" si="1"/>
        <v>467</v>
      </c>
    </row>
    <row r="42" spans="2:20" ht="23.1" customHeight="1" x14ac:dyDescent="0.25">
      <c r="B42" s="23" t="s">
        <v>69</v>
      </c>
      <c r="C42" s="49">
        <v>119</v>
      </c>
      <c r="D42" s="49">
        <v>25</v>
      </c>
      <c r="E42" s="49">
        <v>13</v>
      </c>
      <c r="F42" s="49">
        <v>5</v>
      </c>
      <c r="G42" s="49">
        <v>0</v>
      </c>
      <c r="H42" s="49">
        <v>0</v>
      </c>
      <c r="I42" s="49">
        <v>5</v>
      </c>
      <c r="J42" s="49">
        <v>3</v>
      </c>
      <c r="K42" s="49">
        <v>0</v>
      </c>
      <c r="L42" s="49">
        <v>3</v>
      </c>
      <c r="M42" s="49">
        <v>255</v>
      </c>
      <c r="N42" s="49">
        <v>0</v>
      </c>
      <c r="O42" s="15">
        <f t="shared" si="0"/>
        <v>173</v>
      </c>
      <c r="P42" s="15">
        <f t="shared" si="1"/>
        <v>428</v>
      </c>
    </row>
    <row r="43" spans="2:20" ht="23.1" customHeight="1" x14ac:dyDescent="0.25">
      <c r="B43" s="22" t="s">
        <v>70</v>
      </c>
      <c r="C43" s="49">
        <v>77</v>
      </c>
      <c r="D43" s="49">
        <v>9</v>
      </c>
      <c r="E43" s="49">
        <v>11</v>
      </c>
      <c r="F43" s="49">
        <v>3</v>
      </c>
      <c r="G43" s="49">
        <v>0</v>
      </c>
      <c r="H43" s="49">
        <v>0</v>
      </c>
      <c r="I43" s="49">
        <v>5</v>
      </c>
      <c r="J43" s="49">
        <v>1</v>
      </c>
      <c r="K43" s="49">
        <v>0</v>
      </c>
      <c r="L43" s="49">
        <v>0</v>
      </c>
      <c r="M43" s="49">
        <v>207</v>
      </c>
      <c r="N43" s="49">
        <v>0</v>
      </c>
      <c r="O43" s="15">
        <f t="shared" si="0"/>
        <v>106</v>
      </c>
      <c r="P43" s="15">
        <f t="shared" si="1"/>
        <v>313</v>
      </c>
    </row>
    <row r="44" spans="2:20" ht="23.1" customHeight="1" x14ac:dyDescent="0.25">
      <c r="B44" s="24" t="s">
        <v>71</v>
      </c>
      <c r="C44" s="49">
        <v>98</v>
      </c>
      <c r="D44" s="49">
        <v>27</v>
      </c>
      <c r="E44" s="49">
        <v>18</v>
      </c>
      <c r="F44" s="49">
        <v>6</v>
      </c>
      <c r="G44" s="49">
        <v>1</v>
      </c>
      <c r="H44" s="49">
        <v>1</v>
      </c>
      <c r="I44" s="49">
        <v>6</v>
      </c>
      <c r="J44" s="49">
        <v>2</v>
      </c>
      <c r="K44" s="49">
        <v>1</v>
      </c>
      <c r="L44" s="49">
        <v>7</v>
      </c>
      <c r="M44" s="49">
        <v>225</v>
      </c>
      <c r="N44" s="49">
        <v>0</v>
      </c>
      <c r="O44" s="15">
        <f t="shared" si="0"/>
        <v>167</v>
      </c>
      <c r="P44" s="15">
        <f t="shared" si="1"/>
        <v>392</v>
      </c>
    </row>
    <row r="45" spans="2:20" ht="23.1" customHeight="1" x14ac:dyDescent="0.25">
      <c r="B45" s="22" t="s">
        <v>72</v>
      </c>
      <c r="C45" s="49">
        <v>149</v>
      </c>
      <c r="D45" s="49">
        <v>50</v>
      </c>
      <c r="E45" s="49">
        <v>13</v>
      </c>
      <c r="F45" s="49">
        <v>17</v>
      </c>
      <c r="G45" s="49">
        <v>2</v>
      </c>
      <c r="H45" s="49">
        <v>0</v>
      </c>
      <c r="I45" s="49">
        <v>5</v>
      </c>
      <c r="J45" s="49">
        <v>4</v>
      </c>
      <c r="K45" s="49">
        <v>1</v>
      </c>
      <c r="L45" s="49">
        <v>4</v>
      </c>
      <c r="M45" s="49">
        <v>260</v>
      </c>
      <c r="N45" s="49">
        <v>0</v>
      </c>
      <c r="O45" s="15">
        <f t="shared" si="0"/>
        <v>245</v>
      </c>
      <c r="P45" s="15">
        <f t="shared" si="1"/>
        <v>505</v>
      </c>
    </row>
    <row r="46" spans="2:20" ht="23.1" customHeight="1" x14ac:dyDescent="0.25">
      <c r="B46" s="23" t="s">
        <v>73</v>
      </c>
      <c r="C46" s="49">
        <v>117</v>
      </c>
      <c r="D46" s="49">
        <v>21</v>
      </c>
      <c r="E46" s="49">
        <v>10</v>
      </c>
      <c r="F46" s="49">
        <v>7</v>
      </c>
      <c r="G46" s="49">
        <v>0</v>
      </c>
      <c r="H46" s="49">
        <v>0</v>
      </c>
      <c r="I46" s="49">
        <v>4</v>
      </c>
      <c r="J46" s="49">
        <v>5</v>
      </c>
      <c r="K46" s="49">
        <v>1</v>
      </c>
      <c r="L46" s="49">
        <v>6</v>
      </c>
      <c r="M46" s="49">
        <v>189</v>
      </c>
      <c r="N46" s="49">
        <v>0</v>
      </c>
      <c r="O46" s="15">
        <f t="shared" si="0"/>
        <v>171</v>
      </c>
      <c r="P46" s="15">
        <f t="shared" si="1"/>
        <v>360</v>
      </c>
      <c r="R46" s="8"/>
      <c r="T46"/>
    </row>
    <row r="47" spans="2:20" ht="23.1" customHeight="1" x14ac:dyDescent="0.25">
      <c r="B47" s="23" t="s">
        <v>74</v>
      </c>
      <c r="C47" s="49">
        <v>112</v>
      </c>
      <c r="D47" s="49">
        <v>36</v>
      </c>
      <c r="E47" s="49">
        <v>22</v>
      </c>
      <c r="F47" s="49">
        <v>8</v>
      </c>
      <c r="G47" s="49">
        <v>0</v>
      </c>
      <c r="H47" s="49">
        <v>0</v>
      </c>
      <c r="I47" s="49">
        <v>3</v>
      </c>
      <c r="J47" s="49">
        <v>1</v>
      </c>
      <c r="K47" s="49">
        <v>3</v>
      </c>
      <c r="L47" s="49">
        <v>5</v>
      </c>
      <c r="M47" s="49">
        <v>270</v>
      </c>
      <c r="N47" s="49">
        <v>0</v>
      </c>
      <c r="O47" s="15">
        <f t="shared" si="0"/>
        <v>190</v>
      </c>
      <c r="P47" s="15">
        <f t="shared" si="1"/>
        <v>460</v>
      </c>
      <c r="R47" s="8"/>
      <c r="T47"/>
    </row>
    <row r="48" spans="2:20" ht="23.1" customHeight="1" x14ac:dyDescent="0.25">
      <c r="B48" s="23" t="s">
        <v>75</v>
      </c>
      <c r="C48" s="49">
        <v>162</v>
      </c>
      <c r="D48" s="49">
        <v>35</v>
      </c>
      <c r="E48" s="49">
        <v>20</v>
      </c>
      <c r="F48" s="49">
        <v>16</v>
      </c>
      <c r="G48" s="49">
        <v>3</v>
      </c>
      <c r="H48" s="49">
        <v>0</v>
      </c>
      <c r="I48" s="49">
        <v>7</v>
      </c>
      <c r="J48" s="49">
        <v>8</v>
      </c>
      <c r="K48" s="49">
        <v>2</v>
      </c>
      <c r="L48" s="49">
        <v>2</v>
      </c>
      <c r="M48" s="49">
        <v>240</v>
      </c>
      <c r="N48" s="49">
        <v>0</v>
      </c>
      <c r="O48" s="15">
        <f t="shared" si="0"/>
        <v>255</v>
      </c>
      <c r="P48" s="15">
        <f t="shared" si="1"/>
        <v>495</v>
      </c>
      <c r="R48" s="8"/>
      <c r="T48"/>
    </row>
    <row r="49" spans="2:20" ht="23.1" customHeight="1" x14ac:dyDescent="0.25">
      <c r="B49" s="22" t="s">
        <v>76</v>
      </c>
      <c r="C49" s="49">
        <v>154</v>
      </c>
      <c r="D49" s="49">
        <v>32</v>
      </c>
      <c r="E49" s="49">
        <v>7</v>
      </c>
      <c r="F49" s="49">
        <v>7</v>
      </c>
      <c r="G49" s="49">
        <v>4</v>
      </c>
      <c r="H49" s="49">
        <v>0</v>
      </c>
      <c r="I49" s="49">
        <v>2</v>
      </c>
      <c r="J49" s="49">
        <v>1</v>
      </c>
      <c r="K49" s="49">
        <v>1</v>
      </c>
      <c r="L49" s="49">
        <v>0</v>
      </c>
      <c r="M49" s="49">
        <v>332</v>
      </c>
      <c r="N49" s="49">
        <v>0</v>
      </c>
      <c r="O49" s="15">
        <f t="shared" si="0"/>
        <v>208</v>
      </c>
      <c r="P49" s="15">
        <f t="shared" si="1"/>
        <v>540</v>
      </c>
      <c r="R49" s="8"/>
      <c r="T49"/>
    </row>
    <row r="50" spans="2:20" ht="23.1" customHeight="1" x14ac:dyDescent="0.25">
      <c r="B50" s="23" t="s">
        <v>77</v>
      </c>
      <c r="C50" s="49">
        <v>129</v>
      </c>
      <c r="D50" s="49">
        <v>41</v>
      </c>
      <c r="E50" s="49">
        <v>16</v>
      </c>
      <c r="F50" s="49">
        <v>11</v>
      </c>
      <c r="G50" s="49">
        <v>0</v>
      </c>
      <c r="H50" s="49">
        <v>0</v>
      </c>
      <c r="I50" s="49">
        <v>5</v>
      </c>
      <c r="J50" s="49">
        <v>5</v>
      </c>
      <c r="K50" s="49">
        <v>0</v>
      </c>
      <c r="L50" s="49">
        <v>7</v>
      </c>
      <c r="M50" s="49">
        <v>390</v>
      </c>
      <c r="N50" s="49">
        <v>0</v>
      </c>
      <c r="O50" s="15">
        <f t="shared" si="0"/>
        <v>214</v>
      </c>
      <c r="P50" s="15">
        <f t="shared" si="1"/>
        <v>604</v>
      </c>
      <c r="R50" s="8"/>
      <c r="T50"/>
    </row>
    <row r="51" spans="2:20" ht="23.1" customHeight="1" x14ac:dyDescent="0.25">
      <c r="B51" s="23" t="s">
        <v>78</v>
      </c>
      <c r="C51" s="49">
        <v>103</v>
      </c>
      <c r="D51" s="49">
        <v>28</v>
      </c>
      <c r="E51" s="49">
        <v>12</v>
      </c>
      <c r="F51" s="49">
        <v>15</v>
      </c>
      <c r="G51" s="49">
        <v>3</v>
      </c>
      <c r="H51" s="49">
        <v>0</v>
      </c>
      <c r="I51" s="49">
        <v>3</v>
      </c>
      <c r="J51" s="49">
        <v>5</v>
      </c>
      <c r="K51" s="49">
        <v>1</v>
      </c>
      <c r="L51" s="49">
        <v>3</v>
      </c>
      <c r="M51" s="49">
        <v>280</v>
      </c>
      <c r="N51" s="49">
        <v>0</v>
      </c>
      <c r="O51" s="15">
        <f t="shared" si="0"/>
        <v>173</v>
      </c>
      <c r="P51" s="15">
        <f t="shared" si="1"/>
        <v>453</v>
      </c>
      <c r="R51" s="8"/>
      <c r="T51"/>
    </row>
    <row r="52" spans="2:20" ht="23.1" customHeight="1" x14ac:dyDescent="0.25">
      <c r="B52" s="23" t="s">
        <v>79</v>
      </c>
      <c r="C52" s="49">
        <v>107</v>
      </c>
      <c r="D52" s="49">
        <v>31</v>
      </c>
      <c r="E52" s="49">
        <v>8</v>
      </c>
      <c r="F52" s="49">
        <v>10</v>
      </c>
      <c r="G52" s="49">
        <v>2</v>
      </c>
      <c r="H52" s="49">
        <v>0</v>
      </c>
      <c r="I52" s="49">
        <v>1</v>
      </c>
      <c r="J52" s="49">
        <v>1</v>
      </c>
      <c r="K52" s="49">
        <v>1</v>
      </c>
      <c r="L52" s="49">
        <v>1</v>
      </c>
      <c r="M52" s="49">
        <v>350</v>
      </c>
      <c r="N52" s="49">
        <v>0</v>
      </c>
      <c r="O52" s="15">
        <f t="shared" si="0"/>
        <v>162</v>
      </c>
      <c r="P52" s="15">
        <f t="shared" si="1"/>
        <v>512</v>
      </c>
      <c r="R52" s="8"/>
      <c r="T52"/>
    </row>
    <row r="53" spans="2:20" ht="23.1" customHeight="1" x14ac:dyDescent="0.25">
      <c r="B53" s="22" t="s">
        <v>80</v>
      </c>
      <c r="C53" s="49">
        <v>111</v>
      </c>
      <c r="D53" s="49">
        <v>23</v>
      </c>
      <c r="E53" s="49">
        <v>21</v>
      </c>
      <c r="F53" s="49">
        <v>13</v>
      </c>
      <c r="G53" s="49">
        <v>1</v>
      </c>
      <c r="H53" s="49">
        <v>0</v>
      </c>
      <c r="I53" s="49">
        <v>2</v>
      </c>
      <c r="J53" s="49">
        <v>1</v>
      </c>
      <c r="K53" s="49">
        <v>1</v>
      </c>
      <c r="L53" s="49">
        <v>2</v>
      </c>
      <c r="M53" s="49">
        <v>399</v>
      </c>
      <c r="N53" s="49">
        <v>0</v>
      </c>
      <c r="O53" s="15">
        <f t="shared" si="0"/>
        <v>175</v>
      </c>
      <c r="P53" s="15">
        <f t="shared" si="1"/>
        <v>574</v>
      </c>
      <c r="R53" s="8"/>
      <c r="T53"/>
    </row>
    <row r="54" spans="2:20" ht="23.1" customHeight="1" x14ac:dyDescent="0.25">
      <c r="B54" s="22" t="s">
        <v>81</v>
      </c>
      <c r="C54" s="49">
        <v>185</v>
      </c>
      <c r="D54" s="49">
        <v>35</v>
      </c>
      <c r="E54" s="49">
        <v>16</v>
      </c>
      <c r="F54" s="49">
        <v>11</v>
      </c>
      <c r="G54" s="49">
        <v>2</v>
      </c>
      <c r="H54" s="49">
        <v>0</v>
      </c>
      <c r="I54" s="49">
        <v>6</v>
      </c>
      <c r="J54" s="49">
        <v>7</v>
      </c>
      <c r="K54" s="49">
        <v>0</v>
      </c>
      <c r="L54" s="49">
        <v>3</v>
      </c>
      <c r="M54" s="49">
        <v>222</v>
      </c>
      <c r="N54" s="49">
        <v>1</v>
      </c>
      <c r="O54" s="15">
        <f t="shared" si="0"/>
        <v>266</v>
      </c>
      <c r="P54" s="15">
        <f t="shared" si="1"/>
        <v>488</v>
      </c>
      <c r="R54" s="8"/>
      <c r="T54"/>
    </row>
    <row r="55" spans="2:20" ht="23.1" customHeight="1" x14ac:dyDescent="0.25">
      <c r="B55" s="22" t="s">
        <v>82</v>
      </c>
      <c r="C55" s="49">
        <v>60</v>
      </c>
      <c r="D55" s="49">
        <v>15</v>
      </c>
      <c r="E55" s="49">
        <v>6</v>
      </c>
      <c r="F55" s="49">
        <v>6</v>
      </c>
      <c r="G55" s="49">
        <v>4</v>
      </c>
      <c r="H55" s="49">
        <v>0</v>
      </c>
      <c r="I55" s="49">
        <v>3</v>
      </c>
      <c r="J55" s="49">
        <v>1</v>
      </c>
      <c r="K55" s="49">
        <v>0</v>
      </c>
      <c r="L55" s="49">
        <v>2</v>
      </c>
      <c r="M55" s="49">
        <v>254</v>
      </c>
      <c r="N55" s="49">
        <v>0</v>
      </c>
      <c r="O55" s="15">
        <f t="shared" si="0"/>
        <v>97</v>
      </c>
      <c r="P55" s="15">
        <f t="shared" si="1"/>
        <v>351</v>
      </c>
      <c r="R55" s="8"/>
      <c r="T55"/>
    </row>
    <row r="56" spans="2:20" ht="23.1" customHeight="1" x14ac:dyDescent="0.25">
      <c r="B56" s="22" t="s">
        <v>83</v>
      </c>
      <c r="C56" s="49">
        <v>40</v>
      </c>
      <c r="D56" s="49">
        <v>8</v>
      </c>
      <c r="E56" s="49">
        <v>4</v>
      </c>
      <c r="F56" s="49">
        <v>8</v>
      </c>
      <c r="G56" s="49">
        <v>1</v>
      </c>
      <c r="H56" s="49">
        <v>0</v>
      </c>
      <c r="I56" s="49">
        <v>2</v>
      </c>
      <c r="J56" s="49">
        <v>1</v>
      </c>
      <c r="K56" s="49">
        <v>0</v>
      </c>
      <c r="L56" s="49">
        <v>1</v>
      </c>
      <c r="M56" s="49">
        <v>162</v>
      </c>
      <c r="N56" s="49">
        <v>0</v>
      </c>
      <c r="O56" s="15">
        <f t="shared" si="0"/>
        <v>65</v>
      </c>
      <c r="P56" s="15">
        <f t="shared" si="1"/>
        <v>227</v>
      </c>
      <c r="R56" s="8"/>
      <c r="T56"/>
    </row>
    <row r="57" spans="2:20" ht="23.1" customHeight="1" x14ac:dyDescent="0.25">
      <c r="B57" s="22" t="s">
        <v>84</v>
      </c>
      <c r="C57" s="49">
        <v>55</v>
      </c>
      <c r="D57" s="49">
        <v>13</v>
      </c>
      <c r="E57" s="49">
        <v>6</v>
      </c>
      <c r="F57" s="49">
        <v>9</v>
      </c>
      <c r="G57" s="49">
        <v>2</v>
      </c>
      <c r="H57" s="49">
        <v>0</v>
      </c>
      <c r="I57" s="49">
        <v>3</v>
      </c>
      <c r="J57" s="49">
        <v>3</v>
      </c>
      <c r="K57" s="49">
        <v>2</v>
      </c>
      <c r="L57" s="49">
        <v>2</v>
      </c>
      <c r="M57" s="49">
        <v>205</v>
      </c>
      <c r="N57" s="49">
        <v>0</v>
      </c>
      <c r="O57" s="15">
        <f t="shared" si="0"/>
        <v>95</v>
      </c>
      <c r="P57" s="15">
        <f t="shared" si="1"/>
        <v>300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7322</v>
      </c>
      <c r="D58" s="16">
        <f t="shared" si="21"/>
        <v>1947</v>
      </c>
      <c r="E58" s="16">
        <f t="shared" si="21"/>
        <v>593</v>
      </c>
      <c r="F58" s="16">
        <f t="shared" si="21"/>
        <v>451</v>
      </c>
      <c r="G58" s="16">
        <f t="shared" si="21"/>
        <v>53</v>
      </c>
      <c r="H58" s="16">
        <f t="shared" si="21"/>
        <v>6</v>
      </c>
      <c r="I58" s="16">
        <f t="shared" si="21"/>
        <v>192</v>
      </c>
      <c r="J58" s="16">
        <f t="shared" si="21"/>
        <v>152</v>
      </c>
      <c r="K58" s="16">
        <f t="shared" si="21"/>
        <v>46</v>
      </c>
      <c r="L58" s="16">
        <f t="shared" si="21"/>
        <v>102</v>
      </c>
      <c r="M58" s="16">
        <f t="shared" si="21"/>
        <v>14265</v>
      </c>
      <c r="N58" s="16">
        <f t="shared" si="21"/>
        <v>2</v>
      </c>
      <c r="O58" s="16">
        <f t="shared" si="21"/>
        <v>10866</v>
      </c>
      <c r="P58" s="16">
        <f t="shared" si="21"/>
        <v>25131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0.29135330866260795</v>
      </c>
      <c r="D59" s="42">
        <f t="shared" si="22"/>
        <v>7.7474036051092279E-2</v>
      </c>
      <c r="E59" s="42">
        <f t="shared" si="22"/>
        <v>2.3596355099279775E-2</v>
      </c>
      <c r="F59" s="42">
        <f t="shared" si="22"/>
        <v>1.7945963153077872E-2</v>
      </c>
      <c r="G59" s="42">
        <f t="shared" si="22"/>
        <v>2.1089491066809915E-3</v>
      </c>
      <c r="H59" s="42">
        <f t="shared" si="22"/>
        <v>2.3874895547331979E-4</v>
      </c>
      <c r="I59" s="42">
        <f t="shared" si="22"/>
        <v>7.6399665751462334E-3</v>
      </c>
      <c r="J59" s="42">
        <f t="shared" si="22"/>
        <v>6.0483068719907685E-3</v>
      </c>
      <c r="K59" s="42">
        <f t="shared" si="22"/>
        <v>1.8304086586287851E-3</v>
      </c>
      <c r="L59" s="42">
        <f t="shared" si="22"/>
        <v>4.0587322430464369E-3</v>
      </c>
      <c r="M59" s="42">
        <f t="shared" si="22"/>
        <v>0.56762564163781781</v>
      </c>
      <c r="N59" s="42">
        <f t="shared" si="22"/>
        <v>7.9582985157773269E-5</v>
      </c>
      <c r="R59" s="8"/>
      <c r="T59"/>
    </row>
    <row r="60" spans="2:20" ht="23.1" customHeight="1" x14ac:dyDescent="0.25">
      <c r="B60" s="41" t="s">
        <v>94</v>
      </c>
      <c r="C60" s="43">
        <f>C58/$O$58</f>
        <v>0.67384502116694278</v>
      </c>
      <c r="D60" s="43">
        <f t="shared" ref="D60:N60" si="23">D58/$O$58</f>
        <v>0.17918277194919935</v>
      </c>
      <c r="E60" s="43">
        <f t="shared" si="23"/>
        <v>5.4573900239278481E-2</v>
      </c>
      <c r="F60" s="43">
        <f t="shared" si="23"/>
        <v>4.150561384133996E-2</v>
      </c>
      <c r="G60" s="43">
        <f t="shared" si="23"/>
        <v>4.8775998527517024E-3</v>
      </c>
      <c r="H60" s="43">
        <f t="shared" si="23"/>
        <v>5.5218111540585317E-4</v>
      </c>
      <c r="I60" s="43">
        <f t="shared" si="23"/>
        <v>1.7669795692987302E-2</v>
      </c>
      <c r="J60" s="43">
        <f t="shared" si="23"/>
        <v>1.3988588256948278E-2</v>
      </c>
      <c r="K60" s="43">
        <f t="shared" si="23"/>
        <v>4.2333885514448735E-3</v>
      </c>
      <c r="L60" s="43">
        <f t="shared" si="23"/>
        <v>9.3870789618995028E-3</v>
      </c>
      <c r="M60" s="43"/>
      <c r="N60" s="43">
        <f t="shared" si="23"/>
        <v>1.8406037180195104E-4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74"/>
  <sheetViews>
    <sheetView view="pageBreakPreview" topLeftCell="A34" zoomScale="60" workbookViewId="0">
      <selection activeCell="L102" sqref="L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e">
        <f>#REF!</f>
        <v>#REF!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162</v>
      </c>
      <c r="E5" s="3"/>
      <c r="F5" s="40" t="s">
        <v>1</v>
      </c>
      <c r="G5" s="58" t="str">
        <f>'01.08. Mukwano RBT-Jinja RD 24h'!G5:H5</f>
        <v>Access Road (49f)</v>
      </c>
      <c r="H5" s="59"/>
      <c r="I5" s="14"/>
      <c r="J5" s="2" t="s">
        <v>5</v>
      </c>
      <c r="K5" s="58" t="str">
        <f>'01.08. Mukwano RBT-Jinja RD 24h'!K5:L5</f>
        <v>Emmanuel Egimu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e">
        <f>#REF!</f>
        <v>#REF!</v>
      </c>
      <c r="E6" s="59"/>
      <c r="F6" s="2" t="s">
        <v>2</v>
      </c>
      <c r="G6" s="58" t="e">
        <f>#REF!</f>
        <v>#REF!</v>
      </c>
      <c r="H6" s="59"/>
      <c r="J6" s="2" t="s">
        <v>21</v>
      </c>
      <c r="K6" s="58" t="str">
        <f>'01.08. Mukwano RBT-Jinja RD 24h'!K6:L6</f>
        <v>Felix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28</v>
      </c>
      <c r="D10" s="49">
        <v>12</v>
      </c>
      <c r="E10" s="49">
        <v>18</v>
      </c>
      <c r="F10" s="49">
        <v>17</v>
      </c>
      <c r="G10" s="49">
        <v>0</v>
      </c>
      <c r="H10" s="49">
        <v>0</v>
      </c>
      <c r="I10" s="49">
        <v>3</v>
      </c>
      <c r="J10" s="49">
        <v>0</v>
      </c>
      <c r="K10" s="49">
        <v>1</v>
      </c>
      <c r="L10" s="49">
        <v>1</v>
      </c>
      <c r="M10" s="49">
        <v>95</v>
      </c>
      <c r="N10" s="49">
        <v>0</v>
      </c>
      <c r="O10" s="15">
        <f t="shared" ref="O10:O73" si="0">SUM(C10:L10,N10)</f>
        <v>80</v>
      </c>
      <c r="P10" s="15">
        <f t="shared" ref="P10:P73" si="1">SUM(C10:N10)</f>
        <v>175</v>
      </c>
      <c r="R10" s="1" t="s">
        <v>6</v>
      </c>
      <c r="S10" s="17">
        <f t="shared" ref="S10:AF10" si="2">SUM(C10:C13)</f>
        <v>152</v>
      </c>
      <c r="T10" s="17">
        <f t="shared" si="2"/>
        <v>72</v>
      </c>
      <c r="U10" s="17">
        <f t="shared" si="2"/>
        <v>56</v>
      </c>
      <c r="V10" s="17">
        <f t="shared" si="2"/>
        <v>47</v>
      </c>
      <c r="W10" s="17">
        <f t="shared" si="2"/>
        <v>2</v>
      </c>
      <c r="X10" s="17">
        <f t="shared" si="2"/>
        <v>0</v>
      </c>
      <c r="Y10" s="17">
        <f t="shared" si="2"/>
        <v>8</v>
      </c>
      <c r="Z10" s="17">
        <f t="shared" si="2"/>
        <v>4</v>
      </c>
      <c r="AA10" s="17">
        <f t="shared" si="2"/>
        <v>3</v>
      </c>
      <c r="AB10" s="17">
        <f t="shared" si="2"/>
        <v>3</v>
      </c>
      <c r="AC10" s="17">
        <f t="shared" si="2"/>
        <v>545</v>
      </c>
      <c r="AD10" s="17">
        <f t="shared" si="2"/>
        <v>0</v>
      </c>
      <c r="AE10" s="30">
        <f t="shared" si="2"/>
        <v>347</v>
      </c>
      <c r="AF10" s="30">
        <f t="shared" si="2"/>
        <v>892</v>
      </c>
    </row>
    <row r="11" spans="2:32" s="6" customFormat="1" ht="23.1" customHeight="1" x14ac:dyDescent="0.25">
      <c r="B11" s="44" t="s">
        <v>38</v>
      </c>
      <c r="C11" s="49">
        <v>37</v>
      </c>
      <c r="D11" s="49">
        <v>22</v>
      </c>
      <c r="E11" s="49">
        <v>12</v>
      </c>
      <c r="F11" s="49">
        <v>11</v>
      </c>
      <c r="G11" s="49">
        <v>0</v>
      </c>
      <c r="H11" s="49">
        <v>0</v>
      </c>
      <c r="I11" s="49">
        <v>2</v>
      </c>
      <c r="J11" s="49">
        <v>0</v>
      </c>
      <c r="K11" s="49">
        <v>0</v>
      </c>
      <c r="L11" s="49">
        <v>0</v>
      </c>
      <c r="M11" s="49">
        <v>55</v>
      </c>
      <c r="N11" s="49">
        <v>0</v>
      </c>
      <c r="O11" s="15">
        <f t="shared" si="0"/>
        <v>84</v>
      </c>
      <c r="P11" s="15">
        <f t="shared" si="1"/>
        <v>139</v>
      </c>
      <c r="R11" s="1" t="s">
        <v>7</v>
      </c>
      <c r="S11" s="17">
        <f t="shared" ref="S11:AF11" si="3">SUM(C14:C17)</f>
        <v>420</v>
      </c>
      <c r="T11" s="17">
        <f t="shared" si="3"/>
        <v>63</v>
      </c>
      <c r="U11" s="17">
        <f t="shared" si="3"/>
        <v>46</v>
      </c>
      <c r="V11" s="17">
        <f t="shared" si="3"/>
        <v>63</v>
      </c>
      <c r="W11" s="17">
        <f t="shared" si="3"/>
        <v>0</v>
      </c>
      <c r="X11" s="17">
        <f t="shared" si="3"/>
        <v>0</v>
      </c>
      <c r="Y11" s="17">
        <f t="shared" si="3"/>
        <v>20</v>
      </c>
      <c r="Z11" s="17">
        <f t="shared" si="3"/>
        <v>13</v>
      </c>
      <c r="AA11" s="17">
        <f t="shared" si="3"/>
        <v>1</v>
      </c>
      <c r="AB11" s="17">
        <f t="shared" si="3"/>
        <v>13</v>
      </c>
      <c r="AC11" s="17">
        <f t="shared" si="3"/>
        <v>1130</v>
      </c>
      <c r="AD11" s="17">
        <f t="shared" si="3"/>
        <v>0</v>
      </c>
      <c r="AE11" s="30">
        <f t="shared" si="3"/>
        <v>639</v>
      </c>
      <c r="AF11" s="30">
        <f t="shared" si="3"/>
        <v>1769</v>
      </c>
    </row>
    <row r="12" spans="2:32" ht="23.1" customHeight="1" x14ac:dyDescent="0.25">
      <c r="B12" s="44" t="s">
        <v>39</v>
      </c>
      <c r="C12" s="49">
        <v>22</v>
      </c>
      <c r="D12" s="49">
        <v>11</v>
      </c>
      <c r="E12" s="49">
        <v>10</v>
      </c>
      <c r="F12" s="49">
        <v>6</v>
      </c>
      <c r="G12" s="49">
        <v>0</v>
      </c>
      <c r="H12" s="49">
        <v>0</v>
      </c>
      <c r="I12" s="49">
        <v>2</v>
      </c>
      <c r="J12" s="49">
        <v>1</v>
      </c>
      <c r="K12" s="49">
        <v>1</v>
      </c>
      <c r="L12" s="49">
        <v>1</v>
      </c>
      <c r="M12" s="49">
        <v>195</v>
      </c>
      <c r="N12" s="49">
        <v>0</v>
      </c>
      <c r="O12" s="15">
        <f t="shared" si="0"/>
        <v>54</v>
      </c>
      <c r="P12" s="15">
        <f t="shared" si="1"/>
        <v>249</v>
      </c>
      <c r="R12" s="1" t="s">
        <v>8</v>
      </c>
      <c r="S12" s="17">
        <f t="shared" ref="S12:AF12" si="4">SUM(C18:C21)</f>
        <v>427</v>
      </c>
      <c r="T12" s="17">
        <f t="shared" si="4"/>
        <v>94</v>
      </c>
      <c r="U12" s="17">
        <f t="shared" si="4"/>
        <v>67</v>
      </c>
      <c r="V12" s="17">
        <f t="shared" si="4"/>
        <v>48</v>
      </c>
      <c r="W12" s="17">
        <f t="shared" si="4"/>
        <v>0</v>
      </c>
      <c r="X12" s="17">
        <f t="shared" si="4"/>
        <v>0</v>
      </c>
      <c r="Y12" s="17">
        <f t="shared" si="4"/>
        <v>44</v>
      </c>
      <c r="Z12" s="17">
        <f t="shared" si="4"/>
        <v>10</v>
      </c>
      <c r="AA12" s="17">
        <f t="shared" si="4"/>
        <v>2</v>
      </c>
      <c r="AB12" s="17">
        <f t="shared" si="4"/>
        <v>9</v>
      </c>
      <c r="AC12" s="17">
        <f t="shared" si="4"/>
        <v>1118</v>
      </c>
      <c r="AD12" s="17">
        <f t="shared" si="4"/>
        <v>0</v>
      </c>
      <c r="AE12" s="30">
        <f t="shared" si="4"/>
        <v>701</v>
      </c>
      <c r="AF12" s="30">
        <f t="shared" si="4"/>
        <v>1819</v>
      </c>
    </row>
    <row r="13" spans="2:32" ht="23.1" customHeight="1" x14ac:dyDescent="0.25">
      <c r="B13" s="44" t="s">
        <v>40</v>
      </c>
      <c r="C13" s="49">
        <v>65</v>
      </c>
      <c r="D13" s="49">
        <v>27</v>
      </c>
      <c r="E13" s="49">
        <v>16</v>
      </c>
      <c r="F13" s="49">
        <v>13</v>
      </c>
      <c r="G13" s="49">
        <v>2</v>
      </c>
      <c r="H13" s="49">
        <v>0</v>
      </c>
      <c r="I13" s="49">
        <v>1</v>
      </c>
      <c r="J13" s="49">
        <v>3</v>
      </c>
      <c r="K13" s="49">
        <v>1</v>
      </c>
      <c r="L13" s="49">
        <v>1</v>
      </c>
      <c r="M13" s="49">
        <v>200</v>
      </c>
      <c r="N13" s="49">
        <v>0</v>
      </c>
      <c r="O13" s="15">
        <f t="shared" si="0"/>
        <v>129</v>
      </c>
      <c r="P13" s="15">
        <f t="shared" si="1"/>
        <v>329</v>
      </c>
      <c r="R13" s="1" t="s">
        <v>9</v>
      </c>
      <c r="S13" s="17">
        <f t="shared" ref="S13:AF13" si="5">SUM(C22:C25)</f>
        <v>441</v>
      </c>
      <c r="T13" s="17">
        <f t="shared" si="5"/>
        <v>136</v>
      </c>
      <c r="U13" s="17">
        <f t="shared" si="5"/>
        <v>62</v>
      </c>
      <c r="V13" s="17">
        <f t="shared" si="5"/>
        <v>42</v>
      </c>
      <c r="W13" s="17">
        <f t="shared" si="5"/>
        <v>3</v>
      </c>
      <c r="X13" s="17">
        <f t="shared" si="5"/>
        <v>0</v>
      </c>
      <c r="Y13" s="17">
        <f t="shared" si="5"/>
        <v>43</v>
      </c>
      <c r="Z13" s="17">
        <f t="shared" si="5"/>
        <v>23</v>
      </c>
      <c r="AA13" s="17">
        <f t="shared" si="5"/>
        <v>4</v>
      </c>
      <c r="AB13" s="17">
        <f t="shared" si="5"/>
        <v>14</v>
      </c>
      <c r="AC13" s="17">
        <f t="shared" si="5"/>
        <v>1090</v>
      </c>
      <c r="AD13" s="17">
        <f t="shared" si="5"/>
        <v>1</v>
      </c>
      <c r="AE13" s="30">
        <f t="shared" si="5"/>
        <v>769</v>
      </c>
      <c r="AF13" s="30">
        <f t="shared" si="5"/>
        <v>1859</v>
      </c>
    </row>
    <row r="14" spans="2:32" ht="23.1" customHeight="1" x14ac:dyDescent="0.25">
      <c r="B14" s="44" t="s">
        <v>41</v>
      </c>
      <c r="C14" s="49">
        <v>88</v>
      </c>
      <c r="D14" s="49">
        <v>15</v>
      </c>
      <c r="E14" s="49">
        <v>11</v>
      </c>
      <c r="F14" s="49">
        <v>20</v>
      </c>
      <c r="G14" s="49">
        <v>0</v>
      </c>
      <c r="H14" s="49">
        <v>0</v>
      </c>
      <c r="I14" s="49">
        <v>2</v>
      </c>
      <c r="J14" s="49">
        <v>3</v>
      </c>
      <c r="K14" s="49">
        <v>0</v>
      </c>
      <c r="L14" s="49">
        <v>3</v>
      </c>
      <c r="M14" s="49">
        <v>260</v>
      </c>
      <c r="N14" s="49">
        <v>0</v>
      </c>
      <c r="O14" s="15">
        <f t="shared" si="0"/>
        <v>142</v>
      </c>
      <c r="P14" s="15">
        <f t="shared" si="1"/>
        <v>402</v>
      </c>
      <c r="R14" s="1" t="s">
        <v>10</v>
      </c>
      <c r="S14" s="17">
        <f t="shared" ref="S14:AF14" si="6">SUM(C26:C29)</f>
        <v>387</v>
      </c>
      <c r="T14" s="17">
        <f t="shared" si="6"/>
        <v>85</v>
      </c>
      <c r="U14" s="17">
        <f t="shared" si="6"/>
        <v>37</v>
      </c>
      <c r="V14" s="17">
        <f t="shared" si="6"/>
        <v>33</v>
      </c>
      <c r="W14" s="17">
        <f t="shared" si="6"/>
        <v>3</v>
      </c>
      <c r="X14" s="17">
        <f t="shared" si="6"/>
        <v>1</v>
      </c>
      <c r="Y14" s="17">
        <f t="shared" si="6"/>
        <v>24</v>
      </c>
      <c r="Z14" s="17">
        <f t="shared" si="6"/>
        <v>17</v>
      </c>
      <c r="AA14" s="17">
        <f t="shared" si="6"/>
        <v>2</v>
      </c>
      <c r="AB14" s="17">
        <f t="shared" si="6"/>
        <v>11</v>
      </c>
      <c r="AC14" s="17">
        <f t="shared" si="6"/>
        <v>1235</v>
      </c>
      <c r="AD14" s="17">
        <f t="shared" si="6"/>
        <v>1</v>
      </c>
      <c r="AE14" s="30">
        <f t="shared" si="6"/>
        <v>601</v>
      </c>
      <c r="AF14" s="30">
        <f t="shared" si="6"/>
        <v>1836</v>
      </c>
    </row>
    <row r="15" spans="2:32" ht="23.1" customHeight="1" x14ac:dyDescent="0.25">
      <c r="B15" s="44" t="s">
        <v>42</v>
      </c>
      <c r="C15" s="49">
        <v>97</v>
      </c>
      <c r="D15" s="49">
        <v>12</v>
      </c>
      <c r="E15" s="49">
        <v>15</v>
      </c>
      <c r="F15" s="49">
        <v>14</v>
      </c>
      <c r="G15" s="49">
        <v>0</v>
      </c>
      <c r="H15" s="49">
        <v>0</v>
      </c>
      <c r="I15" s="49">
        <v>6</v>
      </c>
      <c r="J15" s="49">
        <v>5</v>
      </c>
      <c r="K15" s="49">
        <v>0</v>
      </c>
      <c r="L15" s="49">
        <v>7</v>
      </c>
      <c r="M15" s="49">
        <v>294</v>
      </c>
      <c r="N15" s="49">
        <v>0</v>
      </c>
      <c r="O15" s="15">
        <f t="shared" si="0"/>
        <v>156</v>
      </c>
      <c r="P15" s="15">
        <f t="shared" si="1"/>
        <v>450</v>
      </c>
      <c r="R15" s="1" t="s">
        <v>11</v>
      </c>
      <c r="S15" s="17">
        <f t="shared" ref="S15:AF15" si="7">SUM(C30:C33)</f>
        <v>335</v>
      </c>
      <c r="T15" s="17">
        <f t="shared" si="7"/>
        <v>98</v>
      </c>
      <c r="U15" s="17">
        <f t="shared" si="7"/>
        <v>51</v>
      </c>
      <c r="V15" s="17">
        <f t="shared" si="7"/>
        <v>37</v>
      </c>
      <c r="W15" s="17">
        <f t="shared" si="7"/>
        <v>0</v>
      </c>
      <c r="X15" s="17">
        <f t="shared" si="7"/>
        <v>0</v>
      </c>
      <c r="Y15" s="17">
        <f t="shared" si="7"/>
        <v>21</v>
      </c>
      <c r="Z15" s="17">
        <f t="shared" si="7"/>
        <v>16</v>
      </c>
      <c r="AA15" s="17">
        <f t="shared" si="7"/>
        <v>3</v>
      </c>
      <c r="AB15" s="17">
        <f t="shared" si="7"/>
        <v>13</v>
      </c>
      <c r="AC15" s="17">
        <f t="shared" si="7"/>
        <v>731</v>
      </c>
      <c r="AD15" s="17">
        <f t="shared" si="7"/>
        <v>0</v>
      </c>
      <c r="AE15" s="30">
        <f t="shared" si="7"/>
        <v>574</v>
      </c>
      <c r="AF15" s="30">
        <f t="shared" si="7"/>
        <v>1305</v>
      </c>
    </row>
    <row r="16" spans="2:32" ht="23.1" customHeight="1" x14ac:dyDescent="0.25">
      <c r="B16" s="44" t="s">
        <v>43</v>
      </c>
      <c r="C16" s="49">
        <v>110</v>
      </c>
      <c r="D16" s="49">
        <v>21</v>
      </c>
      <c r="E16" s="49">
        <v>11</v>
      </c>
      <c r="F16" s="49">
        <v>13</v>
      </c>
      <c r="G16" s="49">
        <v>0</v>
      </c>
      <c r="H16" s="49">
        <v>0</v>
      </c>
      <c r="I16" s="49">
        <v>9</v>
      </c>
      <c r="J16" s="49">
        <v>3</v>
      </c>
      <c r="K16" s="49">
        <v>0</v>
      </c>
      <c r="L16" s="49">
        <v>2</v>
      </c>
      <c r="M16" s="49">
        <v>250</v>
      </c>
      <c r="N16" s="49">
        <v>0</v>
      </c>
      <c r="O16" s="15">
        <f t="shared" si="0"/>
        <v>169</v>
      </c>
      <c r="P16" s="15">
        <f t="shared" si="1"/>
        <v>419</v>
      </c>
      <c r="R16" s="1" t="s">
        <v>12</v>
      </c>
      <c r="S16" s="17">
        <f t="shared" ref="S16:AF16" si="8">SUM(C34:C37)</f>
        <v>555</v>
      </c>
      <c r="T16" s="17">
        <f t="shared" si="8"/>
        <v>188</v>
      </c>
      <c r="U16" s="17">
        <f t="shared" si="8"/>
        <v>56</v>
      </c>
      <c r="V16" s="17">
        <f t="shared" si="8"/>
        <v>38</v>
      </c>
      <c r="W16" s="17">
        <f t="shared" si="8"/>
        <v>13</v>
      </c>
      <c r="X16" s="17">
        <f t="shared" si="8"/>
        <v>2</v>
      </c>
      <c r="Y16" s="17">
        <f t="shared" si="8"/>
        <v>13</v>
      </c>
      <c r="Z16" s="17">
        <f t="shared" si="8"/>
        <v>12</v>
      </c>
      <c r="AA16" s="17">
        <f t="shared" si="8"/>
        <v>4</v>
      </c>
      <c r="AB16" s="17">
        <f t="shared" si="8"/>
        <v>18</v>
      </c>
      <c r="AC16" s="17">
        <f t="shared" si="8"/>
        <v>897</v>
      </c>
      <c r="AD16" s="17">
        <f t="shared" si="8"/>
        <v>1</v>
      </c>
      <c r="AE16" s="30">
        <f t="shared" si="8"/>
        <v>900</v>
      </c>
      <c r="AF16" s="30">
        <f t="shared" si="8"/>
        <v>1797</v>
      </c>
    </row>
    <row r="17" spans="2:32" ht="23.1" customHeight="1" x14ac:dyDescent="0.25">
      <c r="B17" s="44" t="s">
        <v>44</v>
      </c>
      <c r="C17" s="49">
        <v>125</v>
      </c>
      <c r="D17" s="49">
        <v>15</v>
      </c>
      <c r="E17" s="49">
        <v>9</v>
      </c>
      <c r="F17" s="49">
        <v>16</v>
      </c>
      <c r="G17" s="49">
        <v>0</v>
      </c>
      <c r="H17" s="49">
        <v>0</v>
      </c>
      <c r="I17" s="49">
        <v>3</v>
      </c>
      <c r="J17" s="49">
        <v>2</v>
      </c>
      <c r="K17" s="49">
        <v>1</v>
      </c>
      <c r="L17" s="49">
        <v>1</v>
      </c>
      <c r="M17" s="49">
        <v>326</v>
      </c>
      <c r="N17" s="49">
        <v>0</v>
      </c>
      <c r="O17" s="15">
        <f t="shared" si="0"/>
        <v>172</v>
      </c>
      <c r="P17" s="15">
        <f t="shared" si="1"/>
        <v>498</v>
      </c>
      <c r="R17" s="1" t="s">
        <v>13</v>
      </c>
      <c r="S17" s="17">
        <f t="shared" ref="S17:AF17" si="9">SUM(C38:C41)</f>
        <v>385</v>
      </c>
      <c r="T17" s="17">
        <f t="shared" si="9"/>
        <v>106</v>
      </c>
      <c r="U17" s="17">
        <f t="shared" si="9"/>
        <v>42</v>
      </c>
      <c r="V17" s="17">
        <f t="shared" si="9"/>
        <v>37</v>
      </c>
      <c r="W17" s="17">
        <f t="shared" si="9"/>
        <v>2</v>
      </c>
      <c r="X17" s="17">
        <f t="shared" si="9"/>
        <v>0</v>
      </c>
      <c r="Y17" s="17">
        <f t="shared" si="9"/>
        <v>29</v>
      </c>
      <c r="Z17" s="17">
        <f t="shared" si="9"/>
        <v>10</v>
      </c>
      <c r="AA17" s="17">
        <f t="shared" si="9"/>
        <v>5</v>
      </c>
      <c r="AB17" s="17">
        <f t="shared" si="9"/>
        <v>16</v>
      </c>
      <c r="AC17" s="17">
        <f t="shared" si="9"/>
        <v>780</v>
      </c>
      <c r="AD17" s="17">
        <f t="shared" si="9"/>
        <v>0</v>
      </c>
      <c r="AE17" s="30">
        <f t="shared" si="9"/>
        <v>632</v>
      </c>
      <c r="AF17" s="30">
        <f t="shared" si="9"/>
        <v>1412</v>
      </c>
    </row>
    <row r="18" spans="2:32" ht="23.1" customHeight="1" x14ac:dyDescent="0.25">
      <c r="B18" s="44" t="s">
        <v>45</v>
      </c>
      <c r="C18" s="49">
        <v>125</v>
      </c>
      <c r="D18" s="49">
        <v>24</v>
      </c>
      <c r="E18" s="49">
        <v>17</v>
      </c>
      <c r="F18" s="49">
        <v>12</v>
      </c>
      <c r="G18" s="49">
        <v>0</v>
      </c>
      <c r="H18" s="49">
        <v>0</v>
      </c>
      <c r="I18" s="49">
        <v>8</v>
      </c>
      <c r="J18" s="49">
        <v>2</v>
      </c>
      <c r="K18" s="49">
        <v>1</v>
      </c>
      <c r="L18" s="49">
        <v>3</v>
      </c>
      <c r="M18" s="49">
        <v>210</v>
      </c>
      <c r="N18" s="49">
        <v>0</v>
      </c>
      <c r="O18" s="15">
        <f t="shared" si="0"/>
        <v>192</v>
      </c>
      <c r="P18" s="15">
        <f t="shared" si="1"/>
        <v>402</v>
      </c>
      <c r="R18" s="1" t="s">
        <v>14</v>
      </c>
      <c r="S18" s="17">
        <f t="shared" ref="S18:AF18" si="10">SUM(C42:C45)</f>
        <v>355</v>
      </c>
      <c r="T18" s="17">
        <f t="shared" si="10"/>
        <v>52</v>
      </c>
      <c r="U18" s="17">
        <f t="shared" si="10"/>
        <v>40</v>
      </c>
      <c r="V18" s="17">
        <f t="shared" si="10"/>
        <v>22</v>
      </c>
      <c r="W18" s="17">
        <f t="shared" si="10"/>
        <v>2</v>
      </c>
      <c r="X18" s="17">
        <f t="shared" si="10"/>
        <v>1</v>
      </c>
      <c r="Y18" s="17">
        <f t="shared" si="10"/>
        <v>20</v>
      </c>
      <c r="Z18" s="17">
        <f t="shared" si="10"/>
        <v>17</v>
      </c>
      <c r="AA18" s="17">
        <f t="shared" si="10"/>
        <v>3</v>
      </c>
      <c r="AB18" s="17">
        <f t="shared" si="10"/>
        <v>14</v>
      </c>
      <c r="AC18" s="17">
        <f t="shared" si="10"/>
        <v>1130</v>
      </c>
      <c r="AD18" s="17">
        <f t="shared" si="10"/>
        <v>0</v>
      </c>
      <c r="AE18" s="30">
        <f t="shared" si="10"/>
        <v>526</v>
      </c>
      <c r="AF18" s="30">
        <f t="shared" si="10"/>
        <v>1656</v>
      </c>
    </row>
    <row r="19" spans="2:32" ht="23.1" customHeight="1" x14ac:dyDescent="0.25">
      <c r="B19" s="44" t="s">
        <v>46</v>
      </c>
      <c r="C19" s="49">
        <v>105</v>
      </c>
      <c r="D19" s="49">
        <v>32</v>
      </c>
      <c r="E19" s="49">
        <v>20</v>
      </c>
      <c r="F19" s="49">
        <v>14</v>
      </c>
      <c r="G19" s="49">
        <v>0</v>
      </c>
      <c r="H19" s="49">
        <v>0</v>
      </c>
      <c r="I19" s="49">
        <v>15</v>
      </c>
      <c r="J19" s="49">
        <v>2</v>
      </c>
      <c r="K19" s="49">
        <v>1</v>
      </c>
      <c r="L19" s="49">
        <v>1</v>
      </c>
      <c r="M19" s="49">
        <v>262</v>
      </c>
      <c r="N19" s="49">
        <v>0</v>
      </c>
      <c r="O19" s="15">
        <f t="shared" si="0"/>
        <v>190</v>
      </c>
      <c r="P19" s="15">
        <f t="shared" si="1"/>
        <v>452</v>
      </c>
      <c r="R19" s="1" t="s">
        <v>15</v>
      </c>
      <c r="S19" s="17">
        <f t="shared" ref="S19:AF19" si="11">SUM(C46:C49)</f>
        <v>308</v>
      </c>
      <c r="T19" s="17">
        <f t="shared" si="11"/>
        <v>66</v>
      </c>
      <c r="U19" s="17">
        <f t="shared" si="11"/>
        <v>37</v>
      </c>
      <c r="V19" s="17">
        <f t="shared" si="11"/>
        <v>27</v>
      </c>
      <c r="W19" s="17">
        <f t="shared" si="11"/>
        <v>0</v>
      </c>
      <c r="X19" s="17">
        <f t="shared" si="11"/>
        <v>0</v>
      </c>
      <c r="Y19" s="17">
        <f t="shared" si="11"/>
        <v>19</v>
      </c>
      <c r="Z19" s="17">
        <f t="shared" si="11"/>
        <v>15</v>
      </c>
      <c r="AA19" s="17">
        <f t="shared" si="11"/>
        <v>1</v>
      </c>
      <c r="AB19" s="17">
        <f t="shared" si="11"/>
        <v>12</v>
      </c>
      <c r="AC19" s="17">
        <f t="shared" si="11"/>
        <v>787</v>
      </c>
      <c r="AD19" s="17">
        <f t="shared" si="11"/>
        <v>2</v>
      </c>
      <c r="AE19" s="30">
        <f t="shared" si="11"/>
        <v>487</v>
      </c>
      <c r="AF19" s="30">
        <f t="shared" si="11"/>
        <v>1274</v>
      </c>
    </row>
    <row r="20" spans="2:32" ht="23.1" customHeight="1" x14ac:dyDescent="0.25">
      <c r="B20" s="44" t="s">
        <v>47</v>
      </c>
      <c r="C20" s="49">
        <v>80</v>
      </c>
      <c r="D20" s="49">
        <v>20</v>
      </c>
      <c r="E20" s="49">
        <v>15</v>
      </c>
      <c r="F20" s="49">
        <v>12</v>
      </c>
      <c r="G20" s="49">
        <v>0</v>
      </c>
      <c r="H20" s="49">
        <v>0</v>
      </c>
      <c r="I20" s="49">
        <v>12</v>
      </c>
      <c r="J20" s="49">
        <v>4</v>
      </c>
      <c r="K20" s="49">
        <v>0</v>
      </c>
      <c r="L20" s="49">
        <v>2</v>
      </c>
      <c r="M20" s="49">
        <v>269</v>
      </c>
      <c r="N20" s="49">
        <v>0</v>
      </c>
      <c r="O20" s="15">
        <f t="shared" si="0"/>
        <v>145</v>
      </c>
      <c r="P20" s="15">
        <f t="shared" si="1"/>
        <v>414</v>
      </c>
      <c r="R20" s="1" t="s">
        <v>16</v>
      </c>
      <c r="S20" s="17">
        <f t="shared" ref="S20:AF20" si="12">SUM(C50:C53)</f>
        <v>190</v>
      </c>
      <c r="T20" s="17">
        <f t="shared" si="12"/>
        <v>54</v>
      </c>
      <c r="U20" s="17">
        <f t="shared" si="12"/>
        <v>51</v>
      </c>
      <c r="V20" s="17">
        <f t="shared" si="12"/>
        <v>34</v>
      </c>
      <c r="W20" s="17">
        <f t="shared" si="12"/>
        <v>5</v>
      </c>
      <c r="X20" s="17">
        <f t="shared" si="12"/>
        <v>0</v>
      </c>
      <c r="Y20" s="17">
        <f t="shared" si="12"/>
        <v>13</v>
      </c>
      <c r="Z20" s="17">
        <f t="shared" si="12"/>
        <v>5</v>
      </c>
      <c r="AA20" s="17">
        <f t="shared" si="12"/>
        <v>2</v>
      </c>
      <c r="AB20" s="17">
        <f t="shared" si="12"/>
        <v>13</v>
      </c>
      <c r="AC20" s="17">
        <f t="shared" si="12"/>
        <v>740</v>
      </c>
      <c r="AD20" s="17">
        <f t="shared" si="12"/>
        <v>0</v>
      </c>
      <c r="AE20" s="30">
        <f t="shared" si="12"/>
        <v>367</v>
      </c>
      <c r="AF20" s="30">
        <f t="shared" si="12"/>
        <v>1107</v>
      </c>
    </row>
    <row r="21" spans="2:32" ht="23.1" customHeight="1" x14ac:dyDescent="0.25">
      <c r="B21" s="44" t="s">
        <v>48</v>
      </c>
      <c r="C21" s="49">
        <v>117</v>
      </c>
      <c r="D21" s="49">
        <v>18</v>
      </c>
      <c r="E21" s="49">
        <v>15</v>
      </c>
      <c r="F21" s="49">
        <v>10</v>
      </c>
      <c r="G21" s="49">
        <v>0</v>
      </c>
      <c r="H21" s="49">
        <v>0</v>
      </c>
      <c r="I21" s="49">
        <v>9</v>
      </c>
      <c r="J21" s="49">
        <v>2</v>
      </c>
      <c r="K21" s="49">
        <v>0</v>
      </c>
      <c r="L21" s="49">
        <v>3</v>
      </c>
      <c r="M21" s="49">
        <v>377</v>
      </c>
      <c r="N21" s="49">
        <v>0</v>
      </c>
      <c r="O21" s="15">
        <f t="shared" si="0"/>
        <v>174</v>
      </c>
      <c r="P21" s="15">
        <f t="shared" si="1"/>
        <v>551</v>
      </c>
      <c r="R21" s="35" t="s">
        <v>20</v>
      </c>
      <c r="S21" s="33">
        <f t="shared" ref="S21:AF21" si="13">SUM(C54:C57)</f>
        <v>132</v>
      </c>
      <c r="T21" s="17">
        <f t="shared" si="13"/>
        <v>68</v>
      </c>
      <c r="U21" s="17">
        <f t="shared" si="13"/>
        <v>37</v>
      </c>
      <c r="V21" s="17">
        <f t="shared" si="13"/>
        <v>33</v>
      </c>
      <c r="W21" s="17">
        <f t="shared" si="13"/>
        <v>2</v>
      </c>
      <c r="X21" s="17">
        <f t="shared" si="13"/>
        <v>0</v>
      </c>
      <c r="Y21" s="17">
        <f t="shared" si="13"/>
        <v>13</v>
      </c>
      <c r="Z21" s="17">
        <f t="shared" si="13"/>
        <v>7</v>
      </c>
      <c r="AA21" s="17">
        <f t="shared" si="13"/>
        <v>3</v>
      </c>
      <c r="AB21" s="17">
        <f t="shared" si="13"/>
        <v>6</v>
      </c>
      <c r="AC21" s="17">
        <f t="shared" si="13"/>
        <v>689</v>
      </c>
      <c r="AD21" s="17">
        <f t="shared" si="13"/>
        <v>1</v>
      </c>
      <c r="AE21" s="30">
        <f t="shared" si="13"/>
        <v>302</v>
      </c>
      <c r="AF21" s="30">
        <f t="shared" si="13"/>
        <v>991</v>
      </c>
    </row>
    <row r="22" spans="2:32" ht="23.1" customHeight="1" x14ac:dyDescent="0.25">
      <c r="B22" s="44" t="s">
        <v>49</v>
      </c>
      <c r="C22" s="49">
        <v>100</v>
      </c>
      <c r="D22" s="49">
        <v>17</v>
      </c>
      <c r="E22" s="49">
        <v>16</v>
      </c>
      <c r="F22" s="49">
        <v>14</v>
      </c>
      <c r="G22" s="49">
        <v>0</v>
      </c>
      <c r="H22" s="49">
        <v>0</v>
      </c>
      <c r="I22" s="49">
        <v>9</v>
      </c>
      <c r="J22" s="49">
        <v>6</v>
      </c>
      <c r="K22" s="49">
        <v>2</v>
      </c>
      <c r="L22" s="49">
        <v>4</v>
      </c>
      <c r="M22" s="49">
        <v>163</v>
      </c>
      <c r="N22" s="49">
        <v>0</v>
      </c>
      <c r="O22" s="15">
        <f t="shared" si="0"/>
        <v>168</v>
      </c>
      <c r="P22" s="15">
        <f t="shared" si="1"/>
        <v>331</v>
      </c>
      <c r="R22" s="35" t="s">
        <v>146</v>
      </c>
      <c r="S22" s="33">
        <f>SUM(C58:C61)</f>
        <v>392</v>
      </c>
      <c r="T22" s="33">
        <f t="shared" ref="T22:AF22" si="14">SUM(D58:D61)</f>
        <v>106</v>
      </c>
      <c r="U22" s="33">
        <f t="shared" si="14"/>
        <v>40</v>
      </c>
      <c r="V22" s="33">
        <f t="shared" si="14"/>
        <v>42</v>
      </c>
      <c r="W22" s="33">
        <f t="shared" si="14"/>
        <v>4</v>
      </c>
      <c r="X22" s="33">
        <f t="shared" si="14"/>
        <v>0</v>
      </c>
      <c r="Y22" s="33">
        <f t="shared" si="14"/>
        <v>27</v>
      </c>
      <c r="Z22" s="33">
        <f t="shared" si="14"/>
        <v>7</v>
      </c>
      <c r="AA22" s="33">
        <f t="shared" si="14"/>
        <v>2</v>
      </c>
      <c r="AB22" s="33">
        <f t="shared" si="14"/>
        <v>7</v>
      </c>
      <c r="AC22" s="33">
        <f t="shared" si="14"/>
        <v>754</v>
      </c>
      <c r="AD22" s="33">
        <f t="shared" si="14"/>
        <v>0</v>
      </c>
      <c r="AE22" s="30">
        <f t="shared" si="14"/>
        <v>627</v>
      </c>
      <c r="AF22" s="30">
        <f t="shared" si="14"/>
        <v>1381</v>
      </c>
    </row>
    <row r="23" spans="2:32" ht="23.1" customHeight="1" x14ac:dyDescent="0.25">
      <c r="B23" s="44" t="s">
        <v>50</v>
      </c>
      <c r="C23" s="49">
        <v>120</v>
      </c>
      <c r="D23" s="49">
        <v>33</v>
      </c>
      <c r="E23" s="49">
        <v>13</v>
      </c>
      <c r="F23" s="49">
        <v>8</v>
      </c>
      <c r="G23" s="49">
        <v>2</v>
      </c>
      <c r="H23" s="49">
        <v>0</v>
      </c>
      <c r="I23" s="49">
        <v>12</v>
      </c>
      <c r="J23" s="49">
        <v>3</v>
      </c>
      <c r="K23" s="49">
        <v>0</v>
      </c>
      <c r="L23" s="49">
        <v>4</v>
      </c>
      <c r="M23" s="49">
        <v>315</v>
      </c>
      <c r="N23" s="49">
        <v>1</v>
      </c>
      <c r="O23" s="15">
        <f t="shared" si="0"/>
        <v>196</v>
      </c>
      <c r="P23" s="15">
        <f t="shared" si="1"/>
        <v>511</v>
      </c>
      <c r="R23" s="35" t="s">
        <v>147</v>
      </c>
      <c r="S23" s="33">
        <f>SUM(C62:C65)</f>
        <v>399</v>
      </c>
      <c r="T23" s="33">
        <f t="shared" ref="T23:AF23" si="15">SUM(D62:D65)</f>
        <v>81</v>
      </c>
      <c r="U23" s="33">
        <f t="shared" si="15"/>
        <v>34</v>
      </c>
      <c r="V23" s="33">
        <f t="shared" si="15"/>
        <v>53</v>
      </c>
      <c r="W23" s="33">
        <f t="shared" si="15"/>
        <v>1</v>
      </c>
      <c r="X23" s="33">
        <f t="shared" si="15"/>
        <v>1</v>
      </c>
      <c r="Y23" s="33">
        <f t="shared" si="15"/>
        <v>14</v>
      </c>
      <c r="Z23" s="33">
        <f t="shared" si="15"/>
        <v>9</v>
      </c>
      <c r="AA23" s="33">
        <f t="shared" si="15"/>
        <v>0</v>
      </c>
      <c r="AB23" s="33">
        <f t="shared" si="15"/>
        <v>5</v>
      </c>
      <c r="AC23" s="33">
        <f t="shared" si="15"/>
        <v>817</v>
      </c>
      <c r="AD23" s="33">
        <f t="shared" si="15"/>
        <v>1</v>
      </c>
      <c r="AE23" s="30">
        <f t="shared" si="15"/>
        <v>598</v>
      </c>
      <c r="AF23" s="30">
        <f t="shared" si="15"/>
        <v>1415</v>
      </c>
    </row>
    <row r="24" spans="2:32" ht="23.1" customHeight="1" x14ac:dyDescent="0.25">
      <c r="B24" s="44" t="s">
        <v>51</v>
      </c>
      <c r="C24" s="49">
        <v>130</v>
      </c>
      <c r="D24" s="49">
        <v>50</v>
      </c>
      <c r="E24" s="49">
        <v>14</v>
      </c>
      <c r="F24" s="49">
        <v>12</v>
      </c>
      <c r="G24" s="49">
        <v>0</v>
      </c>
      <c r="H24" s="49">
        <v>0</v>
      </c>
      <c r="I24" s="49">
        <v>7</v>
      </c>
      <c r="J24" s="49">
        <v>5</v>
      </c>
      <c r="K24" s="49">
        <v>2</v>
      </c>
      <c r="L24" s="49">
        <v>3</v>
      </c>
      <c r="M24" s="49">
        <v>300</v>
      </c>
      <c r="N24" s="49">
        <v>0</v>
      </c>
      <c r="O24" s="15">
        <f t="shared" si="0"/>
        <v>223</v>
      </c>
      <c r="P24" s="15">
        <f t="shared" si="1"/>
        <v>523</v>
      </c>
      <c r="R24" s="35" t="s">
        <v>148</v>
      </c>
      <c r="S24" s="33">
        <f>SUM(C66:C69)</f>
        <v>459</v>
      </c>
      <c r="T24" s="33">
        <f t="shared" ref="T24:AF24" si="16">SUM(D66:D69)</f>
        <v>72</v>
      </c>
      <c r="U24" s="33">
        <f t="shared" si="16"/>
        <v>37</v>
      </c>
      <c r="V24" s="33">
        <f t="shared" si="16"/>
        <v>41</v>
      </c>
      <c r="W24" s="33">
        <f t="shared" si="16"/>
        <v>1</v>
      </c>
      <c r="X24" s="33">
        <f t="shared" si="16"/>
        <v>0</v>
      </c>
      <c r="Y24" s="33">
        <f t="shared" si="16"/>
        <v>11</v>
      </c>
      <c r="Z24" s="33">
        <f t="shared" si="16"/>
        <v>5</v>
      </c>
      <c r="AA24" s="33">
        <f t="shared" si="16"/>
        <v>1</v>
      </c>
      <c r="AB24" s="33">
        <f t="shared" si="16"/>
        <v>6</v>
      </c>
      <c r="AC24" s="33">
        <f t="shared" si="16"/>
        <v>876</v>
      </c>
      <c r="AD24" s="33">
        <f t="shared" si="16"/>
        <v>0</v>
      </c>
      <c r="AE24" s="30">
        <f t="shared" si="16"/>
        <v>633</v>
      </c>
      <c r="AF24" s="30">
        <f t="shared" si="16"/>
        <v>1509</v>
      </c>
    </row>
    <row r="25" spans="2:32" ht="23.1" customHeight="1" x14ac:dyDescent="0.25">
      <c r="B25" s="44" t="s">
        <v>52</v>
      </c>
      <c r="C25" s="49">
        <v>91</v>
      </c>
      <c r="D25" s="49">
        <v>36</v>
      </c>
      <c r="E25" s="49">
        <v>19</v>
      </c>
      <c r="F25" s="49">
        <v>8</v>
      </c>
      <c r="G25" s="49">
        <v>1</v>
      </c>
      <c r="H25" s="49">
        <v>0</v>
      </c>
      <c r="I25" s="49">
        <v>15</v>
      </c>
      <c r="J25" s="49">
        <v>9</v>
      </c>
      <c r="K25" s="49">
        <v>0</v>
      </c>
      <c r="L25" s="49">
        <v>3</v>
      </c>
      <c r="M25" s="49">
        <v>312</v>
      </c>
      <c r="N25" s="49">
        <v>0</v>
      </c>
      <c r="O25" s="15">
        <f t="shared" si="0"/>
        <v>182</v>
      </c>
      <c r="P25" s="15">
        <f t="shared" si="1"/>
        <v>494</v>
      </c>
      <c r="R25" s="35" t="s">
        <v>149</v>
      </c>
      <c r="S25" s="33">
        <f>SUM(C70:C73)</f>
        <v>410</v>
      </c>
      <c r="T25" s="33">
        <f t="shared" ref="T25:AF25" si="17">SUM(D70:D73)</f>
        <v>101</v>
      </c>
      <c r="U25" s="33">
        <f t="shared" si="17"/>
        <v>19</v>
      </c>
      <c r="V25" s="33">
        <f t="shared" si="17"/>
        <v>25</v>
      </c>
      <c r="W25" s="33">
        <f t="shared" si="17"/>
        <v>1</v>
      </c>
      <c r="X25" s="33">
        <f t="shared" si="17"/>
        <v>0</v>
      </c>
      <c r="Y25" s="33">
        <f t="shared" si="17"/>
        <v>3</v>
      </c>
      <c r="Z25" s="33">
        <f t="shared" si="17"/>
        <v>2</v>
      </c>
      <c r="AA25" s="33">
        <f t="shared" si="17"/>
        <v>2</v>
      </c>
      <c r="AB25" s="33">
        <f t="shared" si="17"/>
        <v>2</v>
      </c>
      <c r="AC25" s="33">
        <f t="shared" si="17"/>
        <v>644</v>
      </c>
      <c r="AD25" s="33">
        <f t="shared" si="17"/>
        <v>0</v>
      </c>
      <c r="AE25" s="30">
        <f t="shared" si="17"/>
        <v>565</v>
      </c>
      <c r="AF25" s="30">
        <f t="shared" si="17"/>
        <v>1209</v>
      </c>
    </row>
    <row r="26" spans="2:32" ht="23.1" customHeight="1" x14ac:dyDescent="0.25">
      <c r="B26" s="44" t="s">
        <v>53</v>
      </c>
      <c r="C26" s="49">
        <v>145</v>
      </c>
      <c r="D26" s="49">
        <v>30</v>
      </c>
      <c r="E26" s="49">
        <v>9</v>
      </c>
      <c r="F26" s="49">
        <v>9</v>
      </c>
      <c r="G26" s="49">
        <v>1</v>
      </c>
      <c r="H26" s="49">
        <v>0</v>
      </c>
      <c r="I26" s="49">
        <v>9</v>
      </c>
      <c r="J26" s="49">
        <v>11</v>
      </c>
      <c r="K26" s="49">
        <v>1</v>
      </c>
      <c r="L26" s="49">
        <v>2</v>
      </c>
      <c r="M26" s="49">
        <v>386</v>
      </c>
      <c r="N26" s="49">
        <v>1</v>
      </c>
      <c r="O26" s="15">
        <f t="shared" si="0"/>
        <v>218</v>
      </c>
      <c r="P26" s="15">
        <f t="shared" si="1"/>
        <v>604</v>
      </c>
      <c r="R26" s="35" t="s">
        <v>150</v>
      </c>
      <c r="S26" s="33">
        <f>SUM(C74:C77)</f>
        <v>395</v>
      </c>
      <c r="T26" s="33">
        <f t="shared" ref="T26:AF26" si="18">SUM(D74:D77)</f>
        <v>89</v>
      </c>
      <c r="U26" s="33">
        <f t="shared" si="18"/>
        <v>20</v>
      </c>
      <c r="V26" s="33">
        <f t="shared" si="18"/>
        <v>9</v>
      </c>
      <c r="W26" s="33">
        <f t="shared" si="18"/>
        <v>1</v>
      </c>
      <c r="X26" s="33">
        <f t="shared" si="18"/>
        <v>0</v>
      </c>
      <c r="Y26" s="33">
        <f t="shared" si="18"/>
        <v>7</v>
      </c>
      <c r="Z26" s="33">
        <f t="shared" si="18"/>
        <v>3</v>
      </c>
      <c r="AA26" s="33">
        <f t="shared" si="18"/>
        <v>1</v>
      </c>
      <c r="AB26" s="33">
        <f t="shared" si="18"/>
        <v>0</v>
      </c>
      <c r="AC26" s="33">
        <f t="shared" si="18"/>
        <v>345</v>
      </c>
      <c r="AD26" s="33">
        <f t="shared" si="18"/>
        <v>0</v>
      </c>
      <c r="AE26" s="30">
        <f t="shared" si="18"/>
        <v>525</v>
      </c>
      <c r="AF26" s="30">
        <f t="shared" si="18"/>
        <v>870</v>
      </c>
    </row>
    <row r="27" spans="2:32" ht="23.1" customHeight="1" x14ac:dyDescent="0.25">
      <c r="B27" s="44" t="s">
        <v>54</v>
      </c>
      <c r="C27" s="49">
        <v>60</v>
      </c>
      <c r="D27" s="49">
        <v>8</v>
      </c>
      <c r="E27" s="49">
        <v>8</v>
      </c>
      <c r="F27" s="49">
        <v>8</v>
      </c>
      <c r="G27" s="49">
        <v>0</v>
      </c>
      <c r="H27" s="49">
        <v>0</v>
      </c>
      <c r="I27" s="49">
        <v>2</v>
      </c>
      <c r="J27" s="49">
        <v>1</v>
      </c>
      <c r="K27" s="49">
        <v>1</v>
      </c>
      <c r="L27" s="49">
        <v>3</v>
      </c>
      <c r="M27" s="49">
        <v>330</v>
      </c>
      <c r="N27" s="49">
        <v>0</v>
      </c>
      <c r="O27" s="15">
        <f t="shared" si="0"/>
        <v>91</v>
      </c>
      <c r="P27" s="15">
        <f t="shared" si="1"/>
        <v>421</v>
      </c>
      <c r="R27" s="35" t="s">
        <v>151</v>
      </c>
      <c r="S27" s="33">
        <f>SUM(C78:C81)</f>
        <v>258</v>
      </c>
      <c r="T27" s="33">
        <f t="shared" ref="T27:AF27" si="19">SUM(D78:D81)</f>
        <v>56</v>
      </c>
      <c r="U27" s="33">
        <f t="shared" si="19"/>
        <v>11</v>
      </c>
      <c r="V27" s="33">
        <f t="shared" si="19"/>
        <v>10</v>
      </c>
      <c r="W27" s="33">
        <f t="shared" si="19"/>
        <v>0</v>
      </c>
      <c r="X27" s="33">
        <f t="shared" si="19"/>
        <v>0</v>
      </c>
      <c r="Y27" s="33">
        <f t="shared" si="19"/>
        <v>8</v>
      </c>
      <c r="Z27" s="33">
        <f t="shared" si="19"/>
        <v>1</v>
      </c>
      <c r="AA27" s="33">
        <f t="shared" si="19"/>
        <v>0</v>
      </c>
      <c r="AB27" s="33">
        <f t="shared" si="19"/>
        <v>5</v>
      </c>
      <c r="AC27" s="33">
        <f t="shared" si="19"/>
        <v>135</v>
      </c>
      <c r="AD27" s="33">
        <f t="shared" si="19"/>
        <v>0</v>
      </c>
      <c r="AE27" s="30">
        <f t="shared" si="19"/>
        <v>349</v>
      </c>
      <c r="AF27" s="30">
        <f t="shared" si="19"/>
        <v>484</v>
      </c>
    </row>
    <row r="28" spans="2:32" ht="23.1" customHeight="1" x14ac:dyDescent="0.25">
      <c r="B28" s="44" t="s">
        <v>55</v>
      </c>
      <c r="C28" s="49">
        <v>112</v>
      </c>
      <c r="D28" s="49">
        <v>22</v>
      </c>
      <c r="E28" s="49">
        <v>6</v>
      </c>
      <c r="F28" s="49">
        <v>5</v>
      </c>
      <c r="G28" s="49">
        <v>1</v>
      </c>
      <c r="H28" s="49">
        <v>0</v>
      </c>
      <c r="I28" s="49">
        <v>8</v>
      </c>
      <c r="J28" s="49">
        <v>2</v>
      </c>
      <c r="K28" s="49">
        <v>0</v>
      </c>
      <c r="L28" s="49">
        <v>2</v>
      </c>
      <c r="M28" s="49">
        <v>228</v>
      </c>
      <c r="N28" s="49">
        <v>0</v>
      </c>
      <c r="O28" s="15">
        <f t="shared" si="0"/>
        <v>158</v>
      </c>
      <c r="P28" s="15">
        <f t="shared" si="1"/>
        <v>386</v>
      </c>
      <c r="R28" s="35" t="s">
        <v>152</v>
      </c>
      <c r="S28" s="33">
        <f>SUM(C82:C85)</f>
        <v>285</v>
      </c>
      <c r="T28" s="33">
        <f t="shared" ref="T28:AF28" si="20">SUM(D82:D85)</f>
        <v>27</v>
      </c>
      <c r="U28" s="33">
        <f t="shared" si="20"/>
        <v>6</v>
      </c>
      <c r="V28" s="33">
        <f t="shared" si="20"/>
        <v>10</v>
      </c>
      <c r="W28" s="33">
        <f t="shared" si="20"/>
        <v>0</v>
      </c>
      <c r="X28" s="33">
        <f t="shared" si="20"/>
        <v>0</v>
      </c>
      <c r="Y28" s="33">
        <f t="shared" si="20"/>
        <v>0</v>
      </c>
      <c r="Z28" s="33">
        <f t="shared" si="20"/>
        <v>2</v>
      </c>
      <c r="AA28" s="33">
        <f t="shared" si="20"/>
        <v>0</v>
      </c>
      <c r="AB28" s="33">
        <f t="shared" si="20"/>
        <v>3</v>
      </c>
      <c r="AC28" s="33">
        <f t="shared" si="20"/>
        <v>116</v>
      </c>
      <c r="AD28" s="33">
        <f t="shared" si="20"/>
        <v>0</v>
      </c>
      <c r="AE28" s="30">
        <f t="shared" si="20"/>
        <v>333</v>
      </c>
      <c r="AF28" s="30">
        <f t="shared" si="20"/>
        <v>449</v>
      </c>
    </row>
    <row r="29" spans="2:32" ht="23.1" customHeight="1" x14ac:dyDescent="0.25">
      <c r="B29" s="44" t="s">
        <v>56</v>
      </c>
      <c r="C29" s="49">
        <v>70</v>
      </c>
      <c r="D29" s="49">
        <v>25</v>
      </c>
      <c r="E29" s="49">
        <v>14</v>
      </c>
      <c r="F29" s="49">
        <v>11</v>
      </c>
      <c r="G29" s="49">
        <v>1</v>
      </c>
      <c r="H29" s="49">
        <v>1</v>
      </c>
      <c r="I29" s="49">
        <v>5</v>
      </c>
      <c r="J29" s="49">
        <v>3</v>
      </c>
      <c r="K29" s="49">
        <v>0</v>
      </c>
      <c r="L29" s="49">
        <v>4</v>
      </c>
      <c r="M29" s="49">
        <v>291</v>
      </c>
      <c r="N29" s="49">
        <v>0</v>
      </c>
      <c r="O29" s="15">
        <f t="shared" si="0"/>
        <v>134</v>
      </c>
      <c r="P29" s="15">
        <f t="shared" si="1"/>
        <v>425</v>
      </c>
      <c r="R29" s="35" t="s">
        <v>153</v>
      </c>
      <c r="S29" s="33">
        <f>SUM(C86:C89)</f>
        <v>75</v>
      </c>
      <c r="T29" s="33">
        <f t="shared" ref="T29:AF29" si="21">SUM(D86:D89)</f>
        <v>10</v>
      </c>
      <c r="U29" s="33">
        <f t="shared" si="21"/>
        <v>7</v>
      </c>
      <c r="V29" s="33">
        <f t="shared" si="21"/>
        <v>1</v>
      </c>
      <c r="W29" s="33">
        <f t="shared" si="21"/>
        <v>0</v>
      </c>
      <c r="X29" s="33">
        <f t="shared" si="21"/>
        <v>0</v>
      </c>
      <c r="Y29" s="33">
        <f t="shared" si="21"/>
        <v>3</v>
      </c>
      <c r="Z29" s="33">
        <f t="shared" si="21"/>
        <v>1</v>
      </c>
      <c r="AA29" s="33">
        <f t="shared" si="21"/>
        <v>2</v>
      </c>
      <c r="AB29" s="33">
        <f t="shared" si="21"/>
        <v>0</v>
      </c>
      <c r="AC29" s="33">
        <f t="shared" si="21"/>
        <v>65</v>
      </c>
      <c r="AD29" s="33">
        <f t="shared" si="21"/>
        <v>0</v>
      </c>
      <c r="AE29" s="30">
        <f t="shared" si="21"/>
        <v>99</v>
      </c>
      <c r="AF29" s="30">
        <f t="shared" si="21"/>
        <v>164</v>
      </c>
    </row>
    <row r="30" spans="2:32" ht="23.1" customHeight="1" x14ac:dyDescent="0.25">
      <c r="B30" s="44" t="s">
        <v>57</v>
      </c>
      <c r="C30" s="49">
        <v>70</v>
      </c>
      <c r="D30" s="49">
        <v>35</v>
      </c>
      <c r="E30" s="49">
        <v>14</v>
      </c>
      <c r="F30" s="49">
        <v>11</v>
      </c>
      <c r="G30" s="49">
        <v>0</v>
      </c>
      <c r="H30" s="49">
        <v>0</v>
      </c>
      <c r="I30" s="49">
        <v>5</v>
      </c>
      <c r="J30" s="49">
        <v>2</v>
      </c>
      <c r="K30" s="49">
        <v>2</v>
      </c>
      <c r="L30" s="49">
        <v>2</v>
      </c>
      <c r="M30" s="49">
        <v>165</v>
      </c>
      <c r="N30" s="49">
        <v>0</v>
      </c>
      <c r="O30" s="15">
        <f t="shared" si="0"/>
        <v>141</v>
      </c>
      <c r="P30" s="15">
        <f t="shared" si="1"/>
        <v>306</v>
      </c>
      <c r="R30" s="35" t="s">
        <v>154</v>
      </c>
      <c r="S30" s="33">
        <f>SUM(C90:C93)</f>
        <v>89</v>
      </c>
      <c r="T30" s="33">
        <f t="shared" ref="T30:AF30" si="22">SUM(D90:D93)</f>
        <v>18</v>
      </c>
      <c r="U30" s="33">
        <f t="shared" si="22"/>
        <v>2</v>
      </c>
      <c r="V30" s="33">
        <f t="shared" si="22"/>
        <v>5</v>
      </c>
      <c r="W30" s="33">
        <f t="shared" si="22"/>
        <v>0</v>
      </c>
      <c r="X30" s="33">
        <f t="shared" si="22"/>
        <v>0</v>
      </c>
      <c r="Y30" s="33">
        <f t="shared" si="22"/>
        <v>5</v>
      </c>
      <c r="Z30" s="33">
        <f t="shared" si="22"/>
        <v>1</v>
      </c>
      <c r="AA30" s="33">
        <f t="shared" si="22"/>
        <v>0</v>
      </c>
      <c r="AB30" s="33">
        <f t="shared" si="22"/>
        <v>3</v>
      </c>
      <c r="AC30" s="33">
        <f t="shared" si="22"/>
        <v>53</v>
      </c>
      <c r="AD30" s="33">
        <f t="shared" si="22"/>
        <v>0</v>
      </c>
      <c r="AE30" s="30">
        <f t="shared" si="22"/>
        <v>123</v>
      </c>
      <c r="AF30" s="30">
        <f t="shared" si="22"/>
        <v>176</v>
      </c>
    </row>
    <row r="31" spans="2:32" ht="23.1" customHeight="1" x14ac:dyDescent="0.25">
      <c r="B31" s="45" t="s">
        <v>58</v>
      </c>
      <c r="C31" s="49">
        <v>80</v>
      </c>
      <c r="D31" s="49">
        <v>23</v>
      </c>
      <c r="E31" s="49">
        <v>13</v>
      </c>
      <c r="F31" s="49">
        <v>9</v>
      </c>
      <c r="G31" s="49">
        <v>0</v>
      </c>
      <c r="H31" s="49">
        <v>0</v>
      </c>
      <c r="I31" s="49">
        <v>8</v>
      </c>
      <c r="J31" s="49">
        <v>8</v>
      </c>
      <c r="K31" s="49">
        <v>0</v>
      </c>
      <c r="L31" s="49">
        <v>3</v>
      </c>
      <c r="M31" s="49">
        <v>139</v>
      </c>
      <c r="N31" s="49">
        <v>0</v>
      </c>
      <c r="O31" s="15">
        <f t="shared" si="0"/>
        <v>144</v>
      </c>
      <c r="P31" s="15">
        <f t="shared" si="1"/>
        <v>283</v>
      </c>
      <c r="R31" s="35" t="s">
        <v>155</v>
      </c>
      <c r="S31" s="33">
        <f>SUM(C94:C97)</f>
        <v>52</v>
      </c>
      <c r="T31" s="33">
        <f t="shared" ref="T31:AF31" si="23">SUM(D94:D97)</f>
        <v>7</v>
      </c>
      <c r="U31" s="33">
        <f t="shared" si="23"/>
        <v>1</v>
      </c>
      <c r="V31" s="33">
        <f t="shared" si="23"/>
        <v>2</v>
      </c>
      <c r="W31" s="33">
        <f t="shared" si="23"/>
        <v>0</v>
      </c>
      <c r="X31" s="33">
        <f t="shared" si="23"/>
        <v>2</v>
      </c>
      <c r="Y31" s="33">
        <f t="shared" si="23"/>
        <v>1</v>
      </c>
      <c r="Z31" s="33">
        <f t="shared" si="23"/>
        <v>1</v>
      </c>
      <c r="AA31" s="33">
        <f t="shared" si="23"/>
        <v>1</v>
      </c>
      <c r="AB31" s="33">
        <f t="shared" si="23"/>
        <v>0</v>
      </c>
      <c r="AC31" s="33">
        <f t="shared" si="23"/>
        <v>127</v>
      </c>
      <c r="AD31" s="33">
        <f t="shared" si="23"/>
        <v>0</v>
      </c>
      <c r="AE31" s="30">
        <f t="shared" si="23"/>
        <v>67</v>
      </c>
      <c r="AF31" s="30">
        <f t="shared" si="23"/>
        <v>194</v>
      </c>
    </row>
    <row r="32" spans="2:32" ht="23.1" customHeight="1" x14ac:dyDescent="0.25">
      <c r="B32" s="45" t="s">
        <v>59</v>
      </c>
      <c r="C32" s="49">
        <v>75</v>
      </c>
      <c r="D32" s="49">
        <v>25</v>
      </c>
      <c r="E32" s="49">
        <v>13</v>
      </c>
      <c r="F32" s="49">
        <v>11</v>
      </c>
      <c r="G32" s="49">
        <v>0</v>
      </c>
      <c r="H32" s="49">
        <v>0</v>
      </c>
      <c r="I32" s="49">
        <v>4</v>
      </c>
      <c r="J32" s="49">
        <v>3</v>
      </c>
      <c r="K32" s="49">
        <v>0</v>
      </c>
      <c r="L32" s="49">
        <v>6</v>
      </c>
      <c r="M32" s="49">
        <v>227</v>
      </c>
      <c r="N32" s="49">
        <v>0</v>
      </c>
      <c r="O32" s="15">
        <f t="shared" si="0"/>
        <v>137</v>
      </c>
      <c r="P32" s="15">
        <f t="shared" si="1"/>
        <v>364</v>
      </c>
      <c r="R32" s="32" t="s">
        <v>156</v>
      </c>
      <c r="S32" s="33">
        <f>SUM(C98:C101)</f>
        <v>90</v>
      </c>
      <c r="T32" s="33">
        <f t="shared" ref="T32:AF32" si="24">SUM(D98:D101)</f>
        <v>9</v>
      </c>
      <c r="U32" s="33">
        <f t="shared" si="24"/>
        <v>3</v>
      </c>
      <c r="V32" s="33">
        <f t="shared" si="24"/>
        <v>3</v>
      </c>
      <c r="W32" s="33">
        <f t="shared" si="24"/>
        <v>0</v>
      </c>
      <c r="X32" s="33">
        <f t="shared" si="24"/>
        <v>0</v>
      </c>
      <c r="Y32" s="33">
        <f t="shared" si="24"/>
        <v>1</v>
      </c>
      <c r="Z32" s="33">
        <f t="shared" si="24"/>
        <v>6</v>
      </c>
      <c r="AA32" s="33">
        <f t="shared" si="24"/>
        <v>1</v>
      </c>
      <c r="AB32" s="33">
        <f t="shared" si="24"/>
        <v>3</v>
      </c>
      <c r="AC32" s="33">
        <f t="shared" si="24"/>
        <v>257</v>
      </c>
      <c r="AD32" s="33">
        <f t="shared" si="24"/>
        <v>0</v>
      </c>
      <c r="AE32" s="30">
        <f t="shared" si="24"/>
        <v>116</v>
      </c>
      <c r="AF32" s="30">
        <f t="shared" si="24"/>
        <v>373</v>
      </c>
    </row>
    <row r="33" spans="2:32" ht="23.1" customHeight="1" x14ac:dyDescent="0.25">
      <c r="B33" s="44" t="s">
        <v>60</v>
      </c>
      <c r="C33" s="49">
        <v>110</v>
      </c>
      <c r="D33" s="49">
        <v>15</v>
      </c>
      <c r="E33" s="49">
        <v>11</v>
      </c>
      <c r="F33" s="49">
        <v>6</v>
      </c>
      <c r="G33" s="49">
        <v>0</v>
      </c>
      <c r="H33" s="49">
        <v>0</v>
      </c>
      <c r="I33" s="49">
        <v>4</v>
      </c>
      <c r="J33" s="49">
        <v>3</v>
      </c>
      <c r="K33" s="49">
        <v>1</v>
      </c>
      <c r="L33" s="49">
        <v>2</v>
      </c>
      <c r="M33" s="49">
        <v>200</v>
      </c>
      <c r="N33" s="49">
        <v>0</v>
      </c>
      <c r="O33" s="15">
        <f t="shared" si="0"/>
        <v>152</v>
      </c>
      <c r="P33" s="15">
        <f t="shared" si="1"/>
        <v>352</v>
      </c>
      <c r="R33" s="32" t="s">
        <v>157</v>
      </c>
      <c r="S33" s="33">
        <f>SUM(C102:C105)</f>
        <v>117</v>
      </c>
      <c r="T33" s="33">
        <f t="shared" ref="T33:AF33" si="25">SUM(D102:D105)</f>
        <v>27</v>
      </c>
      <c r="U33" s="33">
        <f t="shared" si="25"/>
        <v>18</v>
      </c>
      <c r="V33" s="33">
        <f t="shared" si="25"/>
        <v>25</v>
      </c>
      <c r="W33" s="33">
        <f t="shared" si="25"/>
        <v>1</v>
      </c>
      <c r="X33" s="33">
        <f t="shared" si="25"/>
        <v>0</v>
      </c>
      <c r="Y33" s="33">
        <f t="shared" si="25"/>
        <v>11</v>
      </c>
      <c r="Z33" s="33">
        <f t="shared" si="25"/>
        <v>5</v>
      </c>
      <c r="AA33" s="33">
        <f t="shared" si="25"/>
        <v>4</v>
      </c>
      <c r="AB33" s="33">
        <f t="shared" si="25"/>
        <v>2</v>
      </c>
      <c r="AC33" s="33">
        <f t="shared" si="25"/>
        <v>475</v>
      </c>
      <c r="AD33" s="33">
        <f t="shared" si="25"/>
        <v>0</v>
      </c>
      <c r="AE33" s="30">
        <f t="shared" si="25"/>
        <v>210</v>
      </c>
      <c r="AF33" s="30">
        <f t="shared" si="25"/>
        <v>685</v>
      </c>
    </row>
    <row r="34" spans="2:32" ht="23.1" customHeight="1" x14ac:dyDescent="0.25">
      <c r="B34" s="45" t="s">
        <v>61</v>
      </c>
      <c r="C34" s="49">
        <v>130</v>
      </c>
      <c r="D34" s="49">
        <v>25</v>
      </c>
      <c r="E34" s="49">
        <v>13</v>
      </c>
      <c r="F34" s="49">
        <v>11</v>
      </c>
      <c r="G34" s="49">
        <v>1</v>
      </c>
      <c r="H34" s="49">
        <v>0</v>
      </c>
      <c r="I34" s="49">
        <v>2</v>
      </c>
      <c r="J34" s="49">
        <v>3</v>
      </c>
      <c r="K34" s="49">
        <v>1</v>
      </c>
      <c r="L34" s="49">
        <v>5</v>
      </c>
      <c r="M34" s="49">
        <v>258</v>
      </c>
      <c r="N34" s="49">
        <v>0</v>
      </c>
      <c r="O34" s="15">
        <f t="shared" si="0"/>
        <v>191</v>
      </c>
      <c r="P34" s="15">
        <f t="shared" si="1"/>
        <v>449</v>
      </c>
      <c r="R34" s="37" t="s">
        <v>90</v>
      </c>
      <c r="S34" s="38">
        <f t="shared" ref="S34:AF34" si="26">MAX(S10:S12)</f>
        <v>427</v>
      </c>
      <c r="T34" s="38">
        <f t="shared" si="26"/>
        <v>94</v>
      </c>
      <c r="U34" s="38">
        <f t="shared" si="26"/>
        <v>67</v>
      </c>
      <c r="V34" s="38">
        <f t="shared" si="26"/>
        <v>63</v>
      </c>
      <c r="W34" s="38">
        <f t="shared" si="26"/>
        <v>2</v>
      </c>
      <c r="X34" s="38">
        <f t="shared" si="26"/>
        <v>0</v>
      </c>
      <c r="Y34" s="38">
        <f t="shared" si="26"/>
        <v>44</v>
      </c>
      <c r="Z34" s="38">
        <f t="shared" si="26"/>
        <v>13</v>
      </c>
      <c r="AA34" s="38">
        <f t="shared" si="26"/>
        <v>3</v>
      </c>
      <c r="AB34" s="38">
        <f t="shared" si="26"/>
        <v>13</v>
      </c>
      <c r="AC34" s="38">
        <f t="shared" si="26"/>
        <v>1130</v>
      </c>
      <c r="AD34" s="38">
        <f t="shared" si="26"/>
        <v>0</v>
      </c>
      <c r="AE34" s="39">
        <f t="shared" si="26"/>
        <v>701</v>
      </c>
      <c r="AF34" s="39">
        <f t="shared" si="26"/>
        <v>1819</v>
      </c>
    </row>
    <row r="35" spans="2:32" ht="23.1" customHeight="1" x14ac:dyDescent="0.25">
      <c r="B35" s="45" t="s">
        <v>62</v>
      </c>
      <c r="C35" s="49">
        <v>160</v>
      </c>
      <c r="D35" s="49">
        <v>53</v>
      </c>
      <c r="E35" s="49">
        <v>15</v>
      </c>
      <c r="F35" s="49">
        <v>8</v>
      </c>
      <c r="G35" s="49">
        <v>2</v>
      </c>
      <c r="H35" s="49">
        <v>0</v>
      </c>
      <c r="I35" s="49">
        <v>4</v>
      </c>
      <c r="J35" s="49">
        <v>4</v>
      </c>
      <c r="K35" s="49">
        <v>2</v>
      </c>
      <c r="L35" s="49">
        <v>7</v>
      </c>
      <c r="M35" s="49">
        <v>273</v>
      </c>
      <c r="N35" s="49">
        <v>1</v>
      </c>
      <c r="O35" s="15">
        <f t="shared" si="0"/>
        <v>256</v>
      </c>
      <c r="P35" s="15">
        <f t="shared" si="1"/>
        <v>529</v>
      </c>
      <c r="R35" s="37" t="s">
        <v>91</v>
      </c>
      <c r="S35" s="38">
        <f t="shared" ref="S35:AF35" si="27">MAX(S13:S18)</f>
        <v>555</v>
      </c>
      <c r="T35" s="38">
        <f t="shared" si="27"/>
        <v>188</v>
      </c>
      <c r="U35" s="38">
        <f t="shared" si="27"/>
        <v>62</v>
      </c>
      <c r="V35" s="38">
        <f t="shared" si="27"/>
        <v>42</v>
      </c>
      <c r="W35" s="38">
        <f t="shared" si="27"/>
        <v>13</v>
      </c>
      <c r="X35" s="38">
        <f t="shared" si="27"/>
        <v>2</v>
      </c>
      <c r="Y35" s="38">
        <f t="shared" si="27"/>
        <v>43</v>
      </c>
      <c r="Z35" s="38">
        <f t="shared" si="27"/>
        <v>23</v>
      </c>
      <c r="AA35" s="38">
        <f t="shared" si="27"/>
        <v>5</v>
      </c>
      <c r="AB35" s="38">
        <f t="shared" si="27"/>
        <v>18</v>
      </c>
      <c r="AC35" s="38">
        <f t="shared" si="27"/>
        <v>1235</v>
      </c>
      <c r="AD35" s="38">
        <f t="shared" si="27"/>
        <v>1</v>
      </c>
      <c r="AE35" s="39">
        <f t="shared" si="27"/>
        <v>900</v>
      </c>
      <c r="AF35" s="39">
        <f t="shared" si="27"/>
        <v>1859</v>
      </c>
    </row>
    <row r="36" spans="2:32" ht="23.1" customHeight="1" x14ac:dyDescent="0.25">
      <c r="B36" s="45" t="s">
        <v>63</v>
      </c>
      <c r="C36" s="49">
        <v>155</v>
      </c>
      <c r="D36" s="49">
        <v>70</v>
      </c>
      <c r="E36" s="49">
        <v>16</v>
      </c>
      <c r="F36" s="49">
        <v>10</v>
      </c>
      <c r="G36" s="49">
        <v>9</v>
      </c>
      <c r="H36" s="49">
        <v>2</v>
      </c>
      <c r="I36" s="49">
        <v>3</v>
      </c>
      <c r="J36" s="49">
        <v>3</v>
      </c>
      <c r="K36" s="49">
        <v>0</v>
      </c>
      <c r="L36" s="49">
        <v>3</v>
      </c>
      <c r="M36" s="49">
        <v>235</v>
      </c>
      <c r="N36" s="49">
        <v>0</v>
      </c>
      <c r="O36" s="15">
        <f t="shared" si="0"/>
        <v>271</v>
      </c>
      <c r="P36" s="15">
        <f t="shared" si="1"/>
        <v>506</v>
      </c>
      <c r="R36" s="37" t="s">
        <v>92</v>
      </c>
      <c r="S36" s="38">
        <f t="shared" ref="S36:AF36" si="28">MAX(S19:S21)</f>
        <v>308</v>
      </c>
      <c r="T36" s="38">
        <f t="shared" si="28"/>
        <v>68</v>
      </c>
      <c r="U36" s="38">
        <f t="shared" si="28"/>
        <v>51</v>
      </c>
      <c r="V36" s="38">
        <f t="shared" si="28"/>
        <v>34</v>
      </c>
      <c r="W36" s="38">
        <f t="shared" si="28"/>
        <v>5</v>
      </c>
      <c r="X36" s="38">
        <f t="shared" si="28"/>
        <v>0</v>
      </c>
      <c r="Y36" s="38">
        <f t="shared" si="28"/>
        <v>19</v>
      </c>
      <c r="Z36" s="38">
        <f t="shared" si="28"/>
        <v>15</v>
      </c>
      <c r="AA36" s="38">
        <f t="shared" si="28"/>
        <v>3</v>
      </c>
      <c r="AB36" s="38">
        <f t="shared" si="28"/>
        <v>13</v>
      </c>
      <c r="AC36" s="38">
        <f t="shared" si="28"/>
        <v>787</v>
      </c>
      <c r="AD36" s="38">
        <f t="shared" si="28"/>
        <v>2</v>
      </c>
      <c r="AE36" s="39">
        <f t="shared" si="28"/>
        <v>487</v>
      </c>
      <c r="AF36" s="39">
        <f t="shared" si="28"/>
        <v>1274</v>
      </c>
    </row>
    <row r="37" spans="2:32" ht="23.1" customHeight="1" x14ac:dyDescent="0.25">
      <c r="B37" s="44" t="s">
        <v>64</v>
      </c>
      <c r="C37" s="49">
        <v>110</v>
      </c>
      <c r="D37" s="49">
        <v>40</v>
      </c>
      <c r="E37" s="49">
        <v>12</v>
      </c>
      <c r="F37" s="49">
        <v>9</v>
      </c>
      <c r="G37" s="49">
        <v>1</v>
      </c>
      <c r="H37" s="49">
        <v>0</v>
      </c>
      <c r="I37" s="49">
        <v>4</v>
      </c>
      <c r="J37" s="49">
        <v>2</v>
      </c>
      <c r="K37" s="49">
        <v>1</v>
      </c>
      <c r="L37" s="49">
        <v>3</v>
      </c>
      <c r="M37" s="49">
        <v>131</v>
      </c>
      <c r="N37" s="49">
        <v>0</v>
      </c>
      <c r="O37" s="15">
        <f t="shared" si="0"/>
        <v>182</v>
      </c>
      <c r="P37" s="15">
        <f t="shared" si="1"/>
        <v>313</v>
      </c>
      <c r="R37" s="36" t="s">
        <v>85</v>
      </c>
      <c r="S37" s="34">
        <f t="shared" ref="S37:AF37" si="29">SUM(S10:S12)</f>
        <v>999</v>
      </c>
      <c r="T37" s="16">
        <f t="shared" si="29"/>
        <v>229</v>
      </c>
      <c r="U37" s="16">
        <f t="shared" si="29"/>
        <v>169</v>
      </c>
      <c r="V37" s="16">
        <f t="shared" si="29"/>
        <v>158</v>
      </c>
      <c r="W37" s="16">
        <f t="shared" si="29"/>
        <v>2</v>
      </c>
      <c r="X37" s="16">
        <f t="shared" si="29"/>
        <v>0</v>
      </c>
      <c r="Y37" s="16">
        <f t="shared" si="29"/>
        <v>72</v>
      </c>
      <c r="Z37" s="16">
        <f t="shared" si="29"/>
        <v>27</v>
      </c>
      <c r="AA37" s="16">
        <f t="shared" si="29"/>
        <v>6</v>
      </c>
      <c r="AB37" s="16">
        <f t="shared" si="29"/>
        <v>25</v>
      </c>
      <c r="AC37" s="16">
        <f t="shared" si="29"/>
        <v>2793</v>
      </c>
      <c r="AD37" s="16">
        <f t="shared" si="29"/>
        <v>0</v>
      </c>
      <c r="AE37" s="31">
        <f t="shared" si="29"/>
        <v>1687</v>
      </c>
      <c r="AF37" s="31">
        <f t="shared" si="29"/>
        <v>4480</v>
      </c>
    </row>
    <row r="38" spans="2:32" ht="23.1" customHeight="1" x14ac:dyDescent="0.25">
      <c r="B38" s="45" t="s">
        <v>65</v>
      </c>
      <c r="C38" s="49">
        <v>175</v>
      </c>
      <c r="D38" s="49">
        <v>23</v>
      </c>
      <c r="E38" s="49">
        <v>12</v>
      </c>
      <c r="F38" s="49">
        <v>9</v>
      </c>
      <c r="G38" s="49">
        <v>0</v>
      </c>
      <c r="H38" s="49">
        <v>0</v>
      </c>
      <c r="I38" s="49">
        <v>7</v>
      </c>
      <c r="J38" s="49">
        <v>1</v>
      </c>
      <c r="K38" s="49">
        <v>3</v>
      </c>
      <c r="L38" s="49">
        <v>4</v>
      </c>
      <c r="M38" s="49">
        <v>153</v>
      </c>
      <c r="N38" s="49">
        <v>0</v>
      </c>
      <c r="O38" s="15">
        <f t="shared" si="0"/>
        <v>234</v>
      </c>
      <c r="P38" s="15">
        <f t="shared" si="1"/>
        <v>387</v>
      </c>
      <c r="R38" s="27" t="s">
        <v>86</v>
      </c>
      <c r="S38" s="16">
        <f t="shared" ref="S38:AF38" si="30">SUM(S13:S18)</f>
        <v>2458</v>
      </c>
      <c r="T38" s="16">
        <f t="shared" si="30"/>
        <v>665</v>
      </c>
      <c r="U38" s="16">
        <f t="shared" si="30"/>
        <v>288</v>
      </c>
      <c r="V38" s="16">
        <f t="shared" si="30"/>
        <v>209</v>
      </c>
      <c r="W38" s="16">
        <f t="shared" si="30"/>
        <v>23</v>
      </c>
      <c r="X38" s="16">
        <f t="shared" si="30"/>
        <v>4</v>
      </c>
      <c r="Y38" s="16">
        <f t="shared" si="30"/>
        <v>150</v>
      </c>
      <c r="Z38" s="16">
        <f t="shared" si="30"/>
        <v>95</v>
      </c>
      <c r="AA38" s="16">
        <f t="shared" si="30"/>
        <v>21</v>
      </c>
      <c r="AB38" s="16">
        <f t="shared" si="30"/>
        <v>86</v>
      </c>
      <c r="AC38" s="16">
        <f t="shared" si="30"/>
        <v>5863</v>
      </c>
      <c r="AD38" s="16">
        <f t="shared" si="30"/>
        <v>3</v>
      </c>
      <c r="AE38" s="31">
        <f t="shared" si="30"/>
        <v>4002</v>
      </c>
      <c r="AF38" s="31">
        <f t="shared" si="30"/>
        <v>9865</v>
      </c>
    </row>
    <row r="39" spans="2:32" ht="23.1" customHeight="1" x14ac:dyDescent="0.25">
      <c r="B39" s="45" t="s">
        <v>66</v>
      </c>
      <c r="C39" s="49">
        <v>85</v>
      </c>
      <c r="D39" s="49">
        <v>31</v>
      </c>
      <c r="E39" s="49">
        <v>8</v>
      </c>
      <c r="F39" s="49">
        <v>7</v>
      </c>
      <c r="G39" s="49">
        <v>0</v>
      </c>
      <c r="H39" s="49">
        <v>0</v>
      </c>
      <c r="I39" s="49">
        <v>4</v>
      </c>
      <c r="J39" s="49">
        <v>5</v>
      </c>
      <c r="K39" s="49">
        <v>0</v>
      </c>
      <c r="L39" s="49">
        <v>2</v>
      </c>
      <c r="M39" s="49">
        <v>144</v>
      </c>
      <c r="N39" s="49">
        <v>0</v>
      </c>
      <c r="O39" s="15">
        <f t="shared" si="0"/>
        <v>142</v>
      </c>
      <c r="P39" s="15">
        <f t="shared" si="1"/>
        <v>286</v>
      </c>
      <c r="R39" s="28" t="s">
        <v>87</v>
      </c>
      <c r="S39" s="16">
        <f t="shared" ref="S39:AF39" si="31">SUM(S19:S21)</f>
        <v>630</v>
      </c>
      <c r="T39" s="16">
        <f t="shared" si="31"/>
        <v>188</v>
      </c>
      <c r="U39" s="16">
        <f t="shared" si="31"/>
        <v>125</v>
      </c>
      <c r="V39" s="16">
        <f t="shared" si="31"/>
        <v>94</v>
      </c>
      <c r="W39" s="16">
        <f t="shared" si="31"/>
        <v>7</v>
      </c>
      <c r="X39" s="16">
        <f t="shared" si="31"/>
        <v>0</v>
      </c>
      <c r="Y39" s="16">
        <f t="shared" si="31"/>
        <v>45</v>
      </c>
      <c r="Z39" s="16">
        <f t="shared" si="31"/>
        <v>27</v>
      </c>
      <c r="AA39" s="16">
        <f t="shared" si="31"/>
        <v>6</v>
      </c>
      <c r="AB39" s="16">
        <f t="shared" si="31"/>
        <v>31</v>
      </c>
      <c r="AC39" s="16">
        <f t="shared" si="31"/>
        <v>2216</v>
      </c>
      <c r="AD39" s="16">
        <f t="shared" si="31"/>
        <v>3</v>
      </c>
      <c r="AE39" s="31">
        <f t="shared" si="31"/>
        <v>1156</v>
      </c>
      <c r="AF39" s="31">
        <f t="shared" si="31"/>
        <v>3372</v>
      </c>
    </row>
    <row r="40" spans="2:32" ht="23.1" customHeight="1" x14ac:dyDescent="0.25">
      <c r="B40" s="45" t="s">
        <v>67</v>
      </c>
      <c r="C40" s="49">
        <v>65</v>
      </c>
      <c r="D40" s="49">
        <v>27</v>
      </c>
      <c r="E40" s="49">
        <v>14</v>
      </c>
      <c r="F40" s="49">
        <v>13</v>
      </c>
      <c r="G40" s="49">
        <v>0</v>
      </c>
      <c r="H40" s="49">
        <v>0</v>
      </c>
      <c r="I40" s="49">
        <v>7</v>
      </c>
      <c r="J40" s="49">
        <v>2</v>
      </c>
      <c r="K40" s="49">
        <v>2</v>
      </c>
      <c r="L40" s="49">
        <v>3</v>
      </c>
      <c r="M40" s="49">
        <v>280</v>
      </c>
      <c r="N40" s="49">
        <v>0</v>
      </c>
      <c r="O40" s="15">
        <f t="shared" si="0"/>
        <v>133</v>
      </c>
      <c r="P40" s="15">
        <f t="shared" si="1"/>
        <v>413</v>
      </c>
      <c r="R40" s="5" t="s">
        <v>17</v>
      </c>
      <c r="S40" s="16">
        <f t="shared" ref="S40:AF40" si="32">SUM(S10:S21)</f>
        <v>4087</v>
      </c>
      <c r="T40" s="16">
        <f t="shared" si="32"/>
        <v>1082</v>
      </c>
      <c r="U40" s="16">
        <f t="shared" si="32"/>
        <v>582</v>
      </c>
      <c r="V40" s="16">
        <f t="shared" si="32"/>
        <v>461</v>
      </c>
      <c r="W40" s="16">
        <f t="shared" si="32"/>
        <v>32</v>
      </c>
      <c r="X40" s="16">
        <f t="shared" si="32"/>
        <v>4</v>
      </c>
      <c r="Y40" s="16">
        <f t="shared" si="32"/>
        <v>267</v>
      </c>
      <c r="Z40" s="16">
        <f t="shared" si="32"/>
        <v>149</v>
      </c>
      <c r="AA40" s="16">
        <f t="shared" si="32"/>
        <v>33</v>
      </c>
      <c r="AB40" s="16">
        <f t="shared" si="32"/>
        <v>142</v>
      </c>
      <c r="AC40" s="16">
        <f t="shared" si="32"/>
        <v>10872</v>
      </c>
      <c r="AD40" s="16">
        <f t="shared" si="32"/>
        <v>6</v>
      </c>
      <c r="AE40" s="31">
        <f t="shared" si="32"/>
        <v>6845</v>
      </c>
      <c r="AF40" s="31">
        <f t="shared" si="32"/>
        <v>17717</v>
      </c>
    </row>
    <row r="41" spans="2:32" ht="23.1" customHeight="1" x14ac:dyDescent="0.25">
      <c r="B41" s="44" t="s">
        <v>68</v>
      </c>
      <c r="C41" s="49">
        <v>60</v>
      </c>
      <c r="D41" s="49">
        <v>25</v>
      </c>
      <c r="E41" s="49">
        <v>8</v>
      </c>
      <c r="F41" s="49">
        <v>8</v>
      </c>
      <c r="G41" s="49">
        <v>2</v>
      </c>
      <c r="H41" s="49">
        <v>0</v>
      </c>
      <c r="I41" s="49">
        <v>11</v>
      </c>
      <c r="J41" s="49">
        <v>2</v>
      </c>
      <c r="K41" s="49">
        <v>0</v>
      </c>
      <c r="L41" s="49">
        <v>7</v>
      </c>
      <c r="M41" s="49">
        <v>203</v>
      </c>
      <c r="N41" s="49">
        <v>0</v>
      </c>
      <c r="O41" s="15">
        <f t="shared" si="0"/>
        <v>123</v>
      </c>
      <c r="P41" s="15">
        <f t="shared" si="1"/>
        <v>326</v>
      </c>
      <c r="R41" s="5" t="s">
        <v>159</v>
      </c>
      <c r="S41" s="16">
        <f>SUM(S10:S33)</f>
        <v>7108</v>
      </c>
      <c r="T41" s="16">
        <f t="shared" ref="T41:AF41" si="33">SUM(T10:T33)</f>
        <v>1685</v>
      </c>
      <c r="U41" s="16">
        <f t="shared" si="33"/>
        <v>780</v>
      </c>
      <c r="V41" s="16">
        <f t="shared" si="33"/>
        <v>687</v>
      </c>
      <c r="W41" s="16">
        <f t="shared" si="33"/>
        <v>41</v>
      </c>
      <c r="X41" s="16">
        <f t="shared" si="33"/>
        <v>7</v>
      </c>
      <c r="Y41" s="16">
        <f t="shared" si="33"/>
        <v>358</v>
      </c>
      <c r="Z41" s="16">
        <f t="shared" si="33"/>
        <v>192</v>
      </c>
      <c r="AA41" s="16">
        <f t="shared" si="33"/>
        <v>47</v>
      </c>
      <c r="AB41" s="16">
        <f t="shared" si="33"/>
        <v>178</v>
      </c>
      <c r="AC41" s="16">
        <f t="shared" si="33"/>
        <v>15536</v>
      </c>
      <c r="AD41" s="16">
        <f t="shared" si="33"/>
        <v>7</v>
      </c>
      <c r="AE41" s="31">
        <f t="shared" si="33"/>
        <v>11090</v>
      </c>
      <c r="AF41" s="31">
        <f t="shared" si="33"/>
        <v>26626</v>
      </c>
    </row>
    <row r="42" spans="2:32" ht="23.1" customHeight="1" x14ac:dyDescent="0.25">
      <c r="B42" s="45" t="s">
        <v>69</v>
      </c>
      <c r="C42" s="49">
        <v>60</v>
      </c>
      <c r="D42" s="49">
        <v>10</v>
      </c>
      <c r="E42" s="49">
        <v>14</v>
      </c>
      <c r="F42" s="49">
        <v>7</v>
      </c>
      <c r="G42" s="49">
        <v>1</v>
      </c>
      <c r="H42" s="49">
        <v>0</v>
      </c>
      <c r="I42" s="49">
        <v>6</v>
      </c>
      <c r="J42" s="49">
        <v>5</v>
      </c>
      <c r="K42" s="49">
        <v>1</v>
      </c>
      <c r="L42" s="49">
        <v>3</v>
      </c>
      <c r="M42" s="49">
        <v>280</v>
      </c>
      <c r="N42" s="49">
        <v>0</v>
      </c>
      <c r="O42" s="15">
        <f t="shared" si="0"/>
        <v>107</v>
      </c>
      <c r="P42" s="15">
        <f t="shared" si="1"/>
        <v>387</v>
      </c>
      <c r="R42" s="5" t="s">
        <v>160</v>
      </c>
      <c r="S42" s="47">
        <f>S41/S40</f>
        <v>1.7391729875214093</v>
      </c>
      <c r="T42" s="47">
        <f t="shared" ref="T42:AF42" si="34">T41/T40</f>
        <v>1.5573012939001849</v>
      </c>
      <c r="U42" s="47">
        <f t="shared" si="34"/>
        <v>1.3402061855670102</v>
      </c>
      <c r="V42" s="47">
        <f t="shared" si="34"/>
        <v>1.4902386117136659</v>
      </c>
      <c r="W42" s="47">
        <f t="shared" si="34"/>
        <v>1.28125</v>
      </c>
      <c r="X42" s="47">
        <f t="shared" si="34"/>
        <v>1.75</v>
      </c>
      <c r="Y42" s="47">
        <f t="shared" si="34"/>
        <v>1.3408239700374531</v>
      </c>
      <c r="Z42" s="47">
        <f t="shared" si="34"/>
        <v>1.2885906040268456</v>
      </c>
      <c r="AA42" s="47">
        <f t="shared" si="34"/>
        <v>1.4242424242424243</v>
      </c>
      <c r="AB42" s="47">
        <f t="shared" si="34"/>
        <v>1.2535211267605635</v>
      </c>
      <c r="AC42" s="47">
        <f t="shared" si="34"/>
        <v>1.4289919058130978</v>
      </c>
      <c r="AD42" s="47">
        <f t="shared" si="34"/>
        <v>1.1666666666666667</v>
      </c>
      <c r="AE42" s="47">
        <f t="shared" si="34"/>
        <v>1.6201607012417822</v>
      </c>
      <c r="AF42" s="47">
        <f t="shared" si="34"/>
        <v>1.5028503697014166</v>
      </c>
    </row>
    <row r="43" spans="2:32" ht="23.1" customHeight="1" x14ac:dyDescent="0.25">
      <c r="B43" s="44" t="s">
        <v>70</v>
      </c>
      <c r="C43" s="49">
        <v>110</v>
      </c>
      <c r="D43" s="49">
        <v>21</v>
      </c>
      <c r="E43" s="49">
        <v>9</v>
      </c>
      <c r="F43" s="49">
        <v>9</v>
      </c>
      <c r="G43" s="49">
        <v>1</v>
      </c>
      <c r="H43" s="49">
        <v>0</v>
      </c>
      <c r="I43" s="49">
        <v>3</v>
      </c>
      <c r="J43" s="49">
        <v>3</v>
      </c>
      <c r="K43" s="49">
        <v>0</v>
      </c>
      <c r="L43" s="49">
        <v>1</v>
      </c>
      <c r="M43" s="49">
        <v>300</v>
      </c>
      <c r="N43" s="49">
        <v>0</v>
      </c>
      <c r="O43" s="15">
        <f t="shared" si="0"/>
        <v>157</v>
      </c>
      <c r="P43" s="15">
        <f t="shared" si="1"/>
        <v>457</v>
      </c>
    </row>
    <row r="44" spans="2:32" ht="23.1" customHeight="1" x14ac:dyDescent="0.25">
      <c r="B44" s="46" t="s">
        <v>71</v>
      </c>
      <c r="C44" s="49">
        <v>115</v>
      </c>
      <c r="D44" s="49">
        <v>13</v>
      </c>
      <c r="E44" s="49">
        <v>9</v>
      </c>
      <c r="F44" s="49">
        <v>2</v>
      </c>
      <c r="G44" s="49">
        <v>0</v>
      </c>
      <c r="H44" s="49">
        <v>1</v>
      </c>
      <c r="I44" s="49">
        <v>8</v>
      </c>
      <c r="J44" s="49">
        <v>5</v>
      </c>
      <c r="K44" s="49">
        <v>0</v>
      </c>
      <c r="L44" s="49">
        <v>3</v>
      </c>
      <c r="M44" s="49">
        <v>360</v>
      </c>
      <c r="N44" s="49">
        <v>0</v>
      </c>
      <c r="O44" s="15">
        <f t="shared" si="0"/>
        <v>156</v>
      </c>
      <c r="P44" s="15">
        <f t="shared" si="1"/>
        <v>516</v>
      </c>
    </row>
    <row r="45" spans="2:32" ht="23.1" customHeight="1" x14ac:dyDescent="0.25">
      <c r="B45" s="44" t="s">
        <v>72</v>
      </c>
      <c r="C45" s="49">
        <v>70</v>
      </c>
      <c r="D45" s="49">
        <v>8</v>
      </c>
      <c r="E45" s="49">
        <v>8</v>
      </c>
      <c r="F45" s="49">
        <v>4</v>
      </c>
      <c r="G45" s="49">
        <v>0</v>
      </c>
      <c r="H45" s="49">
        <v>0</v>
      </c>
      <c r="I45" s="49">
        <v>3</v>
      </c>
      <c r="J45" s="49">
        <v>4</v>
      </c>
      <c r="K45" s="49">
        <v>2</v>
      </c>
      <c r="L45" s="49">
        <v>7</v>
      </c>
      <c r="M45" s="49">
        <v>190</v>
      </c>
      <c r="N45" s="49">
        <v>0</v>
      </c>
      <c r="O45" s="15">
        <f t="shared" si="0"/>
        <v>106</v>
      </c>
      <c r="P45" s="15">
        <f t="shared" si="1"/>
        <v>296</v>
      </c>
    </row>
    <row r="46" spans="2:32" ht="23.1" customHeight="1" x14ac:dyDescent="0.25">
      <c r="B46" s="45" t="s">
        <v>73</v>
      </c>
      <c r="C46" s="49">
        <v>58</v>
      </c>
      <c r="D46" s="49">
        <v>15</v>
      </c>
      <c r="E46" s="49">
        <v>7</v>
      </c>
      <c r="F46" s="49">
        <v>5</v>
      </c>
      <c r="G46" s="49">
        <v>0</v>
      </c>
      <c r="H46" s="49">
        <v>0</v>
      </c>
      <c r="I46" s="49">
        <v>5</v>
      </c>
      <c r="J46" s="49">
        <v>3</v>
      </c>
      <c r="K46" s="49">
        <v>0</v>
      </c>
      <c r="L46" s="49">
        <v>1</v>
      </c>
      <c r="M46" s="49">
        <v>202</v>
      </c>
      <c r="N46" s="49">
        <v>0</v>
      </c>
      <c r="O46" s="15">
        <f t="shared" si="0"/>
        <v>94</v>
      </c>
      <c r="P46" s="15">
        <f t="shared" si="1"/>
        <v>296</v>
      </c>
      <c r="R46" s="8"/>
      <c r="T46"/>
    </row>
    <row r="47" spans="2:32" ht="23.1" customHeight="1" x14ac:dyDescent="0.25">
      <c r="B47" s="45" t="s">
        <v>74</v>
      </c>
      <c r="C47" s="49">
        <v>70</v>
      </c>
      <c r="D47" s="49">
        <v>20</v>
      </c>
      <c r="E47" s="49">
        <v>8</v>
      </c>
      <c r="F47" s="49">
        <v>8</v>
      </c>
      <c r="G47" s="49">
        <v>0</v>
      </c>
      <c r="H47" s="49">
        <v>0</v>
      </c>
      <c r="I47" s="49">
        <v>5</v>
      </c>
      <c r="J47" s="49">
        <v>3</v>
      </c>
      <c r="K47" s="49">
        <v>0</v>
      </c>
      <c r="L47" s="49">
        <v>4</v>
      </c>
      <c r="M47" s="49">
        <v>200</v>
      </c>
      <c r="N47" s="49">
        <v>0</v>
      </c>
      <c r="O47" s="15">
        <f t="shared" si="0"/>
        <v>118</v>
      </c>
      <c r="P47" s="15">
        <f t="shared" si="1"/>
        <v>318</v>
      </c>
      <c r="R47" s="8"/>
      <c r="T47"/>
    </row>
    <row r="48" spans="2:32" ht="23.1" customHeight="1" x14ac:dyDescent="0.25">
      <c r="B48" s="45" t="s">
        <v>75</v>
      </c>
      <c r="C48" s="49">
        <v>80</v>
      </c>
      <c r="D48" s="49">
        <v>13</v>
      </c>
      <c r="E48" s="49">
        <v>12</v>
      </c>
      <c r="F48" s="49">
        <v>7</v>
      </c>
      <c r="G48" s="49">
        <v>0</v>
      </c>
      <c r="H48" s="49">
        <v>0</v>
      </c>
      <c r="I48" s="49">
        <v>5</v>
      </c>
      <c r="J48" s="49">
        <v>3</v>
      </c>
      <c r="K48" s="49">
        <v>1</v>
      </c>
      <c r="L48" s="49">
        <v>2</v>
      </c>
      <c r="M48" s="49">
        <v>210</v>
      </c>
      <c r="N48" s="49">
        <v>2</v>
      </c>
      <c r="O48" s="15">
        <f t="shared" si="0"/>
        <v>125</v>
      </c>
      <c r="P48" s="15">
        <f t="shared" si="1"/>
        <v>335</v>
      </c>
      <c r="R48" s="8"/>
      <c r="T48"/>
    </row>
    <row r="49" spans="2:20" ht="23.1" customHeight="1" x14ac:dyDescent="0.25">
      <c r="B49" s="44" t="s">
        <v>76</v>
      </c>
      <c r="C49" s="49">
        <v>100</v>
      </c>
      <c r="D49" s="49">
        <v>18</v>
      </c>
      <c r="E49" s="49">
        <v>10</v>
      </c>
      <c r="F49" s="49">
        <v>7</v>
      </c>
      <c r="G49" s="49">
        <v>0</v>
      </c>
      <c r="H49" s="49">
        <v>0</v>
      </c>
      <c r="I49" s="49">
        <v>4</v>
      </c>
      <c r="J49" s="49">
        <v>6</v>
      </c>
      <c r="K49" s="49">
        <v>0</v>
      </c>
      <c r="L49" s="49">
        <v>5</v>
      </c>
      <c r="M49" s="49">
        <v>175</v>
      </c>
      <c r="N49" s="49">
        <v>0</v>
      </c>
      <c r="O49" s="15">
        <f t="shared" si="0"/>
        <v>150</v>
      </c>
      <c r="P49" s="15">
        <f t="shared" si="1"/>
        <v>325</v>
      </c>
      <c r="R49" s="8"/>
      <c r="T49"/>
    </row>
    <row r="50" spans="2:20" ht="23.1" customHeight="1" x14ac:dyDescent="0.25">
      <c r="B50" s="45" t="s">
        <v>77</v>
      </c>
      <c r="C50" s="49">
        <v>45</v>
      </c>
      <c r="D50" s="49">
        <v>11</v>
      </c>
      <c r="E50" s="49">
        <v>9</v>
      </c>
      <c r="F50" s="49">
        <v>12</v>
      </c>
      <c r="G50" s="49">
        <v>0</v>
      </c>
      <c r="H50" s="49">
        <v>0</v>
      </c>
      <c r="I50" s="49">
        <v>5</v>
      </c>
      <c r="J50" s="49">
        <v>0</v>
      </c>
      <c r="K50" s="49">
        <v>1</v>
      </c>
      <c r="L50" s="49">
        <v>1</v>
      </c>
      <c r="M50" s="49">
        <v>189</v>
      </c>
      <c r="N50" s="49">
        <v>0</v>
      </c>
      <c r="O50" s="15">
        <f t="shared" si="0"/>
        <v>84</v>
      </c>
      <c r="P50" s="15">
        <f t="shared" si="1"/>
        <v>273</v>
      </c>
      <c r="R50" s="8"/>
      <c r="T50"/>
    </row>
    <row r="51" spans="2:20" ht="23.1" customHeight="1" x14ac:dyDescent="0.25">
      <c r="B51" s="45" t="s">
        <v>78</v>
      </c>
      <c r="C51" s="49">
        <v>50</v>
      </c>
      <c r="D51" s="49">
        <v>11</v>
      </c>
      <c r="E51" s="49">
        <v>14</v>
      </c>
      <c r="F51" s="49">
        <v>5</v>
      </c>
      <c r="G51" s="49">
        <v>3</v>
      </c>
      <c r="H51" s="49">
        <v>0</v>
      </c>
      <c r="I51" s="49">
        <v>4</v>
      </c>
      <c r="J51" s="49">
        <v>0</v>
      </c>
      <c r="K51" s="49">
        <v>1</v>
      </c>
      <c r="L51" s="49">
        <v>7</v>
      </c>
      <c r="M51" s="49">
        <v>157</v>
      </c>
      <c r="N51" s="49">
        <v>0</v>
      </c>
      <c r="O51" s="15">
        <f t="shared" si="0"/>
        <v>95</v>
      </c>
      <c r="P51" s="15">
        <f t="shared" si="1"/>
        <v>252</v>
      </c>
      <c r="R51" s="8"/>
      <c r="T51"/>
    </row>
    <row r="52" spans="2:20" ht="23.1" customHeight="1" x14ac:dyDescent="0.25">
      <c r="B52" s="45" t="s">
        <v>79</v>
      </c>
      <c r="C52" s="49">
        <v>40</v>
      </c>
      <c r="D52" s="49">
        <v>15</v>
      </c>
      <c r="E52" s="49">
        <v>11</v>
      </c>
      <c r="F52" s="49">
        <v>6</v>
      </c>
      <c r="G52" s="49">
        <v>2</v>
      </c>
      <c r="H52" s="49">
        <v>0</v>
      </c>
      <c r="I52" s="49">
        <v>3</v>
      </c>
      <c r="J52" s="49">
        <v>1</v>
      </c>
      <c r="K52" s="49">
        <v>0</v>
      </c>
      <c r="L52" s="49">
        <v>1</v>
      </c>
      <c r="M52" s="49">
        <v>167</v>
      </c>
      <c r="N52" s="49">
        <v>0</v>
      </c>
      <c r="O52" s="15">
        <f t="shared" si="0"/>
        <v>79</v>
      </c>
      <c r="P52" s="15">
        <f t="shared" si="1"/>
        <v>246</v>
      </c>
      <c r="R52" s="8"/>
      <c r="T52"/>
    </row>
    <row r="53" spans="2:20" ht="23.1" customHeight="1" x14ac:dyDescent="0.25">
      <c r="B53" s="44" t="s">
        <v>80</v>
      </c>
      <c r="C53" s="49">
        <v>55</v>
      </c>
      <c r="D53" s="49">
        <v>17</v>
      </c>
      <c r="E53" s="49">
        <v>17</v>
      </c>
      <c r="F53" s="49">
        <v>11</v>
      </c>
      <c r="G53" s="49">
        <v>0</v>
      </c>
      <c r="H53" s="49">
        <v>0</v>
      </c>
      <c r="I53" s="49">
        <v>1</v>
      </c>
      <c r="J53" s="49">
        <v>4</v>
      </c>
      <c r="K53" s="49">
        <v>0</v>
      </c>
      <c r="L53" s="49">
        <v>4</v>
      </c>
      <c r="M53" s="49">
        <v>227</v>
      </c>
      <c r="N53" s="49">
        <v>0</v>
      </c>
      <c r="O53" s="15">
        <f t="shared" si="0"/>
        <v>109</v>
      </c>
      <c r="P53" s="15">
        <f t="shared" si="1"/>
        <v>336</v>
      </c>
      <c r="R53" s="8"/>
      <c r="T53"/>
    </row>
    <row r="54" spans="2:20" ht="23.1" customHeight="1" x14ac:dyDescent="0.25">
      <c r="B54" s="44" t="s">
        <v>81</v>
      </c>
      <c r="C54" s="49">
        <v>30</v>
      </c>
      <c r="D54" s="49">
        <v>11</v>
      </c>
      <c r="E54" s="49">
        <v>9</v>
      </c>
      <c r="F54" s="49">
        <v>6</v>
      </c>
      <c r="G54" s="49">
        <v>1</v>
      </c>
      <c r="H54" s="49">
        <v>0</v>
      </c>
      <c r="I54" s="49">
        <v>3</v>
      </c>
      <c r="J54" s="49">
        <v>1</v>
      </c>
      <c r="K54" s="49">
        <v>0</v>
      </c>
      <c r="L54" s="49">
        <v>2</v>
      </c>
      <c r="M54" s="49">
        <v>139</v>
      </c>
      <c r="N54" s="49">
        <v>0</v>
      </c>
      <c r="O54" s="15">
        <f t="shared" si="0"/>
        <v>63</v>
      </c>
      <c r="P54" s="15">
        <f t="shared" si="1"/>
        <v>202</v>
      </c>
      <c r="R54" s="8"/>
      <c r="T54"/>
    </row>
    <row r="55" spans="2:20" ht="23.1" customHeight="1" x14ac:dyDescent="0.25">
      <c r="B55" s="44" t="s">
        <v>82</v>
      </c>
      <c r="C55" s="49">
        <v>32</v>
      </c>
      <c r="D55" s="49">
        <v>7</v>
      </c>
      <c r="E55" s="49">
        <v>9</v>
      </c>
      <c r="F55" s="49">
        <v>6</v>
      </c>
      <c r="G55" s="49">
        <v>0</v>
      </c>
      <c r="H55" s="49">
        <v>0</v>
      </c>
      <c r="I55" s="49">
        <v>1</v>
      </c>
      <c r="J55" s="49">
        <v>0</v>
      </c>
      <c r="K55" s="49">
        <v>1</v>
      </c>
      <c r="L55" s="49">
        <v>0</v>
      </c>
      <c r="M55" s="49">
        <v>180</v>
      </c>
      <c r="N55" s="49">
        <v>0</v>
      </c>
      <c r="O55" s="15">
        <f t="shared" si="0"/>
        <v>56</v>
      </c>
      <c r="P55" s="15">
        <f t="shared" si="1"/>
        <v>236</v>
      </c>
      <c r="R55" s="8"/>
      <c r="T55"/>
    </row>
    <row r="56" spans="2:20" ht="23.1" customHeight="1" x14ac:dyDescent="0.25">
      <c r="B56" s="44" t="s">
        <v>83</v>
      </c>
      <c r="C56" s="49">
        <v>20</v>
      </c>
      <c r="D56" s="49">
        <v>30</v>
      </c>
      <c r="E56" s="49">
        <v>9</v>
      </c>
      <c r="F56" s="49">
        <v>11</v>
      </c>
      <c r="G56" s="49">
        <v>1</v>
      </c>
      <c r="H56" s="49">
        <v>0</v>
      </c>
      <c r="I56" s="49">
        <v>3</v>
      </c>
      <c r="J56" s="49">
        <v>4</v>
      </c>
      <c r="K56" s="49">
        <v>1</v>
      </c>
      <c r="L56" s="49">
        <v>1</v>
      </c>
      <c r="M56" s="49">
        <v>216</v>
      </c>
      <c r="N56" s="49">
        <v>0</v>
      </c>
      <c r="O56" s="15">
        <f t="shared" si="0"/>
        <v>80</v>
      </c>
      <c r="P56" s="15">
        <f t="shared" si="1"/>
        <v>296</v>
      </c>
      <c r="R56" s="8"/>
      <c r="T56"/>
    </row>
    <row r="57" spans="2:20" ht="23.1" customHeight="1" x14ac:dyDescent="0.25">
      <c r="B57" s="44" t="s">
        <v>84</v>
      </c>
      <c r="C57" s="49">
        <v>50</v>
      </c>
      <c r="D57" s="49">
        <v>20</v>
      </c>
      <c r="E57" s="49">
        <v>10</v>
      </c>
      <c r="F57" s="49">
        <v>10</v>
      </c>
      <c r="G57" s="49">
        <v>0</v>
      </c>
      <c r="H57" s="49">
        <v>0</v>
      </c>
      <c r="I57" s="49">
        <v>6</v>
      </c>
      <c r="J57" s="49">
        <v>2</v>
      </c>
      <c r="K57" s="49">
        <v>1</v>
      </c>
      <c r="L57" s="49">
        <v>3</v>
      </c>
      <c r="M57" s="49">
        <v>154</v>
      </c>
      <c r="N57" s="49">
        <v>1</v>
      </c>
      <c r="O57" s="15">
        <f t="shared" si="0"/>
        <v>103</v>
      </c>
      <c r="P57" s="15">
        <f t="shared" si="1"/>
        <v>257</v>
      </c>
      <c r="R57" s="8"/>
      <c r="T57"/>
    </row>
    <row r="58" spans="2:20" ht="23.1" customHeight="1" x14ac:dyDescent="0.25">
      <c r="B58" s="44" t="s">
        <v>99</v>
      </c>
      <c r="C58" s="49">
        <v>60</v>
      </c>
      <c r="D58" s="49">
        <v>23</v>
      </c>
      <c r="E58" s="49">
        <v>5</v>
      </c>
      <c r="F58" s="49">
        <v>8</v>
      </c>
      <c r="G58" s="49">
        <v>1</v>
      </c>
      <c r="H58" s="49">
        <v>0</v>
      </c>
      <c r="I58" s="49">
        <v>5</v>
      </c>
      <c r="J58" s="49">
        <v>1</v>
      </c>
      <c r="K58" s="49">
        <v>1</v>
      </c>
      <c r="L58" s="49">
        <v>1</v>
      </c>
      <c r="M58" s="49">
        <v>175</v>
      </c>
      <c r="N58" s="49">
        <v>0</v>
      </c>
      <c r="O58" s="15">
        <f t="shared" si="0"/>
        <v>105</v>
      </c>
      <c r="P58" s="15">
        <f t="shared" si="1"/>
        <v>280</v>
      </c>
      <c r="R58" s="8"/>
      <c r="T58"/>
    </row>
    <row r="59" spans="2:20" ht="23.1" customHeight="1" x14ac:dyDescent="0.25">
      <c r="B59" s="44" t="s">
        <v>100</v>
      </c>
      <c r="C59" s="49">
        <v>82</v>
      </c>
      <c r="D59" s="49">
        <v>27</v>
      </c>
      <c r="E59" s="49">
        <v>9</v>
      </c>
      <c r="F59" s="49">
        <v>10</v>
      </c>
      <c r="G59" s="49">
        <v>2</v>
      </c>
      <c r="H59" s="49">
        <v>0</v>
      </c>
      <c r="I59" s="49">
        <v>8</v>
      </c>
      <c r="J59" s="49">
        <v>2</v>
      </c>
      <c r="K59" s="49">
        <v>0</v>
      </c>
      <c r="L59" s="49">
        <v>1</v>
      </c>
      <c r="M59" s="49">
        <v>173</v>
      </c>
      <c r="N59" s="49">
        <v>0</v>
      </c>
      <c r="O59" s="15">
        <f t="shared" si="0"/>
        <v>141</v>
      </c>
      <c r="P59" s="15">
        <f t="shared" si="1"/>
        <v>314</v>
      </c>
      <c r="R59" s="8"/>
      <c r="T59"/>
    </row>
    <row r="60" spans="2:20" ht="23.1" customHeight="1" x14ac:dyDescent="0.25">
      <c r="B60" s="44" t="s">
        <v>101</v>
      </c>
      <c r="C60" s="49">
        <v>137</v>
      </c>
      <c r="D60" s="49">
        <v>33</v>
      </c>
      <c r="E60" s="49">
        <v>11</v>
      </c>
      <c r="F60" s="49">
        <v>10</v>
      </c>
      <c r="G60" s="49">
        <v>0</v>
      </c>
      <c r="H60" s="49">
        <v>0</v>
      </c>
      <c r="I60" s="49">
        <v>7</v>
      </c>
      <c r="J60" s="49">
        <v>3</v>
      </c>
      <c r="K60" s="49">
        <v>0</v>
      </c>
      <c r="L60" s="49">
        <v>4</v>
      </c>
      <c r="M60" s="49">
        <v>207</v>
      </c>
      <c r="N60" s="49">
        <v>0</v>
      </c>
      <c r="O60" s="15">
        <f t="shared" si="0"/>
        <v>205</v>
      </c>
      <c r="P60" s="15">
        <f t="shared" si="1"/>
        <v>412</v>
      </c>
      <c r="R60" s="8"/>
      <c r="T60"/>
    </row>
    <row r="61" spans="2:20" ht="23.1" customHeight="1" x14ac:dyDescent="0.25">
      <c r="B61" s="44" t="s">
        <v>102</v>
      </c>
      <c r="C61" s="49">
        <v>113</v>
      </c>
      <c r="D61" s="49">
        <v>23</v>
      </c>
      <c r="E61" s="49">
        <v>15</v>
      </c>
      <c r="F61" s="49">
        <v>14</v>
      </c>
      <c r="G61" s="49">
        <v>1</v>
      </c>
      <c r="H61" s="49">
        <v>0</v>
      </c>
      <c r="I61" s="49">
        <v>7</v>
      </c>
      <c r="J61" s="49">
        <v>1</v>
      </c>
      <c r="K61" s="49">
        <v>1</v>
      </c>
      <c r="L61" s="49">
        <v>1</v>
      </c>
      <c r="M61" s="49">
        <v>199</v>
      </c>
      <c r="N61" s="49">
        <v>0</v>
      </c>
      <c r="O61" s="15">
        <f t="shared" si="0"/>
        <v>176</v>
      </c>
      <c r="P61" s="15">
        <f t="shared" si="1"/>
        <v>375</v>
      </c>
      <c r="R61" s="8"/>
      <c r="T61"/>
    </row>
    <row r="62" spans="2:20" ht="23.1" customHeight="1" x14ac:dyDescent="0.25">
      <c r="B62" s="44" t="s">
        <v>107</v>
      </c>
      <c r="C62" s="49">
        <v>131</v>
      </c>
      <c r="D62" s="49">
        <v>15</v>
      </c>
      <c r="E62" s="49">
        <v>12</v>
      </c>
      <c r="F62" s="49">
        <v>16</v>
      </c>
      <c r="G62" s="49">
        <v>1</v>
      </c>
      <c r="H62" s="49">
        <v>1</v>
      </c>
      <c r="I62" s="49">
        <v>9</v>
      </c>
      <c r="J62" s="49">
        <v>4</v>
      </c>
      <c r="K62" s="49">
        <v>0</v>
      </c>
      <c r="L62" s="49">
        <v>0</v>
      </c>
      <c r="M62" s="49">
        <v>125</v>
      </c>
      <c r="N62" s="49">
        <v>0</v>
      </c>
      <c r="O62" s="15">
        <f t="shared" si="0"/>
        <v>189</v>
      </c>
      <c r="P62" s="15">
        <f t="shared" si="1"/>
        <v>314</v>
      </c>
      <c r="R62" s="8"/>
      <c r="T62"/>
    </row>
    <row r="63" spans="2:20" ht="23.1" customHeight="1" x14ac:dyDescent="0.25">
      <c r="B63" s="44" t="s">
        <v>108</v>
      </c>
      <c r="C63" s="49">
        <v>87</v>
      </c>
      <c r="D63" s="49">
        <v>24</v>
      </c>
      <c r="E63" s="49">
        <v>6</v>
      </c>
      <c r="F63" s="49">
        <v>8</v>
      </c>
      <c r="G63" s="49">
        <v>0</v>
      </c>
      <c r="H63" s="49">
        <v>0</v>
      </c>
      <c r="I63" s="49">
        <v>3</v>
      </c>
      <c r="J63" s="49">
        <v>3</v>
      </c>
      <c r="K63" s="49">
        <v>0</v>
      </c>
      <c r="L63" s="49">
        <v>4</v>
      </c>
      <c r="M63" s="49">
        <v>242</v>
      </c>
      <c r="N63" s="49">
        <v>1</v>
      </c>
      <c r="O63" s="15">
        <f t="shared" si="0"/>
        <v>136</v>
      </c>
      <c r="P63" s="15">
        <f t="shared" si="1"/>
        <v>378</v>
      </c>
      <c r="R63" s="8"/>
      <c r="T63"/>
    </row>
    <row r="64" spans="2:20" ht="23.1" customHeight="1" x14ac:dyDescent="0.25">
      <c r="B64" s="44" t="s">
        <v>109</v>
      </c>
      <c r="C64" s="49">
        <v>73</v>
      </c>
      <c r="D64" s="49">
        <v>27</v>
      </c>
      <c r="E64" s="49">
        <v>4</v>
      </c>
      <c r="F64" s="49">
        <v>12</v>
      </c>
      <c r="G64" s="49">
        <v>0</v>
      </c>
      <c r="H64" s="49">
        <v>0</v>
      </c>
      <c r="I64" s="49">
        <v>0</v>
      </c>
      <c r="J64" s="49">
        <v>1</v>
      </c>
      <c r="K64" s="49">
        <v>0</v>
      </c>
      <c r="L64" s="49">
        <v>0</v>
      </c>
      <c r="M64" s="49">
        <v>240</v>
      </c>
      <c r="N64" s="49">
        <v>0</v>
      </c>
      <c r="O64" s="15">
        <f t="shared" si="0"/>
        <v>117</v>
      </c>
      <c r="P64" s="15">
        <f t="shared" si="1"/>
        <v>357</v>
      </c>
      <c r="R64" s="8"/>
      <c r="T64"/>
    </row>
    <row r="65" spans="2:20" ht="23.1" customHeight="1" x14ac:dyDescent="0.25">
      <c r="B65" s="44" t="s">
        <v>158</v>
      </c>
      <c r="C65" s="49">
        <v>108</v>
      </c>
      <c r="D65" s="49">
        <v>15</v>
      </c>
      <c r="E65" s="49">
        <v>12</v>
      </c>
      <c r="F65" s="49">
        <v>17</v>
      </c>
      <c r="G65" s="49">
        <v>0</v>
      </c>
      <c r="H65" s="49">
        <v>0</v>
      </c>
      <c r="I65" s="49">
        <v>2</v>
      </c>
      <c r="J65" s="49">
        <v>1</v>
      </c>
      <c r="K65" s="49">
        <v>0</v>
      </c>
      <c r="L65" s="49">
        <v>1</v>
      </c>
      <c r="M65" s="49">
        <v>210</v>
      </c>
      <c r="N65" s="49">
        <v>0</v>
      </c>
      <c r="O65" s="15">
        <f t="shared" si="0"/>
        <v>156</v>
      </c>
      <c r="P65" s="15">
        <f t="shared" si="1"/>
        <v>366</v>
      </c>
      <c r="R65" s="8"/>
      <c r="T65"/>
    </row>
    <row r="66" spans="2:20" ht="23.1" customHeight="1" x14ac:dyDescent="0.25">
      <c r="B66" s="44" t="s">
        <v>103</v>
      </c>
      <c r="C66" s="49">
        <v>109</v>
      </c>
      <c r="D66" s="49">
        <v>12</v>
      </c>
      <c r="E66" s="49">
        <v>9</v>
      </c>
      <c r="F66" s="49">
        <v>17</v>
      </c>
      <c r="G66" s="49">
        <v>0</v>
      </c>
      <c r="H66" s="49">
        <v>0</v>
      </c>
      <c r="I66" s="49">
        <v>3</v>
      </c>
      <c r="J66" s="49">
        <v>1</v>
      </c>
      <c r="K66" s="49">
        <v>0</v>
      </c>
      <c r="L66" s="49">
        <v>0</v>
      </c>
      <c r="M66" s="49">
        <v>266</v>
      </c>
      <c r="N66" s="49">
        <v>0</v>
      </c>
      <c r="O66" s="15">
        <f t="shared" si="0"/>
        <v>151</v>
      </c>
      <c r="P66" s="15">
        <f t="shared" si="1"/>
        <v>417</v>
      </c>
      <c r="R66" s="8"/>
      <c r="T66"/>
    </row>
    <row r="67" spans="2:20" ht="23.1" customHeight="1" x14ac:dyDescent="0.25">
      <c r="B67" s="44" t="s">
        <v>104</v>
      </c>
      <c r="C67" s="49">
        <v>119</v>
      </c>
      <c r="D67" s="49">
        <v>17</v>
      </c>
      <c r="E67" s="49">
        <v>9</v>
      </c>
      <c r="F67" s="49">
        <v>12</v>
      </c>
      <c r="G67" s="49">
        <v>0</v>
      </c>
      <c r="H67" s="49">
        <v>0</v>
      </c>
      <c r="I67" s="49">
        <v>1</v>
      </c>
      <c r="J67" s="49">
        <v>2</v>
      </c>
      <c r="K67" s="49">
        <v>0</v>
      </c>
      <c r="L67" s="49">
        <v>0</v>
      </c>
      <c r="M67" s="49">
        <v>208</v>
      </c>
      <c r="N67" s="49">
        <v>0</v>
      </c>
      <c r="O67" s="15">
        <f t="shared" si="0"/>
        <v>160</v>
      </c>
      <c r="P67" s="15">
        <f t="shared" si="1"/>
        <v>368</v>
      </c>
      <c r="R67" s="8"/>
      <c r="T67"/>
    </row>
    <row r="68" spans="2:20" ht="23.1" customHeight="1" x14ac:dyDescent="0.25">
      <c r="B68" s="44" t="s">
        <v>105</v>
      </c>
      <c r="C68" s="49">
        <v>123</v>
      </c>
      <c r="D68" s="49">
        <v>27</v>
      </c>
      <c r="E68" s="49">
        <v>6</v>
      </c>
      <c r="F68" s="49">
        <v>6</v>
      </c>
      <c r="G68" s="49">
        <v>0</v>
      </c>
      <c r="H68" s="49">
        <v>0</v>
      </c>
      <c r="I68" s="49">
        <v>1</v>
      </c>
      <c r="J68" s="49">
        <v>0</v>
      </c>
      <c r="K68" s="49">
        <v>0</v>
      </c>
      <c r="L68" s="49">
        <v>3</v>
      </c>
      <c r="M68" s="49">
        <v>210</v>
      </c>
      <c r="N68" s="49">
        <v>0</v>
      </c>
      <c r="O68" s="15">
        <f t="shared" si="0"/>
        <v>166</v>
      </c>
      <c r="P68" s="15">
        <f t="shared" si="1"/>
        <v>376</v>
      </c>
      <c r="R68" s="8"/>
      <c r="T68"/>
    </row>
    <row r="69" spans="2:20" ht="23.1" customHeight="1" x14ac:dyDescent="0.25">
      <c r="B69" s="44" t="s">
        <v>106</v>
      </c>
      <c r="C69" s="49">
        <v>108</v>
      </c>
      <c r="D69" s="49">
        <v>16</v>
      </c>
      <c r="E69" s="49">
        <v>13</v>
      </c>
      <c r="F69" s="49">
        <v>6</v>
      </c>
      <c r="G69" s="49">
        <v>1</v>
      </c>
      <c r="H69" s="49">
        <v>0</v>
      </c>
      <c r="I69" s="49">
        <v>6</v>
      </c>
      <c r="J69" s="49">
        <v>2</v>
      </c>
      <c r="K69" s="49">
        <v>1</v>
      </c>
      <c r="L69" s="49">
        <v>3</v>
      </c>
      <c r="M69" s="49">
        <v>192</v>
      </c>
      <c r="N69" s="49">
        <v>0</v>
      </c>
      <c r="O69" s="15">
        <f t="shared" si="0"/>
        <v>156</v>
      </c>
      <c r="P69" s="15">
        <f t="shared" si="1"/>
        <v>348</v>
      </c>
      <c r="R69" s="8"/>
      <c r="T69"/>
    </row>
    <row r="70" spans="2:20" ht="23.1" customHeight="1" x14ac:dyDescent="0.25">
      <c r="B70" s="44" t="s">
        <v>110</v>
      </c>
      <c r="C70" s="49">
        <v>113</v>
      </c>
      <c r="D70" s="49">
        <v>29</v>
      </c>
      <c r="E70" s="49">
        <v>9</v>
      </c>
      <c r="F70" s="49">
        <v>4</v>
      </c>
      <c r="G70" s="49">
        <v>0</v>
      </c>
      <c r="H70" s="49">
        <v>0</v>
      </c>
      <c r="I70" s="49">
        <v>0</v>
      </c>
      <c r="J70" s="49">
        <v>0</v>
      </c>
      <c r="K70" s="49">
        <v>1</v>
      </c>
      <c r="L70" s="49">
        <v>2</v>
      </c>
      <c r="M70" s="49">
        <v>203</v>
      </c>
      <c r="N70" s="49">
        <v>0</v>
      </c>
      <c r="O70" s="15">
        <f t="shared" si="0"/>
        <v>158</v>
      </c>
      <c r="P70" s="15">
        <f t="shared" si="1"/>
        <v>361</v>
      </c>
      <c r="R70" s="8"/>
      <c r="T70"/>
    </row>
    <row r="71" spans="2:20" ht="23.1" customHeight="1" x14ac:dyDescent="0.25">
      <c r="B71" s="44" t="s">
        <v>111</v>
      </c>
      <c r="C71" s="49">
        <v>85</v>
      </c>
      <c r="D71" s="49">
        <v>17</v>
      </c>
      <c r="E71" s="49">
        <v>3</v>
      </c>
      <c r="F71" s="49">
        <v>10</v>
      </c>
      <c r="G71" s="49">
        <v>1</v>
      </c>
      <c r="H71" s="49">
        <v>0</v>
      </c>
      <c r="I71" s="49">
        <v>2</v>
      </c>
      <c r="J71" s="49">
        <v>1</v>
      </c>
      <c r="K71" s="49">
        <v>1</v>
      </c>
      <c r="L71" s="49">
        <v>0</v>
      </c>
      <c r="M71" s="49">
        <v>150</v>
      </c>
      <c r="N71" s="49">
        <v>0</v>
      </c>
      <c r="O71" s="15">
        <f t="shared" si="0"/>
        <v>120</v>
      </c>
      <c r="P71" s="15">
        <f t="shared" si="1"/>
        <v>270</v>
      </c>
      <c r="R71" s="8"/>
      <c r="T71"/>
    </row>
    <row r="72" spans="2:20" ht="23.1" customHeight="1" x14ac:dyDescent="0.25">
      <c r="B72" s="44" t="s">
        <v>112</v>
      </c>
      <c r="C72" s="49">
        <v>103</v>
      </c>
      <c r="D72" s="49">
        <v>34</v>
      </c>
      <c r="E72" s="49">
        <v>4</v>
      </c>
      <c r="F72" s="49">
        <v>7</v>
      </c>
      <c r="G72" s="49">
        <v>0</v>
      </c>
      <c r="H72" s="49">
        <v>0</v>
      </c>
      <c r="I72" s="49">
        <v>1</v>
      </c>
      <c r="J72" s="49">
        <v>0</v>
      </c>
      <c r="K72" s="49">
        <v>0</v>
      </c>
      <c r="L72" s="49">
        <v>0</v>
      </c>
      <c r="M72" s="49">
        <v>142</v>
      </c>
      <c r="N72" s="49">
        <v>0</v>
      </c>
      <c r="O72" s="15">
        <f t="shared" si="0"/>
        <v>149</v>
      </c>
      <c r="P72" s="15">
        <f t="shared" si="1"/>
        <v>291</v>
      </c>
      <c r="R72" s="8"/>
      <c r="T72"/>
    </row>
    <row r="73" spans="2:20" ht="23.1" customHeight="1" x14ac:dyDescent="0.25">
      <c r="B73" s="44" t="s">
        <v>113</v>
      </c>
      <c r="C73" s="49">
        <v>109</v>
      </c>
      <c r="D73" s="49">
        <v>21</v>
      </c>
      <c r="E73" s="49">
        <v>3</v>
      </c>
      <c r="F73" s="49">
        <v>4</v>
      </c>
      <c r="G73" s="49">
        <v>0</v>
      </c>
      <c r="H73" s="49">
        <v>0</v>
      </c>
      <c r="I73" s="49">
        <v>0</v>
      </c>
      <c r="J73" s="49">
        <v>1</v>
      </c>
      <c r="K73" s="49">
        <v>0</v>
      </c>
      <c r="L73" s="49">
        <v>0</v>
      </c>
      <c r="M73" s="49">
        <v>149</v>
      </c>
      <c r="N73" s="49">
        <v>0</v>
      </c>
      <c r="O73" s="15">
        <f t="shared" si="0"/>
        <v>138</v>
      </c>
      <c r="P73" s="15">
        <f t="shared" si="1"/>
        <v>287</v>
      </c>
      <c r="R73" s="8"/>
      <c r="T73"/>
    </row>
    <row r="74" spans="2:20" ht="23.1" customHeight="1" x14ac:dyDescent="0.25">
      <c r="B74" s="44" t="s">
        <v>114</v>
      </c>
      <c r="C74" s="49">
        <v>95</v>
      </c>
      <c r="D74" s="49">
        <v>18</v>
      </c>
      <c r="E74" s="49">
        <v>12</v>
      </c>
      <c r="F74" s="49">
        <v>4</v>
      </c>
      <c r="G74" s="49">
        <v>0</v>
      </c>
      <c r="H74" s="49">
        <v>0</v>
      </c>
      <c r="I74" s="49">
        <v>2</v>
      </c>
      <c r="J74" s="49">
        <v>1</v>
      </c>
      <c r="K74" s="49">
        <v>0</v>
      </c>
      <c r="L74" s="49">
        <v>0</v>
      </c>
      <c r="M74" s="49">
        <v>105</v>
      </c>
      <c r="N74" s="49">
        <v>0</v>
      </c>
      <c r="O74" s="15">
        <f t="shared" ref="O74:O105" si="35">SUM(C74:L74,N74)</f>
        <v>132</v>
      </c>
      <c r="P74" s="15">
        <f t="shared" ref="P74:P105" si="36">SUM(C74:N74)</f>
        <v>237</v>
      </c>
      <c r="R74" s="8"/>
      <c r="T74"/>
    </row>
    <row r="75" spans="2:20" ht="23.1" customHeight="1" x14ac:dyDescent="0.25">
      <c r="B75" s="44" t="s">
        <v>115</v>
      </c>
      <c r="C75" s="49">
        <v>111</v>
      </c>
      <c r="D75" s="49">
        <v>21</v>
      </c>
      <c r="E75" s="49">
        <v>5</v>
      </c>
      <c r="F75" s="49">
        <v>3</v>
      </c>
      <c r="G75" s="49">
        <v>0</v>
      </c>
      <c r="H75" s="49">
        <v>0</v>
      </c>
      <c r="I75" s="49">
        <v>3</v>
      </c>
      <c r="J75" s="49">
        <v>2</v>
      </c>
      <c r="K75" s="49">
        <v>0</v>
      </c>
      <c r="L75" s="49">
        <v>0</v>
      </c>
      <c r="M75" s="49">
        <v>92</v>
      </c>
      <c r="N75" s="49">
        <v>0</v>
      </c>
      <c r="O75" s="15">
        <f t="shared" si="35"/>
        <v>145</v>
      </c>
      <c r="P75" s="15">
        <f t="shared" si="36"/>
        <v>237</v>
      </c>
      <c r="R75" s="8"/>
      <c r="T75"/>
    </row>
    <row r="76" spans="2:20" ht="23.1" customHeight="1" x14ac:dyDescent="0.25">
      <c r="B76" s="44" t="s">
        <v>116</v>
      </c>
      <c r="C76" s="49">
        <v>91</v>
      </c>
      <c r="D76" s="49">
        <v>35</v>
      </c>
      <c r="E76" s="49">
        <v>2</v>
      </c>
      <c r="F76" s="49">
        <v>1</v>
      </c>
      <c r="G76" s="49">
        <v>0</v>
      </c>
      <c r="H76" s="49">
        <v>0</v>
      </c>
      <c r="I76" s="49">
        <v>2</v>
      </c>
      <c r="J76" s="49">
        <v>0</v>
      </c>
      <c r="K76" s="49">
        <v>1</v>
      </c>
      <c r="L76" s="49">
        <v>0</v>
      </c>
      <c r="M76" s="49">
        <v>91</v>
      </c>
      <c r="N76" s="49">
        <v>0</v>
      </c>
      <c r="O76" s="15">
        <f t="shared" si="35"/>
        <v>132</v>
      </c>
      <c r="P76" s="15">
        <f t="shared" si="36"/>
        <v>223</v>
      </c>
      <c r="R76" s="8"/>
      <c r="T76"/>
    </row>
    <row r="77" spans="2:20" ht="23.1" customHeight="1" x14ac:dyDescent="0.25">
      <c r="B77" s="44" t="s">
        <v>117</v>
      </c>
      <c r="C77" s="49">
        <v>98</v>
      </c>
      <c r="D77" s="49">
        <v>15</v>
      </c>
      <c r="E77" s="49">
        <v>1</v>
      </c>
      <c r="F77" s="49">
        <v>1</v>
      </c>
      <c r="G77" s="49">
        <v>1</v>
      </c>
      <c r="H77" s="49">
        <v>0</v>
      </c>
      <c r="I77" s="49">
        <v>0</v>
      </c>
      <c r="J77" s="49">
        <v>0</v>
      </c>
      <c r="K77" s="49">
        <v>0</v>
      </c>
      <c r="L77" s="49">
        <v>0</v>
      </c>
      <c r="M77" s="49">
        <v>57</v>
      </c>
      <c r="N77" s="49">
        <v>0</v>
      </c>
      <c r="O77" s="15">
        <f t="shared" si="35"/>
        <v>116</v>
      </c>
      <c r="P77" s="15">
        <f t="shared" si="36"/>
        <v>173</v>
      </c>
      <c r="R77" s="8"/>
      <c r="T77"/>
    </row>
    <row r="78" spans="2:20" ht="23.1" customHeight="1" x14ac:dyDescent="0.25">
      <c r="B78" s="45" t="s">
        <v>118</v>
      </c>
      <c r="C78" s="49">
        <v>72</v>
      </c>
      <c r="D78" s="49">
        <v>11</v>
      </c>
      <c r="E78" s="49">
        <v>2</v>
      </c>
      <c r="F78" s="49">
        <v>5</v>
      </c>
      <c r="G78" s="49">
        <v>0</v>
      </c>
      <c r="H78" s="49">
        <v>0</v>
      </c>
      <c r="I78" s="49">
        <v>1</v>
      </c>
      <c r="J78" s="49">
        <v>0</v>
      </c>
      <c r="K78" s="49">
        <v>0</v>
      </c>
      <c r="L78" s="49">
        <v>3</v>
      </c>
      <c r="M78" s="49">
        <v>42</v>
      </c>
      <c r="N78" s="49">
        <v>0</v>
      </c>
      <c r="O78" s="15">
        <f t="shared" si="35"/>
        <v>94</v>
      </c>
      <c r="P78" s="15">
        <f t="shared" si="36"/>
        <v>136</v>
      </c>
      <c r="R78" s="8"/>
      <c r="T78"/>
    </row>
    <row r="79" spans="2:20" ht="23.1" customHeight="1" x14ac:dyDescent="0.25">
      <c r="B79" s="44" t="s">
        <v>119</v>
      </c>
      <c r="C79" s="49">
        <v>54</v>
      </c>
      <c r="D79" s="49">
        <v>23</v>
      </c>
      <c r="E79" s="49">
        <v>5</v>
      </c>
      <c r="F79" s="49">
        <v>1</v>
      </c>
      <c r="G79" s="49">
        <v>0</v>
      </c>
      <c r="H79" s="49">
        <v>0</v>
      </c>
      <c r="I79" s="49">
        <v>2</v>
      </c>
      <c r="J79" s="49">
        <v>0</v>
      </c>
      <c r="K79" s="49">
        <v>0</v>
      </c>
      <c r="L79" s="49">
        <v>2</v>
      </c>
      <c r="M79" s="49">
        <v>34</v>
      </c>
      <c r="N79" s="49">
        <v>0</v>
      </c>
      <c r="O79" s="15">
        <f t="shared" si="35"/>
        <v>87</v>
      </c>
      <c r="P79" s="15">
        <f t="shared" si="36"/>
        <v>121</v>
      </c>
      <c r="R79" s="8"/>
      <c r="T79"/>
    </row>
    <row r="80" spans="2:20" ht="23.1" customHeight="1" x14ac:dyDescent="0.25">
      <c r="B80" s="46" t="s">
        <v>120</v>
      </c>
      <c r="C80" s="49">
        <v>59</v>
      </c>
      <c r="D80" s="49">
        <v>14</v>
      </c>
      <c r="E80" s="49">
        <v>2</v>
      </c>
      <c r="F80" s="49">
        <v>2</v>
      </c>
      <c r="G80" s="49">
        <v>0</v>
      </c>
      <c r="H80" s="49">
        <v>0</v>
      </c>
      <c r="I80" s="49">
        <v>1</v>
      </c>
      <c r="J80" s="49">
        <v>1</v>
      </c>
      <c r="K80" s="49">
        <v>0</v>
      </c>
      <c r="L80" s="49">
        <v>0</v>
      </c>
      <c r="M80" s="49">
        <v>43</v>
      </c>
      <c r="N80" s="49">
        <v>0</v>
      </c>
      <c r="O80" s="15">
        <f t="shared" si="35"/>
        <v>79</v>
      </c>
      <c r="P80" s="15">
        <f t="shared" si="36"/>
        <v>122</v>
      </c>
      <c r="R80" s="8"/>
      <c r="T80"/>
    </row>
    <row r="81" spans="2:20" ht="23.1" customHeight="1" x14ac:dyDescent="0.25">
      <c r="B81" s="44" t="s">
        <v>121</v>
      </c>
      <c r="C81" s="49">
        <v>73</v>
      </c>
      <c r="D81" s="49">
        <v>8</v>
      </c>
      <c r="E81" s="49">
        <v>2</v>
      </c>
      <c r="F81" s="49">
        <v>2</v>
      </c>
      <c r="G81" s="49">
        <v>0</v>
      </c>
      <c r="H81" s="49">
        <v>0</v>
      </c>
      <c r="I81" s="49">
        <v>4</v>
      </c>
      <c r="J81" s="49">
        <v>0</v>
      </c>
      <c r="K81" s="49">
        <v>0</v>
      </c>
      <c r="L81" s="49">
        <v>0</v>
      </c>
      <c r="M81" s="49">
        <v>16</v>
      </c>
      <c r="N81" s="49">
        <v>0</v>
      </c>
      <c r="O81" s="15">
        <f t="shared" si="35"/>
        <v>89</v>
      </c>
      <c r="P81" s="15">
        <f t="shared" si="36"/>
        <v>105</v>
      </c>
      <c r="R81" s="8"/>
      <c r="T81"/>
    </row>
    <row r="82" spans="2:20" ht="23.1" customHeight="1" x14ac:dyDescent="0.25">
      <c r="B82" s="45" t="s">
        <v>122</v>
      </c>
      <c r="C82" s="49">
        <v>92</v>
      </c>
      <c r="D82" s="49">
        <v>10</v>
      </c>
      <c r="E82" s="49">
        <v>4</v>
      </c>
      <c r="F82" s="49">
        <v>4</v>
      </c>
      <c r="G82" s="49">
        <v>0</v>
      </c>
      <c r="H82" s="49">
        <v>0</v>
      </c>
      <c r="I82" s="49">
        <v>0</v>
      </c>
      <c r="J82" s="49">
        <v>2</v>
      </c>
      <c r="K82" s="49">
        <v>0</v>
      </c>
      <c r="L82" s="49">
        <v>0</v>
      </c>
      <c r="M82" s="49">
        <v>14</v>
      </c>
      <c r="N82" s="49">
        <v>0</v>
      </c>
      <c r="O82" s="15">
        <f t="shared" si="35"/>
        <v>112</v>
      </c>
      <c r="P82" s="15">
        <f t="shared" si="36"/>
        <v>126</v>
      </c>
      <c r="R82" s="8"/>
      <c r="T82"/>
    </row>
    <row r="83" spans="2:20" ht="23.1" customHeight="1" x14ac:dyDescent="0.25">
      <c r="B83" s="44" t="s">
        <v>123</v>
      </c>
      <c r="C83" s="49">
        <v>63</v>
      </c>
      <c r="D83" s="49">
        <v>4</v>
      </c>
      <c r="E83" s="49">
        <v>0</v>
      </c>
      <c r="F83" s="49">
        <v>2</v>
      </c>
      <c r="G83" s="49">
        <v>0</v>
      </c>
      <c r="H83" s="49">
        <v>0</v>
      </c>
      <c r="I83" s="49">
        <v>0</v>
      </c>
      <c r="J83" s="49">
        <v>0</v>
      </c>
      <c r="K83" s="49">
        <v>0</v>
      </c>
      <c r="L83" s="49">
        <v>0</v>
      </c>
      <c r="M83" s="49">
        <v>42</v>
      </c>
      <c r="N83" s="49">
        <v>0</v>
      </c>
      <c r="O83" s="15">
        <f t="shared" si="35"/>
        <v>69</v>
      </c>
      <c r="P83" s="15">
        <f t="shared" si="36"/>
        <v>111</v>
      </c>
      <c r="R83" s="8"/>
      <c r="T83"/>
    </row>
    <row r="84" spans="2:20" ht="23.1" customHeight="1" x14ac:dyDescent="0.25">
      <c r="B84" s="46" t="s">
        <v>124</v>
      </c>
      <c r="C84" s="49">
        <v>76</v>
      </c>
      <c r="D84" s="49">
        <v>4</v>
      </c>
      <c r="E84" s="49">
        <v>1</v>
      </c>
      <c r="F84" s="49">
        <v>3</v>
      </c>
      <c r="G84" s="49">
        <v>0</v>
      </c>
      <c r="H84" s="49">
        <v>0</v>
      </c>
      <c r="I84" s="49">
        <v>0</v>
      </c>
      <c r="J84" s="49">
        <v>0</v>
      </c>
      <c r="K84" s="49">
        <v>0</v>
      </c>
      <c r="L84" s="49">
        <v>2</v>
      </c>
      <c r="M84" s="49">
        <v>36</v>
      </c>
      <c r="N84" s="49">
        <v>0</v>
      </c>
      <c r="O84" s="15">
        <f t="shared" si="35"/>
        <v>86</v>
      </c>
      <c r="P84" s="15">
        <f t="shared" si="36"/>
        <v>122</v>
      </c>
      <c r="R84" s="8"/>
      <c r="T84"/>
    </row>
    <row r="85" spans="2:20" ht="23.1" customHeight="1" x14ac:dyDescent="0.25">
      <c r="B85" s="44" t="s">
        <v>125</v>
      </c>
      <c r="C85" s="49">
        <v>54</v>
      </c>
      <c r="D85" s="49">
        <v>9</v>
      </c>
      <c r="E85" s="49">
        <v>1</v>
      </c>
      <c r="F85" s="49">
        <v>1</v>
      </c>
      <c r="G85" s="49">
        <v>0</v>
      </c>
      <c r="H85" s="49">
        <v>0</v>
      </c>
      <c r="I85" s="49">
        <v>0</v>
      </c>
      <c r="J85" s="49">
        <v>0</v>
      </c>
      <c r="K85" s="49">
        <v>0</v>
      </c>
      <c r="L85" s="49">
        <v>1</v>
      </c>
      <c r="M85" s="49">
        <v>24</v>
      </c>
      <c r="N85" s="49">
        <v>0</v>
      </c>
      <c r="O85" s="15">
        <f t="shared" si="35"/>
        <v>66</v>
      </c>
      <c r="P85" s="15">
        <f t="shared" si="36"/>
        <v>90</v>
      </c>
      <c r="R85" s="8"/>
      <c r="T85"/>
    </row>
    <row r="86" spans="2:20" ht="23.1" customHeight="1" x14ac:dyDescent="0.25">
      <c r="B86" s="45" t="s">
        <v>126</v>
      </c>
      <c r="C86" s="49">
        <v>28</v>
      </c>
      <c r="D86" s="49">
        <v>4</v>
      </c>
      <c r="E86" s="49">
        <v>1</v>
      </c>
      <c r="F86" s="49">
        <v>0</v>
      </c>
      <c r="G86" s="49">
        <v>0</v>
      </c>
      <c r="H86" s="49">
        <v>0</v>
      </c>
      <c r="I86" s="49">
        <v>2</v>
      </c>
      <c r="J86" s="49">
        <v>0</v>
      </c>
      <c r="K86" s="49">
        <v>1</v>
      </c>
      <c r="L86" s="49">
        <v>0</v>
      </c>
      <c r="M86" s="49">
        <v>9</v>
      </c>
      <c r="N86" s="49">
        <v>0</v>
      </c>
      <c r="O86" s="15">
        <f t="shared" si="35"/>
        <v>36</v>
      </c>
      <c r="P86" s="15">
        <f t="shared" si="36"/>
        <v>45</v>
      </c>
      <c r="R86" s="8"/>
      <c r="T86"/>
    </row>
    <row r="87" spans="2:20" ht="23.1" customHeight="1" x14ac:dyDescent="0.25">
      <c r="B87" s="44" t="s">
        <v>127</v>
      </c>
      <c r="C87" s="49">
        <v>21</v>
      </c>
      <c r="D87" s="49">
        <v>2</v>
      </c>
      <c r="E87" s="49">
        <v>3</v>
      </c>
      <c r="F87" s="49">
        <v>0</v>
      </c>
      <c r="G87" s="49">
        <v>0</v>
      </c>
      <c r="H87" s="49">
        <v>0</v>
      </c>
      <c r="I87" s="49">
        <v>0</v>
      </c>
      <c r="J87" s="49">
        <v>1</v>
      </c>
      <c r="K87" s="49">
        <v>1</v>
      </c>
      <c r="L87" s="49">
        <v>0</v>
      </c>
      <c r="M87" s="49">
        <v>13</v>
      </c>
      <c r="N87" s="49">
        <v>0</v>
      </c>
      <c r="O87" s="15">
        <f t="shared" si="35"/>
        <v>28</v>
      </c>
      <c r="P87" s="15">
        <f t="shared" si="36"/>
        <v>41</v>
      </c>
      <c r="R87" s="8"/>
      <c r="T87"/>
    </row>
    <row r="88" spans="2:20" ht="23.1" customHeight="1" x14ac:dyDescent="0.25">
      <c r="B88" s="46" t="s">
        <v>128</v>
      </c>
      <c r="C88" s="49">
        <v>14</v>
      </c>
      <c r="D88" s="49">
        <v>2</v>
      </c>
      <c r="E88" s="49">
        <v>1</v>
      </c>
      <c r="F88" s="49">
        <v>1</v>
      </c>
      <c r="G88" s="49">
        <v>0</v>
      </c>
      <c r="H88" s="49">
        <v>0</v>
      </c>
      <c r="I88" s="49">
        <v>0</v>
      </c>
      <c r="J88" s="49">
        <v>0</v>
      </c>
      <c r="K88" s="49">
        <v>0</v>
      </c>
      <c r="L88" s="49">
        <v>0</v>
      </c>
      <c r="M88" s="49">
        <v>12</v>
      </c>
      <c r="N88" s="49">
        <v>0</v>
      </c>
      <c r="O88" s="15">
        <f t="shared" si="35"/>
        <v>18</v>
      </c>
      <c r="P88" s="15">
        <f t="shared" si="36"/>
        <v>30</v>
      </c>
      <c r="R88" s="8"/>
      <c r="T88"/>
    </row>
    <row r="89" spans="2:20" ht="23.1" customHeight="1" x14ac:dyDescent="0.25">
      <c r="B89" s="44" t="s">
        <v>129</v>
      </c>
      <c r="C89" s="49">
        <v>12</v>
      </c>
      <c r="D89" s="49">
        <v>2</v>
      </c>
      <c r="E89" s="49">
        <v>2</v>
      </c>
      <c r="F89" s="49">
        <v>0</v>
      </c>
      <c r="G89" s="49">
        <v>0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31</v>
      </c>
      <c r="N89" s="49">
        <v>0</v>
      </c>
      <c r="O89" s="15">
        <f t="shared" si="35"/>
        <v>17</v>
      </c>
      <c r="P89" s="15">
        <f t="shared" si="36"/>
        <v>48</v>
      </c>
      <c r="R89" s="8"/>
      <c r="T89"/>
    </row>
    <row r="90" spans="2:20" ht="23.1" customHeight="1" x14ac:dyDescent="0.25">
      <c r="B90" s="45" t="s">
        <v>130</v>
      </c>
      <c r="C90" s="49">
        <v>14</v>
      </c>
      <c r="D90" s="49">
        <v>8</v>
      </c>
      <c r="E90" s="49">
        <v>1</v>
      </c>
      <c r="F90" s="49">
        <v>1</v>
      </c>
      <c r="G90" s="49">
        <v>0</v>
      </c>
      <c r="H90" s="49">
        <v>0</v>
      </c>
      <c r="I90" s="49">
        <v>1</v>
      </c>
      <c r="J90" s="49">
        <v>0</v>
      </c>
      <c r="K90" s="49">
        <v>0</v>
      </c>
      <c r="L90" s="49">
        <v>2</v>
      </c>
      <c r="M90" s="49">
        <v>9</v>
      </c>
      <c r="N90" s="49">
        <v>0</v>
      </c>
      <c r="O90" s="15">
        <f t="shared" si="35"/>
        <v>27</v>
      </c>
      <c r="P90" s="15">
        <f t="shared" si="36"/>
        <v>36</v>
      </c>
      <c r="R90" s="8"/>
      <c r="T90"/>
    </row>
    <row r="91" spans="2:20" ht="23.1" customHeight="1" x14ac:dyDescent="0.25">
      <c r="B91" s="44" t="s">
        <v>131</v>
      </c>
      <c r="C91" s="49">
        <v>30</v>
      </c>
      <c r="D91" s="49">
        <v>2</v>
      </c>
      <c r="E91" s="49">
        <v>0</v>
      </c>
      <c r="F91" s="49">
        <v>1</v>
      </c>
      <c r="G91" s="49">
        <v>0</v>
      </c>
      <c r="H91" s="49">
        <v>0</v>
      </c>
      <c r="I91" s="49">
        <v>0</v>
      </c>
      <c r="J91" s="49">
        <v>0</v>
      </c>
      <c r="K91" s="49">
        <v>0</v>
      </c>
      <c r="L91" s="49">
        <v>0</v>
      </c>
      <c r="M91" s="49">
        <v>18</v>
      </c>
      <c r="N91" s="49">
        <v>0</v>
      </c>
      <c r="O91" s="15">
        <f t="shared" si="35"/>
        <v>33</v>
      </c>
      <c r="P91" s="15">
        <f t="shared" si="36"/>
        <v>51</v>
      </c>
      <c r="R91" s="8"/>
      <c r="T91"/>
    </row>
    <row r="92" spans="2:20" ht="23.1" customHeight="1" x14ac:dyDescent="0.25">
      <c r="B92" s="46" t="s">
        <v>132</v>
      </c>
      <c r="C92" s="49">
        <v>17</v>
      </c>
      <c r="D92" s="49">
        <v>7</v>
      </c>
      <c r="E92" s="49">
        <v>1</v>
      </c>
      <c r="F92" s="49">
        <v>3</v>
      </c>
      <c r="G92" s="49">
        <v>0</v>
      </c>
      <c r="H92" s="49">
        <v>0</v>
      </c>
      <c r="I92" s="49">
        <v>2</v>
      </c>
      <c r="J92" s="49">
        <v>1</v>
      </c>
      <c r="K92" s="49">
        <v>0</v>
      </c>
      <c r="L92" s="49">
        <v>1</v>
      </c>
      <c r="M92" s="49">
        <v>15</v>
      </c>
      <c r="N92" s="49">
        <v>0</v>
      </c>
      <c r="O92" s="15">
        <f t="shared" si="35"/>
        <v>32</v>
      </c>
      <c r="P92" s="15">
        <f t="shared" si="36"/>
        <v>47</v>
      </c>
      <c r="R92" s="8"/>
      <c r="T92"/>
    </row>
    <row r="93" spans="2:20" ht="23.1" customHeight="1" x14ac:dyDescent="0.25">
      <c r="B93" s="44" t="s">
        <v>133</v>
      </c>
      <c r="C93" s="49">
        <v>28</v>
      </c>
      <c r="D93" s="49">
        <v>1</v>
      </c>
      <c r="E93" s="49">
        <v>0</v>
      </c>
      <c r="F93" s="49">
        <v>0</v>
      </c>
      <c r="G93" s="49">
        <v>0</v>
      </c>
      <c r="H93" s="49">
        <v>0</v>
      </c>
      <c r="I93" s="49">
        <v>2</v>
      </c>
      <c r="J93" s="49">
        <v>0</v>
      </c>
      <c r="K93" s="49">
        <v>0</v>
      </c>
      <c r="L93" s="49">
        <v>0</v>
      </c>
      <c r="M93" s="49">
        <v>11</v>
      </c>
      <c r="N93" s="49">
        <v>0</v>
      </c>
      <c r="O93" s="15">
        <f t="shared" si="35"/>
        <v>31</v>
      </c>
      <c r="P93" s="15">
        <f t="shared" si="36"/>
        <v>42</v>
      </c>
      <c r="R93" s="8"/>
      <c r="T93"/>
    </row>
    <row r="94" spans="2:20" ht="23.1" customHeight="1" x14ac:dyDescent="0.25">
      <c r="B94" s="45" t="s">
        <v>134</v>
      </c>
      <c r="C94" s="49">
        <v>26</v>
      </c>
      <c r="D94" s="49">
        <v>4</v>
      </c>
      <c r="E94" s="49">
        <v>0</v>
      </c>
      <c r="F94" s="49">
        <v>0</v>
      </c>
      <c r="G94" s="49">
        <v>0</v>
      </c>
      <c r="H94" s="49">
        <v>1</v>
      </c>
      <c r="I94" s="49">
        <v>0</v>
      </c>
      <c r="J94" s="49">
        <v>0</v>
      </c>
      <c r="K94" s="49">
        <v>0</v>
      </c>
      <c r="L94" s="49">
        <v>0</v>
      </c>
      <c r="M94" s="49">
        <v>14</v>
      </c>
      <c r="N94" s="49">
        <v>0</v>
      </c>
      <c r="O94" s="15">
        <f t="shared" si="35"/>
        <v>31</v>
      </c>
      <c r="P94" s="15">
        <f t="shared" si="36"/>
        <v>45</v>
      </c>
      <c r="R94" s="8"/>
      <c r="T94"/>
    </row>
    <row r="95" spans="2:20" ht="23.1" customHeight="1" x14ac:dyDescent="0.25">
      <c r="B95" s="44" t="s">
        <v>135</v>
      </c>
      <c r="C95" s="49">
        <v>12</v>
      </c>
      <c r="D95" s="49">
        <v>0</v>
      </c>
      <c r="E95" s="49">
        <v>1</v>
      </c>
      <c r="F95" s="49">
        <v>0</v>
      </c>
      <c r="G95" s="49">
        <v>0</v>
      </c>
      <c r="H95" s="49">
        <v>1</v>
      </c>
      <c r="I95" s="49">
        <v>1</v>
      </c>
      <c r="J95" s="49">
        <v>0</v>
      </c>
      <c r="K95" s="49">
        <v>0</v>
      </c>
      <c r="L95" s="49">
        <v>0</v>
      </c>
      <c r="M95" s="49">
        <v>35</v>
      </c>
      <c r="N95" s="49">
        <v>0</v>
      </c>
      <c r="O95" s="15">
        <f t="shared" si="35"/>
        <v>15</v>
      </c>
      <c r="P95" s="15">
        <f t="shared" si="36"/>
        <v>50</v>
      </c>
      <c r="R95" s="8"/>
      <c r="T95"/>
    </row>
    <row r="96" spans="2:20" ht="23.1" customHeight="1" x14ac:dyDescent="0.25">
      <c r="B96" s="46" t="s">
        <v>136</v>
      </c>
      <c r="C96" s="49">
        <v>5</v>
      </c>
      <c r="D96" s="49">
        <v>2</v>
      </c>
      <c r="E96" s="49">
        <v>0</v>
      </c>
      <c r="F96" s="49">
        <v>0</v>
      </c>
      <c r="G96" s="49">
        <v>0</v>
      </c>
      <c r="H96" s="49">
        <v>0</v>
      </c>
      <c r="I96" s="49">
        <v>0</v>
      </c>
      <c r="J96" s="49">
        <v>1</v>
      </c>
      <c r="K96" s="49">
        <v>1</v>
      </c>
      <c r="L96" s="49">
        <v>0</v>
      </c>
      <c r="M96" s="49">
        <v>34</v>
      </c>
      <c r="N96" s="49">
        <v>0</v>
      </c>
      <c r="O96" s="15">
        <f t="shared" si="35"/>
        <v>9</v>
      </c>
      <c r="P96" s="15">
        <f t="shared" si="36"/>
        <v>43</v>
      </c>
      <c r="R96" s="8"/>
      <c r="T96"/>
    </row>
    <row r="97" spans="2:20" ht="23.1" customHeight="1" x14ac:dyDescent="0.25">
      <c r="B97" s="44" t="s">
        <v>137</v>
      </c>
      <c r="C97" s="49">
        <v>9</v>
      </c>
      <c r="D97" s="49">
        <v>1</v>
      </c>
      <c r="E97" s="49">
        <v>0</v>
      </c>
      <c r="F97" s="49">
        <v>2</v>
      </c>
      <c r="G97" s="49">
        <v>0</v>
      </c>
      <c r="H97" s="49">
        <v>0</v>
      </c>
      <c r="I97" s="49">
        <v>0</v>
      </c>
      <c r="J97" s="49">
        <v>0</v>
      </c>
      <c r="K97" s="49">
        <v>0</v>
      </c>
      <c r="L97" s="49">
        <v>0</v>
      </c>
      <c r="M97" s="49">
        <v>44</v>
      </c>
      <c r="N97" s="49">
        <v>0</v>
      </c>
      <c r="O97" s="15">
        <f t="shared" si="35"/>
        <v>12</v>
      </c>
      <c r="P97" s="15">
        <f t="shared" si="36"/>
        <v>56</v>
      </c>
      <c r="R97" s="8"/>
      <c r="T97"/>
    </row>
    <row r="98" spans="2:20" ht="23.1" customHeight="1" x14ac:dyDescent="0.25">
      <c r="B98" s="45" t="s">
        <v>138</v>
      </c>
      <c r="C98" s="49">
        <v>23</v>
      </c>
      <c r="D98" s="49">
        <v>1</v>
      </c>
      <c r="E98" s="49">
        <v>2</v>
      </c>
      <c r="F98" s="49">
        <v>2</v>
      </c>
      <c r="G98" s="49">
        <v>0</v>
      </c>
      <c r="H98" s="49">
        <v>0</v>
      </c>
      <c r="I98" s="49">
        <v>0</v>
      </c>
      <c r="J98" s="49">
        <v>2</v>
      </c>
      <c r="K98" s="49">
        <v>0</v>
      </c>
      <c r="L98" s="49">
        <v>0</v>
      </c>
      <c r="M98" s="49">
        <v>51</v>
      </c>
      <c r="N98" s="49">
        <v>0</v>
      </c>
      <c r="O98" s="15">
        <f t="shared" si="35"/>
        <v>30</v>
      </c>
      <c r="P98" s="15">
        <f t="shared" si="36"/>
        <v>81</v>
      </c>
      <c r="R98" s="8"/>
      <c r="T98"/>
    </row>
    <row r="99" spans="2:20" ht="23.1" customHeight="1" x14ac:dyDescent="0.25">
      <c r="B99" s="44" t="s">
        <v>139</v>
      </c>
      <c r="C99" s="49">
        <v>22</v>
      </c>
      <c r="D99" s="49">
        <v>1</v>
      </c>
      <c r="E99" s="49">
        <v>0</v>
      </c>
      <c r="F99" s="49">
        <v>0</v>
      </c>
      <c r="G99" s="49">
        <v>0</v>
      </c>
      <c r="H99" s="49">
        <v>0</v>
      </c>
      <c r="I99" s="49">
        <v>0</v>
      </c>
      <c r="J99" s="49">
        <v>3</v>
      </c>
      <c r="K99" s="49">
        <v>1</v>
      </c>
      <c r="L99" s="49">
        <v>1</v>
      </c>
      <c r="M99" s="49">
        <v>53</v>
      </c>
      <c r="N99" s="49">
        <v>0</v>
      </c>
      <c r="O99" s="15">
        <f t="shared" si="35"/>
        <v>28</v>
      </c>
      <c r="P99" s="15">
        <f t="shared" si="36"/>
        <v>81</v>
      </c>
      <c r="R99" s="8"/>
      <c r="T99"/>
    </row>
    <row r="100" spans="2:20" ht="23.1" customHeight="1" x14ac:dyDescent="0.25">
      <c r="B100" s="46" t="s">
        <v>140</v>
      </c>
      <c r="C100" s="49">
        <v>26</v>
      </c>
      <c r="D100" s="49">
        <v>4</v>
      </c>
      <c r="E100" s="49">
        <v>0</v>
      </c>
      <c r="F100" s="49">
        <v>0</v>
      </c>
      <c r="G100" s="49">
        <v>0</v>
      </c>
      <c r="H100" s="49">
        <v>0</v>
      </c>
      <c r="I100" s="49">
        <v>0</v>
      </c>
      <c r="J100" s="49">
        <v>1</v>
      </c>
      <c r="K100" s="49">
        <v>0</v>
      </c>
      <c r="L100" s="49">
        <v>1</v>
      </c>
      <c r="M100" s="49">
        <v>68</v>
      </c>
      <c r="N100" s="49">
        <v>0</v>
      </c>
      <c r="O100" s="15">
        <f t="shared" si="35"/>
        <v>32</v>
      </c>
      <c r="P100" s="15">
        <f t="shared" si="36"/>
        <v>100</v>
      </c>
      <c r="R100" s="8"/>
      <c r="T100"/>
    </row>
    <row r="101" spans="2:20" ht="23.1" customHeight="1" x14ac:dyDescent="0.25">
      <c r="B101" s="44" t="s">
        <v>141</v>
      </c>
      <c r="C101" s="49">
        <v>19</v>
      </c>
      <c r="D101" s="49">
        <v>3</v>
      </c>
      <c r="E101" s="49">
        <v>1</v>
      </c>
      <c r="F101" s="49">
        <v>1</v>
      </c>
      <c r="G101" s="49">
        <v>0</v>
      </c>
      <c r="H101" s="49">
        <v>0</v>
      </c>
      <c r="I101" s="49">
        <v>1</v>
      </c>
      <c r="J101" s="49">
        <v>0</v>
      </c>
      <c r="K101" s="49">
        <v>0</v>
      </c>
      <c r="L101" s="49">
        <v>1</v>
      </c>
      <c r="M101" s="49">
        <v>85</v>
      </c>
      <c r="N101" s="49">
        <v>0</v>
      </c>
      <c r="O101" s="15">
        <f t="shared" si="35"/>
        <v>26</v>
      </c>
      <c r="P101" s="15">
        <f t="shared" si="36"/>
        <v>111</v>
      </c>
      <c r="R101" s="8"/>
      <c r="T101"/>
    </row>
    <row r="102" spans="2:20" ht="23.1" customHeight="1" x14ac:dyDescent="0.25">
      <c r="B102" s="45" t="s">
        <v>142</v>
      </c>
      <c r="C102" s="49">
        <v>15</v>
      </c>
      <c r="D102" s="49">
        <v>5</v>
      </c>
      <c r="E102" s="49">
        <v>3</v>
      </c>
      <c r="F102" s="49">
        <v>4</v>
      </c>
      <c r="G102" s="49">
        <v>0</v>
      </c>
      <c r="H102" s="49">
        <v>0</v>
      </c>
      <c r="I102" s="49">
        <v>5</v>
      </c>
      <c r="J102" s="49">
        <v>1</v>
      </c>
      <c r="K102" s="49">
        <v>0</v>
      </c>
      <c r="L102" s="49">
        <v>0</v>
      </c>
      <c r="M102" s="49">
        <v>90</v>
      </c>
      <c r="N102" s="49">
        <v>0</v>
      </c>
      <c r="O102" s="15">
        <f t="shared" si="35"/>
        <v>33</v>
      </c>
      <c r="P102" s="15">
        <f t="shared" si="36"/>
        <v>123</v>
      </c>
      <c r="R102" s="8"/>
      <c r="T102"/>
    </row>
    <row r="103" spans="2:20" ht="23.1" customHeight="1" x14ac:dyDescent="0.25">
      <c r="B103" s="44" t="s">
        <v>143</v>
      </c>
      <c r="C103" s="49">
        <v>37</v>
      </c>
      <c r="D103" s="49">
        <v>6</v>
      </c>
      <c r="E103" s="49">
        <v>8</v>
      </c>
      <c r="F103" s="49">
        <v>8</v>
      </c>
      <c r="G103" s="49">
        <v>1</v>
      </c>
      <c r="H103" s="49">
        <v>0</v>
      </c>
      <c r="I103" s="49">
        <v>3</v>
      </c>
      <c r="J103" s="49">
        <v>2</v>
      </c>
      <c r="K103" s="49">
        <v>1</v>
      </c>
      <c r="L103" s="49">
        <v>1</v>
      </c>
      <c r="M103" s="49">
        <v>99</v>
      </c>
      <c r="N103" s="49">
        <v>0</v>
      </c>
      <c r="O103" s="15">
        <f t="shared" si="35"/>
        <v>67</v>
      </c>
      <c r="P103" s="15">
        <f t="shared" si="36"/>
        <v>166</v>
      </c>
      <c r="R103" s="8"/>
      <c r="T103"/>
    </row>
    <row r="104" spans="2:20" ht="23.1" customHeight="1" x14ac:dyDescent="0.25">
      <c r="B104" s="46" t="s">
        <v>144</v>
      </c>
      <c r="C104" s="49">
        <v>28</v>
      </c>
      <c r="D104" s="49">
        <v>6</v>
      </c>
      <c r="E104" s="49">
        <v>1</v>
      </c>
      <c r="F104" s="49">
        <v>7</v>
      </c>
      <c r="G104" s="49">
        <v>0</v>
      </c>
      <c r="H104" s="49">
        <v>0</v>
      </c>
      <c r="I104" s="49">
        <v>1</v>
      </c>
      <c r="J104" s="49">
        <v>2</v>
      </c>
      <c r="K104" s="49">
        <v>2</v>
      </c>
      <c r="L104" s="49">
        <v>1</v>
      </c>
      <c r="M104" s="49">
        <v>123</v>
      </c>
      <c r="N104" s="49">
        <v>0</v>
      </c>
      <c r="O104" s="15">
        <f t="shared" si="35"/>
        <v>48</v>
      </c>
      <c r="P104" s="15">
        <f t="shared" si="36"/>
        <v>171</v>
      </c>
      <c r="R104" s="8"/>
      <c r="T104"/>
    </row>
    <row r="105" spans="2:20" ht="23.1" customHeight="1" x14ac:dyDescent="0.25">
      <c r="B105" s="44" t="s">
        <v>145</v>
      </c>
      <c r="C105" s="49">
        <v>37</v>
      </c>
      <c r="D105" s="49">
        <v>10</v>
      </c>
      <c r="E105" s="49">
        <v>6</v>
      </c>
      <c r="F105" s="49">
        <v>6</v>
      </c>
      <c r="G105" s="49">
        <v>0</v>
      </c>
      <c r="H105" s="49">
        <v>0</v>
      </c>
      <c r="I105" s="49">
        <v>2</v>
      </c>
      <c r="J105" s="49">
        <v>0</v>
      </c>
      <c r="K105" s="49">
        <v>1</v>
      </c>
      <c r="L105" s="49">
        <v>0</v>
      </c>
      <c r="M105" s="49">
        <v>163</v>
      </c>
      <c r="N105" s="49">
        <v>0</v>
      </c>
      <c r="O105" s="15">
        <f t="shared" si="35"/>
        <v>62</v>
      </c>
      <c r="P105" s="15">
        <f t="shared" si="36"/>
        <v>225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7108</v>
      </c>
      <c r="D106" s="16">
        <f t="shared" ref="D106:P106" si="37">SUM(D10:D105)</f>
        <v>1685</v>
      </c>
      <c r="E106" s="16">
        <f t="shared" si="37"/>
        <v>780</v>
      </c>
      <c r="F106" s="16">
        <f t="shared" si="37"/>
        <v>687</v>
      </c>
      <c r="G106" s="16">
        <f t="shared" si="37"/>
        <v>41</v>
      </c>
      <c r="H106" s="16">
        <f t="shared" si="37"/>
        <v>7</v>
      </c>
      <c r="I106" s="16">
        <f t="shared" si="37"/>
        <v>358</v>
      </c>
      <c r="J106" s="16">
        <f t="shared" si="37"/>
        <v>192</v>
      </c>
      <c r="K106" s="16">
        <f t="shared" si="37"/>
        <v>47</v>
      </c>
      <c r="L106" s="16">
        <f t="shared" si="37"/>
        <v>178</v>
      </c>
      <c r="M106" s="16">
        <f t="shared" si="37"/>
        <v>15536</v>
      </c>
      <c r="N106" s="16">
        <f t="shared" si="37"/>
        <v>7</v>
      </c>
      <c r="O106" s="16">
        <f t="shared" si="37"/>
        <v>11090</v>
      </c>
      <c r="P106" s="16">
        <f t="shared" si="37"/>
        <v>26626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0.26695710959212798</v>
      </c>
      <c r="D107" s="42">
        <f t="shared" si="38"/>
        <v>6.3284008112371365E-2</v>
      </c>
      <c r="E107" s="42">
        <f t="shared" si="38"/>
        <v>2.9294674378427102E-2</v>
      </c>
      <c r="F107" s="42">
        <f t="shared" si="38"/>
        <v>2.580184781792233E-2</v>
      </c>
      <c r="G107" s="42">
        <f t="shared" si="38"/>
        <v>1.5398482686096297E-3</v>
      </c>
      <c r="H107" s="42">
        <f t="shared" si="38"/>
        <v>2.6290092390896116E-4</v>
      </c>
      <c r="I107" s="42">
        <f t="shared" si="38"/>
        <v>1.3445504394201157E-2</v>
      </c>
      <c r="J107" s="42">
        <f t="shared" si="38"/>
        <v>7.2109967700743636E-3</v>
      </c>
      <c r="K107" s="42">
        <f t="shared" si="38"/>
        <v>1.7651919176744535E-3</v>
      </c>
      <c r="L107" s="42">
        <f t="shared" si="38"/>
        <v>6.6851949222564407E-3</v>
      </c>
      <c r="M107" s="42">
        <f t="shared" si="38"/>
        <v>0.58348982197851729</v>
      </c>
      <c r="N107" s="42">
        <f t="shared" si="38"/>
        <v>2.6290092390896116E-4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0.64093778178539229</v>
      </c>
      <c r="D108" s="43">
        <f t="shared" ref="D108:N108" si="39">D106/$O$106</f>
        <v>0.15193868349864742</v>
      </c>
      <c r="E108" s="43">
        <f t="shared" si="39"/>
        <v>7.0333633904418394E-2</v>
      </c>
      <c r="F108" s="43">
        <f t="shared" si="39"/>
        <v>6.1947700631199282E-2</v>
      </c>
      <c r="G108" s="43">
        <f t="shared" si="39"/>
        <v>3.6970243462578901E-3</v>
      </c>
      <c r="H108" s="43">
        <f t="shared" si="39"/>
        <v>6.3119927862939585E-4</v>
      </c>
      <c r="I108" s="43">
        <f t="shared" si="39"/>
        <v>3.2281334535617677E-2</v>
      </c>
      <c r="J108" s="43">
        <f t="shared" si="39"/>
        <v>1.7312894499549144E-2</v>
      </c>
      <c r="K108" s="43">
        <f t="shared" si="39"/>
        <v>4.2380522993688005E-3</v>
      </c>
      <c r="L108" s="43">
        <f t="shared" si="39"/>
        <v>1.6050495942290351E-2</v>
      </c>
      <c r="M108" s="43"/>
      <c r="N108" s="43">
        <f t="shared" si="39"/>
        <v>6.3119927862939585E-4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74"/>
  <sheetViews>
    <sheetView view="pageBreakPreview" topLeftCell="A40" zoomScale="60" workbookViewId="0">
      <selection activeCell="E105" sqref="E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e">
        <f>#REF!</f>
        <v>#REF!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162</v>
      </c>
      <c r="E5" s="3"/>
      <c r="F5" s="40" t="s">
        <v>1</v>
      </c>
      <c r="G5" s="58" t="str">
        <f>'01.08. Mukwano RBT-Jinja RD 24h'!G5:H5</f>
        <v>Access Road (49f)</v>
      </c>
      <c r="H5" s="59"/>
      <c r="I5" s="14"/>
      <c r="J5" s="2" t="s">
        <v>5</v>
      </c>
      <c r="K5" s="58" t="str">
        <f>'01.08. Mukwano RBT-Jinja RD 24h'!K5:L5</f>
        <v>Emmanuel Egimu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e">
        <f>#REF!</f>
        <v>#REF!</v>
      </c>
      <c r="E6" s="59"/>
      <c r="F6" s="2" t="s">
        <v>2</v>
      </c>
      <c r="G6" s="58" t="e">
        <f>#REF!</f>
        <v>#REF!</v>
      </c>
      <c r="H6" s="59"/>
      <c r="J6" s="2" t="s">
        <v>21</v>
      </c>
      <c r="K6" s="58" t="str">
        <f>'01.08. Mukwano RBT-Jinja RD 24h'!K6:L6</f>
        <v>Felix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80</v>
      </c>
      <c r="D10" s="49">
        <v>13</v>
      </c>
      <c r="E10" s="49">
        <v>0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100</v>
      </c>
      <c r="N10" s="49">
        <v>0</v>
      </c>
      <c r="O10" s="15">
        <f t="shared" ref="O10:O73" si="0">SUM(C10:L10,N10)</f>
        <v>93</v>
      </c>
      <c r="P10" s="15">
        <f t="shared" ref="P10:P73" si="1">SUM(C10:N10)</f>
        <v>193</v>
      </c>
      <c r="R10" s="1" t="s">
        <v>6</v>
      </c>
      <c r="S10" s="17">
        <f t="shared" ref="S10:AF10" si="2">SUM(C10:C13)</f>
        <v>209</v>
      </c>
      <c r="T10" s="17">
        <f t="shared" si="2"/>
        <v>29</v>
      </c>
      <c r="U10" s="17">
        <f t="shared" si="2"/>
        <v>23</v>
      </c>
      <c r="V10" s="17">
        <f t="shared" si="2"/>
        <v>5</v>
      </c>
      <c r="W10" s="17">
        <f t="shared" si="2"/>
        <v>2</v>
      </c>
      <c r="X10" s="17">
        <f t="shared" si="2"/>
        <v>1</v>
      </c>
      <c r="Y10" s="17">
        <f t="shared" si="2"/>
        <v>15</v>
      </c>
      <c r="Z10" s="17">
        <f t="shared" si="2"/>
        <v>12</v>
      </c>
      <c r="AA10" s="17">
        <f t="shared" si="2"/>
        <v>6</v>
      </c>
      <c r="AB10" s="17">
        <f t="shared" si="2"/>
        <v>3</v>
      </c>
      <c r="AC10" s="17">
        <f t="shared" si="2"/>
        <v>966</v>
      </c>
      <c r="AD10" s="17">
        <f t="shared" si="2"/>
        <v>0</v>
      </c>
      <c r="AE10" s="30">
        <f t="shared" si="2"/>
        <v>305</v>
      </c>
      <c r="AF10" s="30">
        <f t="shared" si="2"/>
        <v>1271</v>
      </c>
    </row>
    <row r="11" spans="2:32" s="6" customFormat="1" ht="23.1" customHeight="1" x14ac:dyDescent="0.25">
      <c r="B11" s="44" t="s">
        <v>38</v>
      </c>
      <c r="C11" s="49">
        <v>29</v>
      </c>
      <c r="D11" s="49">
        <v>3</v>
      </c>
      <c r="E11" s="49">
        <v>5</v>
      </c>
      <c r="F11" s="49">
        <v>3</v>
      </c>
      <c r="G11" s="49">
        <v>0</v>
      </c>
      <c r="H11" s="49">
        <v>0</v>
      </c>
      <c r="I11" s="49">
        <v>3</v>
      </c>
      <c r="J11" s="49">
        <v>0</v>
      </c>
      <c r="K11" s="49">
        <v>1</v>
      </c>
      <c r="L11" s="49">
        <v>2</v>
      </c>
      <c r="M11" s="49">
        <v>76</v>
      </c>
      <c r="N11" s="49">
        <v>0</v>
      </c>
      <c r="O11" s="15">
        <f t="shared" si="0"/>
        <v>46</v>
      </c>
      <c r="P11" s="15">
        <f t="shared" si="1"/>
        <v>122</v>
      </c>
      <c r="R11" s="1" t="s">
        <v>7</v>
      </c>
      <c r="S11" s="17">
        <f t="shared" ref="S11:AF11" si="3">SUM(C14:C17)</f>
        <v>180</v>
      </c>
      <c r="T11" s="17">
        <f t="shared" si="3"/>
        <v>40</v>
      </c>
      <c r="U11" s="17">
        <f t="shared" si="3"/>
        <v>28</v>
      </c>
      <c r="V11" s="17">
        <f t="shared" si="3"/>
        <v>15</v>
      </c>
      <c r="W11" s="17">
        <f t="shared" si="3"/>
        <v>2</v>
      </c>
      <c r="X11" s="17">
        <f t="shared" si="3"/>
        <v>1</v>
      </c>
      <c r="Y11" s="17">
        <f t="shared" si="3"/>
        <v>24</v>
      </c>
      <c r="Z11" s="17">
        <f t="shared" si="3"/>
        <v>22</v>
      </c>
      <c r="AA11" s="17">
        <f t="shared" si="3"/>
        <v>8</v>
      </c>
      <c r="AB11" s="17">
        <f t="shared" si="3"/>
        <v>5</v>
      </c>
      <c r="AC11" s="17">
        <f t="shared" si="3"/>
        <v>1300</v>
      </c>
      <c r="AD11" s="17">
        <f t="shared" si="3"/>
        <v>0</v>
      </c>
      <c r="AE11" s="30">
        <f t="shared" si="3"/>
        <v>325</v>
      </c>
      <c r="AF11" s="30">
        <f t="shared" si="3"/>
        <v>1625</v>
      </c>
    </row>
    <row r="12" spans="2:32" ht="23.1" customHeight="1" x14ac:dyDescent="0.25">
      <c r="B12" s="44" t="s">
        <v>39</v>
      </c>
      <c r="C12" s="49">
        <v>40</v>
      </c>
      <c r="D12" s="49">
        <v>4</v>
      </c>
      <c r="E12" s="49">
        <v>8</v>
      </c>
      <c r="F12" s="49">
        <v>1</v>
      </c>
      <c r="G12" s="49">
        <v>1</v>
      </c>
      <c r="H12" s="49">
        <v>0</v>
      </c>
      <c r="I12" s="49">
        <v>7</v>
      </c>
      <c r="J12" s="49">
        <v>6</v>
      </c>
      <c r="K12" s="49">
        <v>2</v>
      </c>
      <c r="L12" s="49">
        <v>0</v>
      </c>
      <c r="M12" s="49">
        <v>370</v>
      </c>
      <c r="N12" s="49">
        <v>0</v>
      </c>
      <c r="O12" s="15">
        <f t="shared" si="0"/>
        <v>69</v>
      </c>
      <c r="P12" s="15">
        <f t="shared" si="1"/>
        <v>439</v>
      </c>
      <c r="R12" s="1" t="s">
        <v>8</v>
      </c>
      <c r="S12" s="17">
        <f t="shared" ref="S12:AF12" si="4">SUM(C18:C21)</f>
        <v>257</v>
      </c>
      <c r="T12" s="17">
        <f t="shared" si="4"/>
        <v>61</v>
      </c>
      <c r="U12" s="17">
        <f t="shared" si="4"/>
        <v>35</v>
      </c>
      <c r="V12" s="17">
        <f t="shared" si="4"/>
        <v>7</v>
      </c>
      <c r="W12" s="17">
        <f t="shared" si="4"/>
        <v>0</v>
      </c>
      <c r="X12" s="17">
        <f t="shared" si="4"/>
        <v>0</v>
      </c>
      <c r="Y12" s="17">
        <f t="shared" si="4"/>
        <v>26</v>
      </c>
      <c r="Z12" s="17">
        <f t="shared" si="4"/>
        <v>22</v>
      </c>
      <c r="AA12" s="17">
        <f t="shared" si="4"/>
        <v>10</v>
      </c>
      <c r="AB12" s="17">
        <f t="shared" si="4"/>
        <v>5</v>
      </c>
      <c r="AC12" s="17">
        <f t="shared" si="4"/>
        <v>1826</v>
      </c>
      <c r="AD12" s="17">
        <f t="shared" si="4"/>
        <v>2</v>
      </c>
      <c r="AE12" s="30">
        <f t="shared" si="4"/>
        <v>425</v>
      </c>
      <c r="AF12" s="30">
        <f t="shared" si="4"/>
        <v>2251</v>
      </c>
    </row>
    <row r="13" spans="2:32" ht="23.1" customHeight="1" x14ac:dyDescent="0.25">
      <c r="B13" s="44" t="s">
        <v>40</v>
      </c>
      <c r="C13" s="49">
        <v>60</v>
      </c>
      <c r="D13" s="49">
        <v>9</v>
      </c>
      <c r="E13" s="49">
        <v>10</v>
      </c>
      <c r="F13" s="49">
        <v>1</v>
      </c>
      <c r="G13" s="49">
        <v>1</v>
      </c>
      <c r="H13" s="49">
        <v>1</v>
      </c>
      <c r="I13" s="49">
        <v>5</v>
      </c>
      <c r="J13" s="49">
        <v>6</v>
      </c>
      <c r="K13" s="49">
        <v>3</v>
      </c>
      <c r="L13" s="49">
        <v>1</v>
      </c>
      <c r="M13" s="49">
        <v>420</v>
      </c>
      <c r="N13" s="49">
        <v>0</v>
      </c>
      <c r="O13" s="15">
        <f t="shared" si="0"/>
        <v>97</v>
      </c>
      <c r="P13" s="15">
        <f t="shared" si="1"/>
        <v>517</v>
      </c>
      <c r="R13" s="1" t="s">
        <v>9</v>
      </c>
      <c r="S13" s="17">
        <f t="shared" ref="S13:AF13" si="5">SUM(C22:C25)</f>
        <v>285</v>
      </c>
      <c r="T13" s="17">
        <f t="shared" si="5"/>
        <v>66</v>
      </c>
      <c r="U13" s="17">
        <f t="shared" si="5"/>
        <v>55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45</v>
      </c>
      <c r="Z13" s="17">
        <f t="shared" si="5"/>
        <v>24</v>
      </c>
      <c r="AA13" s="17">
        <f t="shared" si="5"/>
        <v>16</v>
      </c>
      <c r="AB13" s="17">
        <f t="shared" si="5"/>
        <v>14</v>
      </c>
      <c r="AC13" s="17">
        <f t="shared" si="5"/>
        <v>1983</v>
      </c>
      <c r="AD13" s="17">
        <f t="shared" si="5"/>
        <v>1</v>
      </c>
      <c r="AE13" s="30">
        <f t="shared" si="5"/>
        <v>514</v>
      </c>
      <c r="AF13" s="30">
        <f t="shared" si="5"/>
        <v>2497</v>
      </c>
    </row>
    <row r="14" spans="2:32" ht="23.1" customHeight="1" x14ac:dyDescent="0.25">
      <c r="B14" s="44" t="s">
        <v>41</v>
      </c>
      <c r="C14" s="49">
        <v>47</v>
      </c>
      <c r="D14" s="49">
        <v>5</v>
      </c>
      <c r="E14" s="49">
        <v>13</v>
      </c>
      <c r="F14" s="49">
        <v>4</v>
      </c>
      <c r="G14" s="49">
        <v>0</v>
      </c>
      <c r="H14" s="49">
        <v>0</v>
      </c>
      <c r="I14" s="49">
        <v>5</v>
      </c>
      <c r="J14" s="49">
        <v>1</v>
      </c>
      <c r="K14" s="49">
        <v>2</v>
      </c>
      <c r="L14" s="49">
        <v>0</v>
      </c>
      <c r="M14" s="49">
        <v>120</v>
      </c>
      <c r="N14" s="49">
        <v>0</v>
      </c>
      <c r="O14" s="15">
        <f t="shared" si="0"/>
        <v>77</v>
      </c>
      <c r="P14" s="15">
        <f t="shared" si="1"/>
        <v>197</v>
      </c>
      <c r="R14" s="1" t="s">
        <v>10</v>
      </c>
      <c r="S14" s="17">
        <f t="shared" ref="S14:AF14" si="6">SUM(C26:C29)</f>
        <v>283</v>
      </c>
      <c r="T14" s="17">
        <f t="shared" si="6"/>
        <v>66</v>
      </c>
      <c r="U14" s="17">
        <f t="shared" si="6"/>
        <v>50</v>
      </c>
      <c r="V14" s="17">
        <f t="shared" si="6"/>
        <v>8</v>
      </c>
      <c r="W14" s="17">
        <f t="shared" si="6"/>
        <v>8</v>
      </c>
      <c r="X14" s="17">
        <f t="shared" si="6"/>
        <v>0</v>
      </c>
      <c r="Y14" s="17">
        <f t="shared" si="6"/>
        <v>29</v>
      </c>
      <c r="Z14" s="17">
        <f t="shared" si="6"/>
        <v>13</v>
      </c>
      <c r="AA14" s="17">
        <f t="shared" si="6"/>
        <v>11</v>
      </c>
      <c r="AB14" s="17">
        <f t="shared" si="6"/>
        <v>10</v>
      </c>
      <c r="AC14" s="17">
        <f t="shared" si="6"/>
        <v>2174</v>
      </c>
      <c r="AD14" s="17">
        <f t="shared" si="6"/>
        <v>4</v>
      </c>
      <c r="AE14" s="30">
        <f t="shared" si="6"/>
        <v>482</v>
      </c>
      <c r="AF14" s="30">
        <f t="shared" si="6"/>
        <v>2656</v>
      </c>
    </row>
    <row r="15" spans="2:32" ht="23.1" customHeight="1" x14ac:dyDescent="0.25">
      <c r="B15" s="44" t="s">
        <v>42</v>
      </c>
      <c r="C15" s="49">
        <v>56</v>
      </c>
      <c r="D15" s="49">
        <v>10</v>
      </c>
      <c r="E15" s="49">
        <v>9</v>
      </c>
      <c r="F15" s="49">
        <v>6</v>
      </c>
      <c r="G15" s="49">
        <v>1</v>
      </c>
      <c r="H15" s="49">
        <v>0</v>
      </c>
      <c r="I15" s="49">
        <v>5</v>
      </c>
      <c r="J15" s="49">
        <v>10</v>
      </c>
      <c r="K15" s="49">
        <v>1</v>
      </c>
      <c r="L15" s="49">
        <v>0</v>
      </c>
      <c r="M15" s="49">
        <v>320</v>
      </c>
      <c r="N15" s="49">
        <v>0</v>
      </c>
      <c r="O15" s="15">
        <f t="shared" si="0"/>
        <v>98</v>
      </c>
      <c r="P15" s="15">
        <f t="shared" si="1"/>
        <v>418</v>
      </c>
      <c r="R15" s="1" t="s">
        <v>11</v>
      </c>
      <c r="S15" s="17">
        <f t="shared" ref="S15:AF15" si="7">SUM(C30:C33)</f>
        <v>260</v>
      </c>
      <c r="T15" s="17">
        <f t="shared" si="7"/>
        <v>80</v>
      </c>
      <c r="U15" s="17">
        <f t="shared" si="7"/>
        <v>45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48</v>
      </c>
      <c r="Z15" s="17">
        <f t="shared" si="7"/>
        <v>12</v>
      </c>
      <c r="AA15" s="17">
        <f t="shared" si="7"/>
        <v>5</v>
      </c>
      <c r="AB15" s="17">
        <f t="shared" si="7"/>
        <v>4</v>
      </c>
      <c r="AC15" s="17">
        <f t="shared" si="7"/>
        <v>2040</v>
      </c>
      <c r="AD15" s="17">
        <f t="shared" si="7"/>
        <v>0</v>
      </c>
      <c r="AE15" s="30">
        <f t="shared" si="7"/>
        <v>460</v>
      </c>
      <c r="AF15" s="30">
        <f t="shared" si="7"/>
        <v>2500</v>
      </c>
    </row>
    <row r="16" spans="2:32" ht="23.1" customHeight="1" x14ac:dyDescent="0.25">
      <c r="B16" s="44" t="s">
        <v>43</v>
      </c>
      <c r="C16" s="49">
        <v>30</v>
      </c>
      <c r="D16" s="49">
        <v>15</v>
      </c>
      <c r="E16" s="49">
        <v>2</v>
      </c>
      <c r="F16" s="49">
        <v>3</v>
      </c>
      <c r="G16" s="49">
        <v>1</v>
      </c>
      <c r="H16" s="49">
        <v>1</v>
      </c>
      <c r="I16" s="49">
        <v>11</v>
      </c>
      <c r="J16" s="49">
        <v>7</v>
      </c>
      <c r="K16" s="49">
        <v>4</v>
      </c>
      <c r="L16" s="49">
        <v>4</v>
      </c>
      <c r="M16" s="49">
        <v>335</v>
      </c>
      <c r="N16" s="49">
        <v>0</v>
      </c>
      <c r="O16" s="15">
        <f t="shared" si="0"/>
        <v>78</v>
      </c>
      <c r="P16" s="15">
        <f t="shared" si="1"/>
        <v>413</v>
      </c>
      <c r="R16" s="1" t="s">
        <v>12</v>
      </c>
      <c r="S16" s="17">
        <f t="shared" ref="S16:AF16" si="8">SUM(C34:C37)</f>
        <v>426</v>
      </c>
      <c r="T16" s="17">
        <f t="shared" si="8"/>
        <v>123</v>
      </c>
      <c r="U16" s="17">
        <f t="shared" si="8"/>
        <v>32</v>
      </c>
      <c r="V16" s="17">
        <f t="shared" si="8"/>
        <v>12</v>
      </c>
      <c r="W16" s="17">
        <f t="shared" si="8"/>
        <v>5</v>
      </c>
      <c r="X16" s="17">
        <f t="shared" si="8"/>
        <v>0</v>
      </c>
      <c r="Y16" s="17">
        <f t="shared" si="8"/>
        <v>47</v>
      </c>
      <c r="Z16" s="17">
        <f t="shared" si="8"/>
        <v>28</v>
      </c>
      <c r="AA16" s="17">
        <f t="shared" si="8"/>
        <v>19</v>
      </c>
      <c r="AB16" s="17">
        <f t="shared" si="8"/>
        <v>12</v>
      </c>
      <c r="AC16" s="17">
        <f t="shared" si="8"/>
        <v>2650</v>
      </c>
      <c r="AD16" s="17">
        <f t="shared" si="8"/>
        <v>0</v>
      </c>
      <c r="AE16" s="30">
        <f t="shared" si="8"/>
        <v>704</v>
      </c>
      <c r="AF16" s="30">
        <f t="shared" si="8"/>
        <v>3354</v>
      </c>
    </row>
    <row r="17" spans="2:32" ht="23.1" customHeight="1" x14ac:dyDescent="0.25">
      <c r="B17" s="44" t="s">
        <v>44</v>
      </c>
      <c r="C17" s="49">
        <v>47</v>
      </c>
      <c r="D17" s="49">
        <v>10</v>
      </c>
      <c r="E17" s="49">
        <v>4</v>
      </c>
      <c r="F17" s="49">
        <v>2</v>
      </c>
      <c r="G17" s="49">
        <v>0</v>
      </c>
      <c r="H17" s="49">
        <v>0</v>
      </c>
      <c r="I17" s="49">
        <v>3</v>
      </c>
      <c r="J17" s="49">
        <v>4</v>
      </c>
      <c r="K17" s="49">
        <v>1</v>
      </c>
      <c r="L17" s="49">
        <v>1</v>
      </c>
      <c r="M17" s="49">
        <v>525</v>
      </c>
      <c r="N17" s="49">
        <v>0</v>
      </c>
      <c r="O17" s="15">
        <f t="shared" si="0"/>
        <v>72</v>
      </c>
      <c r="P17" s="15">
        <f t="shared" si="1"/>
        <v>597</v>
      </c>
      <c r="R17" s="1" t="s">
        <v>13</v>
      </c>
      <c r="S17" s="17">
        <f t="shared" ref="S17:AF17" si="9">SUM(C38:C41)</f>
        <v>566</v>
      </c>
      <c r="T17" s="17">
        <f t="shared" si="9"/>
        <v>122</v>
      </c>
      <c r="U17" s="17">
        <f t="shared" si="9"/>
        <v>59</v>
      </c>
      <c r="V17" s="17">
        <f t="shared" si="9"/>
        <v>15</v>
      </c>
      <c r="W17" s="17">
        <f t="shared" si="9"/>
        <v>2</v>
      </c>
      <c r="X17" s="17">
        <f t="shared" si="9"/>
        <v>0</v>
      </c>
      <c r="Y17" s="17">
        <f t="shared" si="9"/>
        <v>31</v>
      </c>
      <c r="Z17" s="17">
        <f t="shared" si="9"/>
        <v>18</v>
      </c>
      <c r="AA17" s="17">
        <f t="shared" si="9"/>
        <v>11</v>
      </c>
      <c r="AB17" s="17">
        <f t="shared" si="9"/>
        <v>9</v>
      </c>
      <c r="AC17" s="17">
        <f t="shared" si="9"/>
        <v>2840</v>
      </c>
      <c r="AD17" s="17">
        <f t="shared" si="9"/>
        <v>0</v>
      </c>
      <c r="AE17" s="30">
        <f t="shared" si="9"/>
        <v>833</v>
      </c>
      <c r="AF17" s="30">
        <f t="shared" si="9"/>
        <v>3673</v>
      </c>
    </row>
    <row r="18" spans="2:32" ht="23.1" customHeight="1" x14ac:dyDescent="0.25">
      <c r="B18" s="44" t="s">
        <v>45</v>
      </c>
      <c r="C18" s="49">
        <v>51</v>
      </c>
      <c r="D18" s="49">
        <v>15</v>
      </c>
      <c r="E18" s="49">
        <v>7</v>
      </c>
      <c r="F18" s="49">
        <v>3</v>
      </c>
      <c r="G18" s="49">
        <v>0</v>
      </c>
      <c r="H18" s="49">
        <v>0</v>
      </c>
      <c r="I18" s="49">
        <v>8</v>
      </c>
      <c r="J18" s="49">
        <v>6</v>
      </c>
      <c r="K18" s="49">
        <v>1</v>
      </c>
      <c r="L18" s="49">
        <v>2</v>
      </c>
      <c r="M18" s="49">
        <v>485</v>
      </c>
      <c r="N18" s="49">
        <v>0</v>
      </c>
      <c r="O18" s="15">
        <f t="shared" si="0"/>
        <v>93</v>
      </c>
      <c r="P18" s="15">
        <f t="shared" si="1"/>
        <v>578</v>
      </c>
      <c r="R18" s="1" t="s">
        <v>14</v>
      </c>
      <c r="S18" s="17">
        <f t="shared" ref="S18:AF18" si="10">SUM(C42:C45)</f>
        <v>587</v>
      </c>
      <c r="T18" s="17">
        <f t="shared" si="10"/>
        <v>88</v>
      </c>
      <c r="U18" s="17">
        <f t="shared" si="10"/>
        <v>62</v>
      </c>
      <c r="V18" s="17">
        <f t="shared" si="10"/>
        <v>6</v>
      </c>
      <c r="W18" s="17">
        <f t="shared" si="10"/>
        <v>0</v>
      </c>
      <c r="X18" s="17">
        <f t="shared" si="10"/>
        <v>1</v>
      </c>
      <c r="Y18" s="17">
        <f t="shared" si="10"/>
        <v>69</v>
      </c>
      <c r="Z18" s="17">
        <f t="shared" si="10"/>
        <v>23</v>
      </c>
      <c r="AA18" s="17">
        <f t="shared" si="10"/>
        <v>10</v>
      </c>
      <c r="AB18" s="17">
        <f t="shared" si="10"/>
        <v>4</v>
      </c>
      <c r="AC18" s="17">
        <f t="shared" si="10"/>
        <v>2905</v>
      </c>
      <c r="AD18" s="17">
        <f t="shared" si="10"/>
        <v>1</v>
      </c>
      <c r="AE18" s="30">
        <f t="shared" si="10"/>
        <v>851</v>
      </c>
      <c r="AF18" s="30">
        <f t="shared" si="10"/>
        <v>3756</v>
      </c>
    </row>
    <row r="19" spans="2:32" ht="23.1" customHeight="1" x14ac:dyDescent="0.25">
      <c r="B19" s="44" t="s">
        <v>46</v>
      </c>
      <c r="C19" s="49">
        <v>80</v>
      </c>
      <c r="D19" s="49">
        <v>11</v>
      </c>
      <c r="E19" s="49">
        <v>10</v>
      </c>
      <c r="F19" s="49">
        <v>1</v>
      </c>
      <c r="G19" s="49">
        <v>0</v>
      </c>
      <c r="H19" s="49">
        <v>0</v>
      </c>
      <c r="I19" s="49">
        <v>10</v>
      </c>
      <c r="J19" s="49">
        <v>7</v>
      </c>
      <c r="K19" s="49">
        <v>2</v>
      </c>
      <c r="L19" s="49">
        <v>2</v>
      </c>
      <c r="M19" s="49">
        <v>395</v>
      </c>
      <c r="N19" s="49">
        <v>2</v>
      </c>
      <c r="O19" s="15">
        <f t="shared" si="0"/>
        <v>125</v>
      </c>
      <c r="P19" s="15">
        <f t="shared" si="1"/>
        <v>520</v>
      </c>
      <c r="R19" s="1" t="s">
        <v>15</v>
      </c>
      <c r="S19" s="17">
        <f t="shared" ref="S19:AF19" si="11">SUM(C46:C49)</f>
        <v>567</v>
      </c>
      <c r="T19" s="17">
        <f t="shared" si="11"/>
        <v>130</v>
      </c>
      <c r="U19" s="17">
        <f t="shared" si="11"/>
        <v>54</v>
      </c>
      <c r="V19" s="17">
        <f t="shared" si="11"/>
        <v>5</v>
      </c>
      <c r="W19" s="17">
        <f t="shared" si="11"/>
        <v>7</v>
      </c>
      <c r="X19" s="17">
        <f t="shared" si="11"/>
        <v>1</v>
      </c>
      <c r="Y19" s="17">
        <f t="shared" si="11"/>
        <v>64</v>
      </c>
      <c r="Z19" s="17">
        <f t="shared" si="11"/>
        <v>26</v>
      </c>
      <c r="AA19" s="17">
        <f t="shared" si="11"/>
        <v>13</v>
      </c>
      <c r="AB19" s="17">
        <f t="shared" si="11"/>
        <v>15</v>
      </c>
      <c r="AC19" s="17">
        <f t="shared" si="11"/>
        <v>1965</v>
      </c>
      <c r="AD19" s="17">
        <f t="shared" si="11"/>
        <v>0</v>
      </c>
      <c r="AE19" s="30">
        <f t="shared" si="11"/>
        <v>882</v>
      </c>
      <c r="AF19" s="30">
        <f t="shared" si="11"/>
        <v>2847</v>
      </c>
    </row>
    <row r="20" spans="2:32" ht="23.1" customHeight="1" x14ac:dyDescent="0.25">
      <c r="B20" s="44" t="s">
        <v>47</v>
      </c>
      <c r="C20" s="49">
        <v>49</v>
      </c>
      <c r="D20" s="49">
        <v>11</v>
      </c>
      <c r="E20" s="49">
        <v>7</v>
      </c>
      <c r="F20" s="49">
        <v>2</v>
      </c>
      <c r="G20" s="49">
        <v>0</v>
      </c>
      <c r="H20" s="49">
        <v>0</v>
      </c>
      <c r="I20" s="49">
        <v>1</v>
      </c>
      <c r="J20" s="49">
        <v>5</v>
      </c>
      <c r="K20" s="49">
        <v>4</v>
      </c>
      <c r="L20" s="49">
        <v>1</v>
      </c>
      <c r="M20" s="49">
        <v>400</v>
      </c>
      <c r="N20" s="49">
        <v>0</v>
      </c>
      <c r="O20" s="15">
        <f t="shared" si="0"/>
        <v>80</v>
      </c>
      <c r="P20" s="15">
        <f t="shared" si="1"/>
        <v>480</v>
      </c>
      <c r="R20" s="1" t="s">
        <v>16</v>
      </c>
      <c r="S20" s="17">
        <f t="shared" ref="S20:AF20" si="12">SUM(C50:C53)</f>
        <v>447</v>
      </c>
      <c r="T20" s="17">
        <f t="shared" si="12"/>
        <v>80</v>
      </c>
      <c r="U20" s="17">
        <f t="shared" si="12"/>
        <v>58</v>
      </c>
      <c r="V20" s="17">
        <f t="shared" si="12"/>
        <v>8</v>
      </c>
      <c r="W20" s="17">
        <f t="shared" si="12"/>
        <v>3</v>
      </c>
      <c r="X20" s="17">
        <f t="shared" si="12"/>
        <v>0</v>
      </c>
      <c r="Y20" s="17">
        <f t="shared" si="12"/>
        <v>53</v>
      </c>
      <c r="Z20" s="17">
        <f t="shared" si="12"/>
        <v>21</v>
      </c>
      <c r="AA20" s="17">
        <f t="shared" si="12"/>
        <v>14</v>
      </c>
      <c r="AB20" s="17">
        <f t="shared" si="12"/>
        <v>9</v>
      </c>
      <c r="AC20" s="17">
        <f t="shared" si="12"/>
        <v>1770</v>
      </c>
      <c r="AD20" s="17">
        <f t="shared" si="12"/>
        <v>0</v>
      </c>
      <c r="AE20" s="30">
        <f t="shared" si="12"/>
        <v>693</v>
      </c>
      <c r="AF20" s="30">
        <f t="shared" si="12"/>
        <v>2463</v>
      </c>
    </row>
    <row r="21" spans="2:32" ht="23.1" customHeight="1" x14ac:dyDescent="0.25">
      <c r="B21" s="44" t="s">
        <v>48</v>
      </c>
      <c r="C21" s="49">
        <v>77</v>
      </c>
      <c r="D21" s="49">
        <v>24</v>
      </c>
      <c r="E21" s="49">
        <v>11</v>
      </c>
      <c r="F21" s="49">
        <v>1</v>
      </c>
      <c r="G21" s="49">
        <v>0</v>
      </c>
      <c r="H21" s="49">
        <v>0</v>
      </c>
      <c r="I21" s="49">
        <v>7</v>
      </c>
      <c r="J21" s="49">
        <v>4</v>
      </c>
      <c r="K21" s="49">
        <v>3</v>
      </c>
      <c r="L21" s="49">
        <v>0</v>
      </c>
      <c r="M21" s="49">
        <v>546</v>
      </c>
      <c r="N21" s="49">
        <v>0</v>
      </c>
      <c r="O21" s="15">
        <f t="shared" si="0"/>
        <v>127</v>
      </c>
      <c r="P21" s="15">
        <f t="shared" si="1"/>
        <v>673</v>
      </c>
      <c r="R21" s="35" t="s">
        <v>20</v>
      </c>
      <c r="S21" s="33">
        <f t="shared" ref="S21:AF21" si="13">SUM(C54:C57)</f>
        <v>337</v>
      </c>
      <c r="T21" s="17">
        <f t="shared" si="13"/>
        <v>59</v>
      </c>
      <c r="U21" s="17">
        <f t="shared" si="13"/>
        <v>32</v>
      </c>
      <c r="V21" s="17">
        <f t="shared" si="13"/>
        <v>7</v>
      </c>
      <c r="W21" s="17">
        <f t="shared" si="13"/>
        <v>6</v>
      </c>
      <c r="X21" s="17">
        <f t="shared" si="13"/>
        <v>3</v>
      </c>
      <c r="Y21" s="17">
        <f t="shared" si="13"/>
        <v>44</v>
      </c>
      <c r="Z21" s="17">
        <f t="shared" si="13"/>
        <v>16</v>
      </c>
      <c r="AA21" s="17">
        <f t="shared" si="13"/>
        <v>4</v>
      </c>
      <c r="AB21" s="17">
        <f t="shared" si="13"/>
        <v>2</v>
      </c>
      <c r="AC21" s="17">
        <f t="shared" si="13"/>
        <v>1592</v>
      </c>
      <c r="AD21" s="17">
        <f t="shared" si="13"/>
        <v>0</v>
      </c>
      <c r="AE21" s="30">
        <f t="shared" si="13"/>
        <v>510</v>
      </c>
      <c r="AF21" s="30">
        <f t="shared" si="13"/>
        <v>2102</v>
      </c>
    </row>
    <row r="22" spans="2:32" ht="23.1" customHeight="1" x14ac:dyDescent="0.25">
      <c r="B22" s="44" t="s">
        <v>49</v>
      </c>
      <c r="C22" s="49">
        <v>74</v>
      </c>
      <c r="D22" s="49">
        <v>19</v>
      </c>
      <c r="E22" s="49">
        <v>19</v>
      </c>
      <c r="F22" s="49">
        <v>2</v>
      </c>
      <c r="G22" s="49">
        <v>0</v>
      </c>
      <c r="H22" s="49">
        <v>0</v>
      </c>
      <c r="I22" s="49">
        <v>9</v>
      </c>
      <c r="J22" s="49">
        <v>3</v>
      </c>
      <c r="K22" s="49">
        <v>3</v>
      </c>
      <c r="L22" s="49">
        <v>2</v>
      </c>
      <c r="M22" s="49">
        <v>585</v>
      </c>
      <c r="N22" s="49">
        <v>0</v>
      </c>
      <c r="O22" s="15">
        <f t="shared" si="0"/>
        <v>131</v>
      </c>
      <c r="P22" s="15">
        <f t="shared" si="1"/>
        <v>716</v>
      </c>
      <c r="R22" s="35" t="s">
        <v>146</v>
      </c>
      <c r="S22" s="33">
        <f>SUM(C58:C61)</f>
        <v>715</v>
      </c>
      <c r="T22" s="33">
        <f t="shared" ref="T22:AF22" si="14">SUM(D58:D61)</f>
        <v>355</v>
      </c>
      <c r="U22" s="33">
        <f t="shared" si="14"/>
        <v>60</v>
      </c>
      <c r="V22" s="33">
        <f t="shared" si="14"/>
        <v>32</v>
      </c>
      <c r="W22" s="33">
        <f t="shared" si="14"/>
        <v>2</v>
      </c>
      <c r="X22" s="33">
        <f t="shared" si="14"/>
        <v>2</v>
      </c>
      <c r="Y22" s="33">
        <f t="shared" si="14"/>
        <v>15</v>
      </c>
      <c r="Z22" s="33">
        <f t="shared" si="14"/>
        <v>6</v>
      </c>
      <c r="AA22" s="33">
        <f t="shared" si="14"/>
        <v>2</v>
      </c>
      <c r="AB22" s="33">
        <f t="shared" si="14"/>
        <v>2</v>
      </c>
      <c r="AC22" s="33">
        <f t="shared" si="14"/>
        <v>1169</v>
      </c>
      <c r="AD22" s="33">
        <f t="shared" si="14"/>
        <v>0</v>
      </c>
      <c r="AE22" s="30">
        <f t="shared" si="14"/>
        <v>1191</v>
      </c>
      <c r="AF22" s="30">
        <f t="shared" si="14"/>
        <v>2360</v>
      </c>
    </row>
    <row r="23" spans="2:32" ht="23.1" customHeight="1" x14ac:dyDescent="0.25">
      <c r="B23" s="44" t="s">
        <v>50</v>
      </c>
      <c r="C23" s="49">
        <v>80</v>
      </c>
      <c r="D23" s="49">
        <v>16</v>
      </c>
      <c r="E23" s="49">
        <v>15</v>
      </c>
      <c r="F23" s="49">
        <v>1</v>
      </c>
      <c r="G23" s="49">
        <v>0</v>
      </c>
      <c r="H23" s="49">
        <v>0</v>
      </c>
      <c r="I23" s="49">
        <v>9</v>
      </c>
      <c r="J23" s="49">
        <v>9</v>
      </c>
      <c r="K23" s="49">
        <v>6</v>
      </c>
      <c r="L23" s="49">
        <v>2</v>
      </c>
      <c r="M23" s="49">
        <v>395</v>
      </c>
      <c r="N23" s="49">
        <v>0</v>
      </c>
      <c r="O23" s="15">
        <f t="shared" si="0"/>
        <v>138</v>
      </c>
      <c r="P23" s="15">
        <f t="shared" si="1"/>
        <v>533</v>
      </c>
      <c r="R23" s="35" t="s">
        <v>147</v>
      </c>
      <c r="S23" s="33">
        <f>SUM(C62:C65)</f>
        <v>800</v>
      </c>
      <c r="T23" s="33">
        <f t="shared" ref="T23:AF23" si="15">SUM(D62:D65)</f>
        <v>203</v>
      </c>
      <c r="U23" s="33">
        <f t="shared" si="15"/>
        <v>38</v>
      </c>
      <c r="V23" s="33">
        <f t="shared" si="15"/>
        <v>52</v>
      </c>
      <c r="W23" s="33">
        <f t="shared" si="15"/>
        <v>1</v>
      </c>
      <c r="X23" s="33">
        <f t="shared" si="15"/>
        <v>1</v>
      </c>
      <c r="Y23" s="33">
        <f t="shared" si="15"/>
        <v>15</v>
      </c>
      <c r="Z23" s="33">
        <f t="shared" si="15"/>
        <v>5</v>
      </c>
      <c r="AA23" s="33">
        <f t="shared" si="15"/>
        <v>4</v>
      </c>
      <c r="AB23" s="33">
        <f t="shared" si="15"/>
        <v>3</v>
      </c>
      <c r="AC23" s="33">
        <f t="shared" si="15"/>
        <v>1785</v>
      </c>
      <c r="AD23" s="33">
        <f t="shared" si="15"/>
        <v>0</v>
      </c>
      <c r="AE23" s="30">
        <f t="shared" si="15"/>
        <v>1122</v>
      </c>
      <c r="AF23" s="30">
        <f t="shared" si="15"/>
        <v>2907</v>
      </c>
    </row>
    <row r="24" spans="2:32" ht="23.1" customHeight="1" x14ac:dyDescent="0.25">
      <c r="B24" s="44" t="s">
        <v>51</v>
      </c>
      <c r="C24" s="49">
        <v>83</v>
      </c>
      <c r="D24" s="49">
        <v>15</v>
      </c>
      <c r="E24" s="49">
        <v>15</v>
      </c>
      <c r="F24" s="49">
        <v>3</v>
      </c>
      <c r="G24" s="49">
        <v>0</v>
      </c>
      <c r="H24" s="49">
        <v>0</v>
      </c>
      <c r="I24" s="49">
        <v>18</v>
      </c>
      <c r="J24" s="49">
        <v>7</v>
      </c>
      <c r="K24" s="49">
        <v>3</v>
      </c>
      <c r="L24" s="49">
        <v>5</v>
      </c>
      <c r="M24" s="49">
        <v>465</v>
      </c>
      <c r="N24" s="49">
        <v>0</v>
      </c>
      <c r="O24" s="15">
        <f t="shared" si="0"/>
        <v>149</v>
      </c>
      <c r="P24" s="15">
        <f t="shared" si="1"/>
        <v>614</v>
      </c>
      <c r="R24" s="35" t="s">
        <v>148</v>
      </c>
      <c r="S24" s="33">
        <f>SUM(C66:C69)</f>
        <v>675</v>
      </c>
      <c r="T24" s="33">
        <f t="shared" ref="T24:AF24" si="16">SUM(D66:D69)</f>
        <v>225</v>
      </c>
      <c r="U24" s="33">
        <f t="shared" si="16"/>
        <v>42</v>
      </c>
      <c r="V24" s="33">
        <f t="shared" si="16"/>
        <v>24</v>
      </c>
      <c r="W24" s="33">
        <f t="shared" si="16"/>
        <v>4</v>
      </c>
      <c r="X24" s="33">
        <f t="shared" si="16"/>
        <v>0</v>
      </c>
      <c r="Y24" s="33">
        <f t="shared" si="16"/>
        <v>24</v>
      </c>
      <c r="Z24" s="33">
        <f t="shared" si="16"/>
        <v>11</v>
      </c>
      <c r="AA24" s="33">
        <f t="shared" si="16"/>
        <v>1</v>
      </c>
      <c r="AB24" s="33">
        <f t="shared" si="16"/>
        <v>4</v>
      </c>
      <c r="AC24" s="33">
        <f t="shared" si="16"/>
        <v>2308</v>
      </c>
      <c r="AD24" s="33">
        <f t="shared" si="16"/>
        <v>0</v>
      </c>
      <c r="AE24" s="30">
        <f t="shared" si="16"/>
        <v>1010</v>
      </c>
      <c r="AF24" s="30">
        <f t="shared" si="16"/>
        <v>3318</v>
      </c>
    </row>
    <row r="25" spans="2:32" ht="23.1" customHeight="1" x14ac:dyDescent="0.25">
      <c r="B25" s="44" t="s">
        <v>52</v>
      </c>
      <c r="C25" s="49">
        <v>48</v>
      </c>
      <c r="D25" s="49">
        <v>16</v>
      </c>
      <c r="E25" s="49">
        <v>6</v>
      </c>
      <c r="F25" s="49">
        <v>2</v>
      </c>
      <c r="G25" s="49">
        <v>0</v>
      </c>
      <c r="H25" s="49">
        <v>0</v>
      </c>
      <c r="I25" s="49">
        <v>9</v>
      </c>
      <c r="J25" s="49">
        <v>5</v>
      </c>
      <c r="K25" s="49">
        <v>4</v>
      </c>
      <c r="L25" s="49">
        <v>5</v>
      </c>
      <c r="M25" s="49">
        <v>538</v>
      </c>
      <c r="N25" s="49">
        <v>1</v>
      </c>
      <c r="O25" s="15">
        <f t="shared" si="0"/>
        <v>96</v>
      </c>
      <c r="P25" s="15">
        <f t="shared" si="1"/>
        <v>634</v>
      </c>
      <c r="R25" s="35" t="s">
        <v>149</v>
      </c>
      <c r="S25" s="33">
        <f>SUM(C70:C73)</f>
        <v>583</v>
      </c>
      <c r="T25" s="33">
        <f t="shared" ref="T25:AF25" si="17">SUM(D70:D73)</f>
        <v>110</v>
      </c>
      <c r="U25" s="33">
        <f t="shared" si="17"/>
        <v>43</v>
      </c>
      <c r="V25" s="33">
        <f t="shared" si="17"/>
        <v>22</v>
      </c>
      <c r="W25" s="33">
        <f t="shared" si="17"/>
        <v>1</v>
      </c>
      <c r="X25" s="33">
        <f t="shared" si="17"/>
        <v>9</v>
      </c>
      <c r="Y25" s="33">
        <f t="shared" si="17"/>
        <v>20</v>
      </c>
      <c r="Z25" s="33">
        <f t="shared" si="17"/>
        <v>4</v>
      </c>
      <c r="AA25" s="33">
        <f t="shared" si="17"/>
        <v>4</v>
      </c>
      <c r="AB25" s="33">
        <f t="shared" si="17"/>
        <v>1</v>
      </c>
      <c r="AC25" s="33">
        <f t="shared" si="17"/>
        <v>1805</v>
      </c>
      <c r="AD25" s="33">
        <f t="shared" si="17"/>
        <v>0</v>
      </c>
      <c r="AE25" s="30">
        <f t="shared" si="17"/>
        <v>797</v>
      </c>
      <c r="AF25" s="30">
        <f t="shared" si="17"/>
        <v>2602</v>
      </c>
    </row>
    <row r="26" spans="2:32" ht="23.1" customHeight="1" x14ac:dyDescent="0.25">
      <c r="B26" s="44" t="s">
        <v>53</v>
      </c>
      <c r="C26" s="49">
        <v>60</v>
      </c>
      <c r="D26" s="49">
        <v>15</v>
      </c>
      <c r="E26" s="49">
        <v>16</v>
      </c>
      <c r="F26" s="49">
        <v>4</v>
      </c>
      <c r="G26" s="49">
        <v>7</v>
      </c>
      <c r="H26" s="49">
        <v>0</v>
      </c>
      <c r="I26" s="49">
        <v>6</v>
      </c>
      <c r="J26" s="49">
        <v>3</v>
      </c>
      <c r="K26" s="49">
        <v>3</v>
      </c>
      <c r="L26" s="49">
        <v>0</v>
      </c>
      <c r="M26" s="49">
        <v>599</v>
      </c>
      <c r="N26" s="49">
        <v>2</v>
      </c>
      <c r="O26" s="15">
        <f t="shared" si="0"/>
        <v>116</v>
      </c>
      <c r="P26" s="15">
        <f t="shared" si="1"/>
        <v>715</v>
      </c>
      <c r="R26" s="35" t="s">
        <v>150</v>
      </c>
      <c r="S26" s="33">
        <f>SUM(C74:C77)</f>
        <v>438</v>
      </c>
      <c r="T26" s="33">
        <f t="shared" ref="T26:AF26" si="18">SUM(D74:D77)</f>
        <v>55</v>
      </c>
      <c r="U26" s="33">
        <f t="shared" si="18"/>
        <v>22</v>
      </c>
      <c r="V26" s="33">
        <f t="shared" si="18"/>
        <v>16</v>
      </c>
      <c r="W26" s="33">
        <f t="shared" si="18"/>
        <v>0</v>
      </c>
      <c r="X26" s="33">
        <f t="shared" si="18"/>
        <v>1</v>
      </c>
      <c r="Y26" s="33">
        <f t="shared" si="18"/>
        <v>20</v>
      </c>
      <c r="Z26" s="33">
        <f t="shared" si="18"/>
        <v>2</v>
      </c>
      <c r="AA26" s="33">
        <f t="shared" si="18"/>
        <v>2</v>
      </c>
      <c r="AB26" s="33">
        <f t="shared" si="18"/>
        <v>3</v>
      </c>
      <c r="AC26" s="33">
        <f t="shared" si="18"/>
        <v>343</v>
      </c>
      <c r="AD26" s="33">
        <f t="shared" si="18"/>
        <v>0</v>
      </c>
      <c r="AE26" s="30">
        <f t="shared" si="18"/>
        <v>559</v>
      </c>
      <c r="AF26" s="30">
        <f t="shared" si="18"/>
        <v>902</v>
      </c>
    </row>
    <row r="27" spans="2:32" ht="23.1" customHeight="1" x14ac:dyDescent="0.25">
      <c r="B27" s="44" t="s">
        <v>54</v>
      </c>
      <c r="C27" s="49">
        <v>48</v>
      </c>
      <c r="D27" s="49">
        <v>10</v>
      </c>
      <c r="E27" s="49">
        <v>11</v>
      </c>
      <c r="F27" s="49">
        <v>2</v>
      </c>
      <c r="G27" s="49">
        <v>1</v>
      </c>
      <c r="H27" s="49">
        <v>0</v>
      </c>
      <c r="I27" s="49">
        <v>6</v>
      </c>
      <c r="J27" s="49">
        <v>5</v>
      </c>
      <c r="K27" s="49">
        <v>3</v>
      </c>
      <c r="L27" s="49">
        <v>6</v>
      </c>
      <c r="M27" s="49">
        <v>495</v>
      </c>
      <c r="N27" s="49">
        <v>0</v>
      </c>
      <c r="O27" s="15">
        <f t="shared" si="0"/>
        <v>92</v>
      </c>
      <c r="P27" s="15">
        <f t="shared" si="1"/>
        <v>587</v>
      </c>
      <c r="R27" s="35" t="s">
        <v>151</v>
      </c>
      <c r="S27" s="33">
        <f>SUM(C78:C81)</f>
        <v>144</v>
      </c>
      <c r="T27" s="33">
        <f t="shared" ref="T27:AF27" si="19">SUM(D78:D81)</f>
        <v>41</v>
      </c>
      <c r="U27" s="33">
        <f t="shared" si="19"/>
        <v>17</v>
      </c>
      <c r="V27" s="33">
        <f t="shared" si="19"/>
        <v>19</v>
      </c>
      <c r="W27" s="33">
        <f t="shared" si="19"/>
        <v>1</v>
      </c>
      <c r="X27" s="33">
        <f t="shared" si="19"/>
        <v>0</v>
      </c>
      <c r="Y27" s="33">
        <f t="shared" si="19"/>
        <v>11</v>
      </c>
      <c r="Z27" s="33">
        <f t="shared" si="19"/>
        <v>1</v>
      </c>
      <c r="AA27" s="33">
        <f t="shared" si="19"/>
        <v>2</v>
      </c>
      <c r="AB27" s="33">
        <f t="shared" si="19"/>
        <v>3</v>
      </c>
      <c r="AC27" s="33">
        <f t="shared" si="19"/>
        <v>128</v>
      </c>
      <c r="AD27" s="33">
        <f t="shared" si="19"/>
        <v>0</v>
      </c>
      <c r="AE27" s="30">
        <f t="shared" si="19"/>
        <v>239</v>
      </c>
      <c r="AF27" s="30">
        <f t="shared" si="19"/>
        <v>367</v>
      </c>
    </row>
    <row r="28" spans="2:32" ht="23.1" customHeight="1" x14ac:dyDescent="0.25">
      <c r="B28" s="44" t="s">
        <v>55</v>
      </c>
      <c r="C28" s="49">
        <v>95</v>
      </c>
      <c r="D28" s="49">
        <v>17</v>
      </c>
      <c r="E28" s="49">
        <v>10</v>
      </c>
      <c r="F28" s="49">
        <v>0</v>
      </c>
      <c r="G28" s="49">
        <v>0</v>
      </c>
      <c r="H28" s="49">
        <v>0</v>
      </c>
      <c r="I28" s="49">
        <v>6</v>
      </c>
      <c r="J28" s="49">
        <v>3</v>
      </c>
      <c r="K28" s="49">
        <v>3</v>
      </c>
      <c r="L28" s="49">
        <v>1</v>
      </c>
      <c r="M28" s="49">
        <v>575</v>
      </c>
      <c r="N28" s="49">
        <v>0</v>
      </c>
      <c r="O28" s="15">
        <f t="shared" si="0"/>
        <v>135</v>
      </c>
      <c r="P28" s="15">
        <f t="shared" si="1"/>
        <v>710</v>
      </c>
      <c r="R28" s="35" t="s">
        <v>152</v>
      </c>
      <c r="S28" s="33">
        <f>SUM(C82:C85)</f>
        <v>85</v>
      </c>
      <c r="T28" s="33">
        <f t="shared" ref="T28:AF28" si="20">SUM(D82:D85)</f>
        <v>32</v>
      </c>
      <c r="U28" s="33">
        <f t="shared" si="20"/>
        <v>7</v>
      </c>
      <c r="V28" s="33">
        <f t="shared" si="20"/>
        <v>2</v>
      </c>
      <c r="W28" s="33">
        <f t="shared" si="20"/>
        <v>1</v>
      </c>
      <c r="X28" s="33">
        <f t="shared" si="20"/>
        <v>0</v>
      </c>
      <c r="Y28" s="33">
        <f t="shared" si="20"/>
        <v>13</v>
      </c>
      <c r="Z28" s="33">
        <f t="shared" si="20"/>
        <v>1</v>
      </c>
      <c r="AA28" s="33">
        <f t="shared" si="20"/>
        <v>1</v>
      </c>
      <c r="AB28" s="33">
        <f t="shared" si="20"/>
        <v>2</v>
      </c>
      <c r="AC28" s="33">
        <f t="shared" si="20"/>
        <v>84</v>
      </c>
      <c r="AD28" s="33">
        <f t="shared" si="20"/>
        <v>0</v>
      </c>
      <c r="AE28" s="30">
        <f t="shared" si="20"/>
        <v>144</v>
      </c>
      <c r="AF28" s="30">
        <f t="shared" si="20"/>
        <v>228</v>
      </c>
    </row>
    <row r="29" spans="2:32" ht="23.1" customHeight="1" x14ac:dyDescent="0.25">
      <c r="B29" s="44" t="s">
        <v>56</v>
      </c>
      <c r="C29" s="49">
        <v>80</v>
      </c>
      <c r="D29" s="49">
        <v>24</v>
      </c>
      <c r="E29" s="49">
        <v>13</v>
      </c>
      <c r="F29" s="49">
        <v>2</v>
      </c>
      <c r="G29" s="49">
        <v>0</v>
      </c>
      <c r="H29" s="49">
        <v>0</v>
      </c>
      <c r="I29" s="49">
        <v>11</v>
      </c>
      <c r="J29" s="49">
        <v>2</v>
      </c>
      <c r="K29" s="49">
        <v>2</v>
      </c>
      <c r="L29" s="49">
        <v>3</v>
      </c>
      <c r="M29" s="49">
        <v>505</v>
      </c>
      <c r="N29" s="49">
        <v>2</v>
      </c>
      <c r="O29" s="15">
        <f t="shared" si="0"/>
        <v>139</v>
      </c>
      <c r="P29" s="15">
        <f t="shared" si="1"/>
        <v>644</v>
      </c>
      <c r="R29" s="35" t="s">
        <v>153</v>
      </c>
      <c r="S29" s="33">
        <f>SUM(C86:C89)</f>
        <v>49</v>
      </c>
      <c r="T29" s="33">
        <f t="shared" ref="T29:AF29" si="21">SUM(D86:D89)</f>
        <v>13</v>
      </c>
      <c r="U29" s="33">
        <f t="shared" si="21"/>
        <v>4</v>
      </c>
      <c r="V29" s="33">
        <f t="shared" si="21"/>
        <v>2</v>
      </c>
      <c r="W29" s="33">
        <f t="shared" si="21"/>
        <v>0</v>
      </c>
      <c r="X29" s="33">
        <f t="shared" si="21"/>
        <v>0</v>
      </c>
      <c r="Y29" s="33">
        <f t="shared" si="21"/>
        <v>9</v>
      </c>
      <c r="Z29" s="33">
        <f t="shared" si="21"/>
        <v>3</v>
      </c>
      <c r="AA29" s="33">
        <f t="shared" si="21"/>
        <v>1</v>
      </c>
      <c r="AB29" s="33">
        <f t="shared" si="21"/>
        <v>1</v>
      </c>
      <c r="AC29" s="33">
        <f t="shared" si="21"/>
        <v>88</v>
      </c>
      <c r="AD29" s="33">
        <f t="shared" si="21"/>
        <v>0</v>
      </c>
      <c r="AE29" s="30">
        <f t="shared" si="21"/>
        <v>82</v>
      </c>
      <c r="AF29" s="30">
        <f t="shared" si="21"/>
        <v>170</v>
      </c>
    </row>
    <row r="30" spans="2:32" ht="23.1" customHeight="1" x14ac:dyDescent="0.25">
      <c r="B30" s="44" t="s">
        <v>57</v>
      </c>
      <c r="C30" s="49">
        <v>55</v>
      </c>
      <c r="D30" s="49">
        <v>17</v>
      </c>
      <c r="E30" s="49">
        <v>8</v>
      </c>
      <c r="F30" s="49">
        <v>0</v>
      </c>
      <c r="G30" s="49">
        <v>0</v>
      </c>
      <c r="H30" s="49">
        <v>0</v>
      </c>
      <c r="I30" s="49">
        <v>5</v>
      </c>
      <c r="J30" s="49">
        <v>3</v>
      </c>
      <c r="K30" s="49">
        <v>2</v>
      </c>
      <c r="L30" s="49">
        <v>2</v>
      </c>
      <c r="M30" s="49">
        <v>575</v>
      </c>
      <c r="N30" s="49">
        <v>0</v>
      </c>
      <c r="O30" s="15">
        <f t="shared" si="0"/>
        <v>92</v>
      </c>
      <c r="P30" s="15">
        <f t="shared" si="1"/>
        <v>667</v>
      </c>
      <c r="R30" s="35" t="s">
        <v>154</v>
      </c>
      <c r="S30" s="33">
        <f>SUM(C90:C93)</f>
        <v>70</v>
      </c>
      <c r="T30" s="33">
        <f t="shared" ref="T30:AF30" si="22">SUM(D90:D93)</f>
        <v>9</v>
      </c>
      <c r="U30" s="33">
        <f t="shared" si="22"/>
        <v>7</v>
      </c>
      <c r="V30" s="33">
        <f t="shared" si="22"/>
        <v>4</v>
      </c>
      <c r="W30" s="33">
        <f t="shared" si="22"/>
        <v>0</v>
      </c>
      <c r="X30" s="33">
        <f t="shared" si="22"/>
        <v>1</v>
      </c>
      <c r="Y30" s="33">
        <f t="shared" si="22"/>
        <v>6</v>
      </c>
      <c r="Z30" s="33">
        <f t="shared" si="22"/>
        <v>2</v>
      </c>
      <c r="AA30" s="33">
        <f t="shared" si="22"/>
        <v>0</v>
      </c>
      <c r="AB30" s="33">
        <f t="shared" si="22"/>
        <v>3</v>
      </c>
      <c r="AC30" s="33">
        <f t="shared" si="22"/>
        <v>36</v>
      </c>
      <c r="AD30" s="33">
        <f t="shared" si="22"/>
        <v>0</v>
      </c>
      <c r="AE30" s="30">
        <f t="shared" si="22"/>
        <v>102</v>
      </c>
      <c r="AF30" s="30">
        <f t="shared" si="22"/>
        <v>138</v>
      </c>
    </row>
    <row r="31" spans="2:32" ht="23.1" customHeight="1" x14ac:dyDescent="0.25">
      <c r="B31" s="45" t="s">
        <v>58</v>
      </c>
      <c r="C31" s="49">
        <v>43</v>
      </c>
      <c r="D31" s="49">
        <v>13</v>
      </c>
      <c r="E31" s="49">
        <v>8</v>
      </c>
      <c r="F31" s="49">
        <v>1</v>
      </c>
      <c r="G31" s="49">
        <v>0</v>
      </c>
      <c r="H31" s="49">
        <v>0</v>
      </c>
      <c r="I31" s="49">
        <v>20</v>
      </c>
      <c r="J31" s="49">
        <v>2</v>
      </c>
      <c r="K31" s="49">
        <v>1</v>
      </c>
      <c r="L31" s="49">
        <v>0</v>
      </c>
      <c r="M31" s="49">
        <v>320</v>
      </c>
      <c r="N31" s="49">
        <v>0</v>
      </c>
      <c r="O31" s="15">
        <f t="shared" si="0"/>
        <v>88</v>
      </c>
      <c r="P31" s="15">
        <f t="shared" si="1"/>
        <v>408</v>
      </c>
      <c r="R31" s="35" t="s">
        <v>155</v>
      </c>
      <c r="S31" s="33">
        <f>SUM(C94:C97)</f>
        <v>88</v>
      </c>
      <c r="T31" s="33">
        <f t="shared" ref="T31:AF31" si="23">SUM(D94:D97)</f>
        <v>17</v>
      </c>
      <c r="U31" s="33">
        <f t="shared" si="23"/>
        <v>5</v>
      </c>
      <c r="V31" s="33">
        <f t="shared" si="23"/>
        <v>2</v>
      </c>
      <c r="W31" s="33">
        <f t="shared" si="23"/>
        <v>1</v>
      </c>
      <c r="X31" s="33">
        <f t="shared" si="23"/>
        <v>0</v>
      </c>
      <c r="Y31" s="33">
        <f t="shared" si="23"/>
        <v>6</v>
      </c>
      <c r="Z31" s="33">
        <f t="shared" si="23"/>
        <v>2</v>
      </c>
      <c r="AA31" s="33">
        <f t="shared" si="23"/>
        <v>1</v>
      </c>
      <c r="AB31" s="33">
        <f t="shared" si="23"/>
        <v>8</v>
      </c>
      <c r="AC31" s="33">
        <f t="shared" si="23"/>
        <v>56</v>
      </c>
      <c r="AD31" s="33">
        <f t="shared" si="23"/>
        <v>0</v>
      </c>
      <c r="AE31" s="30">
        <f t="shared" si="23"/>
        <v>130</v>
      </c>
      <c r="AF31" s="30">
        <f t="shared" si="23"/>
        <v>186</v>
      </c>
    </row>
    <row r="32" spans="2:32" ht="23.1" customHeight="1" x14ac:dyDescent="0.25">
      <c r="B32" s="45" t="s">
        <v>59</v>
      </c>
      <c r="C32" s="49">
        <v>115</v>
      </c>
      <c r="D32" s="49">
        <v>38</v>
      </c>
      <c r="E32" s="49">
        <v>8</v>
      </c>
      <c r="F32" s="49">
        <v>0</v>
      </c>
      <c r="G32" s="49">
        <v>0</v>
      </c>
      <c r="H32" s="49">
        <v>0</v>
      </c>
      <c r="I32" s="49">
        <v>6</v>
      </c>
      <c r="J32" s="49">
        <v>2</v>
      </c>
      <c r="K32" s="49">
        <v>0</v>
      </c>
      <c r="L32" s="49">
        <v>0</v>
      </c>
      <c r="M32" s="49">
        <v>545</v>
      </c>
      <c r="N32" s="49">
        <v>0</v>
      </c>
      <c r="O32" s="15">
        <f t="shared" si="0"/>
        <v>169</v>
      </c>
      <c r="P32" s="15">
        <f t="shared" si="1"/>
        <v>714</v>
      </c>
      <c r="R32" s="32" t="s">
        <v>156</v>
      </c>
      <c r="S32" s="33">
        <f>SUM(C98:C101)</f>
        <v>82</v>
      </c>
      <c r="T32" s="33">
        <f t="shared" ref="T32:AF32" si="24">SUM(D98:D101)</f>
        <v>9</v>
      </c>
      <c r="U32" s="33">
        <f t="shared" si="24"/>
        <v>9</v>
      </c>
      <c r="V32" s="33">
        <f t="shared" si="24"/>
        <v>3</v>
      </c>
      <c r="W32" s="33">
        <f t="shared" si="24"/>
        <v>0</v>
      </c>
      <c r="X32" s="33">
        <f t="shared" si="24"/>
        <v>0</v>
      </c>
      <c r="Y32" s="33">
        <f t="shared" si="24"/>
        <v>6</v>
      </c>
      <c r="Z32" s="33">
        <f t="shared" si="24"/>
        <v>2</v>
      </c>
      <c r="AA32" s="33">
        <f t="shared" si="24"/>
        <v>2</v>
      </c>
      <c r="AB32" s="33">
        <f t="shared" si="24"/>
        <v>1</v>
      </c>
      <c r="AC32" s="33">
        <f t="shared" si="24"/>
        <v>213</v>
      </c>
      <c r="AD32" s="33">
        <f t="shared" si="24"/>
        <v>0</v>
      </c>
      <c r="AE32" s="30">
        <f t="shared" si="24"/>
        <v>114</v>
      </c>
      <c r="AF32" s="30">
        <f t="shared" si="24"/>
        <v>327</v>
      </c>
    </row>
    <row r="33" spans="2:32" ht="23.1" customHeight="1" x14ac:dyDescent="0.25">
      <c r="B33" s="44" t="s">
        <v>60</v>
      </c>
      <c r="C33" s="49">
        <v>47</v>
      </c>
      <c r="D33" s="49">
        <v>12</v>
      </c>
      <c r="E33" s="49">
        <v>21</v>
      </c>
      <c r="F33" s="49">
        <v>5</v>
      </c>
      <c r="G33" s="49">
        <v>0</v>
      </c>
      <c r="H33" s="49">
        <v>0</v>
      </c>
      <c r="I33" s="49">
        <v>17</v>
      </c>
      <c r="J33" s="49">
        <v>5</v>
      </c>
      <c r="K33" s="49">
        <v>2</v>
      </c>
      <c r="L33" s="49">
        <v>2</v>
      </c>
      <c r="M33" s="49">
        <v>600</v>
      </c>
      <c r="N33" s="49">
        <v>0</v>
      </c>
      <c r="O33" s="15">
        <f t="shared" si="0"/>
        <v>111</v>
      </c>
      <c r="P33" s="15">
        <f t="shared" si="1"/>
        <v>711</v>
      </c>
      <c r="R33" s="32" t="s">
        <v>157</v>
      </c>
      <c r="S33" s="33">
        <f>SUM(C102:C105)</f>
        <v>74</v>
      </c>
      <c r="T33" s="33">
        <f t="shared" ref="T33:AF33" si="25">SUM(D102:D105)</f>
        <v>18</v>
      </c>
      <c r="U33" s="33">
        <f t="shared" si="25"/>
        <v>20</v>
      </c>
      <c r="V33" s="33">
        <f t="shared" si="25"/>
        <v>3</v>
      </c>
      <c r="W33" s="33">
        <f t="shared" si="25"/>
        <v>0</v>
      </c>
      <c r="X33" s="33">
        <f t="shared" si="25"/>
        <v>0</v>
      </c>
      <c r="Y33" s="33">
        <f t="shared" si="25"/>
        <v>10</v>
      </c>
      <c r="Z33" s="33">
        <f t="shared" si="25"/>
        <v>4</v>
      </c>
      <c r="AA33" s="33">
        <f t="shared" si="25"/>
        <v>2</v>
      </c>
      <c r="AB33" s="33">
        <f t="shared" si="25"/>
        <v>3</v>
      </c>
      <c r="AC33" s="33">
        <f t="shared" si="25"/>
        <v>333</v>
      </c>
      <c r="AD33" s="33">
        <f t="shared" si="25"/>
        <v>0</v>
      </c>
      <c r="AE33" s="30">
        <f t="shared" si="25"/>
        <v>134</v>
      </c>
      <c r="AF33" s="30">
        <f t="shared" si="25"/>
        <v>467</v>
      </c>
    </row>
    <row r="34" spans="2:32" ht="23.1" customHeight="1" x14ac:dyDescent="0.25">
      <c r="B34" s="45" t="s">
        <v>61</v>
      </c>
      <c r="C34" s="49">
        <v>60</v>
      </c>
      <c r="D34" s="49">
        <v>13</v>
      </c>
      <c r="E34" s="49">
        <v>9</v>
      </c>
      <c r="F34" s="49">
        <v>5</v>
      </c>
      <c r="G34" s="49">
        <v>5</v>
      </c>
      <c r="H34" s="49">
        <v>0</v>
      </c>
      <c r="I34" s="49">
        <v>15</v>
      </c>
      <c r="J34" s="49">
        <v>9</v>
      </c>
      <c r="K34" s="49">
        <v>3</v>
      </c>
      <c r="L34" s="49">
        <v>5</v>
      </c>
      <c r="M34" s="49">
        <v>475</v>
      </c>
      <c r="N34" s="49">
        <v>0</v>
      </c>
      <c r="O34" s="15">
        <f t="shared" si="0"/>
        <v>124</v>
      </c>
      <c r="P34" s="15">
        <f t="shared" si="1"/>
        <v>599</v>
      </c>
      <c r="R34" s="37" t="s">
        <v>90</v>
      </c>
      <c r="S34" s="38">
        <f t="shared" ref="S34:AF34" si="26">MAX(S10:S12)</f>
        <v>257</v>
      </c>
      <c r="T34" s="38">
        <f t="shared" si="26"/>
        <v>61</v>
      </c>
      <c r="U34" s="38">
        <f t="shared" si="26"/>
        <v>35</v>
      </c>
      <c r="V34" s="38">
        <f t="shared" si="26"/>
        <v>15</v>
      </c>
      <c r="W34" s="38">
        <f t="shared" si="26"/>
        <v>2</v>
      </c>
      <c r="X34" s="38">
        <f t="shared" si="26"/>
        <v>1</v>
      </c>
      <c r="Y34" s="38">
        <f t="shared" si="26"/>
        <v>26</v>
      </c>
      <c r="Z34" s="38">
        <f t="shared" si="26"/>
        <v>22</v>
      </c>
      <c r="AA34" s="38">
        <f t="shared" si="26"/>
        <v>10</v>
      </c>
      <c r="AB34" s="38">
        <f t="shared" si="26"/>
        <v>5</v>
      </c>
      <c r="AC34" s="38">
        <f t="shared" si="26"/>
        <v>1826</v>
      </c>
      <c r="AD34" s="38">
        <f t="shared" si="26"/>
        <v>2</v>
      </c>
      <c r="AE34" s="39">
        <f t="shared" si="26"/>
        <v>425</v>
      </c>
      <c r="AF34" s="39">
        <f t="shared" si="26"/>
        <v>2251</v>
      </c>
    </row>
    <row r="35" spans="2:32" ht="23.1" customHeight="1" x14ac:dyDescent="0.25">
      <c r="B35" s="45" t="s">
        <v>62</v>
      </c>
      <c r="C35" s="49">
        <v>82</v>
      </c>
      <c r="D35" s="49">
        <v>40</v>
      </c>
      <c r="E35" s="49">
        <v>3</v>
      </c>
      <c r="F35" s="49">
        <v>4</v>
      </c>
      <c r="G35" s="49">
        <v>0</v>
      </c>
      <c r="H35" s="49">
        <v>0</v>
      </c>
      <c r="I35" s="49">
        <v>4</v>
      </c>
      <c r="J35" s="49">
        <v>3</v>
      </c>
      <c r="K35" s="49">
        <v>3</v>
      </c>
      <c r="L35" s="49">
        <v>0</v>
      </c>
      <c r="M35" s="49">
        <v>710</v>
      </c>
      <c r="N35" s="49">
        <v>0</v>
      </c>
      <c r="O35" s="15">
        <f t="shared" si="0"/>
        <v>139</v>
      </c>
      <c r="P35" s="15">
        <f t="shared" si="1"/>
        <v>849</v>
      </c>
      <c r="R35" s="37" t="s">
        <v>91</v>
      </c>
      <c r="S35" s="38">
        <f t="shared" ref="S35:AF35" si="27">MAX(S13:S18)</f>
        <v>587</v>
      </c>
      <c r="T35" s="38">
        <f t="shared" si="27"/>
        <v>123</v>
      </c>
      <c r="U35" s="38">
        <f t="shared" si="27"/>
        <v>62</v>
      </c>
      <c r="V35" s="38">
        <f t="shared" si="27"/>
        <v>15</v>
      </c>
      <c r="W35" s="38">
        <f t="shared" si="27"/>
        <v>8</v>
      </c>
      <c r="X35" s="38">
        <f t="shared" si="27"/>
        <v>1</v>
      </c>
      <c r="Y35" s="38">
        <f t="shared" si="27"/>
        <v>69</v>
      </c>
      <c r="Z35" s="38">
        <f t="shared" si="27"/>
        <v>28</v>
      </c>
      <c r="AA35" s="38">
        <f t="shared" si="27"/>
        <v>19</v>
      </c>
      <c r="AB35" s="38">
        <f t="shared" si="27"/>
        <v>14</v>
      </c>
      <c r="AC35" s="38">
        <f t="shared" si="27"/>
        <v>2905</v>
      </c>
      <c r="AD35" s="38">
        <f t="shared" si="27"/>
        <v>4</v>
      </c>
      <c r="AE35" s="39">
        <f t="shared" si="27"/>
        <v>851</v>
      </c>
      <c r="AF35" s="39">
        <f t="shared" si="27"/>
        <v>3756</v>
      </c>
    </row>
    <row r="36" spans="2:32" ht="23.1" customHeight="1" x14ac:dyDescent="0.25">
      <c r="B36" s="45" t="s">
        <v>63</v>
      </c>
      <c r="C36" s="49">
        <v>124</v>
      </c>
      <c r="D36" s="49">
        <v>42</v>
      </c>
      <c r="E36" s="49">
        <v>10</v>
      </c>
      <c r="F36" s="49">
        <v>0</v>
      </c>
      <c r="G36" s="49">
        <v>0</v>
      </c>
      <c r="H36" s="49">
        <v>0</v>
      </c>
      <c r="I36" s="49">
        <v>12</v>
      </c>
      <c r="J36" s="49">
        <v>6</v>
      </c>
      <c r="K36" s="49">
        <v>6</v>
      </c>
      <c r="L36" s="49">
        <v>2</v>
      </c>
      <c r="M36" s="49">
        <v>785</v>
      </c>
      <c r="N36" s="49">
        <v>0</v>
      </c>
      <c r="O36" s="15">
        <f t="shared" si="0"/>
        <v>202</v>
      </c>
      <c r="P36" s="15">
        <f t="shared" si="1"/>
        <v>987</v>
      </c>
      <c r="R36" s="37" t="s">
        <v>92</v>
      </c>
      <c r="S36" s="38">
        <f t="shared" ref="S36:AF36" si="28">MAX(S19:S21)</f>
        <v>567</v>
      </c>
      <c r="T36" s="38">
        <f t="shared" si="28"/>
        <v>130</v>
      </c>
      <c r="U36" s="38">
        <f t="shared" si="28"/>
        <v>58</v>
      </c>
      <c r="V36" s="38">
        <f t="shared" si="28"/>
        <v>8</v>
      </c>
      <c r="W36" s="38">
        <f t="shared" si="28"/>
        <v>7</v>
      </c>
      <c r="X36" s="38">
        <f t="shared" si="28"/>
        <v>3</v>
      </c>
      <c r="Y36" s="38">
        <f t="shared" si="28"/>
        <v>64</v>
      </c>
      <c r="Z36" s="38">
        <f t="shared" si="28"/>
        <v>26</v>
      </c>
      <c r="AA36" s="38">
        <f t="shared" si="28"/>
        <v>14</v>
      </c>
      <c r="AB36" s="38">
        <f t="shared" si="28"/>
        <v>15</v>
      </c>
      <c r="AC36" s="38">
        <f t="shared" si="28"/>
        <v>1965</v>
      </c>
      <c r="AD36" s="38">
        <f t="shared" si="28"/>
        <v>0</v>
      </c>
      <c r="AE36" s="39">
        <f t="shared" si="28"/>
        <v>882</v>
      </c>
      <c r="AF36" s="39">
        <f t="shared" si="28"/>
        <v>2847</v>
      </c>
    </row>
    <row r="37" spans="2:32" ht="23.1" customHeight="1" x14ac:dyDescent="0.25">
      <c r="B37" s="44" t="s">
        <v>64</v>
      </c>
      <c r="C37" s="49">
        <v>160</v>
      </c>
      <c r="D37" s="49">
        <v>28</v>
      </c>
      <c r="E37" s="49">
        <v>10</v>
      </c>
      <c r="F37" s="49">
        <v>3</v>
      </c>
      <c r="G37" s="49">
        <v>0</v>
      </c>
      <c r="H37" s="49">
        <v>0</v>
      </c>
      <c r="I37" s="49">
        <v>16</v>
      </c>
      <c r="J37" s="49">
        <v>10</v>
      </c>
      <c r="K37" s="49">
        <v>7</v>
      </c>
      <c r="L37" s="49">
        <v>5</v>
      </c>
      <c r="M37" s="49">
        <v>680</v>
      </c>
      <c r="N37" s="49">
        <v>0</v>
      </c>
      <c r="O37" s="15">
        <f t="shared" si="0"/>
        <v>239</v>
      </c>
      <c r="P37" s="15">
        <f t="shared" si="1"/>
        <v>919</v>
      </c>
      <c r="R37" s="36" t="s">
        <v>85</v>
      </c>
      <c r="S37" s="34">
        <f t="shared" ref="S37:AF37" si="29">SUM(S10:S12)</f>
        <v>646</v>
      </c>
      <c r="T37" s="16">
        <f t="shared" si="29"/>
        <v>130</v>
      </c>
      <c r="U37" s="16">
        <f t="shared" si="29"/>
        <v>86</v>
      </c>
      <c r="V37" s="16">
        <f t="shared" si="29"/>
        <v>27</v>
      </c>
      <c r="W37" s="16">
        <f t="shared" si="29"/>
        <v>4</v>
      </c>
      <c r="X37" s="16">
        <f t="shared" si="29"/>
        <v>2</v>
      </c>
      <c r="Y37" s="16">
        <f t="shared" si="29"/>
        <v>65</v>
      </c>
      <c r="Z37" s="16">
        <f t="shared" si="29"/>
        <v>56</v>
      </c>
      <c r="AA37" s="16">
        <f t="shared" si="29"/>
        <v>24</v>
      </c>
      <c r="AB37" s="16">
        <f t="shared" si="29"/>
        <v>13</v>
      </c>
      <c r="AC37" s="16">
        <f t="shared" si="29"/>
        <v>4092</v>
      </c>
      <c r="AD37" s="16">
        <f t="shared" si="29"/>
        <v>2</v>
      </c>
      <c r="AE37" s="31">
        <f t="shared" si="29"/>
        <v>1055</v>
      </c>
      <c r="AF37" s="31">
        <f t="shared" si="29"/>
        <v>5147</v>
      </c>
    </row>
    <row r="38" spans="2:32" ht="23.1" customHeight="1" x14ac:dyDescent="0.25">
      <c r="B38" s="45" t="s">
        <v>65</v>
      </c>
      <c r="C38" s="49">
        <v>168</v>
      </c>
      <c r="D38" s="49">
        <v>47</v>
      </c>
      <c r="E38" s="49">
        <v>11</v>
      </c>
      <c r="F38" s="49">
        <v>3</v>
      </c>
      <c r="G38" s="49">
        <v>1</v>
      </c>
      <c r="H38" s="49">
        <v>0</v>
      </c>
      <c r="I38" s="49">
        <v>2</v>
      </c>
      <c r="J38" s="49">
        <v>2</v>
      </c>
      <c r="K38" s="49">
        <v>4</v>
      </c>
      <c r="L38" s="49">
        <v>1</v>
      </c>
      <c r="M38" s="49">
        <v>635</v>
      </c>
      <c r="N38" s="49">
        <v>0</v>
      </c>
      <c r="O38" s="15">
        <f t="shared" si="0"/>
        <v>239</v>
      </c>
      <c r="P38" s="15">
        <f t="shared" si="1"/>
        <v>874</v>
      </c>
      <c r="R38" s="27" t="s">
        <v>86</v>
      </c>
      <c r="S38" s="16">
        <f t="shared" ref="S38:AF38" si="30">SUM(S13:S18)</f>
        <v>2407</v>
      </c>
      <c r="T38" s="16">
        <f t="shared" si="30"/>
        <v>545</v>
      </c>
      <c r="U38" s="16">
        <f t="shared" si="30"/>
        <v>303</v>
      </c>
      <c r="V38" s="16">
        <f t="shared" si="30"/>
        <v>55</v>
      </c>
      <c r="W38" s="16">
        <f t="shared" si="30"/>
        <v>15</v>
      </c>
      <c r="X38" s="16">
        <f t="shared" si="30"/>
        <v>1</v>
      </c>
      <c r="Y38" s="16">
        <f t="shared" si="30"/>
        <v>269</v>
      </c>
      <c r="Z38" s="16">
        <f t="shared" si="30"/>
        <v>118</v>
      </c>
      <c r="AA38" s="16">
        <f t="shared" si="30"/>
        <v>72</v>
      </c>
      <c r="AB38" s="16">
        <f t="shared" si="30"/>
        <v>53</v>
      </c>
      <c r="AC38" s="16">
        <f t="shared" si="30"/>
        <v>14592</v>
      </c>
      <c r="AD38" s="16">
        <f t="shared" si="30"/>
        <v>6</v>
      </c>
      <c r="AE38" s="31">
        <f t="shared" si="30"/>
        <v>3844</v>
      </c>
      <c r="AF38" s="31">
        <f t="shared" si="30"/>
        <v>18436</v>
      </c>
    </row>
    <row r="39" spans="2:32" ht="23.1" customHeight="1" x14ac:dyDescent="0.25">
      <c r="B39" s="45" t="s">
        <v>66</v>
      </c>
      <c r="C39" s="49">
        <v>91</v>
      </c>
      <c r="D39" s="49">
        <v>23</v>
      </c>
      <c r="E39" s="49">
        <v>9</v>
      </c>
      <c r="F39" s="49">
        <v>5</v>
      </c>
      <c r="G39" s="49">
        <v>1</v>
      </c>
      <c r="H39" s="49">
        <v>0</v>
      </c>
      <c r="I39" s="49">
        <v>7</v>
      </c>
      <c r="J39" s="49">
        <v>2</v>
      </c>
      <c r="K39" s="49">
        <v>3</v>
      </c>
      <c r="L39" s="49">
        <v>1</v>
      </c>
      <c r="M39" s="49">
        <v>770</v>
      </c>
      <c r="N39" s="49">
        <v>0</v>
      </c>
      <c r="O39" s="15">
        <f t="shared" si="0"/>
        <v>142</v>
      </c>
      <c r="P39" s="15">
        <f t="shared" si="1"/>
        <v>912</v>
      </c>
      <c r="R39" s="28" t="s">
        <v>87</v>
      </c>
      <c r="S39" s="16">
        <f t="shared" ref="S39:AF39" si="31">SUM(S19:S21)</f>
        <v>1351</v>
      </c>
      <c r="T39" s="16">
        <f t="shared" si="31"/>
        <v>269</v>
      </c>
      <c r="U39" s="16">
        <f t="shared" si="31"/>
        <v>144</v>
      </c>
      <c r="V39" s="16">
        <f t="shared" si="31"/>
        <v>20</v>
      </c>
      <c r="W39" s="16">
        <f t="shared" si="31"/>
        <v>16</v>
      </c>
      <c r="X39" s="16">
        <f t="shared" si="31"/>
        <v>4</v>
      </c>
      <c r="Y39" s="16">
        <f t="shared" si="31"/>
        <v>161</v>
      </c>
      <c r="Z39" s="16">
        <f t="shared" si="31"/>
        <v>63</v>
      </c>
      <c r="AA39" s="16">
        <f t="shared" si="31"/>
        <v>31</v>
      </c>
      <c r="AB39" s="16">
        <f t="shared" si="31"/>
        <v>26</v>
      </c>
      <c r="AC39" s="16">
        <f t="shared" si="31"/>
        <v>5327</v>
      </c>
      <c r="AD39" s="16">
        <f t="shared" si="31"/>
        <v>0</v>
      </c>
      <c r="AE39" s="31">
        <f t="shared" si="31"/>
        <v>2085</v>
      </c>
      <c r="AF39" s="31">
        <f t="shared" si="31"/>
        <v>7412</v>
      </c>
    </row>
    <row r="40" spans="2:32" ht="23.1" customHeight="1" x14ac:dyDescent="0.25">
      <c r="B40" s="45" t="s">
        <v>67</v>
      </c>
      <c r="C40" s="49">
        <v>170</v>
      </c>
      <c r="D40" s="49">
        <v>34</v>
      </c>
      <c r="E40" s="49">
        <v>17</v>
      </c>
      <c r="F40" s="49">
        <v>6</v>
      </c>
      <c r="G40" s="49">
        <v>0</v>
      </c>
      <c r="H40" s="49">
        <v>0</v>
      </c>
      <c r="I40" s="49">
        <v>7</v>
      </c>
      <c r="J40" s="49">
        <v>3</v>
      </c>
      <c r="K40" s="49">
        <v>2</v>
      </c>
      <c r="L40" s="49">
        <v>5</v>
      </c>
      <c r="M40" s="49">
        <v>740</v>
      </c>
      <c r="N40" s="49">
        <v>0</v>
      </c>
      <c r="O40" s="15">
        <f t="shared" si="0"/>
        <v>244</v>
      </c>
      <c r="P40" s="15">
        <f t="shared" si="1"/>
        <v>984</v>
      </c>
      <c r="R40" s="5" t="s">
        <v>17</v>
      </c>
      <c r="S40" s="16">
        <f t="shared" ref="S40:AF40" si="32">SUM(S10:S21)</f>
        <v>4404</v>
      </c>
      <c r="T40" s="16">
        <f t="shared" si="32"/>
        <v>944</v>
      </c>
      <c r="U40" s="16">
        <f t="shared" si="32"/>
        <v>533</v>
      </c>
      <c r="V40" s="16">
        <f t="shared" si="32"/>
        <v>102</v>
      </c>
      <c r="W40" s="16">
        <f t="shared" si="32"/>
        <v>35</v>
      </c>
      <c r="X40" s="16">
        <f t="shared" si="32"/>
        <v>7</v>
      </c>
      <c r="Y40" s="16">
        <f t="shared" si="32"/>
        <v>495</v>
      </c>
      <c r="Z40" s="16">
        <f t="shared" si="32"/>
        <v>237</v>
      </c>
      <c r="AA40" s="16">
        <f t="shared" si="32"/>
        <v>127</v>
      </c>
      <c r="AB40" s="16">
        <f t="shared" si="32"/>
        <v>92</v>
      </c>
      <c r="AC40" s="16">
        <f t="shared" si="32"/>
        <v>24011</v>
      </c>
      <c r="AD40" s="16">
        <f t="shared" si="32"/>
        <v>8</v>
      </c>
      <c r="AE40" s="31">
        <f t="shared" si="32"/>
        <v>6984</v>
      </c>
      <c r="AF40" s="31">
        <f t="shared" si="32"/>
        <v>30995</v>
      </c>
    </row>
    <row r="41" spans="2:32" ht="23.1" customHeight="1" x14ac:dyDescent="0.25">
      <c r="B41" s="44" t="s">
        <v>68</v>
      </c>
      <c r="C41" s="49">
        <v>137</v>
      </c>
      <c r="D41" s="49">
        <v>18</v>
      </c>
      <c r="E41" s="49">
        <v>22</v>
      </c>
      <c r="F41" s="49">
        <v>1</v>
      </c>
      <c r="G41" s="49">
        <v>0</v>
      </c>
      <c r="H41" s="49">
        <v>0</v>
      </c>
      <c r="I41" s="49">
        <v>15</v>
      </c>
      <c r="J41" s="49">
        <v>11</v>
      </c>
      <c r="K41" s="49">
        <v>2</v>
      </c>
      <c r="L41" s="49">
        <v>2</v>
      </c>
      <c r="M41" s="49">
        <v>695</v>
      </c>
      <c r="N41" s="49">
        <v>0</v>
      </c>
      <c r="O41" s="15">
        <f t="shared" si="0"/>
        <v>208</v>
      </c>
      <c r="P41" s="15">
        <f t="shared" si="1"/>
        <v>903</v>
      </c>
      <c r="R41" s="5" t="s">
        <v>159</v>
      </c>
      <c r="S41" s="16">
        <f>SUM(S10:S33)</f>
        <v>8207</v>
      </c>
      <c r="T41" s="16">
        <f t="shared" ref="T41:AF41" si="33">SUM(T10:T33)</f>
        <v>2031</v>
      </c>
      <c r="U41" s="16">
        <f t="shared" si="33"/>
        <v>807</v>
      </c>
      <c r="V41" s="16">
        <f t="shared" si="33"/>
        <v>283</v>
      </c>
      <c r="W41" s="16">
        <f t="shared" si="33"/>
        <v>46</v>
      </c>
      <c r="X41" s="16">
        <f t="shared" si="33"/>
        <v>21</v>
      </c>
      <c r="Y41" s="16">
        <f t="shared" si="33"/>
        <v>650</v>
      </c>
      <c r="Z41" s="16">
        <f t="shared" si="33"/>
        <v>280</v>
      </c>
      <c r="AA41" s="16">
        <f t="shared" si="33"/>
        <v>149</v>
      </c>
      <c r="AB41" s="16">
        <f t="shared" si="33"/>
        <v>126</v>
      </c>
      <c r="AC41" s="16">
        <f t="shared" si="33"/>
        <v>32359</v>
      </c>
      <c r="AD41" s="16">
        <f t="shared" si="33"/>
        <v>8</v>
      </c>
      <c r="AE41" s="31">
        <f t="shared" si="33"/>
        <v>12608</v>
      </c>
      <c r="AF41" s="31">
        <f t="shared" si="33"/>
        <v>44967</v>
      </c>
    </row>
    <row r="42" spans="2:32" ht="23.1" customHeight="1" x14ac:dyDescent="0.25">
      <c r="B42" s="45" t="s">
        <v>69</v>
      </c>
      <c r="C42" s="49">
        <v>170</v>
      </c>
      <c r="D42" s="49">
        <v>17</v>
      </c>
      <c r="E42" s="49">
        <v>25</v>
      </c>
      <c r="F42" s="49">
        <v>3</v>
      </c>
      <c r="G42" s="49">
        <v>0</v>
      </c>
      <c r="H42" s="49">
        <v>1</v>
      </c>
      <c r="I42" s="49">
        <v>30</v>
      </c>
      <c r="J42" s="49">
        <v>11</v>
      </c>
      <c r="K42" s="49">
        <v>1</v>
      </c>
      <c r="L42" s="49">
        <v>2</v>
      </c>
      <c r="M42" s="49">
        <v>860</v>
      </c>
      <c r="N42" s="49">
        <v>0</v>
      </c>
      <c r="O42" s="15">
        <f t="shared" si="0"/>
        <v>260</v>
      </c>
      <c r="P42" s="15">
        <f t="shared" si="1"/>
        <v>1120</v>
      </c>
      <c r="R42" s="5" t="s">
        <v>160</v>
      </c>
      <c r="S42" s="47">
        <f>S41/S40</f>
        <v>1.8635331516802907</v>
      </c>
      <c r="T42" s="47">
        <f t="shared" ref="T42:AF42" si="34">T41/T40</f>
        <v>2.1514830508474576</v>
      </c>
      <c r="U42" s="47">
        <f t="shared" si="34"/>
        <v>1.5140712945590995</v>
      </c>
      <c r="V42" s="47">
        <f t="shared" si="34"/>
        <v>2.7745098039215685</v>
      </c>
      <c r="W42" s="47">
        <f t="shared" si="34"/>
        <v>1.3142857142857143</v>
      </c>
      <c r="X42" s="47">
        <f t="shared" si="34"/>
        <v>3</v>
      </c>
      <c r="Y42" s="47">
        <f t="shared" si="34"/>
        <v>1.3131313131313131</v>
      </c>
      <c r="Z42" s="47">
        <f t="shared" si="34"/>
        <v>1.1814345991561181</v>
      </c>
      <c r="AA42" s="47">
        <f t="shared" si="34"/>
        <v>1.1732283464566928</v>
      </c>
      <c r="AB42" s="47">
        <f t="shared" si="34"/>
        <v>1.3695652173913044</v>
      </c>
      <c r="AC42" s="47">
        <f t="shared" si="34"/>
        <v>1.3476739827579027</v>
      </c>
      <c r="AD42" s="47">
        <f t="shared" si="34"/>
        <v>1</v>
      </c>
      <c r="AE42" s="47">
        <f t="shared" si="34"/>
        <v>1.8052691867124857</v>
      </c>
      <c r="AF42" s="47">
        <f t="shared" si="34"/>
        <v>1.4507823842555252</v>
      </c>
    </row>
    <row r="43" spans="2:32" ht="23.1" customHeight="1" x14ac:dyDescent="0.25">
      <c r="B43" s="44" t="s">
        <v>70</v>
      </c>
      <c r="C43" s="49">
        <v>150</v>
      </c>
      <c r="D43" s="49">
        <v>22</v>
      </c>
      <c r="E43" s="49">
        <v>17</v>
      </c>
      <c r="F43" s="49">
        <v>3</v>
      </c>
      <c r="G43" s="49">
        <v>0</v>
      </c>
      <c r="H43" s="49">
        <v>0</v>
      </c>
      <c r="I43" s="49">
        <v>17</v>
      </c>
      <c r="J43" s="49">
        <v>2</v>
      </c>
      <c r="K43" s="49">
        <v>2</v>
      </c>
      <c r="L43" s="49">
        <v>2</v>
      </c>
      <c r="M43" s="49">
        <v>665</v>
      </c>
      <c r="N43" s="49">
        <v>1</v>
      </c>
      <c r="O43" s="15">
        <f t="shared" si="0"/>
        <v>216</v>
      </c>
      <c r="P43" s="15">
        <f t="shared" si="1"/>
        <v>881</v>
      </c>
    </row>
    <row r="44" spans="2:32" ht="23.1" customHeight="1" x14ac:dyDescent="0.25">
      <c r="B44" s="46" t="s">
        <v>71</v>
      </c>
      <c r="C44" s="49">
        <v>147</v>
      </c>
      <c r="D44" s="49">
        <v>32</v>
      </c>
      <c r="E44" s="49">
        <v>12</v>
      </c>
      <c r="F44" s="49">
        <v>0</v>
      </c>
      <c r="G44" s="49">
        <v>0</v>
      </c>
      <c r="H44" s="49">
        <v>0</v>
      </c>
      <c r="I44" s="49">
        <v>11</v>
      </c>
      <c r="J44" s="49">
        <v>4</v>
      </c>
      <c r="K44" s="49">
        <v>5</v>
      </c>
      <c r="L44" s="49">
        <v>0</v>
      </c>
      <c r="M44" s="49">
        <v>700</v>
      </c>
      <c r="N44" s="49">
        <v>0</v>
      </c>
      <c r="O44" s="15">
        <f t="shared" si="0"/>
        <v>211</v>
      </c>
      <c r="P44" s="15">
        <f t="shared" si="1"/>
        <v>911</v>
      </c>
    </row>
    <row r="45" spans="2:32" ht="23.1" customHeight="1" x14ac:dyDescent="0.25">
      <c r="B45" s="44" t="s">
        <v>72</v>
      </c>
      <c r="C45" s="49">
        <v>120</v>
      </c>
      <c r="D45" s="49">
        <v>17</v>
      </c>
      <c r="E45" s="49">
        <v>8</v>
      </c>
      <c r="F45" s="49">
        <v>0</v>
      </c>
      <c r="G45" s="49">
        <v>0</v>
      </c>
      <c r="H45" s="49">
        <v>0</v>
      </c>
      <c r="I45" s="49">
        <v>11</v>
      </c>
      <c r="J45" s="49">
        <v>6</v>
      </c>
      <c r="K45" s="49">
        <v>2</v>
      </c>
      <c r="L45" s="49">
        <v>0</v>
      </c>
      <c r="M45" s="49">
        <v>680</v>
      </c>
      <c r="N45" s="49">
        <v>0</v>
      </c>
      <c r="O45" s="15">
        <f t="shared" si="0"/>
        <v>164</v>
      </c>
      <c r="P45" s="15">
        <f t="shared" si="1"/>
        <v>844</v>
      </c>
    </row>
    <row r="46" spans="2:32" ht="23.1" customHeight="1" x14ac:dyDescent="0.25">
      <c r="B46" s="45" t="s">
        <v>73</v>
      </c>
      <c r="C46" s="49">
        <v>162</v>
      </c>
      <c r="D46" s="49">
        <v>30</v>
      </c>
      <c r="E46" s="49">
        <v>16</v>
      </c>
      <c r="F46" s="49">
        <v>2</v>
      </c>
      <c r="G46" s="49">
        <v>1</v>
      </c>
      <c r="H46" s="49">
        <v>0</v>
      </c>
      <c r="I46" s="49">
        <v>29</v>
      </c>
      <c r="J46" s="49">
        <v>8</v>
      </c>
      <c r="K46" s="49">
        <v>1</v>
      </c>
      <c r="L46" s="49">
        <v>7</v>
      </c>
      <c r="M46" s="49">
        <v>395</v>
      </c>
      <c r="N46" s="49">
        <v>0</v>
      </c>
      <c r="O46" s="15">
        <f t="shared" si="0"/>
        <v>256</v>
      </c>
      <c r="P46" s="15">
        <f t="shared" si="1"/>
        <v>651</v>
      </c>
      <c r="R46" s="8"/>
      <c r="T46"/>
    </row>
    <row r="47" spans="2:32" ht="23.1" customHeight="1" x14ac:dyDescent="0.25">
      <c r="B47" s="45" t="s">
        <v>74</v>
      </c>
      <c r="C47" s="49">
        <v>85</v>
      </c>
      <c r="D47" s="49">
        <v>30</v>
      </c>
      <c r="E47" s="49">
        <v>13</v>
      </c>
      <c r="F47" s="49">
        <v>0</v>
      </c>
      <c r="G47" s="49">
        <v>3</v>
      </c>
      <c r="H47" s="49">
        <v>1</v>
      </c>
      <c r="I47" s="49">
        <v>9</v>
      </c>
      <c r="J47" s="49">
        <v>6</v>
      </c>
      <c r="K47" s="49">
        <v>3</v>
      </c>
      <c r="L47" s="49">
        <v>1</v>
      </c>
      <c r="M47" s="49">
        <v>500</v>
      </c>
      <c r="N47" s="49">
        <v>0</v>
      </c>
      <c r="O47" s="15">
        <f t="shared" si="0"/>
        <v>151</v>
      </c>
      <c r="P47" s="15">
        <f t="shared" si="1"/>
        <v>651</v>
      </c>
      <c r="R47" s="8"/>
      <c r="T47"/>
    </row>
    <row r="48" spans="2:32" ht="23.1" customHeight="1" x14ac:dyDescent="0.25">
      <c r="B48" s="45" t="s">
        <v>75</v>
      </c>
      <c r="C48" s="49">
        <v>170</v>
      </c>
      <c r="D48" s="49">
        <v>40</v>
      </c>
      <c r="E48" s="49">
        <v>15</v>
      </c>
      <c r="F48" s="49">
        <v>1</v>
      </c>
      <c r="G48" s="49">
        <v>2</v>
      </c>
      <c r="H48" s="49">
        <v>0</v>
      </c>
      <c r="I48" s="49">
        <v>18</v>
      </c>
      <c r="J48" s="49">
        <v>8</v>
      </c>
      <c r="K48" s="49">
        <v>6</v>
      </c>
      <c r="L48" s="49">
        <v>5</v>
      </c>
      <c r="M48" s="49">
        <v>585</v>
      </c>
      <c r="N48" s="49">
        <v>0</v>
      </c>
      <c r="O48" s="15">
        <f t="shared" si="0"/>
        <v>265</v>
      </c>
      <c r="P48" s="15">
        <f t="shared" si="1"/>
        <v>850</v>
      </c>
      <c r="R48" s="8"/>
      <c r="T48"/>
    </row>
    <row r="49" spans="2:20" ht="23.1" customHeight="1" x14ac:dyDescent="0.25">
      <c r="B49" s="44" t="s">
        <v>76</v>
      </c>
      <c r="C49" s="49">
        <v>150</v>
      </c>
      <c r="D49" s="49">
        <v>30</v>
      </c>
      <c r="E49" s="49">
        <v>10</v>
      </c>
      <c r="F49" s="49">
        <v>2</v>
      </c>
      <c r="G49" s="49">
        <v>1</v>
      </c>
      <c r="H49" s="49">
        <v>0</v>
      </c>
      <c r="I49" s="49">
        <v>8</v>
      </c>
      <c r="J49" s="49">
        <v>4</v>
      </c>
      <c r="K49" s="49">
        <v>3</v>
      </c>
      <c r="L49" s="49">
        <v>2</v>
      </c>
      <c r="M49" s="49">
        <v>485</v>
      </c>
      <c r="N49" s="49">
        <v>0</v>
      </c>
      <c r="O49" s="15">
        <f t="shared" si="0"/>
        <v>210</v>
      </c>
      <c r="P49" s="15">
        <f t="shared" si="1"/>
        <v>695</v>
      </c>
      <c r="R49" s="8"/>
      <c r="T49"/>
    </row>
    <row r="50" spans="2:20" ht="23.1" customHeight="1" x14ac:dyDescent="0.25">
      <c r="B50" s="45" t="s">
        <v>77</v>
      </c>
      <c r="C50" s="49">
        <v>22</v>
      </c>
      <c r="D50" s="49">
        <v>26</v>
      </c>
      <c r="E50" s="49">
        <v>14</v>
      </c>
      <c r="F50" s="49">
        <v>4</v>
      </c>
      <c r="G50" s="49">
        <v>1</v>
      </c>
      <c r="H50" s="49">
        <v>0</v>
      </c>
      <c r="I50" s="49">
        <v>15</v>
      </c>
      <c r="J50" s="49">
        <v>4</v>
      </c>
      <c r="K50" s="49">
        <v>4</v>
      </c>
      <c r="L50" s="49">
        <v>1</v>
      </c>
      <c r="M50" s="49">
        <v>505</v>
      </c>
      <c r="N50" s="49">
        <v>0</v>
      </c>
      <c r="O50" s="15">
        <f t="shared" si="0"/>
        <v>91</v>
      </c>
      <c r="P50" s="15">
        <f t="shared" si="1"/>
        <v>596</v>
      </c>
      <c r="R50" s="8"/>
      <c r="T50"/>
    </row>
    <row r="51" spans="2:20" ht="23.1" customHeight="1" x14ac:dyDescent="0.25">
      <c r="B51" s="45" t="s">
        <v>78</v>
      </c>
      <c r="C51" s="49">
        <v>190</v>
      </c>
      <c r="D51" s="49">
        <v>30</v>
      </c>
      <c r="E51" s="49">
        <v>19</v>
      </c>
      <c r="F51" s="49">
        <v>2</v>
      </c>
      <c r="G51" s="49">
        <v>0</v>
      </c>
      <c r="H51" s="49">
        <v>0</v>
      </c>
      <c r="I51" s="49">
        <v>20</v>
      </c>
      <c r="J51" s="49">
        <v>6</v>
      </c>
      <c r="K51" s="49">
        <v>4</v>
      </c>
      <c r="L51" s="49">
        <v>5</v>
      </c>
      <c r="M51" s="49">
        <v>499</v>
      </c>
      <c r="N51" s="49">
        <v>0</v>
      </c>
      <c r="O51" s="15">
        <f t="shared" si="0"/>
        <v>276</v>
      </c>
      <c r="P51" s="15">
        <f t="shared" si="1"/>
        <v>775</v>
      </c>
      <c r="R51" s="8"/>
      <c r="T51"/>
    </row>
    <row r="52" spans="2:20" ht="23.1" customHeight="1" x14ac:dyDescent="0.25">
      <c r="B52" s="45" t="s">
        <v>79</v>
      </c>
      <c r="C52" s="49">
        <v>125</v>
      </c>
      <c r="D52" s="49">
        <v>10</v>
      </c>
      <c r="E52" s="49">
        <v>8</v>
      </c>
      <c r="F52" s="49">
        <v>0</v>
      </c>
      <c r="G52" s="49">
        <v>1</v>
      </c>
      <c r="H52" s="49">
        <v>0</v>
      </c>
      <c r="I52" s="49">
        <v>3</v>
      </c>
      <c r="J52" s="49">
        <v>3</v>
      </c>
      <c r="K52" s="49">
        <v>3</v>
      </c>
      <c r="L52" s="49">
        <v>1</v>
      </c>
      <c r="M52" s="49">
        <v>346</v>
      </c>
      <c r="N52" s="49">
        <v>0</v>
      </c>
      <c r="O52" s="15">
        <f t="shared" si="0"/>
        <v>154</v>
      </c>
      <c r="P52" s="15">
        <f t="shared" si="1"/>
        <v>500</v>
      </c>
      <c r="R52" s="8"/>
      <c r="T52"/>
    </row>
    <row r="53" spans="2:20" ht="23.1" customHeight="1" x14ac:dyDescent="0.25">
      <c r="B53" s="44" t="s">
        <v>80</v>
      </c>
      <c r="C53" s="49">
        <v>110</v>
      </c>
      <c r="D53" s="49">
        <v>14</v>
      </c>
      <c r="E53" s="49">
        <v>17</v>
      </c>
      <c r="F53" s="49">
        <v>2</v>
      </c>
      <c r="G53" s="49">
        <v>1</v>
      </c>
      <c r="H53" s="49">
        <v>0</v>
      </c>
      <c r="I53" s="49">
        <v>15</v>
      </c>
      <c r="J53" s="49">
        <v>8</v>
      </c>
      <c r="K53" s="49">
        <v>3</v>
      </c>
      <c r="L53" s="49">
        <v>2</v>
      </c>
      <c r="M53" s="49">
        <v>420</v>
      </c>
      <c r="N53" s="49">
        <v>0</v>
      </c>
      <c r="O53" s="15">
        <f t="shared" si="0"/>
        <v>172</v>
      </c>
      <c r="P53" s="15">
        <f t="shared" si="1"/>
        <v>592</v>
      </c>
      <c r="R53" s="8"/>
      <c r="T53"/>
    </row>
    <row r="54" spans="2:20" ht="23.1" customHeight="1" x14ac:dyDescent="0.25">
      <c r="B54" s="44" t="s">
        <v>81</v>
      </c>
      <c r="C54" s="49">
        <v>60</v>
      </c>
      <c r="D54" s="49">
        <v>7</v>
      </c>
      <c r="E54" s="49">
        <v>9</v>
      </c>
      <c r="F54" s="49">
        <v>1</v>
      </c>
      <c r="G54" s="49">
        <v>1</v>
      </c>
      <c r="H54" s="49">
        <v>0</v>
      </c>
      <c r="I54" s="49">
        <v>12</v>
      </c>
      <c r="J54" s="49">
        <v>5</v>
      </c>
      <c r="K54" s="49">
        <v>1</v>
      </c>
      <c r="L54" s="49">
        <v>2</v>
      </c>
      <c r="M54" s="49">
        <v>600</v>
      </c>
      <c r="N54" s="49">
        <v>0</v>
      </c>
      <c r="O54" s="15">
        <f t="shared" si="0"/>
        <v>98</v>
      </c>
      <c r="P54" s="15">
        <f t="shared" si="1"/>
        <v>698</v>
      </c>
      <c r="R54" s="8"/>
      <c r="T54"/>
    </row>
    <row r="55" spans="2:20" ht="23.1" customHeight="1" x14ac:dyDescent="0.25">
      <c r="B55" s="44" t="s">
        <v>82</v>
      </c>
      <c r="C55" s="49">
        <v>74</v>
      </c>
      <c r="D55" s="49">
        <v>15</v>
      </c>
      <c r="E55" s="49">
        <v>8</v>
      </c>
      <c r="F55" s="49">
        <v>2</v>
      </c>
      <c r="G55" s="49">
        <v>2</v>
      </c>
      <c r="H55" s="49">
        <v>0</v>
      </c>
      <c r="I55" s="49">
        <v>11</v>
      </c>
      <c r="J55" s="49">
        <v>5</v>
      </c>
      <c r="K55" s="49">
        <v>2</v>
      </c>
      <c r="L55" s="49">
        <v>0</v>
      </c>
      <c r="M55" s="49">
        <v>350</v>
      </c>
      <c r="N55" s="49">
        <v>0</v>
      </c>
      <c r="O55" s="15">
        <f t="shared" si="0"/>
        <v>119</v>
      </c>
      <c r="P55" s="15">
        <f t="shared" si="1"/>
        <v>469</v>
      </c>
      <c r="R55" s="8"/>
      <c r="T55"/>
    </row>
    <row r="56" spans="2:20" ht="23.1" customHeight="1" x14ac:dyDescent="0.25">
      <c r="B56" s="44" t="s">
        <v>83</v>
      </c>
      <c r="C56" s="49">
        <v>113</v>
      </c>
      <c r="D56" s="49">
        <v>25</v>
      </c>
      <c r="E56" s="49">
        <v>10</v>
      </c>
      <c r="F56" s="49">
        <v>1</v>
      </c>
      <c r="G56" s="49">
        <v>2</v>
      </c>
      <c r="H56" s="49">
        <v>3</v>
      </c>
      <c r="I56" s="49">
        <v>14</v>
      </c>
      <c r="J56" s="49">
        <v>3</v>
      </c>
      <c r="K56" s="49">
        <v>0</v>
      </c>
      <c r="L56" s="49">
        <v>0</v>
      </c>
      <c r="M56" s="49">
        <v>302</v>
      </c>
      <c r="N56" s="49">
        <v>0</v>
      </c>
      <c r="O56" s="15">
        <f t="shared" si="0"/>
        <v>171</v>
      </c>
      <c r="P56" s="15">
        <f t="shared" si="1"/>
        <v>473</v>
      </c>
      <c r="R56" s="8"/>
      <c r="T56"/>
    </row>
    <row r="57" spans="2:20" ht="23.1" customHeight="1" x14ac:dyDescent="0.25">
      <c r="B57" s="44" t="s">
        <v>84</v>
      </c>
      <c r="C57" s="49">
        <v>90</v>
      </c>
      <c r="D57" s="49">
        <v>12</v>
      </c>
      <c r="E57" s="49">
        <v>5</v>
      </c>
      <c r="F57" s="49">
        <v>3</v>
      </c>
      <c r="G57" s="49">
        <v>1</v>
      </c>
      <c r="H57" s="49">
        <v>0</v>
      </c>
      <c r="I57" s="49">
        <v>7</v>
      </c>
      <c r="J57" s="49">
        <v>3</v>
      </c>
      <c r="K57" s="49">
        <v>1</v>
      </c>
      <c r="L57" s="49">
        <v>0</v>
      </c>
      <c r="M57" s="49">
        <v>340</v>
      </c>
      <c r="N57" s="49">
        <v>0</v>
      </c>
      <c r="O57" s="15">
        <f t="shared" si="0"/>
        <v>122</v>
      </c>
      <c r="P57" s="15">
        <f t="shared" si="1"/>
        <v>462</v>
      </c>
      <c r="R57" s="8"/>
      <c r="T57"/>
    </row>
    <row r="58" spans="2:20" ht="23.1" customHeight="1" x14ac:dyDescent="0.25">
      <c r="B58" s="44" t="s">
        <v>99</v>
      </c>
      <c r="C58" s="49">
        <v>100</v>
      </c>
      <c r="D58" s="49">
        <v>20</v>
      </c>
      <c r="E58" s="49">
        <v>15</v>
      </c>
      <c r="F58" s="49">
        <v>4</v>
      </c>
      <c r="G58" s="49">
        <v>1</v>
      </c>
      <c r="H58" s="49">
        <v>2</v>
      </c>
      <c r="I58" s="49">
        <v>4</v>
      </c>
      <c r="J58" s="49">
        <v>2</v>
      </c>
      <c r="K58" s="49">
        <v>0</v>
      </c>
      <c r="L58" s="49">
        <v>1</v>
      </c>
      <c r="M58" s="49">
        <v>135</v>
      </c>
      <c r="N58" s="49">
        <v>0</v>
      </c>
      <c r="O58" s="15">
        <f t="shared" si="0"/>
        <v>149</v>
      </c>
      <c r="P58" s="15">
        <f t="shared" si="1"/>
        <v>284</v>
      </c>
      <c r="R58" s="8"/>
      <c r="T58"/>
    </row>
    <row r="59" spans="2:20" ht="23.1" customHeight="1" x14ac:dyDescent="0.25">
      <c r="B59" s="44" t="s">
        <v>100</v>
      </c>
      <c r="C59" s="49">
        <v>140</v>
      </c>
      <c r="D59" s="49">
        <v>65</v>
      </c>
      <c r="E59" s="49">
        <v>12</v>
      </c>
      <c r="F59" s="49">
        <v>8</v>
      </c>
      <c r="G59" s="49">
        <v>0</v>
      </c>
      <c r="H59" s="49">
        <v>0</v>
      </c>
      <c r="I59" s="49">
        <v>6</v>
      </c>
      <c r="J59" s="49">
        <v>0</v>
      </c>
      <c r="K59" s="49">
        <v>1</v>
      </c>
      <c r="L59" s="49">
        <v>1</v>
      </c>
      <c r="M59" s="49">
        <v>399</v>
      </c>
      <c r="N59" s="49">
        <v>0</v>
      </c>
      <c r="O59" s="15">
        <f t="shared" si="0"/>
        <v>233</v>
      </c>
      <c r="P59" s="15">
        <f t="shared" si="1"/>
        <v>632</v>
      </c>
      <c r="R59" s="8"/>
      <c r="T59"/>
    </row>
    <row r="60" spans="2:20" ht="23.1" customHeight="1" x14ac:dyDescent="0.25">
      <c r="B60" s="44" t="s">
        <v>101</v>
      </c>
      <c r="C60" s="49">
        <v>205</v>
      </c>
      <c r="D60" s="49">
        <v>90</v>
      </c>
      <c r="E60" s="49">
        <v>20</v>
      </c>
      <c r="F60" s="49">
        <v>5</v>
      </c>
      <c r="G60" s="49">
        <v>1</v>
      </c>
      <c r="H60" s="49">
        <v>0</v>
      </c>
      <c r="I60" s="49">
        <v>1</v>
      </c>
      <c r="J60" s="49">
        <v>4</v>
      </c>
      <c r="K60" s="49">
        <v>0</v>
      </c>
      <c r="L60" s="49">
        <v>0</v>
      </c>
      <c r="M60" s="49">
        <v>425</v>
      </c>
      <c r="N60" s="49">
        <v>0</v>
      </c>
      <c r="O60" s="15">
        <f t="shared" si="0"/>
        <v>326</v>
      </c>
      <c r="P60" s="15">
        <f t="shared" si="1"/>
        <v>751</v>
      </c>
      <c r="R60" s="8"/>
      <c r="T60"/>
    </row>
    <row r="61" spans="2:20" ht="23.1" customHeight="1" x14ac:dyDescent="0.25">
      <c r="B61" s="44" t="s">
        <v>102</v>
      </c>
      <c r="C61" s="49">
        <v>270</v>
      </c>
      <c r="D61" s="49">
        <v>180</v>
      </c>
      <c r="E61" s="49">
        <v>13</v>
      </c>
      <c r="F61" s="49">
        <v>15</v>
      </c>
      <c r="G61" s="49">
        <v>0</v>
      </c>
      <c r="H61" s="49">
        <v>0</v>
      </c>
      <c r="I61" s="49">
        <v>4</v>
      </c>
      <c r="J61" s="49">
        <v>0</v>
      </c>
      <c r="K61" s="49">
        <v>1</v>
      </c>
      <c r="L61" s="49">
        <v>0</v>
      </c>
      <c r="M61" s="49">
        <v>210</v>
      </c>
      <c r="N61" s="49">
        <v>0</v>
      </c>
      <c r="O61" s="15">
        <f t="shared" si="0"/>
        <v>483</v>
      </c>
      <c r="P61" s="15">
        <f t="shared" si="1"/>
        <v>693</v>
      </c>
      <c r="R61" s="8"/>
      <c r="T61"/>
    </row>
    <row r="62" spans="2:20" ht="23.1" customHeight="1" x14ac:dyDescent="0.25">
      <c r="B62" s="44" t="s">
        <v>107</v>
      </c>
      <c r="C62" s="49">
        <v>270</v>
      </c>
      <c r="D62" s="49">
        <v>63</v>
      </c>
      <c r="E62" s="49">
        <v>16</v>
      </c>
      <c r="F62" s="49">
        <v>17</v>
      </c>
      <c r="G62" s="49">
        <v>0</v>
      </c>
      <c r="H62" s="49">
        <v>0</v>
      </c>
      <c r="I62" s="49">
        <v>4</v>
      </c>
      <c r="J62" s="49">
        <v>0</v>
      </c>
      <c r="K62" s="49">
        <v>2</v>
      </c>
      <c r="L62" s="49">
        <v>1</v>
      </c>
      <c r="M62" s="49">
        <v>410</v>
      </c>
      <c r="N62" s="49">
        <v>0</v>
      </c>
      <c r="O62" s="15">
        <f t="shared" si="0"/>
        <v>373</v>
      </c>
      <c r="P62" s="15">
        <f t="shared" si="1"/>
        <v>783</v>
      </c>
      <c r="R62" s="8"/>
      <c r="T62"/>
    </row>
    <row r="63" spans="2:20" ht="23.1" customHeight="1" x14ac:dyDescent="0.25">
      <c r="B63" s="44" t="s">
        <v>108</v>
      </c>
      <c r="C63" s="49">
        <v>205</v>
      </c>
      <c r="D63" s="49">
        <v>53</v>
      </c>
      <c r="E63" s="49">
        <v>12</v>
      </c>
      <c r="F63" s="49">
        <v>12</v>
      </c>
      <c r="G63" s="49">
        <v>0</v>
      </c>
      <c r="H63" s="49">
        <v>0</v>
      </c>
      <c r="I63" s="49">
        <v>2</v>
      </c>
      <c r="J63" s="49">
        <v>1</v>
      </c>
      <c r="K63" s="49">
        <v>0</v>
      </c>
      <c r="L63" s="49">
        <v>0</v>
      </c>
      <c r="M63" s="49">
        <v>460</v>
      </c>
      <c r="N63" s="49">
        <v>0</v>
      </c>
      <c r="O63" s="15">
        <f t="shared" si="0"/>
        <v>285</v>
      </c>
      <c r="P63" s="15">
        <f t="shared" si="1"/>
        <v>745</v>
      </c>
      <c r="R63" s="8"/>
      <c r="T63"/>
    </row>
    <row r="64" spans="2:20" ht="23.1" customHeight="1" x14ac:dyDescent="0.25">
      <c r="B64" s="44" t="s">
        <v>109</v>
      </c>
      <c r="C64" s="49">
        <v>200</v>
      </c>
      <c r="D64" s="49">
        <v>65</v>
      </c>
      <c r="E64" s="49">
        <v>8</v>
      </c>
      <c r="F64" s="49">
        <v>10</v>
      </c>
      <c r="G64" s="49">
        <v>1</v>
      </c>
      <c r="H64" s="49">
        <v>0</v>
      </c>
      <c r="I64" s="49">
        <v>5</v>
      </c>
      <c r="J64" s="49">
        <v>4</v>
      </c>
      <c r="K64" s="49">
        <v>1</v>
      </c>
      <c r="L64" s="49">
        <v>2</v>
      </c>
      <c r="M64" s="49">
        <v>425</v>
      </c>
      <c r="N64" s="49">
        <v>0</v>
      </c>
      <c r="O64" s="15">
        <f t="shared" si="0"/>
        <v>296</v>
      </c>
      <c r="P64" s="15">
        <f t="shared" si="1"/>
        <v>721</v>
      </c>
      <c r="R64" s="8"/>
      <c r="T64"/>
    </row>
    <row r="65" spans="2:20" ht="23.1" customHeight="1" x14ac:dyDescent="0.25">
      <c r="B65" s="44" t="s">
        <v>158</v>
      </c>
      <c r="C65" s="49">
        <v>125</v>
      </c>
      <c r="D65" s="49">
        <v>22</v>
      </c>
      <c r="E65" s="49">
        <v>2</v>
      </c>
      <c r="F65" s="49">
        <v>13</v>
      </c>
      <c r="G65" s="49">
        <v>0</v>
      </c>
      <c r="H65" s="49">
        <v>1</v>
      </c>
      <c r="I65" s="49">
        <v>4</v>
      </c>
      <c r="J65" s="49">
        <v>0</v>
      </c>
      <c r="K65" s="49">
        <v>1</v>
      </c>
      <c r="L65" s="49">
        <v>0</v>
      </c>
      <c r="M65" s="49">
        <v>490</v>
      </c>
      <c r="N65" s="49">
        <v>0</v>
      </c>
      <c r="O65" s="15">
        <f t="shared" si="0"/>
        <v>168</v>
      </c>
      <c r="P65" s="15">
        <f t="shared" si="1"/>
        <v>658</v>
      </c>
      <c r="R65" s="8"/>
      <c r="T65"/>
    </row>
    <row r="66" spans="2:20" ht="23.1" customHeight="1" x14ac:dyDescent="0.25">
      <c r="B66" s="44" t="s">
        <v>103</v>
      </c>
      <c r="C66" s="49">
        <v>110</v>
      </c>
      <c r="D66" s="49">
        <v>30</v>
      </c>
      <c r="E66" s="49">
        <v>11</v>
      </c>
      <c r="F66" s="49">
        <v>5</v>
      </c>
      <c r="G66" s="49">
        <v>0</v>
      </c>
      <c r="H66" s="49">
        <v>0</v>
      </c>
      <c r="I66" s="49">
        <v>3</v>
      </c>
      <c r="J66" s="49">
        <v>3</v>
      </c>
      <c r="K66" s="49">
        <v>1</v>
      </c>
      <c r="L66" s="49">
        <v>1</v>
      </c>
      <c r="M66" s="49">
        <v>353</v>
      </c>
      <c r="N66" s="49">
        <v>0</v>
      </c>
      <c r="O66" s="15">
        <f t="shared" si="0"/>
        <v>164</v>
      </c>
      <c r="P66" s="15">
        <f t="shared" si="1"/>
        <v>517</v>
      </c>
      <c r="R66" s="8"/>
      <c r="T66"/>
    </row>
    <row r="67" spans="2:20" ht="23.1" customHeight="1" x14ac:dyDescent="0.25">
      <c r="B67" s="44" t="s">
        <v>104</v>
      </c>
      <c r="C67" s="49">
        <v>165</v>
      </c>
      <c r="D67" s="49">
        <v>75</v>
      </c>
      <c r="E67" s="49">
        <v>10</v>
      </c>
      <c r="F67" s="49">
        <v>11</v>
      </c>
      <c r="G67" s="49">
        <v>0</v>
      </c>
      <c r="H67" s="49">
        <v>0</v>
      </c>
      <c r="I67" s="49">
        <v>14</v>
      </c>
      <c r="J67" s="49">
        <v>6</v>
      </c>
      <c r="K67" s="49">
        <v>0</v>
      </c>
      <c r="L67" s="49">
        <v>1</v>
      </c>
      <c r="M67" s="49">
        <v>600</v>
      </c>
      <c r="N67" s="49">
        <v>0</v>
      </c>
      <c r="O67" s="15">
        <f t="shared" si="0"/>
        <v>282</v>
      </c>
      <c r="P67" s="15">
        <f t="shared" si="1"/>
        <v>882</v>
      </c>
      <c r="R67" s="8"/>
      <c r="T67"/>
    </row>
    <row r="68" spans="2:20" ht="23.1" customHeight="1" x14ac:dyDescent="0.25">
      <c r="B68" s="44" t="s">
        <v>105</v>
      </c>
      <c r="C68" s="49">
        <v>200</v>
      </c>
      <c r="D68" s="49">
        <v>60</v>
      </c>
      <c r="E68" s="49">
        <v>7</v>
      </c>
      <c r="F68" s="49">
        <v>3</v>
      </c>
      <c r="G68" s="49">
        <v>3</v>
      </c>
      <c r="H68" s="49">
        <v>0</v>
      </c>
      <c r="I68" s="49">
        <v>4</v>
      </c>
      <c r="J68" s="49">
        <v>0</v>
      </c>
      <c r="K68" s="49">
        <v>0</v>
      </c>
      <c r="L68" s="49">
        <v>1</v>
      </c>
      <c r="M68" s="49">
        <v>750</v>
      </c>
      <c r="N68" s="49">
        <v>0</v>
      </c>
      <c r="O68" s="15">
        <f t="shared" si="0"/>
        <v>278</v>
      </c>
      <c r="P68" s="15">
        <f t="shared" si="1"/>
        <v>1028</v>
      </c>
      <c r="R68" s="8"/>
      <c r="T68"/>
    </row>
    <row r="69" spans="2:20" ht="23.1" customHeight="1" x14ac:dyDescent="0.25">
      <c r="B69" s="44" t="s">
        <v>106</v>
      </c>
      <c r="C69" s="49">
        <v>200</v>
      </c>
      <c r="D69" s="49">
        <v>60</v>
      </c>
      <c r="E69" s="49">
        <v>14</v>
      </c>
      <c r="F69" s="49">
        <v>5</v>
      </c>
      <c r="G69" s="49">
        <v>1</v>
      </c>
      <c r="H69" s="49">
        <v>0</v>
      </c>
      <c r="I69" s="49">
        <v>3</v>
      </c>
      <c r="J69" s="49">
        <v>2</v>
      </c>
      <c r="K69" s="49">
        <v>0</v>
      </c>
      <c r="L69" s="49">
        <v>1</v>
      </c>
      <c r="M69" s="49">
        <v>605</v>
      </c>
      <c r="N69" s="49">
        <v>0</v>
      </c>
      <c r="O69" s="15">
        <f t="shared" si="0"/>
        <v>286</v>
      </c>
      <c r="P69" s="15">
        <f t="shared" si="1"/>
        <v>891</v>
      </c>
      <c r="R69" s="8"/>
      <c r="T69"/>
    </row>
    <row r="70" spans="2:20" ht="23.1" customHeight="1" x14ac:dyDescent="0.25">
      <c r="B70" s="44" t="s">
        <v>110</v>
      </c>
      <c r="C70" s="49">
        <v>195</v>
      </c>
      <c r="D70" s="49">
        <v>45</v>
      </c>
      <c r="E70" s="49">
        <v>11</v>
      </c>
      <c r="F70" s="49">
        <v>8</v>
      </c>
      <c r="G70" s="49">
        <v>0</v>
      </c>
      <c r="H70" s="49">
        <v>0</v>
      </c>
      <c r="I70" s="49">
        <v>6</v>
      </c>
      <c r="J70" s="49">
        <v>3</v>
      </c>
      <c r="K70" s="49">
        <v>0</v>
      </c>
      <c r="L70" s="49">
        <v>1</v>
      </c>
      <c r="M70" s="49">
        <v>540</v>
      </c>
      <c r="N70" s="49">
        <v>0</v>
      </c>
      <c r="O70" s="15">
        <f t="shared" si="0"/>
        <v>269</v>
      </c>
      <c r="P70" s="15">
        <f t="shared" si="1"/>
        <v>809</v>
      </c>
      <c r="R70" s="8"/>
      <c r="T70"/>
    </row>
    <row r="71" spans="2:20" ht="23.1" customHeight="1" x14ac:dyDescent="0.25">
      <c r="B71" s="44" t="s">
        <v>111</v>
      </c>
      <c r="C71" s="49">
        <v>150</v>
      </c>
      <c r="D71" s="49">
        <v>20</v>
      </c>
      <c r="E71" s="49">
        <v>9</v>
      </c>
      <c r="F71" s="49">
        <v>4</v>
      </c>
      <c r="G71" s="49">
        <v>0</v>
      </c>
      <c r="H71" s="49">
        <v>9</v>
      </c>
      <c r="I71" s="49">
        <v>0</v>
      </c>
      <c r="J71" s="49">
        <v>0</v>
      </c>
      <c r="K71" s="49">
        <v>1</v>
      </c>
      <c r="L71" s="49">
        <v>0</v>
      </c>
      <c r="M71" s="49">
        <v>570</v>
      </c>
      <c r="N71" s="49">
        <v>0</v>
      </c>
      <c r="O71" s="15">
        <f t="shared" si="0"/>
        <v>193</v>
      </c>
      <c r="P71" s="15">
        <f t="shared" si="1"/>
        <v>763</v>
      </c>
      <c r="R71" s="8"/>
      <c r="T71"/>
    </row>
    <row r="72" spans="2:20" ht="23.1" customHeight="1" x14ac:dyDescent="0.25">
      <c r="B72" s="44" t="s">
        <v>112</v>
      </c>
      <c r="C72" s="49">
        <v>158</v>
      </c>
      <c r="D72" s="49">
        <v>27</v>
      </c>
      <c r="E72" s="49">
        <v>9</v>
      </c>
      <c r="F72" s="49">
        <v>3</v>
      </c>
      <c r="G72" s="49">
        <v>0</v>
      </c>
      <c r="H72" s="49">
        <v>0</v>
      </c>
      <c r="I72" s="49">
        <v>6</v>
      </c>
      <c r="J72" s="49">
        <v>1</v>
      </c>
      <c r="K72" s="49">
        <v>2</v>
      </c>
      <c r="L72" s="49">
        <v>0</v>
      </c>
      <c r="M72" s="49">
        <v>325</v>
      </c>
      <c r="N72" s="49">
        <v>0</v>
      </c>
      <c r="O72" s="15">
        <f t="shared" si="0"/>
        <v>206</v>
      </c>
      <c r="P72" s="15">
        <f t="shared" si="1"/>
        <v>531</v>
      </c>
      <c r="R72" s="8"/>
      <c r="T72"/>
    </row>
    <row r="73" spans="2:20" ht="23.1" customHeight="1" x14ac:dyDescent="0.25">
      <c r="B73" s="44" t="s">
        <v>113</v>
      </c>
      <c r="C73" s="49">
        <v>80</v>
      </c>
      <c r="D73" s="49">
        <v>18</v>
      </c>
      <c r="E73" s="49">
        <v>14</v>
      </c>
      <c r="F73" s="49">
        <v>7</v>
      </c>
      <c r="G73" s="49">
        <v>1</v>
      </c>
      <c r="H73" s="49">
        <v>0</v>
      </c>
      <c r="I73" s="49">
        <v>8</v>
      </c>
      <c r="J73" s="49">
        <v>0</v>
      </c>
      <c r="K73" s="49">
        <v>1</v>
      </c>
      <c r="L73" s="49">
        <v>0</v>
      </c>
      <c r="M73" s="49">
        <v>370</v>
      </c>
      <c r="N73" s="49">
        <v>0</v>
      </c>
      <c r="O73" s="15">
        <f t="shared" si="0"/>
        <v>129</v>
      </c>
      <c r="P73" s="15">
        <f t="shared" si="1"/>
        <v>499</v>
      </c>
      <c r="R73" s="8"/>
      <c r="T73"/>
    </row>
    <row r="74" spans="2:20" ht="23.1" customHeight="1" x14ac:dyDescent="0.25">
      <c r="B74" s="44" t="s">
        <v>114</v>
      </c>
      <c r="C74" s="49">
        <v>91</v>
      </c>
      <c r="D74" s="49">
        <v>29</v>
      </c>
      <c r="E74" s="49">
        <v>7</v>
      </c>
      <c r="F74" s="49">
        <v>8</v>
      </c>
      <c r="G74" s="49">
        <v>0</v>
      </c>
      <c r="H74" s="49">
        <v>0</v>
      </c>
      <c r="I74" s="49">
        <v>5</v>
      </c>
      <c r="J74" s="49">
        <v>0</v>
      </c>
      <c r="K74" s="49">
        <v>0</v>
      </c>
      <c r="L74" s="49">
        <v>1</v>
      </c>
      <c r="M74" s="49">
        <v>75</v>
      </c>
      <c r="N74" s="49">
        <v>0</v>
      </c>
      <c r="O74" s="15">
        <f t="shared" ref="O74:O105" si="35">SUM(C74:L74,N74)</f>
        <v>141</v>
      </c>
      <c r="P74" s="15">
        <f t="shared" ref="P74:P105" si="36">SUM(C74:N74)</f>
        <v>216</v>
      </c>
      <c r="R74" s="8"/>
      <c r="T74"/>
    </row>
    <row r="75" spans="2:20" ht="23.1" customHeight="1" x14ac:dyDescent="0.25">
      <c r="B75" s="44" t="s">
        <v>115</v>
      </c>
      <c r="C75" s="49">
        <v>140</v>
      </c>
      <c r="D75" s="49">
        <v>6</v>
      </c>
      <c r="E75" s="49">
        <v>6</v>
      </c>
      <c r="F75" s="49">
        <v>1</v>
      </c>
      <c r="G75" s="49">
        <v>0</v>
      </c>
      <c r="H75" s="49">
        <v>0</v>
      </c>
      <c r="I75" s="49">
        <v>6</v>
      </c>
      <c r="J75" s="49">
        <v>2</v>
      </c>
      <c r="K75" s="49">
        <v>1</v>
      </c>
      <c r="L75" s="49">
        <v>1</v>
      </c>
      <c r="M75" s="49">
        <v>136</v>
      </c>
      <c r="N75" s="49">
        <v>0</v>
      </c>
      <c r="O75" s="15">
        <f t="shared" si="35"/>
        <v>163</v>
      </c>
      <c r="P75" s="15">
        <f t="shared" si="36"/>
        <v>299</v>
      </c>
      <c r="R75" s="8"/>
      <c r="T75"/>
    </row>
    <row r="76" spans="2:20" ht="23.1" customHeight="1" x14ac:dyDescent="0.25">
      <c r="B76" s="44" t="s">
        <v>116</v>
      </c>
      <c r="C76" s="49">
        <v>87</v>
      </c>
      <c r="D76" s="49">
        <v>9</v>
      </c>
      <c r="E76" s="49">
        <v>6</v>
      </c>
      <c r="F76" s="49">
        <v>5</v>
      </c>
      <c r="G76" s="49">
        <v>0</v>
      </c>
      <c r="H76" s="49">
        <v>0</v>
      </c>
      <c r="I76" s="49">
        <v>6</v>
      </c>
      <c r="J76" s="49">
        <v>0</v>
      </c>
      <c r="K76" s="49">
        <v>0</v>
      </c>
      <c r="L76" s="49">
        <v>0</v>
      </c>
      <c r="M76" s="49">
        <v>91</v>
      </c>
      <c r="N76" s="49">
        <v>0</v>
      </c>
      <c r="O76" s="15">
        <f t="shared" si="35"/>
        <v>113</v>
      </c>
      <c r="P76" s="15">
        <f t="shared" si="36"/>
        <v>204</v>
      </c>
      <c r="R76" s="8"/>
      <c r="T76"/>
    </row>
    <row r="77" spans="2:20" ht="23.1" customHeight="1" x14ac:dyDescent="0.25">
      <c r="B77" s="44" t="s">
        <v>117</v>
      </c>
      <c r="C77" s="49">
        <v>120</v>
      </c>
      <c r="D77" s="49">
        <v>11</v>
      </c>
      <c r="E77" s="49">
        <v>3</v>
      </c>
      <c r="F77" s="49">
        <v>2</v>
      </c>
      <c r="G77" s="49">
        <v>0</v>
      </c>
      <c r="H77" s="49">
        <v>1</v>
      </c>
      <c r="I77" s="49">
        <v>3</v>
      </c>
      <c r="J77" s="49">
        <v>0</v>
      </c>
      <c r="K77" s="49">
        <v>1</v>
      </c>
      <c r="L77" s="49">
        <v>1</v>
      </c>
      <c r="M77" s="49">
        <v>41</v>
      </c>
      <c r="N77" s="49">
        <v>0</v>
      </c>
      <c r="O77" s="15">
        <f t="shared" si="35"/>
        <v>142</v>
      </c>
      <c r="P77" s="15">
        <f t="shared" si="36"/>
        <v>183</v>
      </c>
      <c r="R77" s="8"/>
      <c r="T77"/>
    </row>
    <row r="78" spans="2:20" ht="23.1" customHeight="1" x14ac:dyDescent="0.25">
      <c r="B78" s="45" t="s">
        <v>118</v>
      </c>
      <c r="C78" s="49">
        <v>45</v>
      </c>
      <c r="D78" s="49">
        <v>4</v>
      </c>
      <c r="E78" s="49">
        <v>6</v>
      </c>
      <c r="F78" s="49">
        <v>9</v>
      </c>
      <c r="G78" s="49">
        <v>1</v>
      </c>
      <c r="H78" s="49">
        <v>0</v>
      </c>
      <c r="I78" s="49">
        <v>5</v>
      </c>
      <c r="J78" s="49">
        <v>1</v>
      </c>
      <c r="K78" s="49">
        <v>1</v>
      </c>
      <c r="L78" s="49">
        <v>0</v>
      </c>
      <c r="M78" s="49">
        <v>24</v>
      </c>
      <c r="N78" s="49">
        <v>0</v>
      </c>
      <c r="O78" s="15">
        <f t="shared" si="35"/>
        <v>72</v>
      </c>
      <c r="P78" s="15">
        <f t="shared" si="36"/>
        <v>96</v>
      </c>
      <c r="R78" s="8"/>
      <c r="T78"/>
    </row>
    <row r="79" spans="2:20" ht="23.1" customHeight="1" x14ac:dyDescent="0.25">
      <c r="B79" s="44" t="s">
        <v>119</v>
      </c>
      <c r="C79" s="49">
        <v>39</v>
      </c>
      <c r="D79" s="49">
        <v>15</v>
      </c>
      <c r="E79" s="49">
        <v>9</v>
      </c>
      <c r="F79" s="49">
        <v>2</v>
      </c>
      <c r="G79" s="49">
        <v>0</v>
      </c>
      <c r="H79" s="49">
        <v>0</v>
      </c>
      <c r="I79" s="49">
        <v>1</v>
      </c>
      <c r="J79" s="49">
        <v>0</v>
      </c>
      <c r="K79" s="49">
        <v>1</v>
      </c>
      <c r="L79" s="49">
        <v>2</v>
      </c>
      <c r="M79" s="49">
        <v>26</v>
      </c>
      <c r="N79" s="49">
        <v>0</v>
      </c>
      <c r="O79" s="15">
        <f t="shared" si="35"/>
        <v>69</v>
      </c>
      <c r="P79" s="15">
        <f t="shared" si="36"/>
        <v>95</v>
      </c>
      <c r="R79" s="8"/>
      <c r="T79"/>
    </row>
    <row r="80" spans="2:20" ht="23.1" customHeight="1" x14ac:dyDescent="0.25">
      <c r="B80" s="46" t="s">
        <v>120</v>
      </c>
      <c r="C80" s="49">
        <v>35</v>
      </c>
      <c r="D80" s="49">
        <v>18</v>
      </c>
      <c r="E80" s="49">
        <v>2</v>
      </c>
      <c r="F80" s="49">
        <v>5</v>
      </c>
      <c r="G80" s="49">
        <v>0</v>
      </c>
      <c r="H80" s="49">
        <v>0</v>
      </c>
      <c r="I80" s="49">
        <v>5</v>
      </c>
      <c r="J80" s="49">
        <v>0</v>
      </c>
      <c r="K80" s="49">
        <v>0</v>
      </c>
      <c r="L80" s="49">
        <v>1</v>
      </c>
      <c r="M80" s="49">
        <v>46</v>
      </c>
      <c r="N80" s="49">
        <v>0</v>
      </c>
      <c r="O80" s="15">
        <f t="shared" si="35"/>
        <v>66</v>
      </c>
      <c r="P80" s="15">
        <f t="shared" si="36"/>
        <v>112</v>
      </c>
      <c r="R80" s="8"/>
      <c r="T80"/>
    </row>
    <row r="81" spans="2:20" ht="23.1" customHeight="1" x14ac:dyDescent="0.25">
      <c r="B81" s="44" t="s">
        <v>121</v>
      </c>
      <c r="C81" s="49">
        <v>25</v>
      </c>
      <c r="D81" s="49">
        <v>4</v>
      </c>
      <c r="E81" s="49">
        <v>0</v>
      </c>
      <c r="F81" s="49">
        <v>3</v>
      </c>
      <c r="G81" s="49">
        <v>0</v>
      </c>
      <c r="H81" s="49">
        <v>0</v>
      </c>
      <c r="I81" s="49">
        <v>0</v>
      </c>
      <c r="J81" s="49">
        <v>0</v>
      </c>
      <c r="K81" s="49">
        <v>0</v>
      </c>
      <c r="L81" s="49">
        <v>0</v>
      </c>
      <c r="M81" s="49">
        <v>32</v>
      </c>
      <c r="N81" s="49">
        <v>0</v>
      </c>
      <c r="O81" s="15">
        <f t="shared" si="35"/>
        <v>32</v>
      </c>
      <c r="P81" s="15">
        <f t="shared" si="36"/>
        <v>64</v>
      </c>
      <c r="R81" s="8"/>
      <c r="T81"/>
    </row>
    <row r="82" spans="2:20" ht="23.1" customHeight="1" x14ac:dyDescent="0.25">
      <c r="B82" s="45" t="s">
        <v>122</v>
      </c>
      <c r="C82" s="49">
        <v>43</v>
      </c>
      <c r="D82" s="49">
        <v>13</v>
      </c>
      <c r="E82" s="49">
        <v>3</v>
      </c>
      <c r="F82" s="49">
        <v>2</v>
      </c>
      <c r="G82" s="49">
        <v>1</v>
      </c>
      <c r="H82" s="49">
        <v>0</v>
      </c>
      <c r="I82" s="49">
        <v>3</v>
      </c>
      <c r="J82" s="49">
        <v>0</v>
      </c>
      <c r="K82" s="49">
        <v>0</v>
      </c>
      <c r="L82" s="49">
        <v>0</v>
      </c>
      <c r="M82" s="49">
        <v>27</v>
      </c>
      <c r="N82" s="49">
        <v>0</v>
      </c>
      <c r="O82" s="15">
        <f t="shared" si="35"/>
        <v>65</v>
      </c>
      <c r="P82" s="15">
        <f t="shared" si="36"/>
        <v>92</v>
      </c>
      <c r="R82" s="8"/>
      <c r="T82"/>
    </row>
    <row r="83" spans="2:20" ht="23.1" customHeight="1" x14ac:dyDescent="0.25">
      <c r="B83" s="44" t="s">
        <v>123</v>
      </c>
      <c r="C83" s="49">
        <v>12</v>
      </c>
      <c r="D83" s="49">
        <v>5</v>
      </c>
      <c r="E83" s="49">
        <v>1</v>
      </c>
      <c r="F83" s="49">
        <v>0</v>
      </c>
      <c r="G83" s="49">
        <v>0</v>
      </c>
      <c r="H83" s="49">
        <v>0</v>
      </c>
      <c r="I83" s="49">
        <v>4</v>
      </c>
      <c r="J83" s="49">
        <v>0</v>
      </c>
      <c r="K83" s="49">
        <v>0</v>
      </c>
      <c r="L83" s="49">
        <v>1</v>
      </c>
      <c r="M83" s="49">
        <v>24</v>
      </c>
      <c r="N83" s="49">
        <v>0</v>
      </c>
      <c r="O83" s="15">
        <f t="shared" si="35"/>
        <v>23</v>
      </c>
      <c r="P83" s="15">
        <f t="shared" si="36"/>
        <v>47</v>
      </c>
      <c r="R83" s="8"/>
      <c r="T83"/>
    </row>
    <row r="84" spans="2:20" ht="23.1" customHeight="1" x14ac:dyDescent="0.25">
      <c r="B84" s="46" t="s">
        <v>124</v>
      </c>
      <c r="C84" s="49">
        <v>20</v>
      </c>
      <c r="D84" s="49">
        <v>8</v>
      </c>
      <c r="E84" s="49">
        <v>1</v>
      </c>
      <c r="F84" s="49">
        <v>0</v>
      </c>
      <c r="G84" s="49">
        <v>0</v>
      </c>
      <c r="H84" s="49">
        <v>0</v>
      </c>
      <c r="I84" s="49">
        <v>2</v>
      </c>
      <c r="J84" s="49">
        <v>1</v>
      </c>
      <c r="K84" s="49">
        <v>1</v>
      </c>
      <c r="L84" s="49">
        <v>1</v>
      </c>
      <c r="M84" s="49">
        <v>7</v>
      </c>
      <c r="N84" s="49">
        <v>0</v>
      </c>
      <c r="O84" s="15">
        <f t="shared" si="35"/>
        <v>34</v>
      </c>
      <c r="P84" s="15">
        <f t="shared" si="36"/>
        <v>41</v>
      </c>
      <c r="R84" s="8"/>
      <c r="T84"/>
    </row>
    <row r="85" spans="2:20" ht="23.1" customHeight="1" x14ac:dyDescent="0.25">
      <c r="B85" s="44" t="s">
        <v>125</v>
      </c>
      <c r="C85" s="49">
        <v>10</v>
      </c>
      <c r="D85" s="49">
        <v>6</v>
      </c>
      <c r="E85" s="49">
        <v>2</v>
      </c>
      <c r="F85" s="49">
        <v>0</v>
      </c>
      <c r="G85" s="49">
        <v>0</v>
      </c>
      <c r="H85" s="49">
        <v>0</v>
      </c>
      <c r="I85" s="49">
        <v>4</v>
      </c>
      <c r="J85" s="49">
        <v>0</v>
      </c>
      <c r="K85" s="49">
        <v>0</v>
      </c>
      <c r="L85" s="49">
        <v>0</v>
      </c>
      <c r="M85" s="49">
        <v>26</v>
      </c>
      <c r="N85" s="49">
        <v>0</v>
      </c>
      <c r="O85" s="15">
        <f t="shared" si="35"/>
        <v>22</v>
      </c>
      <c r="P85" s="15">
        <f t="shared" si="36"/>
        <v>48</v>
      </c>
      <c r="R85" s="8"/>
      <c r="T85"/>
    </row>
    <row r="86" spans="2:20" ht="23.1" customHeight="1" x14ac:dyDescent="0.25">
      <c r="B86" s="45" t="s">
        <v>126</v>
      </c>
      <c r="C86" s="49">
        <v>12</v>
      </c>
      <c r="D86" s="49">
        <v>3</v>
      </c>
      <c r="E86" s="49">
        <v>0</v>
      </c>
      <c r="F86" s="49">
        <v>1</v>
      </c>
      <c r="G86" s="49">
        <v>0</v>
      </c>
      <c r="H86" s="49">
        <v>0</v>
      </c>
      <c r="I86" s="49">
        <v>3</v>
      </c>
      <c r="J86" s="49">
        <v>1</v>
      </c>
      <c r="K86" s="49">
        <v>1</v>
      </c>
      <c r="L86" s="49">
        <v>1</v>
      </c>
      <c r="M86" s="49">
        <v>20</v>
      </c>
      <c r="N86" s="49">
        <v>0</v>
      </c>
      <c r="O86" s="15">
        <f t="shared" si="35"/>
        <v>22</v>
      </c>
      <c r="P86" s="15">
        <f t="shared" si="36"/>
        <v>42</v>
      </c>
      <c r="R86" s="8"/>
      <c r="T86"/>
    </row>
    <row r="87" spans="2:20" ht="23.1" customHeight="1" x14ac:dyDescent="0.25">
      <c r="B87" s="44" t="s">
        <v>127</v>
      </c>
      <c r="C87" s="49">
        <v>17</v>
      </c>
      <c r="D87" s="49">
        <v>4</v>
      </c>
      <c r="E87" s="49">
        <v>3</v>
      </c>
      <c r="F87" s="49">
        <v>0</v>
      </c>
      <c r="G87" s="49">
        <v>0</v>
      </c>
      <c r="H87" s="49">
        <v>0</v>
      </c>
      <c r="I87" s="49">
        <v>6</v>
      </c>
      <c r="J87" s="49">
        <v>0</v>
      </c>
      <c r="K87" s="49">
        <v>0</v>
      </c>
      <c r="L87" s="49">
        <v>0</v>
      </c>
      <c r="M87" s="49">
        <v>30</v>
      </c>
      <c r="N87" s="49">
        <v>0</v>
      </c>
      <c r="O87" s="15">
        <f t="shared" si="35"/>
        <v>30</v>
      </c>
      <c r="P87" s="15">
        <f t="shared" si="36"/>
        <v>60</v>
      </c>
      <c r="R87" s="8"/>
      <c r="T87"/>
    </row>
    <row r="88" spans="2:20" ht="23.1" customHeight="1" x14ac:dyDescent="0.25">
      <c r="B88" s="46" t="s">
        <v>128</v>
      </c>
      <c r="C88" s="49">
        <v>9</v>
      </c>
      <c r="D88" s="49">
        <v>6</v>
      </c>
      <c r="E88" s="49">
        <v>1</v>
      </c>
      <c r="F88" s="49">
        <v>1</v>
      </c>
      <c r="G88" s="49">
        <v>0</v>
      </c>
      <c r="H88" s="49">
        <v>0</v>
      </c>
      <c r="I88" s="49">
        <v>0</v>
      </c>
      <c r="J88" s="49">
        <v>0</v>
      </c>
      <c r="K88" s="49">
        <v>0</v>
      </c>
      <c r="L88" s="49">
        <v>0</v>
      </c>
      <c r="M88" s="49">
        <v>20</v>
      </c>
      <c r="N88" s="49">
        <v>0</v>
      </c>
      <c r="O88" s="15">
        <f t="shared" si="35"/>
        <v>17</v>
      </c>
      <c r="P88" s="15">
        <f t="shared" si="36"/>
        <v>37</v>
      </c>
      <c r="R88" s="8"/>
      <c r="T88"/>
    </row>
    <row r="89" spans="2:20" ht="23.1" customHeight="1" x14ac:dyDescent="0.25">
      <c r="B89" s="44" t="s">
        <v>129</v>
      </c>
      <c r="C89" s="49">
        <v>11</v>
      </c>
      <c r="D89" s="49">
        <v>0</v>
      </c>
      <c r="E89" s="49">
        <v>0</v>
      </c>
      <c r="F89" s="49">
        <v>0</v>
      </c>
      <c r="G89" s="49">
        <v>0</v>
      </c>
      <c r="H89" s="49">
        <v>0</v>
      </c>
      <c r="I89" s="49">
        <v>0</v>
      </c>
      <c r="J89" s="49">
        <v>2</v>
      </c>
      <c r="K89" s="49">
        <v>0</v>
      </c>
      <c r="L89" s="49">
        <v>0</v>
      </c>
      <c r="M89" s="49">
        <v>18</v>
      </c>
      <c r="N89" s="49">
        <v>0</v>
      </c>
      <c r="O89" s="15">
        <f t="shared" si="35"/>
        <v>13</v>
      </c>
      <c r="P89" s="15">
        <f t="shared" si="36"/>
        <v>31</v>
      </c>
      <c r="R89" s="8"/>
      <c r="T89"/>
    </row>
    <row r="90" spans="2:20" ht="23.1" customHeight="1" x14ac:dyDescent="0.25">
      <c r="B90" s="45" t="s">
        <v>130</v>
      </c>
      <c r="C90" s="49">
        <v>15</v>
      </c>
      <c r="D90" s="49">
        <v>0</v>
      </c>
      <c r="E90" s="49">
        <v>5</v>
      </c>
      <c r="F90" s="49">
        <v>1</v>
      </c>
      <c r="G90" s="49">
        <v>0</v>
      </c>
      <c r="H90" s="49">
        <v>0</v>
      </c>
      <c r="I90" s="49">
        <v>2</v>
      </c>
      <c r="J90" s="49">
        <v>1</v>
      </c>
      <c r="K90" s="49">
        <v>0</v>
      </c>
      <c r="L90" s="49">
        <v>0</v>
      </c>
      <c r="M90" s="49">
        <v>5</v>
      </c>
      <c r="N90" s="49">
        <v>0</v>
      </c>
      <c r="O90" s="15">
        <f t="shared" si="35"/>
        <v>24</v>
      </c>
      <c r="P90" s="15">
        <f t="shared" si="36"/>
        <v>29</v>
      </c>
      <c r="R90" s="8"/>
      <c r="T90"/>
    </row>
    <row r="91" spans="2:20" ht="23.1" customHeight="1" x14ac:dyDescent="0.25">
      <c r="B91" s="44" t="s">
        <v>131</v>
      </c>
      <c r="C91" s="49">
        <v>25</v>
      </c>
      <c r="D91" s="49">
        <v>7</v>
      </c>
      <c r="E91" s="49">
        <v>1</v>
      </c>
      <c r="F91" s="49">
        <v>1</v>
      </c>
      <c r="G91" s="49">
        <v>0</v>
      </c>
      <c r="H91" s="49">
        <v>0</v>
      </c>
      <c r="I91" s="49">
        <v>2</v>
      </c>
      <c r="J91" s="49">
        <v>0</v>
      </c>
      <c r="K91" s="49">
        <v>0</v>
      </c>
      <c r="L91" s="49">
        <v>2</v>
      </c>
      <c r="M91" s="49">
        <v>11</v>
      </c>
      <c r="N91" s="49">
        <v>0</v>
      </c>
      <c r="O91" s="15">
        <f t="shared" si="35"/>
        <v>38</v>
      </c>
      <c r="P91" s="15">
        <f t="shared" si="36"/>
        <v>49</v>
      </c>
      <c r="R91" s="8"/>
      <c r="T91"/>
    </row>
    <row r="92" spans="2:20" ht="23.1" customHeight="1" x14ac:dyDescent="0.25">
      <c r="B92" s="46" t="s">
        <v>132</v>
      </c>
      <c r="C92" s="49">
        <v>18</v>
      </c>
      <c r="D92" s="49">
        <v>2</v>
      </c>
      <c r="E92" s="49">
        <v>1</v>
      </c>
      <c r="F92" s="49">
        <v>0</v>
      </c>
      <c r="G92" s="49">
        <v>0</v>
      </c>
      <c r="H92" s="49">
        <v>0</v>
      </c>
      <c r="I92" s="49">
        <v>2</v>
      </c>
      <c r="J92" s="49">
        <v>0</v>
      </c>
      <c r="K92" s="49">
        <v>0</v>
      </c>
      <c r="L92" s="49">
        <v>1</v>
      </c>
      <c r="M92" s="49">
        <v>8</v>
      </c>
      <c r="N92" s="49">
        <v>0</v>
      </c>
      <c r="O92" s="15">
        <f t="shared" si="35"/>
        <v>24</v>
      </c>
      <c r="P92" s="15">
        <f t="shared" si="36"/>
        <v>32</v>
      </c>
      <c r="R92" s="8"/>
      <c r="T92"/>
    </row>
    <row r="93" spans="2:20" ht="23.1" customHeight="1" x14ac:dyDescent="0.25">
      <c r="B93" s="44" t="s">
        <v>133</v>
      </c>
      <c r="C93" s="49">
        <v>12</v>
      </c>
      <c r="D93" s="49">
        <v>0</v>
      </c>
      <c r="E93" s="49">
        <v>0</v>
      </c>
      <c r="F93" s="49">
        <v>2</v>
      </c>
      <c r="G93" s="49">
        <v>0</v>
      </c>
      <c r="H93" s="49">
        <v>1</v>
      </c>
      <c r="I93" s="49">
        <v>0</v>
      </c>
      <c r="J93" s="49">
        <v>1</v>
      </c>
      <c r="K93" s="49">
        <v>0</v>
      </c>
      <c r="L93" s="49">
        <v>0</v>
      </c>
      <c r="M93" s="49">
        <v>12</v>
      </c>
      <c r="N93" s="49">
        <v>0</v>
      </c>
      <c r="O93" s="15">
        <f t="shared" si="35"/>
        <v>16</v>
      </c>
      <c r="P93" s="15">
        <f t="shared" si="36"/>
        <v>28</v>
      </c>
      <c r="R93" s="8"/>
      <c r="T93"/>
    </row>
    <row r="94" spans="2:20" ht="23.1" customHeight="1" x14ac:dyDescent="0.25">
      <c r="B94" s="45" t="s">
        <v>134</v>
      </c>
      <c r="C94" s="49">
        <v>13</v>
      </c>
      <c r="D94" s="49">
        <v>2</v>
      </c>
      <c r="E94" s="49">
        <v>1</v>
      </c>
      <c r="F94" s="49">
        <v>1</v>
      </c>
      <c r="G94" s="49">
        <v>1</v>
      </c>
      <c r="H94" s="49">
        <v>0</v>
      </c>
      <c r="I94" s="49">
        <v>1</v>
      </c>
      <c r="J94" s="49">
        <v>2</v>
      </c>
      <c r="K94" s="49">
        <v>1</v>
      </c>
      <c r="L94" s="49">
        <v>3</v>
      </c>
      <c r="M94" s="49">
        <v>14</v>
      </c>
      <c r="N94" s="49">
        <v>0</v>
      </c>
      <c r="O94" s="15">
        <f t="shared" si="35"/>
        <v>25</v>
      </c>
      <c r="P94" s="15">
        <f t="shared" si="36"/>
        <v>39</v>
      </c>
      <c r="R94" s="8"/>
      <c r="T94"/>
    </row>
    <row r="95" spans="2:20" ht="23.1" customHeight="1" x14ac:dyDescent="0.25">
      <c r="B95" s="44" t="s">
        <v>135</v>
      </c>
      <c r="C95" s="49">
        <v>27</v>
      </c>
      <c r="D95" s="49">
        <v>5</v>
      </c>
      <c r="E95" s="49">
        <v>1</v>
      </c>
      <c r="F95" s="49">
        <v>0</v>
      </c>
      <c r="G95" s="49">
        <v>0</v>
      </c>
      <c r="H95" s="49">
        <v>0</v>
      </c>
      <c r="I95" s="49">
        <v>2</v>
      </c>
      <c r="J95" s="49">
        <v>0</v>
      </c>
      <c r="K95" s="49">
        <v>0</v>
      </c>
      <c r="L95" s="49">
        <v>0</v>
      </c>
      <c r="M95" s="49">
        <v>6</v>
      </c>
      <c r="N95" s="49">
        <v>0</v>
      </c>
      <c r="O95" s="15">
        <f t="shared" si="35"/>
        <v>35</v>
      </c>
      <c r="P95" s="15">
        <f t="shared" si="36"/>
        <v>41</v>
      </c>
      <c r="R95" s="8"/>
      <c r="T95"/>
    </row>
    <row r="96" spans="2:20" ht="23.1" customHeight="1" x14ac:dyDescent="0.25">
      <c r="B96" s="46" t="s">
        <v>136</v>
      </c>
      <c r="C96" s="49">
        <v>30</v>
      </c>
      <c r="D96" s="49">
        <v>6</v>
      </c>
      <c r="E96" s="49">
        <v>2</v>
      </c>
      <c r="F96" s="49">
        <v>1</v>
      </c>
      <c r="G96" s="49">
        <v>0</v>
      </c>
      <c r="H96" s="49">
        <v>0</v>
      </c>
      <c r="I96" s="49">
        <v>1</v>
      </c>
      <c r="J96" s="49">
        <v>0</v>
      </c>
      <c r="K96" s="49">
        <v>0</v>
      </c>
      <c r="L96" s="49">
        <v>5</v>
      </c>
      <c r="M96" s="49">
        <v>13</v>
      </c>
      <c r="N96" s="49">
        <v>0</v>
      </c>
      <c r="O96" s="15">
        <f t="shared" si="35"/>
        <v>45</v>
      </c>
      <c r="P96" s="15">
        <f t="shared" si="36"/>
        <v>58</v>
      </c>
      <c r="R96" s="8"/>
      <c r="T96"/>
    </row>
    <row r="97" spans="2:20" ht="23.1" customHeight="1" x14ac:dyDescent="0.25">
      <c r="B97" s="44" t="s">
        <v>137</v>
      </c>
      <c r="C97" s="49">
        <v>18</v>
      </c>
      <c r="D97" s="49">
        <v>4</v>
      </c>
      <c r="E97" s="49">
        <v>1</v>
      </c>
      <c r="F97" s="49">
        <v>0</v>
      </c>
      <c r="G97" s="49">
        <v>0</v>
      </c>
      <c r="H97" s="49">
        <v>0</v>
      </c>
      <c r="I97" s="49">
        <v>2</v>
      </c>
      <c r="J97" s="49">
        <v>0</v>
      </c>
      <c r="K97" s="49">
        <v>0</v>
      </c>
      <c r="L97" s="49">
        <v>0</v>
      </c>
      <c r="M97" s="49">
        <v>23</v>
      </c>
      <c r="N97" s="49">
        <v>0</v>
      </c>
      <c r="O97" s="15">
        <f t="shared" si="35"/>
        <v>25</v>
      </c>
      <c r="P97" s="15">
        <f t="shared" si="36"/>
        <v>48</v>
      </c>
      <c r="R97" s="8"/>
      <c r="T97"/>
    </row>
    <row r="98" spans="2:20" ht="23.1" customHeight="1" x14ac:dyDescent="0.25">
      <c r="B98" s="45" t="s">
        <v>138</v>
      </c>
      <c r="C98" s="49">
        <v>27</v>
      </c>
      <c r="D98" s="49">
        <v>3</v>
      </c>
      <c r="E98" s="49">
        <v>2</v>
      </c>
      <c r="F98" s="49">
        <v>1</v>
      </c>
      <c r="G98" s="49">
        <v>0</v>
      </c>
      <c r="H98" s="49">
        <v>0</v>
      </c>
      <c r="I98" s="49">
        <v>0</v>
      </c>
      <c r="J98" s="49">
        <v>1</v>
      </c>
      <c r="K98" s="49">
        <v>0</v>
      </c>
      <c r="L98" s="49">
        <v>0</v>
      </c>
      <c r="M98" s="49">
        <v>15</v>
      </c>
      <c r="N98" s="49">
        <v>0</v>
      </c>
      <c r="O98" s="15">
        <f t="shared" si="35"/>
        <v>34</v>
      </c>
      <c r="P98" s="15">
        <f t="shared" si="36"/>
        <v>49</v>
      </c>
      <c r="R98" s="8"/>
      <c r="T98"/>
    </row>
    <row r="99" spans="2:20" ht="23.1" customHeight="1" x14ac:dyDescent="0.25">
      <c r="B99" s="44" t="s">
        <v>139</v>
      </c>
      <c r="C99" s="49">
        <v>33</v>
      </c>
      <c r="D99" s="49">
        <v>4</v>
      </c>
      <c r="E99" s="49">
        <v>3</v>
      </c>
      <c r="F99" s="49">
        <v>0</v>
      </c>
      <c r="G99" s="49">
        <v>0</v>
      </c>
      <c r="H99" s="49">
        <v>0</v>
      </c>
      <c r="I99" s="49">
        <v>1</v>
      </c>
      <c r="J99" s="49">
        <v>0</v>
      </c>
      <c r="K99" s="49">
        <v>1</v>
      </c>
      <c r="L99" s="49">
        <v>1</v>
      </c>
      <c r="M99" s="49">
        <v>63</v>
      </c>
      <c r="N99" s="49">
        <v>0</v>
      </c>
      <c r="O99" s="15">
        <f t="shared" si="35"/>
        <v>43</v>
      </c>
      <c r="P99" s="15">
        <f t="shared" si="36"/>
        <v>106</v>
      </c>
      <c r="R99" s="8"/>
      <c r="T99"/>
    </row>
    <row r="100" spans="2:20" ht="23.1" customHeight="1" x14ac:dyDescent="0.25">
      <c r="B100" s="46" t="s">
        <v>140</v>
      </c>
      <c r="C100" s="49">
        <v>12</v>
      </c>
      <c r="D100" s="49">
        <v>0</v>
      </c>
      <c r="E100" s="49">
        <v>1</v>
      </c>
      <c r="F100" s="49">
        <v>0</v>
      </c>
      <c r="G100" s="49">
        <v>0</v>
      </c>
      <c r="H100" s="49">
        <v>0</v>
      </c>
      <c r="I100" s="49">
        <v>3</v>
      </c>
      <c r="J100" s="49">
        <v>0</v>
      </c>
      <c r="K100" s="49">
        <v>1</v>
      </c>
      <c r="L100" s="49">
        <v>0</v>
      </c>
      <c r="M100" s="49">
        <v>68</v>
      </c>
      <c r="N100" s="49">
        <v>0</v>
      </c>
      <c r="O100" s="15">
        <f t="shared" si="35"/>
        <v>17</v>
      </c>
      <c r="P100" s="15">
        <f t="shared" si="36"/>
        <v>85</v>
      </c>
      <c r="R100" s="8"/>
      <c r="T100"/>
    </row>
    <row r="101" spans="2:20" ht="23.1" customHeight="1" x14ac:dyDescent="0.25">
      <c r="B101" s="44" t="s">
        <v>141</v>
      </c>
      <c r="C101" s="49">
        <v>10</v>
      </c>
      <c r="D101" s="49">
        <v>2</v>
      </c>
      <c r="E101" s="49">
        <v>3</v>
      </c>
      <c r="F101" s="49">
        <v>2</v>
      </c>
      <c r="G101" s="49">
        <v>0</v>
      </c>
      <c r="H101" s="49">
        <v>0</v>
      </c>
      <c r="I101" s="49">
        <v>2</v>
      </c>
      <c r="J101" s="49">
        <v>1</v>
      </c>
      <c r="K101" s="49">
        <v>0</v>
      </c>
      <c r="L101" s="49">
        <v>0</v>
      </c>
      <c r="M101" s="49">
        <v>67</v>
      </c>
      <c r="N101" s="49">
        <v>0</v>
      </c>
      <c r="O101" s="15">
        <f t="shared" si="35"/>
        <v>20</v>
      </c>
      <c r="P101" s="15">
        <f t="shared" si="36"/>
        <v>87</v>
      </c>
      <c r="R101" s="8"/>
      <c r="T101"/>
    </row>
    <row r="102" spans="2:20" ht="23.1" customHeight="1" x14ac:dyDescent="0.25">
      <c r="B102" s="45" t="s">
        <v>142</v>
      </c>
      <c r="C102" s="49">
        <v>17</v>
      </c>
      <c r="D102" s="49">
        <v>3</v>
      </c>
      <c r="E102" s="49">
        <v>5</v>
      </c>
      <c r="F102" s="49">
        <v>0</v>
      </c>
      <c r="G102" s="49">
        <v>0</v>
      </c>
      <c r="H102" s="49">
        <v>0</v>
      </c>
      <c r="I102" s="49">
        <v>1</v>
      </c>
      <c r="J102" s="49">
        <v>0</v>
      </c>
      <c r="K102" s="49">
        <v>0</v>
      </c>
      <c r="L102" s="49">
        <v>1</v>
      </c>
      <c r="M102" s="49">
        <v>55</v>
      </c>
      <c r="N102" s="49">
        <v>0</v>
      </c>
      <c r="O102" s="15">
        <f t="shared" si="35"/>
        <v>27</v>
      </c>
      <c r="P102" s="15">
        <f t="shared" si="36"/>
        <v>82</v>
      </c>
      <c r="R102" s="8"/>
      <c r="T102"/>
    </row>
    <row r="103" spans="2:20" ht="23.1" customHeight="1" x14ac:dyDescent="0.25">
      <c r="B103" s="44" t="s">
        <v>143</v>
      </c>
      <c r="C103" s="49">
        <v>12</v>
      </c>
      <c r="D103" s="49">
        <v>3</v>
      </c>
      <c r="E103" s="49">
        <v>7</v>
      </c>
      <c r="F103" s="49">
        <v>0</v>
      </c>
      <c r="G103" s="49">
        <v>0</v>
      </c>
      <c r="H103" s="49">
        <v>0</v>
      </c>
      <c r="I103" s="49">
        <v>3</v>
      </c>
      <c r="J103" s="49">
        <v>0</v>
      </c>
      <c r="K103" s="49">
        <v>1</v>
      </c>
      <c r="L103" s="49">
        <v>0</v>
      </c>
      <c r="M103" s="49">
        <v>73</v>
      </c>
      <c r="N103" s="49">
        <v>0</v>
      </c>
      <c r="O103" s="15">
        <f t="shared" si="35"/>
        <v>26</v>
      </c>
      <c r="P103" s="15">
        <f t="shared" si="36"/>
        <v>99</v>
      </c>
      <c r="R103" s="8"/>
      <c r="T103"/>
    </row>
    <row r="104" spans="2:20" ht="23.1" customHeight="1" x14ac:dyDescent="0.25">
      <c r="B104" s="46" t="s">
        <v>144</v>
      </c>
      <c r="C104" s="49">
        <v>29</v>
      </c>
      <c r="D104" s="49">
        <v>7</v>
      </c>
      <c r="E104" s="49">
        <v>3</v>
      </c>
      <c r="F104" s="49">
        <v>2</v>
      </c>
      <c r="G104" s="49">
        <v>0</v>
      </c>
      <c r="H104" s="49">
        <v>0</v>
      </c>
      <c r="I104" s="49">
        <v>4</v>
      </c>
      <c r="J104" s="49">
        <v>0</v>
      </c>
      <c r="K104" s="49">
        <v>1</v>
      </c>
      <c r="L104" s="49">
        <v>0</v>
      </c>
      <c r="M104" s="49">
        <v>75</v>
      </c>
      <c r="N104" s="49">
        <v>0</v>
      </c>
      <c r="O104" s="15">
        <f t="shared" si="35"/>
        <v>46</v>
      </c>
      <c r="P104" s="15">
        <f t="shared" si="36"/>
        <v>121</v>
      </c>
      <c r="R104" s="8"/>
      <c r="T104"/>
    </row>
    <row r="105" spans="2:20" ht="23.1" customHeight="1" x14ac:dyDescent="0.25">
      <c r="B105" s="44" t="s">
        <v>145</v>
      </c>
      <c r="C105" s="49">
        <v>16</v>
      </c>
      <c r="D105" s="49">
        <v>5</v>
      </c>
      <c r="E105" s="49">
        <v>5</v>
      </c>
      <c r="F105" s="49">
        <v>1</v>
      </c>
      <c r="G105" s="49">
        <v>0</v>
      </c>
      <c r="H105" s="49">
        <v>0</v>
      </c>
      <c r="I105" s="49">
        <v>2</v>
      </c>
      <c r="J105" s="49">
        <v>4</v>
      </c>
      <c r="K105" s="49">
        <v>0</v>
      </c>
      <c r="L105" s="49">
        <v>2</v>
      </c>
      <c r="M105" s="49">
        <v>130</v>
      </c>
      <c r="N105" s="49">
        <v>0</v>
      </c>
      <c r="O105" s="15">
        <f t="shared" si="35"/>
        <v>35</v>
      </c>
      <c r="P105" s="15">
        <f t="shared" si="36"/>
        <v>165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8207</v>
      </c>
      <c r="D106" s="16">
        <f t="shared" ref="D106:P106" si="37">SUM(D10:D105)</f>
        <v>2031</v>
      </c>
      <c r="E106" s="16">
        <f t="shared" si="37"/>
        <v>807</v>
      </c>
      <c r="F106" s="16">
        <f t="shared" si="37"/>
        <v>283</v>
      </c>
      <c r="G106" s="16">
        <f t="shared" si="37"/>
        <v>46</v>
      </c>
      <c r="H106" s="16">
        <f t="shared" si="37"/>
        <v>21</v>
      </c>
      <c r="I106" s="16">
        <f t="shared" si="37"/>
        <v>650</v>
      </c>
      <c r="J106" s="16">
        <f t="shared" si="37"/>
        <v>280</v>
      </c>
      <c r="K106" s="16">
        <f t="shared" si="37"/>
        <v>149</v>
      </c>
      <c r="L106" s="16">
        <f t="shared" si="37"/>
        <v>126</v>
      </c>
      <c r="M106" s="16">
        <f t="shared" si="37"/>
        <v>32359</v>
      </c>
      <c r="N106" s="16">
        <f t="shared" si="37"/>
        <v>8</v>
      </c>
      <c r="O106" s="16">
        <f t="shared" si="37"/>
        <v>12608</v>
      </c>
      <c r="P106" s="16">
        <f t="shared" si="37"/>
        <v>44967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0.18251161963217472</v>
      </c>
      <c r="D107" s="42">
        <f t="shared" si="38"/>
        <v>4.516645540062713E-2</v>
      </c>
      <c r="E107" s="42">
        <f t="shared" si="38"/>
        <v>1.794649409567016E-2</v>
      </c>
      <c r="F107" s="42">
        <f t="shared" si="38"/>
        <v>6.2935041252474037E-3</v>
      </c>
      <c r="G107" s="42">
        <f t="shared" si="38"/>
        <v>1.0229724019836768E-3</v>
      </c>
      <c r="H107" s="42">
        <f t="shared" si="38"/>
        <v>4.670091400360264E-4</v>
      </c>
      <c r="I107" s="42">
        <f t="shared" si="38"/>
        <v>1.4455044810638912E-2</v>
      </c>
      <c r="J107" s="42">
        <f t="shared" si="38"/>
        <v>6.2267885338136856E-3</v>
      </c>
      <c r="K107" s="42">
        <f t="shared" si="38"/>
        <v>3.3135410412079968E-3</v>
      </c>
      <c r="L107" s="42">
        <f t="shared" si="38"/>
        <v>2.8020548402161584E-3</v>
      </c>
      <c r="M107" s="42">
        <f t="shared" si="38"/>
        <v>0.71961660773456093</v>
      </c>
      <c r="N107" s="42">
        <f t="shared" si="38"/>
        <v>1.7790824382324816E-4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0.65093591370558379</v>
      </c>
      <c r="D108" s="43">
        <f t="shared" ref="D108:N108" si="39">D106/$O$106</f>
        <v>0.16108819796954316</v>
      </c>
      <c r="E108" s="43">
        <f t="shared" si="39"/>
        <v>6.4006979695431468E-2</v>
      </c>
      <c r="F108" s="43">
        <f t="shared" si="39"/>
        <v>2.2446065989847715E-2</v>
      </c>
      <c r="G108" s="43">
        <f t="shared" si="39"/>
        <v>3.6484771573604062E-3</v>
      </c>
      <c r="H108" s="43">
        <f t="shared" si="39"/>
        <v>1.6656091370558376E-3</v>
      </c>
      <c r="I108" s="43">
        <f t="shared" si="39"/>
        <v>5.155456852791878E-2</v>
      </c>
      <c r="J108" s="43">
        <f t="shared" si="39"/>
        <v>2.2208121827411168E-2</v>
      </c>
      <c r="K108" s="43">
        <f t="shared" si="39"/>
        <v>1.1817893401015229E-2</v>
      </c>
      <c r="L108" s="43">
        <f t="shared" si="39"/>
        <v>9.9936548223350258E-3</v>
      </c>
      <c r="M108" s="43"/>
      <c r="N108" s="43">
        <f t="shared" si="39"/>
        <v>6.3451776649746188E-4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topLeftCell="A3" zoomScale="60" workbookViewId="0">
      <selection activeCell="E57" sqref="E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'30.7.Jinja RD-Mukwano RD'!C3:G3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188</v>
      </c>
      <c r="E5" s="3"/>
      <c r="F5" s="40" t="s">
        <v>1</v>
      </c>
      <c r="G5" s="58" t="e">
        <f>#REF!</f>
        <v>#REF!</v>
      </c>
      <c r="H5" s="59"/>
      <c r="I5" s="14"/>
      <c r="J5" s="2" t="s">
        <v>5</v>
      </c>
      <c r="K5" s="58" t="s">
        <v>187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166</v>
      </c>
      <c r="E6" s="59"/>
      <c r="F6" s="2" t="s">
        <v>2</v>
      </c>
      <c r="G6" s="58" t="s">
        <v>165</v>
      </c>
      <c r="H6" s="59"/>
      <c r="J6" s="2" t="s">
        <v>21</v>
      </c>
      <c r="K6" s="58" t="e">
        <f>#REF!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15</v>
      </c>
      <c r="D10" s="49">
        <v>4</v>
      </c>
      <c r="E10" s="49">
        <v>3</v>
      </c>
      <c r="F10" s="49">
        <v>2</v>
      </c>
      <c r="G10" s="49">
        <v>0</v>
      </c>
      <c r="H10" s="49">
        <v>0</v>
      </c>
      <c r="I10" s="49">
        <v>3</v>
      </c>
      <c r="J10" s="49">
        <v>2</v>
      </c>
      <c r="K10" s="49">
        <v>2</v>
      </c>
      <c r="L10" s="49">
        <v>0</v>
      </c>
      <c r="M10" s="49">
        <v>25</v>
      </c>
      <c r="N10" s="49">
        <v>0</v>
      </c>
      <c r="O10" s="15">
        <f t="shared" ref="O10:O57" si="0">SUM(C10:L10,N10)</f>
        <v>31</v>
      </c>
      <c r="P10" s="15">
        <f t="shared" ref="P10:P57" si="1">SUM(C10:N10)</f>
        <v>56</v>
      </c>
      <c r="R10" s="1" t="s">
        <v>6</v>
      </c>
      <c r="S10" s="17">
        <f t="shared" ref="S10:AF10" si="2">SUM(C10:C13)</f>
        <v>183</v>
      </c>
      <c r="T10" s="17">
        <f t="shared" si="2"/>
        <v>44</v>
      </c>
      <c r="U10" s="17">
        <f t="shared" si="2"/>
        <v>19</v>
      </c>
      <c r="V10" s="17">
        <f t="shared" si="2"/>
        <v>34</v>
      </c>
      <c r="W10" s="17">
        <f t="shared" si="2"/>
        <v>0</v>
      </c>
      <c r="X10" s="17">
        <f t="shared" si="2"/>
        <v>0</v>
      </c>
      <c r="Y10" s="17">
        <f t="shared" si="2"/>
        <v>11</v>
      </c>
      <c r="Z10" s="17">
        <f t="shared" si="2"/>
        <v>11</v>
      </c>
      <c r="AA10" s="17">
        <f t="shared" si="2"/>
        <v>6</v>
      </c>
      <c r="AB10" s="17">
        <f t="shared" si="2"/>
        <v>3</v>
      </c>
      <c r="AC10" s="17">
        <f t="shared" si="2"/>
        <v>410</v>
      </c>
      <c r="AD10" s="17">
        <f t="shared" si="2"/>
        <v>0</v>
      </c>
      <c r="AE10" s="30">
        <f t="shared" si="2"/>
        <v>311</v>
      </c>
      <c r="AF10" s="30">
        <f t="shared" si="2"/>
        <v>721</v>
      </c>
    </row>
    <row r="11" spans="2:32" s="6" customFormat="1" ht="23.1" customHeight="1" x14ac:dyDescent="0.25">
      <c r="B11" s="22" t="s">
        <v>38</v>
      </c>
      <c r="C11" s="49">
        <v>52</v>
      </c>
      <c r="D11" s="49">
        <v>15</v>
      </c>
      <c r="E11" s="49">
        <v>6</v>
      </c>
      <c r="F11" s="49">
        <v>11</v>
      </c>
      <c r="G11" s="49">
        <v>0</v>
      </c>
      <c r="H11" s="49">
        <v>0</v>
      </c>
      <c r="I11" s="49">
        <v>2</v>
      </c>
      <c r="J11" s="49">
        <v>1</v>
      </c>
      <c r="K11" s="49">
        <v>2</v>
      </c>
      <c r="L11" s="49">
        <v>1</v>
      </c>
      <c r="M11" s="49">
        <v>85</v>
      </c>
      <c r="N11" s="49">
        <v>0</v>
      </c>
      <c r="O11" s="15">
        <f t="shared" si="0"/>
        <v>90</v>
      </c>
      <c r="P11" s="15">
        <f t="shared" si="1"/>
        <v>175</v>
      </c>
      <c r="R11" s="1" t="s">
        <v>7</v>
      </c>
      <c r="S11" s="17">
        <f t="shared" ref="S11:AF11" si="3">SUM(C14:C17)</f>
        <v>261</v>
      </c>
      <c r="T11" s="17">
        <f t="shared" si="3"/>
        <v>51</v>
      </c>
      <c r="U11" s="17">
        <f t="shared" si="3"/>
        <v>25</v>
      </c>
      <c r="V11" s="17">
        <f t="shared" si="3"/>
        <v>49</v>
      </c>
      <c r="W11" s="17">
        <f t="shared" si="3"/>
        <v>2</v>
      </c>
      <c r="X11" s="17">
        <f t="shared" si="3"/>
        <v>0</v>
      </c>
      <c r="Y11" s="17">
        <f t="shared" si="3"/>
        <v>15</v>
      </c>
      <c r="Z11" s="17">
        <f t="shared" si="3"/>
        <v>11</v>
      </c>
      <c r="AA11" s="17">
        <f t="shared" si="3"/>
        <v>4</v>
      </c>
      <c r="AB11" s="17">
        <f t="shared" si="3"/>
        <v>8</v>
      </c>
      <c r="AC11" s="17">
        <f t="shared" si="3"/>
        <v>567</v>
      </c>
      <c r="AD11" s="17">
        <f t="shared" si="3"/>
        <v>0</v>
      </c>
      <c r="AE11" s="30">
        <f t="shared" si="3"/>
        <v>426</v>
      </c>
      <c r="AF11" s="30">
        <f t="shared" si="3"/>
        <v>993</v>
      </c>
    </row>
    <row r="12" spans="2:32" ht="23.1" customHeight="1" x14ac:dyDescent="0.25">
      <c r="B12" s="22" t="s">
        <v>39</v>
      </c>
      <c r="C12" s="49">
        <v>57</v>
      </c>
      <c r="D12" s="49">
        <v>7</v>
      </c>
      <c r="E12" s="49">
        <v>5</v>
      </c>
      <c r="F12" s="49">
        <v>12</v>
      </c>
      <c r="G12" s="49">
        <v>0</v>
      </c>
      <c r="H12" s="49">
        <v>0</v>
      </c>
      <c r="I12" s="49">
        <v>0</v>
      </c>
      <c r="J12" s="49">
        <v>4</v>
      </c>
      <c r="K12" s="49">
        <v>0</v>
      </c>
      <c r="L12" s="49">
        <v>1</v>
      </c>
      <c r="M12" s="49">
        <v>35</v>
      </c>
      <c r="N12" s="49">
        <v>0</v>
      </c>
      <c r="O12" s="15">
        <f t="shared" si="0"/>
        <v>86</v>
      </c>
      <c r="P12" s="15">
        <f t="shared" si="1"/>
        <v>121</v>
      </c>
      <c r="R12" s="1" t="s">
        <v>8</v>
      </c>
      <c r="S12" s="17">
        <f t="shared" ref="S12:AF12" si="4">SUM(C18:C21)</f>
        <v>427</v>
      </c>
      <c r="T12" s="17">
        <f t="shared" si="4"/>
        <v>77</v>
      </c>
      <c r="U12" s="17">
        <f t="shared" si="4"/>
        <v>34</v>
      </c>
      <c r="V12" s="17">
        <f t="shared" si="4"/>
        <v>44</v>
      </c>
      <c r="W12" s="17">
        <f t="shared" si="4"/>
        <v>6</v>
      </c>
      <c r="X12" s="17">
        <f t="shared" si="4"/>
        <v>0</v>
      </c>
      <c r="Y12" s="17">
        <f t="shared" si="4"/>
        <v>18</v>
      </c>
      <c r="Z12" s="17">
        <f t="shared" si="4"/>
        <v>18</v>
      </c>
      <c r="AA12" s="17">
        <f t="shared" si="4"/>
        <v>5</v>
      </c>
      <c r="AB12" s="17">
        <f t="shared" si="4"/>
        <v>3</v>
      </c>
      <c r="AC12" s="17">
        <f t="shared" si="4"/>
        <v>845</v>
      </c>
      <c r="AD12" s="17">
        <f t="shared" si="4"/>
        <v>0</v>
      </c>
      <c r="AE12" s="30">
        <f t="shared" si="4"/>
        <v>632</v>
      </c>
      <c r="AF12" s="30">
        <f t="shared" si="4"/>
        <v>1477</v>
      </c>
    </row>
    <row r="13" spans="2:32" ht="23.1" customHeight="1" x14ac:dyDescent="0.25">
      <c r="B13" s="22" t="s">
        <v>40</v>
      </c>
      <c r="C13" s="49">
        <v>59</v>
      </c>
      <c r="D13" s="49">
        <v>18</v>
      </c>
      <c r="E13" s="49">
        <v>5</v>
      </c>
      <c r="F13" s="49">
        <v>9</v>
      </c>
      <c r="G13" s="49">
        <v>0</v>
      </c>
      <c r="H13" s="49">
        <v>0</v>
      </c>
      <c r="I13" s="49">
        <v>6</v>
      </c>
      <c r="J13" s="49">
        <v>4</v>
      </c>
      <c r="K13" s="49">
        <v>2</v>
      </c>
      <c r="L13" s="49">
        <v>1</v>
      </c>
      <c r="M13" s="49">
        <v>265</v>
      </c>
      <c r="N13" s="49">
        <v>0</v>
      </c>
      <c r="O13" s="15">
        <f t="shared" si="0"/>
        <v>104</v>
      </c>
      <c r="P13" s="15">
        <f t="shared" si="1"/>
        <v>369</v>
      </c>
      <c r="R13" s="1" t="s">
        <v>9</v>
      </c>
      <c r="S13" s="17">
        <f t="shared" ref="S13:AF13" si="5">SUM(C22:C25)</f>
        <v>457</v>
      </c>
      <c r="T13" s="17">
        <f t="shared" si="5"/>
        <v>74</v>
      </c>
      <c r="U13" s="17">
        <f t="shared" si="5"/>
        <v>33</v>
      </c>
      <c r="V13" s="17">
        <f t="shared" si="5"/>
        <v>38</v>
      </c>
      <c r="W13" s="17">
        <f t="shared" si="5"/>
        <v>6</v>
      </c>
      <c r="X13" s="17">
        <f t="shared" si="5"/>
        <v>0</v>
      </c>
      <c r="Y13" s="17">
        <f t="shared" si="5"/>
        <v>17</v>
      </c>
      <c r="Z13" s="17">
        <f t="shared" si="5"/>
        <v>13</v>
      </c>
      <c r="AA13" s="17">
        <f t="shared" si="5"/>
        <v>1</v>
      </c>
      <c r="AB13" s="17">
        <f t="shared" si="5"/>
        <v>10</v>
      </c>
      <c r="AC13" s="17">
        <f t="shared" si="5"/>
        <v>640</v>
      </c>
      <c r="AD13" s="17">
        <f t="shared" si="5"/>
        <v>0</v>
      </c>
      <c r="AE13" s="30">
        <f t="shared" si="5"/>
        <v>649</v>
      </c>
      <c r="AF13" s="30">
        <f t="shared" si="5"/>
        <v>1289</v>
      </c>
    </row>
    <row r="14" spans="2:32" ht="23.1" customHeight="1" x14ac:dyDescent="0.25">
      <c r="B14" s="22" t="s">
        <v>41</v>
      </c>
      <c r="C14" s="49">
        <v>55</v>
      </c>
      <c r="D14" s="49">
        <v>10</v>
      </c>
      <c r="E14" s="49">
        <v>7</v>
      </c>
      <c r="F14" s="49">
        <v>14</v>
      </c>
      <c r="G14" s="49">
        <v>0</v>
      </c>
      <c r="H14" s="49">
        <v>0</v>
      </c>
      <c r="I14" s="49">
        <v>2</v>
      </c>
      <c r="J14" s="49">
        <v>1</v>
      </c>
      <c r="K14" s="49">
        <v>1</v>
      </c>
      <c r="L14" s="49">
        <v>0</v>
      </c>
      <c r="M14" s="49">
        <v>272</v>
      </c>
      <c r="N14" s="49">
        <v>0</v>
      </c>
      <c r="O14" s="15">
        <f t="shared" si="0"/>
        <v>90</v>
      </c>
      <c r="P14" s="15">
        <f t="shared" si="1"/>
        <v>362</v>
      </c>
      <c r="R14" s="1" t="s">
        <v>10</v>
      </c>
      <c r="S14" s="17">
        <f t="shared" ref="S14:AF14" si="6">SUM(C26:C29)</f>
        <v>474</v>
      </c>
      <c r="T14" s="17">
        <f t="shared" si="6"/>
        <v>90</v>
      </c>
      <c r="U14" s="17">
        <f t="shared" si="6"/>
        <v>35</v>
      </c>
      <c r="V14" s="17">
        <f t="shared" si="6"/>
        <v>43</v>
      </c>
      <c r="W14" s="17">
        <f t="shared" si="6"/>
        <v>4</v>
      </c>
      <c r="X14" s="17">
        <f t="shared" si="6"/>
        <v>0</v>
      </c>
      <c r="Y14" s="17">
        <f t="shared" si="6"/>
        <v>19</v>
      </c>
      <c r="Z14" s="17">
        <f t="shared" si="6"/>
        <v>22</v>
      </c>
      <c r="AA14" s="17">
        <f t="shared" si="6"/>
        <v>4</v>
      </c>
      <c r="AB14" s="17">
        <f t="shared" si="6"/>
        <v>11</v>
      </c>
      <c r="AC14" s="17">
        <f t="shared" si="6"/>
        <v>672</v>
      </c>
      <c r="AD14" s="17">
        <f t="shared" si="6"/>
        <v>0</v>
      </c>
      <c r="AE14" s="30">
        <f t="shared" si="6"/>
        <v>702</v>
      </c>
      <c r="AF14" s="30">
        <f t="shared" si="6"/>
        <v>1374</v>
      </c>
    </row>
    <row r="15" spans="2:32" ht="23.1" customHeight="1" x14ac:dyDescent="0.25">
      <c r="B15" s="22" t="s">
        <v>42</v>
      </c>
      <c r="C15" s="49">
        <v>59</v>
      </c>
      <c r="D15" s="49">
        <v>4</v>
      </c>
      <c r="E15" s="49">
        <v>6</v>
      </c>
      <c r="F15" s="49">
        <v>10</v>
      </c>
      <c r="G15" s="49">
        <v>0</v>
      </c>
      <c r="H15" s="49">
        <v>0</v>
      </c>
      <c r="I15" s="49">
        <v>4</v>
      </c>
      <c r="J15" s="49">
        <v>2</v>
      </c>
      <c r="K15" s="49">
        <v>0</v>
      </c>
      <c r="L15" s="49">
        <v>4</v>
      </c>
      <c r="M15" s="49">
        <v>85</v>
      </c>
      <c r="N15" s="49">
        <v>0</v>
      </c>
      <c r="O15" s="15">
        <f t="shared" si="0"/>
        <v>89</v>
      </c>
      <c r="P15" s="15">
        <f t="shared" si="1"/>
        <v>174</v>
      </c>
      <c r="R15" s="1" t="s">
        <v>11</v>
      </c>
      <c r="S15" s="17">
        <f t="shared" ref="S15:AF15" si="7">SUM(C30:C33)</f>
        <v>446</v>
      </c>
      <c r="T15" s="17">
        <f t="shared" si="7"/>
        <v>97</v>
      </c>
      <c r="U15" s="17">
        <f t="shared" si="7"/>
        <v>40</v>
      </c>
      <c r="V15" s="17">
        <f t="shared" si="7"/>
        <v>36</v>
      </c>
      <c r="W15" s="17">
        <f t="shared" si="7"/>
        <v>2</v>
      </c>
      <c r="X15" s="17">
        <f t="shared" si="7"/>
        <v>0</v>
      </c>
      <c r="Y15" s="17">
        <f t="shared" si="7"/>
        <v>26</v>
      </c>
      <c r="Z15" s="17">
        <f t="shared" si="7"/>
        <v>15</v>
      </c>
      <c r="AA15" s="17">
        <f t="shared" si="7"/>
        <v>0</v>
      </c>
      <c r="AB15" s="17">
        <f t="shared" si="7"/>
        <v>7</v>
      </c>
      <c r="AC15" s="17">
        <f t="shared" si="7"/>
        <v>745</v>
      </c>
      <c r="AD15" s="17">
        <f t="shared" si="7"/>
        <v>0</v>
      </c>
      <c r="AE15" s="30">
        <f t="shared" si="7"/>
        <v>669</v>
      </c>
      <c r="AF15" s="30">
        <f t="shared" si="7"/>
        <v>1414</v>
      </c>
    </row>
    <row r="16" spans="2:32" ht="23.1" customHeight="1" x14ac:dyDescent="0.25">
      <c r="B16" s="22" t="s">
        <v>43</v>
      </c>
      <c r="C16" s="49">
        <v>77</v>
      </c>
      <c r="D16" s="49">
        <v>18</v>
      </c>
      <c r="E16" s="49">
        <v>6</v>
      </c>
      <c r="F16" s="49">
        <v>13</v>
      </c>
      <c r="G16" s="49">
        <v>1</v>
      </c>
      <c r="H16" s="49">
        <v>0</v>
      </c>
      <c r="I16" s="49">
        <v>6</v>
      </c>
      <c r="J16" s="49">
        <v>4</v>
      </c>
      <c r="K16" s="49">
        <v>0</v>
      </c>
      <c r="L16" s="49">
        <v>2</v>
      </c>
      <c r="M16" s="49">
        <v>120</v>
      </c>
      <c r="N16" s="49">
        <v>0</v>
      </c>
      <c r="O16" s="15">
        <f t="shared" si="0"/>
        <v>127</v>
      </c>
      <c r="P16" s="15">
        <f t="shared" si="1"/>
        <v>247</v>
      </c>
      <c r="R16" s="1" t="s">
        <v>12</v>
      </c>
      <c r="S16" s="17">
        <f t="shared" ref="S16:AF16" si="8">SUM(C34:C37)</f>
        <v>436</v>
      </c>
      <c r="T16" s="17">
        <f t="shared" si="8"/>
        <v>91</v>
      </c>
      <c r="U16" s="17">
        <f t="shared" si="8"/>
        <v>41</v>
      </c>
      <c r="V16" s="17">
        <f t="shared" si="8"/>
        <v>38</v>
      </c>
      <c r="W16" s="17">
        <f t="shared" si="8"/>
        <v>1</v>
      </c>
      <c r="X16" s="17">
        <f t="shared" si="8"/>
        <v>0</v>
      </c>
      <c r="Y16" s="17">
        <f t="shared" si="8"/>
        <v>15</v>
      </c>
      <c r="Z16" s="17">
        <f t="shared" si="8"/>
        <v>12</v>
      </c>
      <c r="AA16" s="17">
        <f t="shared" si="8"/>
        <v>3</v>
      </c>
      <c r="AB16" s="17">
        <f t="shared" si="8"/>
        <v>6</v>
      </c>
      <c r="AC16" s="17">
        <f t="shared" si="8"/>
        <v>640</v>
      </c>
      <c r="AD16" s="17">
        <f t="shared" si="8"/>
        <v>0</v>
      </c>
      <c r="AE16" s="30">
        <f t="shared" si="8"/>
        <v>643</v>
      </c>
      <c r="AF16" s="30">
        <f t="shared" si="8"/>
        <v>1283</v>
      </c>
    </row>
    <row r="17" spans="2:32" ht="23.1" customHeight="1" x14ac:dyDescent="0.25">
      <c r="B17" s="22" t="s">
        <v>44</v>
      </c>
      <c r="C17" s="49">
        <v>70</v>
      </c>
      <c r="D17" s="49">
        <v>19</v>
      </c>
      <c r="E17" s="49">
        <v>6</v>
      </c>
      <c r="F17" s="49">
        <v>12</v>
      </c>
      <c r="G17" s="49">
        <v>1</v>
      </c>
      <c r="H17" s="49">
        <v>0</v>
      </c>
      <c r="I17" s="49">
        <v>3</v>
      </c>
      <c r="J17" s="49">
        <v>4</v>
      </c>
      <c r="K17" s="49">
        <v>3</v>
      </c>
      <c r="L17" s="49">
        <v>2</v>
      </c>
      <c r="M17" s="49">
        <v>90</v>
      </c>
      <c r="N17" s="49">
        <v>0</v>
      </c>
      <c r="O17" s="15">
        <f t="shared" si="0"/>
        <v>120</v>
      </c>
      <c r="P17" s="15">
        <f t="shared" si="1"/>
        <v>210</v>
      </c>
      <c r="R17" s="1" t="s">
        <v>13</v>
      </c>
      <c r="S17" s="17">
        <f t="shared" ref="S17:AF17" si="9">SUM(C38:C41)</f>
        <v>489</v>
      </c>
      <c r="T17" s="17">
        <f t="shared" si="9"/>
        <v>84</v>
      </c>
      <c r="U17" s="17">
        <f t="shared" si="9"/>
        <v>39</v>
      </c>
      <c r="V17" s="17">
        <f t="shared" si="9"/>
        <v>31</v>
      </c>
      <c r="W17" s="17">
        <f t="shared" si="9"/>
        <v>0</v>
      </c>
      <c r="X17" s="17">
        <f t="shared" si="9"/>
        <v>2</v>
      </c>
      <c r="Y17" s="17">
        <f t="shared" si="9"/>
        <v>22</v>
      </c>
      <c r="Z17" s="17">
        <f t="shared" si="9"/>
        <v>16</v>
      </c>
      <c r="AA17" s="17">
        <f t="shared" si="9"/>
        <v>3</v>
      </c>
      <c r="AB17" s="17">
        <f t="shared" si="9"/>
        <v>4</v>
      </c>
      <c r="AC17" s="17">
        <f t="shared" si="9"/>
        <v>805</v>
      </c>
      <c r="AD17" s="17">
        <f t="shared" si="9"/>
        <v>0</v>
      </c>
      <c r="AE17" s="30">
        <f t="shared" si="9"/>
        <v>690</v>
      </c>
      <c r="AF17" s="30">
        <f t="shared" si="9"/>
        <v>1495</v>
      </c>
    </row>
    <row r="18" spans="2:32" ht="23.1" customHeight="1" x14ac:dyDescent="0.25">
      <c r="B18" s="22" t="s">
        <v>45</v>
      </c>
      <c r="C18" s="49">
        <v>103</v>
      </c>
      <c r="D18" s="49">
        <v>9</v>
      </c>
      <c r="E18" s="49">
        <v>7</v>
      </c>
      <c r="F18" s="49">
        <v>13</v>
      </c>
      <c r="G18" s="49">
        <v>1</v>
      </c>
      <c r="H18" s="49">
        <v>0</v>
      </c>
      <c r="I18" s="49">
        <v>3</v>
      </c>
      <c r="J18" s="49">
        <v>4</v>
      </c>
      <c r="K18" s="49">
        <v>3</v>
      </c>
      <c r="L18" s="49">
        <v>1</v>
      </c>
      <c r="M18" s="49">
        <v>265</v>
      </c>
      <c r="N18" s="49">
        <v>0</v>
      </c>
      <c r="O18" s="15">
        <f t="shared" si="0"/>
        <v>144</v>
      </c>
      <c r="P18" s="15">
        <f t="shared" si="1"/>
        <v>409</v>
      </c>
      <c r="R18" s="1" t="s">
        <v>14</v>
      </c>
      <c r="S18" s="17">
        <f t="shared" ref="S18:AF18" si="10">SUM(C42:C45)</f>
        <v>498</v>
      </c>
      <c r="T18" s="17">
        <f t="shared" si="10"/>
        <v>102</v>
      </c>
      <c r="U18" s="17">
        <f t="shared" si="10"/>
        <v>44</v>
      </c>
      <c r="V18" s="17">
        <f t="shared" si="10"/>
        <v>29</v>
      </c>
      <c r="W18" s="17">
        <f t="shared" si="10"/>
        <v>1</v>
      </c>
      <c r="X18" s="17">
        <f t="shared" si="10"/>
        <v>0</v>
      </c>
      <c r="Y18" s="17">
        <f t="shared" si="10"/>
        <v>17</v>
      </c>
      <c r="Z18" s="17">
        <f t="shared" si="10"/>
        <v>15</v>
      </c>
      <c r="AA18" s="17">
        <f t="shared" si="10"/>
        <v>0</v>
      </c>
      <c r="AB18" s="17">
        <f t="shared" si="10"/>
        <v>2</v>
      </c>
      <c r="AC18" s="17">
        <f t="shared" si="10"/>
        <v>555</v>
      </c>
      <c r="AD18" s="17">
        <f t="shared" si="10"/>
        <v>0</v>
      </c>
      <c r="AE18" s="30">
        <f t="shared" si="10"/>
        <v>708</v>
      </c>
      <c r="AF18" s="30">
        <f t="shared" si="10"/>
        <v>1263</v>
      </c>
    </row>
    <row r="19" spans="2:32" ht="23.1" customHeight="1" x14ac:dyDescent="0.25">
      <c r="B19" s="22" t="s">
        <v>46</v>
      </c>
      <c r="C19" s="49">
        <v>102</v>
      </c>
      <c r="D19" s="49">
        <v>23</v>
      </c>
      <c r="E19" s="49">
        <v>4</v>
      </c>
      <c r="F19" s="49">
        <v>7</v>
      </c>
      <c r="G19" s="49">
        <v>3</v>
      </c>
      <c r="H19" s="49">
        <v>0</v>
      </c>
      <c r="I19" s="49">
        <v>6</v>
      </c>
      <c r="J19" s="49">
        <v>3</v>
      </c>
      <c r="K19" s="49">
        <v>1</v>
      </c>
      <c r="L19" s="49">
        <v>1</v>
      </c>
      <c r="M19" s="49">
        <v>270</v>
      </c>
      <c r="N19" s="49">
        <v>0</v>
      </c>
      <c r="O19" s="15">
        <f t="shared" si="0"/>
        <v>150</v>
      </c>
      <c r="P19" s="15">
        <f t="shared" si="1"/>
        <v>420</v>
      </c>
      <c r="R19" s="1" t="s">
        <v>15</v>
      </c>
      <c r="S19" s="17">
        <f t="shared" ref="S19:AF19" si="11">SUM(C46:C49)</f>
        <v>526</v>
      </c>
      <c r="T19" s="17">
        <f t="shared" si="11"/>
        <v>91</v>
      </c>
      <c r="U19" s="17">
        <f t="shared" si="11"/>
        <v>30</v>
      </c>
      <c r="V19" s="17">
        <f t="shared" si="11"/>
        <v>37</v>
      </c>
      <c r="W19" s="17">
        <f t="shared" si="11"/>
        <v>0</v>
      </c>
      <c r="X19" s="17">
        <f t="shared" si="11"/>
        <v>0</v>
      </c>
      <c r="Y19" s="17">
        <f t="shared" si="11"/>
        <v>15</v>
      </c>
      <c r="Z19" s="17">
        <f t="shared" si="11"/>
        <v>14</v>
      </c>
      <c r="AA19" s="17">
        <f t="shared" si="11"/>
        <v>1</v>
      </c>
      <c r="AB19" s="17">
        <f t="shared" si="11"/>
        <v>4</v>
      </c>
      <c r="AC19" s="17">
        <f t="shared" si="11"/>
        <v>655</v>
      </c>
      <c r="AD19" s="17">
        <f t="shared" si="11"/>
        <v>0</v>
      </c>
      <c r="AE19" s="30">
        <f t="shared" si="11"/>
        <v>718</v>
      </c>
      <c r="AF19" s="30">
        <f t="shared" si="11"/>
        <v>1373</v>
      </c>
    </row>
    <row r="20" spans="2:32" ht="23.1" customHeight="1" x14ac:dyDescent="0.25">
      <c r="B20" s="22" t="s">
        <v>47</v>
      </c>
      <c r="C20" s="49">
        <v>110</v>
      </c>
      <c r="D20" s="49">
        <v>19</v>
      </c>
      <c r="E20" s="49">
        <v>11</v>
      </c>
      <c r="F20" s="49">
        <v>10</v>
      </c>
      <c r="G20" s="49">
        <v>1</v>
      </c>
      <c r="H20" s="49">
        <v>0</v>
      </c>
      <c r="I20" s="49">
        <v>7</v>
      </c>
      <c r="J20" s="49">
        <v>1</v>
      </c>
      <c r="K20" s="49">
        <v>0</v>
      </c>
      <c r="L20" s="49">
        <v>0</v>
      </c>
      <c r="M20" s="49">
        <v>120</v>
      </c>
      <c r="N20" s="49">
        <v>0</v>
      </c>
      <c r="O20" s="15">
        <f t="shared" si="0"/>
        <v>159</v>
      </c>
      <c r="P20" s="15">
        <f t="shared" si="1"/>
        <v>279</v>
      </c>
      <c r="R20" s="1" t="s">
        <v>16</v>
      </c>
      <c r="S20" s="17">
        <f t="shared" ref="S20:AF20" si="12">SUM(C50:C53)</f>
        <v>492</v>
      </c>
      <c r="T20" s="17">
        <f t="shared" si="12"/>
        <v>58</v>
      </c>
      <c r="U20" s="17">
        <f t="shared" si="12"/>
        <v>43</v>
      </c>
      <c r="V20" s="17">
        <f t="shared" si="12"/>
        <v>49</v>
      </c>
      <c r="W20" s="17">
        <f t="shared" si="12"/>
        <v>5</v>
      </c>
      <c r="X20" s="17">
        <f t="shared" si="12"/>
        <v>0</v>
      </c>
      <c r="Y20" s="17">
        <f t="shared" si="12"/>
        <v>21</v>
      </c>
      <c r="Z20" s="17">
        <f t="shared" si="12"/>
        <v>7</v>
      </c>
      <c r="AA20" s="17">
        <f t="shared" si="12"/>
        <v>3</v>
      </c>
      <c r="AB20" s="17">
        <f t="shared" si="12"/>
        <v>0</v>
      </c>
      <c r="AC20" s="17">
        <f t="shared" si="12"/>
        <v>530</v>
      </c>
      <c r="AD20" s="17">
        <f t="shared" si="12"/>
        <v>0</v>
      </c>
      <c r="AE20" s="30">
        <f t="shared" si="12"/>
        <v>678</v>
      </c>
      <c r="AF20" s="30">
        <f t="shared" si="12"/>
        <v>1208</v>
      </c>
    </row>
    <row r="21" spans="2:32" ht="23.1" customHeight="1" x14ac:dyDescent="0.25">
      <c r="B21" s="22" t="s">
        <v>48</v>
      </c>
      <c r="C21" s="49">
        <v>112</v>
      </c>
      <c r="D21" s="49">
        <v>26</v>
      </c>
      <c r="E21" s="49">
        <v>12</v>
      </c>
      <c r="F21" s="49">
        <v>14</v>
      </c>
      <c r="G21" s="49">
        <v>1</v>
      </c>
      <c r="H21" s="49">
        <v>0</v>
      </c>
      <c r="I21" s="49">
        <v>2</v>
      </c>
      <c r="J21" s="49">
        <v>10</v>
      </c>
      <c r="K21" s="49">
        <v>1</v>
      </c>
      <c r="L21" s="49">
        <v>1</v>
      </c>
      <c r="M21" s="49">
        <v>190</v>
      </c>
      <c r="N21" s="49">
        <v>0</v>
      </c>
      <c r="O21" s="15">
        <f t="shared" si="0"/>
        <v>179</v>
      </c>
      <c r="P21" s="15">
        <f t="shared" si="1"/>
        <v>369</v>
      </c>
      <c r="R21" s="35" t="s">
        <v>20</v>
      </c>
      <c r="S21" s="33">
        <f t="shared" ref="S21:AF21" si="13">SUM(C54:C57)</f>
        <v>513</v>
      </c>
      <c r="T21" s="17">
        <f t="shared" si="13"/>
        <v>93</v>
      </c>
      <c r="U21" s="17">
        <f t="shared" si="13"/>
        <v>39</v>
      </c>
      <c r="V21" s="17">
        <f t="shared" si="13"/>
        <v>28</v>
      </c>
      <c r="W21" s="17">
        <f t="shared" si="13"/>
        <v>0</v>
      </c>
      <c r="X21" s="17">
        <f t="shared" si="13"/>
        <v>0</v>
      </c>
      <c r="Y21" s="17">
        <f t="shared" si="13"/>
        <v>14</v>
      </c>
      <c r="Z21" s="17">
        <f t="shared" si="13"/>
        <v>11</v>
      </c>
      <c r="AA21" s="17">
        <f t="shared" si="13"/>
        <v>1</v>
      </c>
      <c r="AB21" s="17">
        <f t="shared" si="13"/>
        <v>2</v>
      </c>
      <c r="AC21" s="17">
        <f t="shared" si="13"/>
        <v>830</v>
      </c>
      <c r="AD21" s="17">
        <f t="shared" si="13"/>
        <v>0</v>
      </c>
      <c r="AE21" s="30">
        <f t="shared" si="13"/>
        <v>701</v>
      </c>
      <c r="AF21" s="30">
        <f t="shared" si="13"/>
        <v>1531</v>
      </c>
    </row>
    <row r="22" spans="2:32" ht="23.1" customHeight="1" x14ac:dyDescent="0.25">
      <c r="B22" s="22" t="s">
        <v>49</v>
      </c>
      <c r="C22" s="49">
        <v>90</v>
      </c>
      <c r="D22" s="49">
        <v>16</v>
      </c>
      <c r="E22" s="49">
        <v>7</v>
      </c>
      <c r="F22" s="49">
        <v>9</v>
      </c>
      <c r="G22" s="49">
        <v>1</v>
      </c>
      <c r="H22" s="49">
        <v>0</v>
      </c>
      <c r="I22" s="49">
        <v>3</v>
      </c>
      <c r="J22" s="49">
        <v>3</v>
      </c>
      <c r="K22" s="49">
        <v>0</v>
      </c>
      <c r="L22" s="49">
        <v>0</v>
      </c>
      <c r="M22" s="49">
        <v>180</v>
      </c>
      <c r="N22" s="49">
        <v>0</v>
      </c>
      <c r="O22" s="15">
        <f t="shared" si="0"/>
        <v>129</v>
      </c>
      <c r="P22" s="15">
        <f t="shared" si="1"/>
        <v>309</v>
      </c>
      <c r="R22" s="37" t="s">
        <v>90</v>
      </c>
      <c r="S22" s="38">
        <f>MAX(S10:S12)</f>
        <v>427</v>
      </c>
      <c r="T22" s="38">
        <f t="shared" ref="T22:AF22" si="14">MAX(T10:T12)</f>
        <v>77</v>
      </c>
      <c r="U22" s="38">
        <f t="shared" si="14"/>
        <v>34</v>
      </c>
      <c r="V22" s="38">
        <f t="shared" si="14"/>
        <v>49</v>
      </c>
      <c r="W22" s="38">
        <f t="shared" si="14"/>
        <v>6</v>
      </c>
      <c r="X22" s="38">
        <f t="shared" si="14"/>
        <v>0</v>
      </c>
      <c r="Y22" s="38">
        <f t="shared" si="14"/>
        <v>18</v>
      </c>
      <c r="Z22" s="38">
        <f t="shared" si="14"/>
        <v>18</v>
      </c>
      <c r="AA22" s="38">
        <f t="shared" si="14"/>
        <v>6</v>
      </c>
      <c r="AB22" s="38">
        <f t="shared" si="14"/>
        <v>8</v>
      </c>
      <c r="AC22" s="38">
        <f t="shared" si="14"/>
        <v>845</v>
      </c>
      <c r="AD22" s="38">
        <f t="shared" si="14"/>
        <v>0</v>
      </c>
      <c r="AE22" s="39">
        <f t="shared" si="14"/>
        <v>632</v>
      </c>
      <c r="AF22" s="39">
        <f t="shared" si="14"/>
        <v>1477</v>
      </c>
    </row>
    <row r="23" spans="2:32" ht="23.1" customHeight="1" x14ac:dyDescent="0.25">
      <c r="B23" s="22" t="s">
        <v>50</v>
      </c>
      <c r="C23" s="49">
        <v>130</v>
      </c>
      <c r="D23" s="49">
        <v>26</v>
      </c>
      <c r="E23" s="49">
        <v>6</v>
      </c>
      <c r="F23" s="49">
        <v>10</v>
      </c>
      <c r="G23" s="49">
        <v>3</v>
      </c>
      <c r="H23" s="49">
        <v>0</v>
      </c>
      <c r="I23" s="49">
        <v>2</v>
      </c>
      <c r="J23" s="49">
        <v>2</v>
      </c>
      <c r="K23" s="49">
        <v>0</v>
      </c>
      <c r="L23" s="49">
        <v>2</v>
      </c>
      <c r="M23" s="49">
        <v>220</v>
      </c>
      <c r="N23" s="49">
        <v>0</v>
      </c>
      <c r="O23" s="15">
        <f t="shared" si="0"/>
        <v>181</v>
      </c>
      <c r="P23" s="15">
        <f t="shared" si="1"/>
        <v>401</v>
      </c>
      <c r="R23" s="37" t="s">
        <v>91</v>
      </c>
      <c r="S23" s="38">
        <f>MAX(S13:S18)</f>
        <v>498</v>
      </c>
      <c r="T23" s="38">
        <f t="shared" ref="T23:AF23" si="15">MAX(T13:T18)</f>
        <v>102</v>
      </c>
      <c r="U23" s="38">
        <f t="shared" si="15"/>
        <v>44</v>
      </c>
      <c r="V23" s="38">
        <f t="shared" si="15"/>
        <v>43</v>
      </c>
      <c r="W23" s="38">
        <f t="shared" si="15"/>
        <v>6</v>
      </c>
      <c r="X23" s="38">
        <f t="shared" si="15"/>
        <v>2</v>
      </c>
      <c r="Y23" s="38">
        <f t="shared" si="15"/>
        <v>26</v>
      </c>
      <c r="Z23" s="38">
        <f t="shared" si="15"/>
        <v>22</v>
      </c>
      <c r="AA23" s="38">
        <f t="shared" si="15"/>
        <v>4</v>
      </c>
      <c r="AB23" s="38">
        <f t="shared" si="15"/>
        <v>11</v>
      </c>
      <c r="AC23" s="38">
        <f t="shared" si="15"/>
        <v>805</v>
      </c>
      <c r="AD23" s="38">
        <f t="shared" si="15"/>
        <v>0</v>
      </c>
      <c r="AE23" s="39">
        <f t="shared" si="15"/>
        <v>708</v>
      </c>
      <c r="AF23" s="39">
        <f t="shared" si="15"/>
        <v>1495</v>
      </c>
    </row>
    <row r="24" spans="2:32" ht="23.1" customHeight="1" x14ac:dyDescent="0.25">
      <c r="B24" s="22" t="s">
        <v>51</v>
      </c>
      <c r="C24" s="49">
        <v>122</v>
      </c>
      <c r="D24" s="49">
        <v>12</v>
      </c>
      <c r="E24" s="49">
        <v>11</v>
      </c>
      <c r="F24" s="49">
        <v>11</v>
      </c>
      <c r="G24" s="49">
        <v>2</v>
      </c>
      <c r="H24" s="49">
        <v>0</v>
      </c>
      <c r="I24" s="49">
        <v>7</v>
      </c>
      <c r="J24" s="49">
        <v>4</v>
      </c>
      <c r="K24" s="49">
        <v>0</v>
      </c>
      <c r="L24" s="49">
        <v>7</v>
      </c>
      <c r="M24" s="49">
        <v>130</v>
      </c>
      <c r="N24" s="49">
        <v>0</v>
      </c>
      <c r="O24" s="15">
        <f t="shared" si="0"/>
        <v>176</v>
      </c>
      <c r="P24" s="15">
        <f t="shared" si="1"/>
        <v>306</v>
      </c>
      <c r="R24" s="37" t="s">
        <v>92</v>
      </c>
      <c r="S24" s="38">
        <f>MAX(S19:S21)</f>
        <v>526</v>
      </c>
      <c r="T24" s="38">
        <f t="shared" ref="T24:AF24" si="16">MAX(T19:T21)</f>
        <v>93</v>
      </c>
      <c r="U24" s="38">
        <f t="shared" si="16"/>
        <v>43</v>
      </c>
      <c r="V24" s="38">
        <f t="shared" si="16"/>
        <v>49</v>
      </c>
      <c r="W24" s="38">
        <f t="shared" si="16"/>
        <v>5</v>
      </c>
      <c r="X24" s="38">
        <f t="shared" si="16"/>
        <v>0</v>
      </c>
      <c r="Y24" s="38">
        <f t="shared" si="16"/>
        <v>21</v>
      </c>
      <c r="Z24" s="38">
        <f t="shared" si="16"/>
        <v>14</v>
      </c>
      <c r="AA24" s="38">
        <f t="shared" si="16"/>
        <v>3</v>
      </c>
      <c r="AB24" s="38">
        <f t="shared" si="16"/>
        <v>4</v>
      </c>
      <c r="AC24" s="38">
        <f t="shared" si="16"/>
        <v>830</v>
      </c>
      <c r="AD24" s="38">
        <f t="shared" si="16"/>
        <v>0</v>
      </c>
      <c r="AE24" s="39">
        <f t="shared" si="16"/>
        <v>718</v>
      </c>
      <c r="AF24" s="39">
        <f t="shared" si="16"/>
        <v>1531</v>
      </c>
    </row>
    <row r="25" spans="2:32" ht="23.1" customHeight="1" x14ac:dyDescent="0.25">
      <c r="B25" s="22" t="s">
        <v>52</v>
      </c>
      <c r="C25" s="49">
        <v>115</v>
      </c>
      <c r="D25" s="49">
        <v>20</v>
      </c>
      <c r="E25" s="49">
        <v>9</v>
      </c>
      <c r="F25" s="49">
        <v>8</v>
      </c>
      <c r="G25" s="49">
        <v>0</v>
      </c>
      <c r="H25" s="49">
        <v>0</v>
      </c>
      <c r="I25" s="49">
        <v>5</v>
      </c>
      <c r="J25" s="49">
        <v>4</v>
      </c>
      <c r="K25" s="49">
        <v>1</v>
      </c>
      <c r="L25" s="49">
        <v>1</v>
      </c>
      <c r="M25" s="49">
        <v>110</v>
      </c>
      <c r="N25" s="49">
        <v>0</v>
      </c>
      <c r="O25" s="15">
        <f t="shared" si="0"/>
        <v>163</v>
      </c>
      <c r="P25" s="15">
        <f t="shared" si="1"/>
        <v>273</v>
      </c>
      <c r="R25" s="36" t="s">
        <v>85</v>
      </c>
      <c r="S25" s="34">
        <f t="shared" ref="S25:AF25" si="17">SUM(S10:S12)</f>
        <v>871</v>
      </c>
      <c r="T25" s="16">
        <f t="shared" si="17"/>
        <v>172</v>
      </c>
      <c r="U25" s="16">
        <f t="shared" si="17"/>
        <v>78</v>
      </c>
      <c r="V25" s="16">
        <f t="shared" si="17"/>
        <v>127</v>
      </c>
      <c r="W25" s="16">
        <f t="shared" si="17"/>
        <v>8</v>
      </c>
      <c r="X25" s="16">
        <f t="shared" si="17"/>
        <v>0</v>
      </c>
      <c r="Y25" s="16">
        <f t="shared" si="17"/>
        <v>44</v>
      </c>
      <c r="Z25" s="16">
        <f t="shared" si="17"/>
        <v>40</v>
      </c>
      <c r="AA25" s="16">
        <f t="shared" si="17"/>
        <v>15</v>
      </c>
      <c r="AB25" s="16">
        <f t="shared" si="17"/>
        <v>14</v>
      </c>
      <c r="AC25" s="16">
        <f t="shared" si="17"/>
        <v>1822</v>
      </c>
      <c r="AD25" s="16">
        <f t="shared" si="17"/>
        <v>0</v>
      </c>
      <c r="AE25" s="31">
        <f t="shared" si="17"/>
        <v>1369</v>
      </c>
      <c r="AF25" s="31">
        <f t="shared" si="17"/>
        <v>3191</v>
      </c>
    </row>
    <row r="26" spans="2:32" ht="23.1" customHeight="1" x14ac:dyDescent="0.25">
      <c r="B26" s="22" t="s">
        <v>53</v>
      </c>
      <c r="C26" s="49">
        <v>145</v>
      </c>
      <c r="D26" s="49">
        <v>24</v>
      </c>
      <c r="E26" s="49">
        <v>8</v>
      </c>
      <c r="F26" s="49">
        <v>13</v>
      </c>
      <c r="G26" s="49">
        <v>2</v>
      </c>
      <c r="H26" s="49">
        <v>0</v>
      </c>
      <c r="I26" s="49">
        <v>4</v>
      </c>
      <c r="J26" s="49">
        <v>5</v>
      </c>
      <c r="K26" s="49">
        <v>2</v>
      </c>
      <c r="L26" s="49">
        <v>0</v>
      </c>
      <c r="M26" s="49">
        <v>180</v>
      </c>
      <c r="N26" s="49">
        <v>0</v>
      </c>
      <c r="O26" s="15">
        <f t="shared" si="0"/>
        <v>203</v>
      </c>
      <c r="P26" s="15">
        <f t="shared" si="1"/>
        <v>383</v>
      </c>
      <c r="R26" s="27" t="s">
        <v>86</v>
      </c>
      <c r="S26" s="16">
        <f t="shared" ref="S26:AF26" si="18">SUM(S13:S18)</f>
        <v>2800</v>
      </c>
      <c r="T26" s="16">
        <f t="shared" si="18"/>
        <v>538</v>
      </c>
      <c r="U26" s="16">
        <f t="shared" si="18"/>
        <v>232</v>
      </c>
      <c r="V26" s="16">
        <f t="shared" si="18"/>
        <v>215</v>
      </c>
      <c r="W26" s="16">
        <f t="shared" si="18"/>
        <v>14</v>
      </c>
      <c r="X26" s="16">
        <f t="shared" si="18"/>
        <v>2</v>
      </c>
      <c r="Y26" s="16">
        <f t="shared" si="18"/>
        <v>116</v>
      </c>
      <c r="Z26" s="16">
        <f t="shared" si="18"/>
        <v>93</v>
      </c>
      <c r="AA26" s="16">
        <f t="shared" si="18"/>
        <v>11</v>
      </c>
      <c r="AB26" s="16">
        <f t="shared" si="18"/>
        <v>40</v>
      </c>
      <c r="AC26" s="16">
        <f t="shared" si="18"/>
        <v>4057</v>
      </c>
      <c r="AD26" s="16">
        <f t="shared" si="18"/>
        <v>0</v>
      </c>
      <c r="AE26" s="31">
        <f t="shared" si="18"/>
        <v>4061</v>
      </c>
      <c r="AF26" s="31">
        <f t="shared" si="18"/>
        <v>8118</v>
      </c>
    </row>
    <row r="27" spans="2:32" ht="23.1" customHeight="1" x14ac:dyDescent="0.25">
      <c r="B27" s="22" t="s">
        <v>54</v>
      </c>
      <c r="C27" s="49">
        <v>140</v>
      </c>
      <c r="D27" s="49">
        <v>25</v>
      </c>
      <c r="E27" s="49">
        <v>12</v>
      </c>
      <c r="F27" s="49">
        <v>16</v>
      </c>
      <c r="G27" s="49">
        <v>2</v>
      </c>
      <c r="H27" s="49">
        <v>0</v>
      </c>
      <c r="I27" s="49">
        <v>5</v>
      </c>
      <c r="J27" s="49">
        <v>10</v>
      </c>
      <c r="K27" s="49">
        <v>0</v>
      </c>
      <c r="L27" s="49">
        <v>2</v>
      </c>
      <c r="M27" s="49">
        <v>172</v>
      </c>
      <c r="N27" s="49">
        <v>0</v>
      </c>
      <c r="O27" s="15">
        <f t="shared" si="0"/>
        <v>212</v>
      </c>
      <c r="P27" s="15">
        <f t="shared" si="1"/>
        <v>384</v>
      </c>
      <c r="R27" s="28" t="s">
        <v>87</v>
      </c>
      <c r="S27" s="16">
        <f t="shared" ref="S27:AF27" si="19">SUM(S19:S21)</f>
        <v>1531</v>
      </c>
      <c r="T27" s="16">
        <f t="shared" si="19"/>
        <v>242</v>
      </c>
      <c r="U27" s="16">
        <f t="shared" si="19"/>
        <v>112</v>
      </c>
      <c r="V27" s="16">
        <f t="shared" si="19"/>
        <v>114</v>
      </c>
      <c r="W27" s="16">
        <f t="shared" si="19"/>
        <v>5</v>
      </c>
      <c r="X27" s="16">
        <f t="shared" si="19"/>
        <v>0</v>
      </c>
      <c r="Y27" s="16">
        <f t="shared" si="19"/>
        <v>50</v>
      </c>
      <c r="Z27" s="16">
        <f t="shared" si="19"/>
        <v>32</v>
      </c>
      <c r="AA27" s="16">
        <f t="shared" si="19"/>
        <v>5</v>
      </c>
      <c r="AB27" s="16">
        <f t="shared" si="19"/>
        <v>6</v>
      </c>
      <c r="AC27" s="16">
        <f t="shared" si="19"/>
        <v>2015</v>
      </c>
      <c r="AD27" s="16">
        <f t="shared" si="19"/>
        <v>0</v>
      </c>
      <c r="AE27" s="31">
        <f t="shared" si="19"/>
        <v>2097</v>
      </c>
      <c r="AF27" s="31">
        <f t="shared" si="19"/>
        <v>4112</v>
      </c>
    </row>
    <row r="28" spans="2:32" ht="23.1" customHeight="1" x14ac:dyDescent="0.25">
      <c r="B28" s="22" t="s">
        <v>55</v>
      </c>
      <c r="C28" s="49">
        <v>98</v>
      </c>
      <c r="D28" s="49">
        <v>21</v>
      </c>
      <c r="E28" s="49">
        <v>7</v>
      </c>
      <c r="F28" s="49">
        <v>5</v>
      </c>
      <c r="G28" s="49">
        <v>0</v>
      </c>
      <c r="H28" s="49">
        <v>0</v>
      </c>
      <c r="I28" s="49">
        <v>4</v>
      </c>
      <c r="J28" s="49">
        <v>1</v>
      </c>
      <c r="K28" s="49">
        <v>1</v>
      </c>
      <c r="L28" s="49">
        <v>3</v>
      </c>
      <c r="M28" s="49">
        <v>140</v>
      </c>
      <c r="N28" s="49">
        <v>0</v>
      </c>
      <c r="O28" s="15">
        <f t="shared" si="0"/>
        <v>140</v>
      </c>
      <c r="P28" s="15">
        <f t="shared" si="1"/>
        <v>280</v>
      </c>
      <c r="R28" s="5" t="s">
        <v>17</v>
      </c>
      <c r="S28" s="16">
        <f t="shared" ref="S28:AF28" si="20">SUM(S10:S21)</f>
        <v>5202</v>
      </c>
      <c r="T28" s="16">
        <f t="shared" si="20"/>
        <v>952</v>
      </c>
      <c r="U28" s="16">
        <f t="shared" si="20"/>
        <v>422</v>
      </c>
      <c r="V28" s="16">
        <f t="shared" si="20"/>
        <v>456</v>
      </c>
      <c r="W28" s="16">
        <f t="shared" si="20"/>
        <v>27</v>
      </c>
      <c r="X28" s="16">
        <f t="shared" si="20"/>
        <v>2</v>
      </c>
      <c r="Y28" s="16">
        <f t="shared" si="20"/>
        <v>210</v>
      </c>
      <c r="Z28" s="16">
        <f t="shared" si="20"/>
        <v>165</v>
      </c>
      <c r="AA28" s="16">
        <f t="shared" si="20"/>
        <v>31</v>
      </c>
      <c r="AB28" s="16">
        <f t="shared" si="20"/>
        <v>60</v>
      </c>
      <c r="AC28" s="16">
        <f t="shared" si="20"/>
        <v>7894</v>
      </c>
      <c r="AD28" s="16">
        <f t="shared" si="20"/>
        <v>0</v>
      </c>
      <c r="AE28" s="31">
        <f t="shared" si="20"/>
        <v>7527</v>
      </c>
      <c r="AF28" s="31">
        <f t="shared" si="20"/>
        <v>15421</v>
      </c>
    </row>
    <row r="29" spans="2:32" ht="23.1" customHeight="1" x14ac:dyDescent="0.25">
      <c r="B29" s="22" t="s">
        <v>56</v>
      </c>
      <c r="C29" s="49">
        <v>91</v>
      </c>
      <c r="D29" s="49">
        <v>20</v>
      </c>
      <c r="E29" s="49">
        <v>8</v>
      </c>
      <c r="F29" s="49">
        <v>9</v>
      </c>
      <c r="G29" s="49">
        <v>0</v>
      </c>
      <c r="H29" s="49">
        <v>0</v>
      </c>
      <c r="I29" s="49">
        <v>6</v>
      </c>
      <c r="J29" s="49">
        <v>6</v>
      </c>
      <c r="K29" s="49">
        <v>1</v>
      </c>
      <c r="L29" s="49">
        <v>6</v>
      </c>
      <c r="M29" s="49">
        <v>180</v>
      </c>
      <c r="N29" s="49">
        <v>0</v>
      </c>
      <c r="O29" s="15">
        <f t="shared" si="0"/>
        <v>147</v>
      </c>
      <c r="P29" s="15">
        <f t="shared" si="1"/>
        <v>327</v>
      </c>
      <c r="R29"/>
      <c r="S29" s="20"/>
      <c r="T29" s="19"/>
    </row>
    <row r="30" spans="2:32" ht="23.1" customHeight="1" x14ac:dyDescent="0.25">
      <c r="B30" s="22" t="s">
        <v>57</v>
      </c>
      <c r="C30" s="49">
        <v>104</v>
      </c>
      <c r="D30" s="49">
        <v>26</v>
      </c>
      <c r="E30" s="49">
        <v>7</v>
      </c>
      <c r="F30" s="49">
        <v>8</v>
      </c>
      <c r="G30" s="49">
        <v>0</v>
      </c>
      <c r="H30" s="49">
        <v>0</v>
      </c>
      <c r="I30" s="49">
        <v>9</v>
      </c>
      <c r="J30" s="49">
        <v>6</v>
      </c>
      <c r="K30" s="49">
        <v>0</v>
      </c>
      <c r="L30" s="49">
        <v>2</v>
      </c>
      <c r="M30" s="49">
        <v>185</v>
      </c>
      <c r="N30" s="49">
        <v>0</v>
      </c>
      <c r="O30" s="15">
        <f t="shared" si="0"/>
        <v>162</v>
      </c>
      <c r="P30" s="15">
        <f t="shared" si="1"/>
        <v>347</v>
      </c>
    </row>
    <row r="31" spans="2:32" ht="23.1" customHeight="1" x14ac:dyDescent="0.25">
      <c r="B31" s="23" t="s">
        <v>58</v>
      </c>
      <c r="C31" s="49">
        <v>102</v>
      </c>
      <c r="D31" s="49">
        <v>17</v>
      </c>
      <c r="E31" s="49">
        <v>15</v>
      </c>
      <c r="F31" s="49">
        <v>11</v>
      </c>
      <c r="G31" s="49">
        <v>1</v>
      </c>
      <c r="H31" s="49">
        <v>0</v>
      </c>
      <c r="I31" s="49">
        <v>2</v>
      </c>
      <c r="J31" s="49">
        <v>2</v>
      </c>
      <c r="K31" s="49">
        <v>0</v>
      </c>
      <c r="L31" s="49">
        <v>3</v>
      </c>
      <c r="M31" s="49">
        <v>145</v>
      </c>
      <c r="N31" s="49">
        <v>0</v>
      </c>
      <c r="O31" s="15">
        <f t="shared" si="0"/>
        <v>153</v>
      </c>
      <c r="P31" s="15">
        <f t="shared" si="1"/>
        <v>298</v>
      </c>
    </row>
    <row r="32" spans="2:32" ht="23.1" customHeight="1" x14ac:dyDescent="0.25">
      <c r="B32" s="23" t="s">
        <v>59</v>
      </c>
      <c r="C32" s="49">
        <v>130</v>
      </c>
      <c r="D32" s="49">
        <v>23</v>
      </c>
      <c r="E32" s="49">
        <v>6</v>
      </c>
      <c r="F32" s="49">
        <v>9</v>
      </c>
      <c r="G32" s="49">
        <v>1</v>
      </c>
      <c r="H32" s="49">
        <v>0</v>
      </c>
      <c r="I32" s="49">
        <v>4</v>
      </c>
      <c r="J32" s="49">
        <v>2</v>
      </c>
      <c r="K32" s="49">
        <v>0</v>
      </c>
      <c r="L32" s="49">
        <v>1</v>
      </c>
      <c r="M32" s="49">
        <v>235</v>
      </c>
      <c r="N32" s="49">
        <v>0</v>
      </c>
      <c r="O32" s="15">
        <f t="shared" si="0"/>
        <v>176</v>
      </c>
      <c r="P32" s="15">
        <f t="shared" si="1"/>
        <v>411</v>
      </c>
    </row>
    <row r="33" spans="2:20" ht="23.1" customHeight="1" x14ac:dyDescent="0.25">
      <c r="B33" s="22" t="s">
        <v>60</v>
      </c>
      <c r="C33" s="49">
        <v>110</v>
      </c>
      <c r="D33" s="49">
        <v>31</v>
      </c>
      <c r="E33" s="49">
        <v>12</v>
      </c>
      <c r="F33" s="49">
        <v>8</v>
      </c>
      <c r="G33" s="49">
        <v>0</v>
      </c>
      <c r="H33" s="49">
        <v>0</v>
      </c>
      <c r="I33" s="49">
        <v>11</v>
      </c>
      <c r="J33" s="49">
        <v>5</v>
      </c>
      <c r="K33" s="49">
        <v>0</v>
      </c>
      <c r="L33" s="49">
        <v>1</v>
      </c>
      <c r="M33" s="49">
        <v>180</v>
      </c>
      <c r="N33" s="49">
        <v>0</v>
      </c>
      <c r="O33" s="15">
        <f t="shared" si="0"/>
        <v>178</v>
      </c>
      <c r="P33" s="15">
        <f t="shared" si="1"/>
        <v>358</v>
      </c>
    </row>
    <row r="34" spans="2:20" ht="23.1" customHeight="1" x14ac:dyDescent="0.25">
      <c r="B34" s="23" t="s">
        <v>61</v>
      </c>
      <c r="C34" s="49">
        <v>126</v>
      </c>
      <c r="D34" s="49">
        <v>27</v>
      </c>
      <c r="E34" s="49">
        <v>9</v>
      </c>
      <c r="F34" s="49">
        <v>9</v>
      </c>
      <c r="G34" s="49">
        <v>0</v>
      </c>
      <c r="H34" s="49">
        <v>0</v>
      </c>
      <c r="I34" s="49">
        <v>2</v>
      </c>
      <c r="J34" s="49">
        <v>0</v>
      </c>
      <c r="K34" s="49">
        <v>2</v>
      </c>
      <c r="L34" s="49">
        <v>2</v>
      </c>
      <c r="M34" s="49">
        <v>240</v>
      </c>
      <c r="N34" s="49">
        <v>0</v>
      </c>
      <c r="O34" s="15">
        <f t="shared" si="0"/>
        <v>177</v>
      </c>
      <c r="P34" s="15">
        <f t="shared" si="1"/>
        <v>417</v>
      </c>
    </row>
    <row r="35" spans="2:20" ht="23.1" customHeight="1" x14ac:dyDescent="0.25">
      <c r="B35" s="23" t="s">
        <v>62</v>
      </c>
      <c r="C35" s="49">
        <v>107</v>
      </c>
      <c r="D35" s="49">
        <v>25</v>
      </c>
      <c r="E35" s="49">
        <v>8</v>
      </c>
      <c r="F35" s="49">
        <v>13</v>
      </c>
      <c r="G35" s="49">
        <v>0</v>
      </c>
      <c r="H35" s="49">
        <v>0</v>
      </c>
      <c r="I35" s="49">
        <v>3</v>
      </c>
      <c r="J35" s="49">
        <v>4</v>
      </c>
      <c r="K35" s="49">
        <v>0</v>
      </c>
      <c r="L35" s="49">
        <v>2</v>
      </c>
      <c r="M35" s="49">
        <v>150</v>
      </c>
      <c r="N35" s="49">
        <v>0</v>
      </c>
      <c r="O35" s="15">
        <f t="shared" si="0"/>
        <v>162</v>
      </c>
      <c r="P35" s="15">
        <f t="shared" si="1"/>
        <v>312</v>
      </c>
    </row>
    <row r="36" spans="2:20" ht="23.1" customHeight="1" x14ac:dyDescent="0.25">
      <c r="B36" s="23" t="s">
        <v>63</v>
      </c>
      <c r="C36" s="49">
        <v>95</v>
      </c>
      <c r="D36" s="49">
        <v>18</v>
      </c>
      <c r="E36" s="49">
        <v>15</v>
      </c>
      <c r="F36" s="49">
        <v>5</v>
      </c>
      <c r="G36" s="49">
        <v>1</v>
      </c>
      <c r="H36" s="49">
        <v>0</v>
      </c>
      <c r="I36" s="49">
        <v>3</v>
      </c>
      <c r="J36" s="49">
        <v>5</v>
      </c>
      <c r="K36" s="49">
        <v>1</v>
      </c>
      <c r="L36" s="49">
        <v>0</v>
      </c>
      <c r="M36" s="49">
        <v>110</v>
      </c>
      <c r="N36" s="49">
        <v>0</v>
      </c>
      <c r="O36" s="15">
        <f t="shared" si="0"/>
        <v>143</v>
      </c>
      <c r="P36" s="15">
        <f t="shared" si="1"/>
        <v>253</v>
      </c>
    </row>
    <row r="37" spans="2:20" ht="23.1" customHeight="1" x14ac:dyDescent="0.25">
      <c r="B37" s="22" t="s">
        <v>64</v>
      </c>
      <c r="C37" s="49">
        <v>108</v>
      </c>
      <c r="D37" s="49">
        <v>21</v>
      </c>
      <c r="E37" s="49">
        <v>9</v>
      </c>
      <c r="F37" s="49">
        <v>11</v>
      </c>
      <c r="G37" s="49">
        <v>0</v>
      </c>
      <c r="H37" s="49">
        <v>0</v>
      </c>
      <c r="I37" s="49">
        <v>7</v>
      </c>
      <c r="J37" s="49">
        <v>3</v>
      </c>
      <c r="K37" s="49">
        <v>0</v>
      </c>
      <c r="L37" s="49">
        <v>2</v>
      </c>
      <c r="M37" s="49">
        <v>140</v>
      </c>
      <c r="N37" s="49">
        <v>0</v>
      </c>
      <c r="O37" s="15">
        <f t="shared" si="0"/>
        <v>161</v>
      </c>
      <c r="P37" s="15">
        <f t="shared" si="1"/>
        <v>301</v>
      </c>
    </row>
    <row r="38" spans="2:20" ht="23.1" customHeight="1" x14ac:dyDescent="0.25">
      <c r="B38" s="23" t="s">
        <v>65</v>
      </c>
      <c r="C38" s="49">
        <v>115</v>
      </c>
      <c r="D38" s="49">
        <v>21</v>
      </c>
      <c r="E38" s="49">
        <v>12</v>
      </c>
      <c r="F38" s="49">
        <v>7</v>
      </c>
      <c r="G38" s="49">
        <v>0</v>
      </c>
      <c r="H38" s="49">
        <v>1</v>
      </c>
      <c r="I38" s="49">
        <v>9</v>
      </c>
      <c r="J38" s="49">
        <v>3</v>
      </c>
      <c r="K38" s="49">
        <v>1</v>
      </c>
      <c r="L38" s="49">
        <v>0</v>
      </c>
      <c r="M38" s="49">
        <v>165</v>
      </c>
      <c r="N38" s="49">
        <v>0</v>
      </c>
      <c r="O38" s="15">
        <f t="shared" si="0"/>
        <v>169</v>
      </c>
      <c r="P38" s="15">
        <f t="shared" si="1"/>
        <v>334</v>
      </c>
    </row>
    <row r="39" spans="2:20" ht="23.1" customHeight="1" x14ac:dyDescent="0.25">
      <c r="B39" s="23" t="s">
        <v>66</v>
      </c>
      <c r="C39" s="49">
        <v>115</v>
      </c>
      <c r="D39" s="49">
        <v>25</v>
      </c>
      <c r="E39" s="49">
        <v>11</v>
      </c>
      <c r="F39" s="49">
        <v>10</v>
      </c>
      <c r="G39" s="49">
        <v>0</v>
      </c>
      <c r="H39" s="49">
        <v>0</v>
      </c>
      <c r="I39" s="49">
        <v>2</v>
      </c>
      <c r="J39" s="49">
        <v>4</v>
      </c>
      <c r="K39" s="49">
        <v>0</v>
      </c>
      <c r="L39" s="49">
        <v>1</v>
      </c>
      <c r="M39" s="49">
        <v>235</v>
      </c>
      <c r="N39" s="49">
        <v>0</v>
      </c>
      <c r="O39" s="15">
        <f t="shared" si="0"/>
        <v>168</v>
      </c>
      <c r="P39" s="15">
        <f t="shared" si="1"/>
        <v>403</v>
      </c>
    </row>
    <row r="40" spans="2:20" ht="23.1" customHeight="1" x14ac:dyDescent="0.25">
      <c r="B40" s="23" t="s">
        <v>67</v>
      </c>
      <c r="C40" s="49">
        <v>139</v>
      </c>
      <c r="D40" s="49">
        <v>22</v>
      </c>
      <c r="E40" s="49">
        <v>8</v>
      </c>
      <c r="F40" s="49">
        <v>7</v>
      </c>
      <c r="G40" s="49">
        <v>0</v>
      </c>
      <c r="H40" s="49">
        <v>0</v>
      </c>
      <c r="I40" s="49">
        <v>9</v>
      </c>
      <c r="J40" s="49">
        <v>5</v>
      </c>
      <c r="K40" s="49">
        <v>1</v>
      </c>
      <c r="L40" s="49">
        <v>2</v>
      </c>
      <c r="M40" s="49">
        <v>185</v>
      </c>
      <c r="N40" s="49">
        <v>0</v>
      </c>
      <c r="O40" s="15">
        <f t="shared" si="0"/>
        <v>193</v>
      </c>
      <c r="P40" s="15">
        <f t="shared" si="1"/>
        <v>378</v>
      </c>
    </row>
    <row r="41" spans="2:20" ht="23.1" customHeight="1" x14ac:dyDescent="0.25">
      <c r="B41" s="22" t="s">
        <v>68</v>
      </c>
      <c r="C41" s="49">
        <v>120</v>
      </c>
      <c r="D41" s="49">
        <v>16</v>
      </c>
      <c r="E41" s="49">
        <v>8</v>
      </c>
      <c r="F41" s="49">
        <v>7</v>
      </c>
      <c r="G41" s="49">
        <v>0</v>
      </c>
      <c r="H41" s="49">
        <v>1</v>
      </c>
      <c r="I41" s="49">
        <v>2</v>
      </c>
      <c r="J41" s="49">
        <v>4</v>
      </c>
      <c r="K41" s="49">
        <v>1</v>
      </c>
      <c r="L41" s="49">
        <v>1</v>
      </c>
      <c r="M41" s="49">
        <v>220</v>
      </c>
      <c r="N41" s="49">
        <v>0</v>
      </c>
      <c r="O41" s="15">
        <f t="shared" si="0"/>
        <v>160</v>
      </c>
      <c r="P41" s="15">
        <f t="shared" si="1"/>
        <v>380</v>
      </c>
    </row>
    <row r="42" spans="2:20" ht="23.1" customHeight="1" x14ac:dyDescent="0.25">
      <c r="B42" s="23" t="s">
        <v>69</v>
      </c>
      <c r="C42" s="49">
        <v>141</v>
      </c>
      <c r="D42" s="49">
        <v>18</v>
      </c>
      <c r="E42" s="49">
        <v>12</v>
      </c>
      <c r="F42" s="49">
        <v>6</v>
      </c>
      <c r="G42" s="49">
        <v>0</v>
      </c>
      <c r="H42" s="49">
        <v>0</v>
      </c>
      <c r="I42" s="49">
        <v>2</v>
      </c>
      <c r="J42" s="49">
        <v>3</v>
      </c>
      <c r="K42" s="49">
        <v>0</v>
      </c>
      <c r="L42" s="49">
        <v>0</v>
      </c>
      <c r="M42" s="49">
        <v>175</v>
      </c>
      <c r="N42" s="49">
        <v>0</v>
      </c>
      <c r="O42" s="15">
        <f t="shared" si="0"/>
        <v>182</v>
      </c>
      <c r="P42" s="15">
        <f t="shared" si="1"/>
        <v>357</v>
      </c>
    </row>
    <row r="43" spans="2:20" ht="23.1" customHeight="1" x14ac:dyDescent="0.25">
      <c r="B43" s="22" t="s">
        <v>70</v>
      </c>
      <c r="C43" s="49">
        <v>140</v>
      </c>
      <c r="D43" s="49">
        <v>23</v>
      </c>
      <c r="E43" s="49">
        <v>10</v>
      </c>
      <c r="F43" s="49">
        <v>7</v>
      </c>
      <c r="G43" s="49">
        <v>0</v>
      </c>
      <c r="H43" s="49">
        <v>0</v>
      </c>
      <c r="I43" s="49">
        <v>4</v>
      </c>
      <c r="J43" s="49">
        <v>3</v>
      </c>
      <c r="K43" s="49">
        <v>0</v>
      </c>
      <c r="L43" s="49">
        <v>0</v>
      </c>
      <c r="M43" s="49">
        <v>130</v>
      </c>
      <c r="N43" s="49">
        <v>0</v>
      </c>
      <c r="O43" s="15">
        <f t="shared" si="0"/>
        <v>187</v>
      </c>
      <c r="P43" s="15">
        <f t="shared" si="1"/>
        <v>317</v>
      </c>
    </row>
    <row r="44" spans="2:20" ht="23.1" customHeight="1" x14ac:dyDescent="0.25">
      <c r="B44" s="24" t="s">
        <v>71</v>
      </c>
      <c r="C44" s="49">
        <v>128</v>
      </c>
      <c r="D44" s="49">
        <v>19</v>
      </c>
      <c r="E44" s="49">
        <v>12</v>
      </c>
      <c r="F44" s="49">
        <v>8</v>
      </c>
      <c r="G44" s="49">
        <v>0</v>
      </c>
      <c r="H44" s="49">
        <v>0</v>
      </c>
      <c r="I44" s="49">
        <v>5</v>
      </c>
      <c r="J44" s="49">
        <v>3</v>
      </c>
      <c r="K44" s="49">
        <v>0</v>
      </c>
      <c r="L44" s="49">
        <v>2</v>
      </c>
      <c r="M44" s="49">
        <v>120</v>
      </c>
      <c r="N44" s="49">
        <v>0</v>
      </c>
      <c r="O44" s="15">
        <f t="shared" si="0"/>
        <v>177</v>
      </c>
      <c r="P44" s="15">
        <f t="shared" si="1"/>
        <v>297</v>
      </c>
    </row>
    <row r="45" spans="2:20" ht="23.1" customHeight="1" x14ac:dyDescent="0.25">
      <c r="B45" s="22" t="s">
        <v>72</v>
      </c>
      <c r="C45" s="49">
        <v>89</v>
      </c>
      <c r="D45" s="49">
        <v>42</v>
      </c>
      <c r="E45" s="49">
        <v>10</v>
      </c>
      <c r="F45" s="49">
        <v>8</v>
      </c>
      <c r="G45" s="49">
        <v>1</v>
      </c>
      <c r="H45" s="49">
        <v>0</v>
      </c>
      <c r="I45" s="49">
        <v>6</v>
      </c>
      <c r="J45" s="49">
        <v>6</v>
      </c>
      <c r="K45" s="49">
        <v>0</v>
      </c>
      <c r="L45" s="49">
        <v>0</v>
      </c>
      <c r="M45" s="49">
        <v>130</v>
      </c>
      <c r="N45" s="49">
        <v>0</v>
      </c>
      <c r="O45" s="15">
        <f t="shared" si="0"/>
        <v>162</v>
      </c>
      <c r="P45" s="15">
        <f t="shared" si="1"/>
        <v>292</v>
      </c>
    </row>
    <row r="46" spans="2:20" ht="23.1" customHeight="1" x14ac:dyDescent="0.25">
      <c r="B46" s="23" t="s">
        <v>73</v>
      </c>
      <c r="C46" s="49">
        <v>117</v>
      </c>
      <c r="D46" s="49">
        <v>28</v>
      </c>
      <c r="E46" s="49">
        <v>10</v>
      </c>
      <c r="F46" s="49">
        <v>7</v>
      </c>
      <c r="G46" s="49">
        <v>0</v>
      </c>
      <c r="H46" s="49">
        <v>0</v>
      </c>
      <c r="I46" s="49">
        <v>3</v>
      </c>
      <c r="J46" s="49">
        <v>4</v>
      </c>
      <c r="K46" s="49">
        <v>1</v>
      </c>
      <c r="L46" s="49">
        <v>1</v>
      </c>
      <c r="M46" s="49">
        <v>170</v>
      </c>
      <c r="N46" s="49">
        <v>0</v>
      </c>
      <c r="O46" s="15">
        <f t="shared" si="0"/>
        <v>171</v>
      </c>
      <c r="P46" s="15">
        <f t="shared" si="1"/>
        <v>341</v>
      </c>
      <c r="R46" s="8"/>
      <c r="T46"/>
    </row>
    <row r="47" spans="2:20" ht="23.1" customHeight="1" x14ac:dyDescent="0.25">
      <c r="B47" s="23" t="s">
        <v>74</v>
      </c>
      <c r="C47" s="49">
        <v>107</v>
      </c>
      <c r="D47" s="49">
        <v>25</v>
      </c>
      <c r="E47" s="49">
        <v>7</v>
      </c>
      <c r="F47" s="49">
        <v>9</v>
      </c>
      <c r="G47" s="49">
        <v>0</v>
      </c>
      <c r="H47" s="49">
        <v>0</v>
      </c>
      <c r="I47" s="49">
        <v>3</v>
      </c>
      <c r="J47" s="49">
        <v>5</v>
      </c>
      <c r="K47" s="49">
        <v>0</v>
      </c>
      <c r="L47" s="49">
        <v>0</v>
      </c>
      <c r="M47" s="49">
        <v>140</v>
      </c>
      <c r="N47" s="49">
        <v>0</v>
      </c>
      <c r="O47" s="15">
        <f t="shared" si="0"/>
        <v>156</v>
      </c>
      <c r="P47" s="15">
        <f t="shared" si="1"/>
        <v>296</v>
      </c>
      <c r="R47" s="8"/>
      <c r="T47"/>
    </row>
    <row r="48" spans="2:20" ht="23.1" customHeight="1" x14ac:dyDescent="0.25">
      <c r="B48" s="23" t="s">
        <v>75</v>
      </c>
      <c r="C48" s="49">
        <v>162</v>
      </c>
      <c r="D48" s="49">
        <v>21</v>
      </c>
      <c r="E48" s="49">
        <v>6</v>
      </c>
      <c r="F48" s="49">
        <v>12</v>
      </c>
      <c r="G48" s="49">
        <v>0</v>
      </c>
      <c r="H48" s="49">
        <v>0</v>
      </c>
      <c r="I48" s="49">
        <v>8</v>
      </c>
      <c r="J48" s="49">
        <v>2</v>
      </c>
      <c r="K48" s="49">
        <v>0</v>
      </c>
      <c r="L48" s="49">
        <v>3</v>
      </c>
      <c r="M48" s="49">
        <v>155</v>
      </c>
      <c r="N48" s="49">
        <v>0</v>
      </c>
      <c r="O48" s="15">
        <f t="shared" si="0"/>
        <v>214</v>
      </c>
      <c r="P48" s="15">
        <f t="shared" si="1"/>
        <v>369</v>
      </c>
      <c r="R48" s="8"/>
      <c r="T48"/>
    </row>
    <row r="49" spans="2:20" ht="23.1" customHeight="1" x14ac:dyDescent="0.25">
      <c r="B49" s="22" t="s">
        <v>76</v>
      </c>
      <c r="C49" s="49">
        <v>140</v>
      </c>
      <c r="D49" s="49">
        <v>17</v>
      </c>
      <c r="E49" s="49">
        <v>7</v>
      </c>
      <c r="F49" s="49">
        <v>9</v>
      </c>
      <c r="G49" s="49">
        <v>0</v>
      </c>
      <c r="H49" s="49">
        <v>0</v>
      </c>
      <c r="I49" s="49">
        <v>1</v>
      </c>
      <c r="J49" s="49">
        <v>3</v>
      </c>
      <c r="K49" s="49">
        <v>0</v>
      </c>
      <c r="L49" s="49">
        <v>0</v>
      </c>
      <c r="M49" s="49">
        <v>190</v>
      </c>
      <c r="N49" s="49">
        <v>0</v>
      </c>
      <c r="O49" s="15">
        <f t="shared" si="0"/>
        <v>177</v>
      </c>
      <c r="P49" s="15">
        <f t="shared" si="1"/>
        <v>367</v>
      </c>
      <c r="R49" s="8"/>
      <c r="T49"/>
    </row>
    <row r="50" spans="2:20" ht="23.1" customHeight="1" x14ac:dyDescent="0.25">
      <c r="B50" s="23" t="s">
        <v>77</v>
      </c>
      <c r="C50" s="49">
        <v>120</v>
      </c>
      <c r="D50" s="49">
        <v>10</v>
      </c>
      <c r="E50" s="49">
        <v>10</v>
      </c>
      <c r="F50" s="49">
        <v>15</v>
      </c>
      <c r="G50" s="49">
        <v>1</v>
      </c>
      <c r="H50" s="49">
        <v>0</v>
      </c>
      <c r="I50" s="49">
        <v>5</v>
      </c>
      <c r="J50" s="49">
        <v>1</v>
      </c>
      <c r="K50" s="49">
        <v>0</v>
      </c>
      <c r="L50" s="49">
        <v>0</v>
      </c>
      <c r="M50" s="49">
        <v>180</v>
      </c>
      <c r="N50" s="49">
        <v>0</v>
      </c>
      <c r="O50" s="15">
        <f t="shared" si="0"/>
        <v>162</v>
      </c>
      <c r="P50" s="15">
        <f t="shared" si="1"/>
        <v>342</v>
      </c>
      <c r="R50" s="8"/>
      <c r="T50"/>
    </row>
    <row r="51" spans="2:20" ht="23.1" customHeight="1" x14ac:dyDescent="0.25">
      <c r="B51" s="23" t="s">
        <v>78</v>
      </c>
      <c r="C51" s="49">
        <v>140</v>
      </c>
      <c r="D51" s="49">
        <v>20</v>
      </c>
      <c r="E51" s="49">
        <v>9</v>
      </c>
      <c r="F51" s="49">
        <v>9</v>
      </c>
      <c r="G51" s="49">
        <v>2</v>
      </c>
      <c r="H51" s="49">
        <v>0</v>
      </c>
      <c r="I51" s="49">
        <v>8</v>
      </c>
      <c r="J51" s="49">
        <v>3</v>
      </c>
      <c r="K51" s="49">
        <v>2</v>
      </c>
      <c r="L51" s="49">
        <v>0</v>
      </c>
      <c r="M51" s="49">
        <v>125</v>
      </c>
      <c r="N51" s="49">
        <v>0</v>
      </c>
      <c r="O51" s="15">
        <f t="shared" si="0"/>
        <v>193</v>
      </c>
      <c r="P51" s="15">
        <f t="shared" si="1"/>
        <v>318</v>
      </c>
      <c r="R51" s="8"/>
      <c r="T51"/>
    </row>
    <row r="52" spans="2:20" ht="23.1" customHeight="1" x14ac:dyDescent="0.25">
      <c r="B52" s="23" t="s">
        <v>79</v>
      </c>
      <c r="C52" s="49">
        <v>123</v>
      </c>
      <c r="D52" s="49">
        <v>12</v>
      </c>
      <c r="E52" s="49">
        <v>8</v>
      </c>
      <c r="F52" s="49">
        <v>10</v>
      </c>
      <c r="G52" s="49">
        <v>1</v>
      </c>
      <c r="H52" s="49">
        <v>0</v>
      </c>
      <c r="I52" s="49">
        <v>3</v>
      </c>
      <c r="J52" s="49">
        <v>1</v>
      </c>
      <c r="K52" s="49">
        <v>1</v>
      </c>
      <c r="L52" s="49">
        <v>0</v>
      </c>
      <c r="M52" s="49">
        <v>115</v>
      </c>
      <c r="N52" s="49">
        <v>0</v>
      </c>
      <c r="O52" s="15">
        <f t="shared" si="0"/>
        <v>159</v>
      </c>
      <c r="P52" s="15">
        <f t="shared" si="1"/>
        <v>274</v>
      </c>
      <c r="R52" s="8"/>
      <c r="T52"/>
    </row>
    <row r="53" spans="2:20" ht="23.1" customHeight="1" x14ac:dyDescent="0.25">
      <c r="B53" s="22" t="s">
        <v>80</v>
      </c>
      <c r="C53" s="49">
        <v>109</v>
      </c>
      <c r="D53" s="49">
        <v>16</v>
      </c>
      <c r="E53" s="49">
        <v>16</v>
      </c>
      <c r="F53" s="49">
        <v>15</v>
      </c>
      <c r="G53" s="49">
        <v>1</v>
      </c>
      <c r="H53" s="49">
        <v>0</v>
      </c>
      <c r="I53" s="49">
        <v>5</v>
      </c>
      <c r="J53" s="49">
        <v>2</v>
      </c>
      <c r="K53" s="49">
        <v>0</v>
      </c>
      <c r="L53" s="49">
        <v>0</v>
      </c>
      <c r="M53" s="49">
        <v>110</v>
      </c>
      <c r="N53" s="49">
        <v>0</v>
      </c>
      <c r="O53" s="15">
        <f t="shared" si="0"/>
        <v>164</v>
      </c>
      <c r="P53" s="15">
        <f t="shared" si="1"/>
        <v>274</v>
      </c>
      <c r="R53" s="8"/>
      <c r="T53"/>
    </row>
    <row r="54" spans="2:20" ht="23.1" customHeight="1" x14ac:dyDescent="0.25">
      <c r="B54" s="22" t="s">
        <v>81</v>
      </c>
      <c r="C54" s="49">
        <v>126</v>
      </c>
      <c r="D54" s="49">
        <v>14</v>
      </c>
      <c r="E54" s="49">
        <v>8</v>
      </c>
      <c r="F54" s="49">
        <v>7</v>
      </c>
      <c r="G54" s="49">
        <v>0</v>
      </c>
      <c r="H54" s="49">
        <v>0</v>
      </c>
      <c r="I54" s="49">
        <v>3</v>
      </c>
      <c r="J54" s="49">
        <v>1</v>
      </c>
      <c r="K54" s="49">
        <v>0</v>
      </c>
      <c r="L54" s="49">
        <v>1</v>
      </c>
      <c r="M54" s="49">
        <v>145</v>
      </c>
      <c r="N54" s="49">
        <v>0</v>
      </c>
      <c r="O54" s="15">
        <f t="shared" si="0"/>
        <v>160</v>
      </c>
      <c r="P54" s="15">
        <f t="shared" si="1"/>
        <v>305</v>
      </c>
      <c r="R54" s="8"/>
      <c r="T54"/>
    </row>
    <row r="55" spans="2:20" ht="23.1" customHeight="1" x14ac:dyDescent="0.25">
      <c r="B55" s="22" t="s">
        <v>82</v>
      </c>
      <c r="C55" s="49">
        <v>124</v>
      </c>
      <c r="D55" s="49">
        <v>28</v>
      </c>
      <c r="E55" s="49">
        <v>10</v>
      </c>
      <c r="F55" s="49">
        <v>7</v>
      </c>
      <c r="G55" s="49">
        <v>0</v>
      </c>
      <c r="H55" s="49">
        <v>0</v>
      </c>
      <c r="I55" s="49">
        <v>2</v>
      </c>
      <c r="J55" s="49">
        <v>3</v>
      </c>
      <c r="K55" s="49">
        <v>1</v>
      </c>
      <c r="L55" s="49">
        <v>0</v>
      </c>
      <c r="M55" s="49">
        <v>290</v>
      </c>
      <c r="N55" s="49">
        <v>0</v>
      </c>
      <c r="O55" s="15">
        <f t="shared" si="0"/>
        <v>175</v>
      </c>
      <c r="P55" s="15">
        <f t="shared" si="1"/>
        <v>465</v>
      </c>
      <c r="R55" s="8"/>
      <c r="T55"/>
    </row>
    <row r="56" spans="2:20" ht="23.1" customHeight="1" x14ac:dyDescent="0.25">
      <c r="B56" s="22" t="s">
        <v>83</v>
      </c>
      <c r="C56" s="49">
        <v>117</v>
      </c>
      <c r="D56" s="49">
        <v>22</v>
      </c>
      <c r="E56" s="49">
        <v>12</v>
      </c>
      <c r="F56" s="49">
        <v>4</v>
      </c>
      <c r="G56" s="49">
        <v>0</v>
      </c>
      <c r="H56" s="49">
        <v>0</v>
      </c>
      <c r="I56" s="49">
        <v>2</v>
      </c>
      <c r="J56" s="49">
        <v>5</v>
      </c>
      <c r="K56" s="49">
        <v>0</v>
      </c>
      <c r="L56" s="49">
        <v>0</v>
      </c>
      <c r="M56" s="49">
        <v>140</v>
      </c>
      <c r="N56" s="49">
        <v>0</v>
      </c>
      <c r="O56" s="15">
        <f t="shared" si="0"/>
        <v>162</v>
      </c>
      <c r="P56" s="15">
        <f t="shared" si="1"/>
        <v>302</v>
      </c>
      <c r="R56" s="8"/>
      <c r="T56"/>
    </row>
    <row r="57" spans="2:20" ht="23.1" customHeight="1" x14ac:dyDescent="0.25">
      <c r="B57" s="22" t="s">
        <v>84</v>
      </c>
      <c r="C57" s="49">
        <v>146</v>
      </c>
      <c r="D57" s="49">
        <v>29</v>
      </c>
      <c r="E57" s="49">
        <v>9</v>
      </c>
      <c r="F57" s="49">
        <v>10</v>
      </c>
      <c r="G57" s="49">
        <v>0</v>
      </c>
      <c r="H57" s="49">
        <v>0</v>
      </c>
      <c r="I57" s="49">
        <v>7</v>
      </c>
      <c r="J57" s="49">
        <v>2</v>
      </c>
      <c r="K57" s="49">
        <v>0</v>
      </c>
      <c r="L57" s="49">
        <v>1</v>
      </c>
      <c r="M57" s="49">
        <v>255</v>
      </c>
      <c r="N57" s="49">
        <v>0</v>
      </c>
      <c r="O57" s="15">
        <f t="shared" si="0"/>
        <v>204</v>
      </c>
      <c r="P57" s="15">
        <f t="shared" si="1"/>
        <v>459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5202</v>
      </c>
      <c r="D58" s="16">
        <f t="shared" si="21"/>
        <v>952</v>
      </c>
      <c r="E58" s="16">
        <f t="shared" si="21"/>
        <v>422</v>
      </c>
      <c r="F58" s="16">
        <f t="shared" si="21"/>
        <v>456</v>
      </c>
      <c r="G58" s="16">
        <f t="shared" si="21"/>
        <v>27</v>
      </c>
      <c r="H58" s="16">
        <f t="shared" si="21"/>
        <v>2</v>
      </c>
      <c r="I58" s="16">
        <f t="shared" si="21"/>
        <v>210</v>
      </c>
      <c r="J58" s="16">
        <f t="shared" si="21"/>
        <v>165</v>
      </c>
      <c r="K58" s="16">
        <f t="shared" si="21"/>
        <v>31</v>
      </c>
      <c r="L58" s="16">
        <f t="shared" si="21"/>
        <v>60</v>
      </c>
      <c r="M58" s="16">
        <f t="shared" si="21"/>
        <v>7894</v>
      </c>
      <c r="N58" s="16">
        <f t="shared" si="21"/>
        <v>0</v>
      </c>
      <c r="O58" s="16">
        <f t="shared" si="21"/>
        <v>7527</v>
      </c>
      <c r="P58" s="16">
        <f t="shared" si="21"/>
        <v>15421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0.33733220932494651</v>
      </c>
      <c r="D59" s="42">
        <f t="shared" si="22"/>
        <v>6.1733999092147072E-2</v>
      </c>
      <c r="E59" s="42">
        <f t="shared" si="22"/>
        <v>2.7365281110174437E-2</v>
      </c>
      <c r="F59" s="42">
        <f t="shared" si="22"/>
        <v>2.9570066792036834E-2</v>
      </c>
      <c r="G59" s="42">
        <f t="shared" si="22"/>
        <v>1.7508592179495493E-3</v>
      </c>
      <c r="H59" s="42">
        <f t="shared" si="22"/>
        <v>1.2969327540367031E-4</v>
      </c>
      <c r="I59" s="42">
        <f t="shared" si="22"/>
        <v>1.3617793917385384E-2</v>
      </c>
      <c r="J59" s="42">
        <f t="shared" si="22"/>
        <v>1.0699695220802802E-2</v>
      </c>
      <c r="K59" s="42">
        <f t="shared" si="22"/>
        <v>2.0102457687568901E-3</v>
      </c>
      <c r="L59" s="42">
        <f t="shared" si="22"/>
        <v>3.8907982621101097E-3</v>
      </c>
      <c r="M59" s="42">
        <f t="shared" si="22"/>
        <v>0.51189935801828679</v>
      </c>
      <c r="N59" s="42">
        <f t="shared" si="22"/>
        <v>0</v>
      </c>
      <c r="R59" s="8"/>
      <c r="T59"/>
    </row>
    <row r="60" spans="2:20" ht="23.1" customHeight="1" x14ac:dyDescent="0.25">
      <c r="B60" s="41" t="s">
        <v>94</v>
      </c>
      <c r="C60" s="43">
        <f>C58/$O$58</f>
        <v>0.69111199681147872</v>
      </c>
      <c r="D60" s="43">
        <f t="shared" ref="D60:N60" si="23">D58/$O$58</f>
        <v>0.12647801248837517</v>
      </c>
      <c r="E60" s="43">
        <f t="shared" si="23"/>
        <v>5.6064833266905804E-2</v>
      </c>
      <c r="F60" s="43">
        <f t="shared" si="23"/>
        <v>6.0581905141490637E-2</v>
      </c>
      <c r="G60" s="43">
        <f t="shared" si="23"/>
        <v>3.5870864886408927E-3</v>
      </c>
      <c r="H60" s="43">
        <f t="shared" si="23"/>
        <v>2.6571011026969577E-4</v>
      </c>
      <c r="I60" s="43">
        <f t="shared" si="23"/>
        <v>2.7899561578318056E-2</v>
      </c>
      <c r="J60" s="43">
        <f t="shared" si="23"/>
        <v>2.19210840972499E-2</v>
      </c>
      <c r="K60" s="43">
        <f t="shared" si="23"/>
        <v>4.118506709180284E-3</v>
      </c>
      <c r="L60" s="43">
        <f t="shared" si="23"/>
        <v>7.971303308090873E-3</v>
      </c>
      <c r="M60" s="43"/>
      <c r="N60" s="43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AF126"/>
  <sheetViews>
    <sheetView view="pageBreakPreview" zoomScale="60" workbookViewId="0">
      <selection activeCell="E57" sqref="E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'30.7.Jinja RD-Mukwano RD'!C3:G3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189</v>
      </c>
      <c r="E5" s="3"/>
      <c r="F5" s="40" t="s">
        <v>1</v>
      </c>
      <c r="G5" s="58" t="e">
        <f>#REF!</f>
        <v>#REF!</v>
      </c>
      <c r="H5" s="59"/>
      <c r="I5" s="14"/>
      <c r="J5" s="2" t="s">
        <v>5</v>
      </c>
      <c r="K5" s="58" t="s">
        <v>190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'30.7.Jinja RD-Mukwano RD'!D6:E6</f>
        <v>Jinja RD</v>
      </c>
      <c r="E6" s="59"/>
      <c r="F6" s="2" t="s">
        <v>2</v>
      </c>
      <c r="G6" s="58" t="str">
        <f>'30.7.Jinja RD-Mukwano RD'!G6:H6</f>
        <v>Mukwano</v>
      </c>
      <c r="H6" s="59"/>
      <c r="J6" s="2" t="s">
        <v>21</v>
      </c>
      <c r="K6" s="58" t="e">
        <f>#REF!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15</v>
      </c>
      <c r="D10" s="49">
        <v>0</v>
      </c>
      <c r="E10" s="49">
        <v>3</v>
      </c>
      <c r="F10" s="49">
        <v>2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111</v>
      </c>
      <c r="N10" s="49">
        <v>0</v>
      </c>
      <c r="O10" s="15">
        <f t="shared" ref="O10:O57" si="0">SUM(C10:L10,N10)</f>
        <v>20</v>
      </c>
      <c r="P10" s="15">
        <f t="shared" ref="P10:P57" si="1">SUM(C10:N10)</f>
        <v>131</v>
      </c>
      <c r="R10" s="1" t="s">
        <v>6</v>
      </c>
      <c r="S10" s="17">
        <f t="shared" ref="S10:AF10" si="2">SUM(C10:C13)</f>
        <v>122</v>
      </c>
      <c r="T10" s="17">
        <f t="shared" si="2"/>
        <v>21</v>
      </c>
      <c r="U10" s="17">
        <f t="shared" si="2"/>
        <v>17</v>
      </c>
      <c r="V10" s="17">
        <f t="shared" si="2"/>
        <v>14</v>
      </c>
      <c r="W10" s="17">
        <f t="shared" si="2"/>
        <v>3</v>
      </c>
      <c r="X10" s="17">
        <f t="shared" si="2"/>
        <v>1</v>
      </c>
      <c r="Y10" s="17">
        <f t="shared" si="2"/>
        <v>3</v>
      </c>
      <c r="Z10" s="17">
        <f t="shared" si="2"/>
        <v>3</v>
      </c>
      <c r="AA10" s="17">
        <f t="shared" si="2"/>
        <v>1</v>
      </c>
      <c r="AB10" s="17">
        <f t="shared" si="2"/>
        <v>2</v>
      </c>
      <c r="AC10" s="17">
        <f t="shared" si="2"/>
        <v>621</v>
      </c>
      <c r="AD10" s="17">
        <f t="shared" si="2"/>
        <v>0</v>
      </c>
      <c r="AE10" s="30">
        <f t="shared" si="2"/>
        <v>187</v>
      </c>
      <c r="AF10" s="30">
        <f t="shared" si="2"/>
        <v>808</v>
      </c>
    </row>
    <row r="11" spans="2:32" s="6" customFormat="1" ht="23.1" customHeight="1" x14ac:dyDescent="0.25">
      <c r="B11" s="22" t="s">
        <v>38</v>
      </c>
      <c r="C11" s="49">
        <v>33</v>
      </c>
      <c r="D11" s="49">
        <v>5</v>
      </c>
      <c r="E11" s="49">
        <v>5</v>
      </c>
      <c r="F11" s="49">
        <v>6</v>
      </c>
      <c r="G11" s="49">
        <v>0</v>
      </c>
      <c r="H11" s="49">
        <v>0</v>
      </c>
      <c r="I11" s="49">
        <v>1</v>
      </c>
      <c r="J11" s="49">
        <v>0</v>
      </c>
      <c r="K11" s="49">
        <v>1</v>
      </c>
      <c r="L11" s="49">
        <v>0</v>
      </c>
      <c r="M11" s="49">
        <v>149</v>
      </c>
      <c r="N11" s="49">
        <v>0</v>
      </c>
      <c r="O11" s="15">
        <f t="shared" si="0"/>
        <v>51</v>
      </c>
      <c r="P11" s="15">
        <f t="shared" si="1"/>
        <v>200</v>
      </c>
      <c r="R11" s="1" t="s">
        <v>7</v>
      </c>
      <c r="S11" s="17">
        <f t="shared" ref="S11:AF11" si="3">SUM(C14:C17)</f>
        <v>179</v>
      </c>
      <c r="T11" s="17">
        <f t="shared" si="3"/>
        <v>46</v>
      </c>
      <c r="U11" s="17">
        <f t="shared" si="3"/>
        <v>18</v>
      </c>
      <c r="V11" s="17">
        <f t="shared" si="3"/>
        <v>9</v>
      </c>
      <c r="W11" s="17">
        <f t="shared" si="3"/>
        <v>2</v>
      </c>
      <c r="X11" s="17">
        <f t="shared" si="3"/>
        <v>0</v>
      </c>
      <c r="Y11" s="17">
        <f t="shared" si="3"/>
        <v>15</v>
      </c>
      <c r="Z11" s="17">
        <f t="shared" si="3"/>
        <v>10</v>
      </c>
      <c r="AA11" s="17">
        <f t="shared" si="3"/>
        <v>8</v>
      </c>
      <c r="AB11" s="17">
        <f t="shared" si="3"/>
        <v>3</v>
      </c>
      <c r="AC11" s="17">
        <f t="shared" si="3"/>
        <v>809</v>
      </c>
      <c r="AD11" s="17">
        <f t="shared" si="3"/>
        <v>0</v>
      </c>
      <c r="AE11" s="30">
        <f t="shared" si="3"/>
        <v>290</v>
      </c>
      <c r="AF11" s="30">
        <f t="shared" si="3"/>
        <v>1099</v>
      </c>
    </row>
    <row r="12" spans="2:32" ht="23.1" customHeight="1" x14ac:dyDescent="0.25">
      <c r="B12" s="22" t="s">
        <v>39</v>
      </c>
      <c r="C12" s="49">
        <v>54</v>
      </c>
      <c r="D12" s="49">
        <v>9</v>
      </c>
      <c r="E12" s="49">
        <v>6</v>
      </c>
      <c r="F12" s="49">
        <v>4</v>
      </c>
      <c r="G12" s="49">
        <v>1</v>
      </c>
      <c r="H12" s="49">
        <v>1</v>
      </c>
      <c r="I12" s="49">
        <v>1</v>
      </c>
      <c r="J12" s="49">
        <v>1</v>
      </c>
      <c r="K12" s="49">
        <v>0</v>
      </c>
      <c r="L12" s="49">
        <v>1</v>
      </c>
      <c r="M12" s="49">
        <v>176</v>
      </c>
      <c r="N12" s="49">
        <v>0</v>
      </c>
      <c r="O12" s="15">
        <f t="shared" si="0"/>
        <v>78</v>
      </c>
      <c r="P12" s="15">
        <f t="shared" si="1"/>
        <v>254</v>
      </c>
      <c r="R12" s="1" t="s">
        <v>8</v>
      </c>
      <c r="S12" s="17">
        <f t="shared" ref="S12:AF12" si="4">SUM(C18:C21)</f>
        <v>214</v>
      </c>
      <c r="T12" s="17">
        <f t="shared" si="4"/>
        <v>78</v>
      </c>
      <c r="U12" s="17">
        <f t="shared" si="4"/>
        <v>25</v>
      </c>
      <c r="V12" s="17">
        <f t="shared" si="4"/>
        <v>16</v>
      </c>
      <c r="W12" s="17">
        <f t="shared" si="4"/>
        <v>4</v>
      </c>
      <c r="X12" s="17">
        <f t="shared" si="4"/>
        <v>0</v>
      </c>
      <c r="Y12" s="17">
        <f t="shared" si="4"/>
        <v>16</v>
      </c>
      <c r="Z12" s="17">
        <f t="shared" si="4"/>
        <v>16</v>
      </c>
      <c r="AA12" s="17">
        <f t="shared" si="4"/>
        <v>4</v>
      </c>
      <c r="AB12" s="17">
        <f t="shared" si="4"/>
        <v>4</v>
      </c>
      <c r="AC12" s="17">
        <f t="shared" si="4"/>
        <v>787</v>
      </c>
      <c r="AD12" s="17">
        <f t="shared" si="4"/>
        <v>0</v>
      </c>
      <c r="AE12" s="30">
        <f t="shared" si="4"/>
        <v>377</v>
      </c>
      <c r="AF12" s="30">
        <f t="shared" si="4"/>
        <v>1164</v>
      </c>
    </row>
    <row r="13" spans="2:32" ht="23.1" customHeight="1" x14ac:dyDescent="0.25">
      <c r="B13" s="22" t="s">
        <v>40</v>
      </c>
      <c r="C13" s="49">
        <v>20</v>
      </c>
      <c r="D13" s="49">
        <v>7</v>
      </c>
      <c r="E13" s="49">
        <v>3</v>
      </c>
      <c r="F13" s="49">
        <v>2</v>
      </c>
      <c r="G13" s="49">
        <v>2</v>
      </c>
      <c r="H13" s="49">
        <v>0</v>
      </c>
      <c r="I13" s="49">
        <v>1</v>
      </c>
      <c r="J13" s="49">
        <v>2</v>
      </c>
      <c r="K13" s="49">
        <v>0</v>
      </c>
      <c r="L13" s="49">
        <v>1</v>
      </c>
      <c r="M13" s="49">
        <v>185</v>
      </c>
      <c r="N13" s="49">
        <v>0</v>
      </c>
      <c r="O13" s="15">
        <f t="shared" si="0"/>
        <v>38</v>
      </c>
      <c r="P13" s="15">
        <f t="shared" si="1"/>
        <v>223</v>
      </c>
      <c r="R13" s="1" t="s">
        <v>9</v>
      </c>
      <c r="S13" s="17">
        <f t="shared" ref="S13:AF13" si="5">SUM(C22:C25)</f>
        <v>259</v>
      </c>
      <c r="T13" s="17">
        <f t="shared" si="5"/>
        <v>79</v>
      </c>
      <c r="U13" s="17">
        <f t="shared" si="5"/>
        <v>44</v>
      </c>
      <c r="V13" s="17">
        <f t="shared" si="5"/>
        <v>11</v>
      </c>
      <c r="W13" s="17">
        <f t="shared" si="5"/>
        <v>7</v>
      </c>
      <c r="X13" s="17">
        <f t="shared" si="5"/>
        <v>1</v>
      </c>
      <c r="Y13" s="17">
        <f t="shared" si="5"/>
        <v>14</v>
      </c>
      <c r="Z13" s="17">
        <f t="shared" si="5"/>
        <v>5</v>
      </c>
      <c r="AA13" s="17">
        <f t="shared" si="5"/>
        <v>15</v>
      </c>
      <c r="AB13" s="17">
        <f t="shared" si="5"/>
        <v>2</v>
      </c>
      <c r="AC13" s="17">
        <f t="shared" si="5"/>
        <v>788</v>
      </c>
      <c r="AD13" s="17">
        <f t="shared" si="5"/>
        <v>1</v>
      </c>
      <c r="AE13" s="30">
        <f t="shared" si="5"/>
        <v>438</v>
      </c>
      <c r="AF13" s="30">
        <f t="shared" si="5"/>
        <v>1226</v>
      </c>
    </row>
    <row r="14" spans="2:32" ht="23.1" customHeight="1" x14ac:dyDescent="0.25">
      <c r="B14" s="22" t="s">
        <v>41</v>
      </c>
      <c r="C14" s="49">
        <v>57</v>
      </c>
      <c r="D14" s="49">
        <v>6</v>
      </c>
      <c r="E14" s="49">
        <v>5</v>
      </c>
      <c r="F14" s="49">
        <v>5</v>
      </c>
      <c r="G14" s="49">
        <v>1</v>
      </c>
      <c r="H14" s="49">
        <v>0</v>
      </c>
      <c r="I14" s="49">
        <v>3</v>
      </c>
      <c r="J14" s="49">
        <v>1</v>
      </c>
      <c r="K14" s="49">
        <v>0</v>
      </c>
      <c r="L14" s="49">
        <v>0</v>
      </c>
      <c r="M14" s="49">
        <v>192</v>
      </c>
      <c r="N14" s="49">
        <v>0</v>
      </c>
      <c r="O14" s="15">
        <f t="shared" si="0"/>
        <v>78</v>
      </c>
      <c r="P14" s="15">
        <f t="shared" si="1"/>
        <v>270</v>
      </c>
      <c r="R14" s="1" t="s">
        <v>10</v>
      </c>
      <c r="S14" s="17">
        <f t="shared" ref="S14:AF14" si="6">SUM(C26:C29)</f>
        <v>300</v>
      </c>
      <c r="T14" s="17">
        <f t="shared" si="6"/>
        <v>117</v>
      </c>
      <c r="U14" s="17">
        <f t="shared" si="6"/>
        <v>26</v>
      </c>
      <c r="V14" s="17">
        <f t="shared" si="6"/>
        <v>19</v>
      </c>
      <c r="W14" s="17">
        <f t="shared" si="6"/>
        <v>0</v>
      </c>
      <c r="X14" s="17">
        <f t="shared" si="6"/>
        <v>0</v>
      </c>
      <c r="Y14" s="17">
        <f t="shared" si="6"/>
        <v>22</v>
      </c>
      <c r="Z14" s="17">
        <f t="shared" si="6"/>
        <v>12</v>
      </c>
      <c r="AA14" s="17">
        <f t="shared" si="6"/>
        <v>4</v>
      </c>
      <c r="AB14" s="17">
        <f t="shared" si="6"/>
        <v>5</v>
      </c>
      <c r="AC14" s="17">
        <f t="shared" si="6"/>
        <v>870</v>
      </c>
      <c r="AD14" s="17">
        <f t="shared" si="6"/>
        <v>0</v>
      </c>
      <c r="AE14" s="30">
        <f t="shared" si="6"/>
        <v>505</v>
      </c>
      <c r="AF14" s="30">
        <f t="shared" si="6"/>
        <v>1375</v>
      </c>
    </row>
    <row r="15" spans="2:32" ht="23.1" customHeight="1" x14ac:dyDescent="0.25">
      <c r="B15" s="22" t="s">
        <v>42</v>
      </c>
      <c r="C15" s="49">
        <v>35</v>
      </c>
      <c r="D15" s="49">
        <v>8</v>
      </c>
      <c r="E15" s="49">
        <v>8</v>
      </c>
      <c r="F15" s="49">
        <v>0</v>
      </c>
      <c r="G15" s="49">
        <v>0</v>
      </c>
      <c r="H15" s="49">
        <v>0</v>
      </c>
      <c r="I15" s="49">
        <v>0</v>
      </c>
      <c r="J15" s="49">
        <v>3</v>
      </c>
      <c r="K15" s="49">
        <v>1</v>
      </c>
      <c r="L15" s="49">
        <v>0</v>
      </c>
      <c r="M15" s="49">
        <v>203</v>
      </c>
      <c r="N15" s="49">
        <v>0</v>
      </c>
      <c r="O15" s="15">
        <f t="shared" si="0"/>
        <v>55</v>
      </c>
      <c r="P15" s="15">
        <f t="shared" si="1"/>
        <v>258</v>
      </c>
      <c r="R15" s="1" t="s">
        <v>11</v>
      </c>
      <c r="S15" s="17">
        <f t="shared" ref="S15:AF15" si="7">SUM(C30:C33)</f>
        <v>340</v>
      </c>
      <c r="T15" s="17">
        <f t="shared" si="7"/>
        <v>103</v>
      </c>
      <c r="U15" s="17">
        <f t="shared" si="7"/>
        <v>45</v>
      </c>
      <c r="V15" s="17">
        <f t="shared" si="7"/>
        <v>24</v>
      </c>
      <c r="W15" s="17">
        <f t="shared" si="7"/>
        <v>1</v>
      </c>
      <c r="X15" s="17">
        <f t="shared" si="7"/>
        <v>1</v>
      </c>
      <c r="Y15" s="17">
        <f t="shared" si="7"/>
        <v>24</v>
      </c>
      <c r="Z15" s="17">
        <f t="shared" si="7"/>
        <v>12</v>
      </c>
      <c r="AA15" s="17">
        <f t="shared" si="7"/>
        <v>5</v>
      </c>
      <c r="AB15" s="17">
        <f t="shared" si="7"/>
        <v>3</v>
      </c>
      <c r="AC15" s="17">
        <f t="shared" si="7"/>
        <v>814</v>
      </c>
      <c r="AD15" s="17">
        <f t="shared" si="7"/>
        <v>0</v>
      </c>
      <c r="AE15" s="30">
        <f t="shared" si="7"/>
        <v>558</v>
      </c>
      <c r="AF15" s="30">
        <f t="shared" si="7"/>
        <v>1372</v>
      </c>
    </row>
    <row r="16" spans="2:32" ht="23.1" customHeight="1" x14ac:dyDescent="0.25">
      <c r="B16" s="22" t="s">
        <v>43</v>
      </c>
      <c r="C16" s="49">
        <v>45</v>
      </c>
      <c r="D16" s="49">
        <v>9</v>
      </c>
      <c r="E16" s="49">
        <v>4</v>
      </c>
      <c r="F16" s="49">
        <v>1</v>
      </c>
      <c r="G16" s="49">
        <v>1</v>
      </c>
      <c r="H16" s="49">
        <v>0</v>
      </c>
      <c r="I16" s="49">
        <v>5</v>
      </c>
      <c r="J16" s="49">
        <v>1</v>
      </c>
      <c r="K16" s="49">
        <v>2</v>
      </c>
      <c r="L16" s="49">
        <v>2</v>
      </c>
      <c r="M16" s="49">
        <v>226</v>
      </c>
      <c r="N16" s="49">
        <v>0</v>
      </c>
      <c r="O16" s="15">
        <f t="shared" si="0"/>
        <v>70</v>
      </c>
      <c r="P16" s="15">
        <f t="shared" si="1"/>
        <v>296</v>
      </c>
      <c r="R16" s="1" t="s">
        <v>12</v>
      </c>
      <c r="S16" s="17">
        <f t="shared" ref="S16:AF16" si="8">SUM(C34:C37)</f>
        <v>238</v>
      </c>
      <c r="T16" s="17">
        <f t="shared" si="8"/>
        <v>120</v>
      </c>
      <c r="U16" s="17">
        <f t="shared" si="8"/>
        <v>24</v>
      </c>
      <c r="V16" s="17">
        <f t="shared" si="8"/>
        <v>5</v>
      </c>
      <c r="W16" s="17">
        <f t="shared" si="8"/>
        <v>4</v>
      </c>
      <c r="X16" s="17">
        <f t="shared" si="8"/>
        <v>0</v>
      </c>
      <c r="Y16" s="17">
        <f t="shared" si="8"/>
        <v>24</v>
      </c>
      <c r="Z16" s="17">
        <f t="shared" si="8"/>
        <v>7</v>
      </c>
      <c r="AA16" s="17">
        <f t="shared" si="8"/>
        <v>1</v>
      </c>
      <c r="AB16" s="17">
        <f t="shared" si="8"/>
        <v>3</v>
      </c>
      <c r="AC16" s="17">
        <f t="shared" si="8"/>
        <v>746</v>
      </c>
      <c r="AD16" s="17">
        <f t="shared" si="8"/>
        <v>0</v>
      </c>
      <c r="AE16" s="30">
        <f t="shared" si="8"/>
        <v>426</v>
      </c>
      <c r="AF16" s="30">
        <f t="shared" si="8"/>
        <v>1172</v>
      </c>
    </row>
    <row r="17" spans="2:32" ht="23.1" customHeight="1" x14ac:dyDescent="0.25">
      <c r="B17" s="22" t="s">
        <v>44</v>
      </c>
      <c r="C17" s="49">
        <v>42</v>
      </c>
      <c r="D17" s="49">
        <v>23</v>
      </c>
      <c r="E17" s="49">
        <v>1</v>
      </c>
      <c r="F17" s="49">
        <v>3</v>
      </c>
      <c r="G17" s="49">
        <v>0</v>
      </c>
      <c r="H17" s="49">
        <v>0</v>
      </c>
      <c r="I17" s="49">
        <v>7</v>
      </c>
      <c r="J17" s="49">
        <v>5</v>
      </c>
      <c r="K17" s="49">
        <v>5</v>
      </c>
      <c r="L17" s="49">
        <v>1</v>
      </c>
      <c r="M17" s="49">
        <v>188</v>
      </c>
      <c r="N17" s="49">
        <v>0</v>
      </c>
      <c r="O17" s="15">
        <f t="shared" si="0"/>
        <v>87</v>
      </c>
      <c r="P17" s="15">
        <f t="shared" si="1"/>
        <v>275</v>
      </c>
      <c r="R17" s="1" t="s">
        <v>13</v>
      </c>
      <c r="S17" s="17">
        <f t="shared" ref="S17:AF17" si="9">SUM(C38:C41)</f>
        <v>219</v>
      </c>
      <c r="T17" s="17">
        <f t="shared" si="9"/>
        <v>109</v>
      </c>
      <c r="U17" s="17">
        <f t="shared" si="9"/>
        <v>35</v>
      </c>
      <c r="V17" s="17">
        <f t="shared" si="9"/>
        <v>6</v>
      </c>
      <c r="W17" s="17">
        <f t="shared" si="9"/>
        <v>1</v>
      </c>
      <c r="X17" s="17">
        <f t="shared" si="9"/>
        <v>1</v>
      </c>
      <c r="Y17" s="17">
        <f t="shared" si="9"/>
        <v>18</v>
      </c>
      <c r="Z17" s="17">
        <f t="shared" si="9"/>
        <v>8</v>
      </c>
      <c r="AA17" s="17">
        <f t="shared" si="9"/>
        <v>2</v>
      </c>
      <c r="AB17" s="17">
        <f t="shared" si="9"/>
        <v>2</v>
      </c>
      <c r="AC17" s="17">
        <f t="shared" si="9"/>
        <v>769</v>
      </c>
      <c r="AD17" s="17">
        <f t="shared" si="9"/>
        <v>0</v>
      </c>
      <c r="AE17" s="30">
        <f t="shared" si="9"/>
        <v>401</v>
      </c>
      <c r="AF17" s="30">
        <f t="shared" si="9"/>
        <v>1170</v>
      </c>
    </row>
    <row r="18" spans="2:32" ht="23.1" customHeight="1" x14ac:dyDescent="0.25">
      <c r="B18" s="22" t="s">
        <v>45</v>
      </c>
      <c r="C18" s="49">
        <v>53</v>
      </c>
      <c r="D18" s="49">
        <v>19</v>
      </c>
      <c r="E18" s="49">
        <v>8</v>
      </c>
      <c r="F18" s="49">
        <v>5</v>
      </c>
      <c r="G18" s="49">
        <v>2</v>
      </c>
      <c r="H18" s="49">
        <v>0</v>
      </c>
      <c r="I18" s="49">
        <v>6</v>
      </c>
      <c r="J18" s="49">
        <v>4</v>
      </c>
      <c r="K18" s="49">
        <v>2</v>
      </c>
      <c r="L18" s="49">
        <v>0</v>
      </c>
      <c r="M18" s="49">
        <v>190</v>
      </c>
      <c r="N18" s="49">
        <v>0</v>
      </c>
      <c r="O18" s="15">
        <f t="shared" si="0"/>
        <v>99</v>
      </c>
      <c r="P18" s="15">
        <f t="shared" si="1"/>
        <v>289</v>
      </c>
      <c r="R18" s="1" t="s">
        <v>14</v>
      </c>
      <c r="S18" s="17">
        <f t="shared" ref="S18:AF18" si="10">SUM(C42:C45)</f>
        <v>218</v>
      </c>
      <c r="T18" s="17">
        <f t="shared" si="10"/>
        <v>102</v>
      </c>
      <c r="U18" s="17">
        <f t="shared" si="10"/>
        <v>40</v>
      </c>
      <c r="V18" s="17">
        <f t="shared" si="10"/>
        <v>6</v>
      </c>
      <c r="W18" s="17">
        <f t="shared" si="10"/>
        <v>3</v>
      </c>
      <c r="X18" s="17">
        <f t="shared" si="10"/>
        <v>0</v>
      </c>
      <c r="Y18" s="17">
        <f t="shared" si="10"/>
        <v>27</v>
      </c>
      <c r="Z18" s="17">
        <f t="shared" si="10"/>
        <v>13</v>
      </c>
      <c r="AA18" s="17">
        <f t="shared" si="10"/>
        <v>6</v>
      </c>
      <c r="AB18" s="17">
        <f t="shared" si="10"/>
        <v>1</v>
      </c>
      <c r="AC18" s="17">
        <f t="shared" si="10"/>
        <v>768</v>
      </c>
      <c r="AD18" s="17">
        <f t="shared" si="10"/>
        <v>0</v>
      </c>
      <c r="AE18" s="30">
        <f t="shared" si="10"/>
        <v>416</v>
      </c>
      <c r="AF18" s="30">
        <f t="shared" si="10"/>
        <v>1184</v>
      </c>
    </row>
    <row r="19" spans="2:32" ht="23.1" customHeight="1" x14ac:dyDescent="0.25">
      <c r="B19" s="22" t="s">
        <v>46</v>
      </c>
      <c r="C19" s="49">
        <v>48</v>
      </c>
      <c r="D19" s="49">
        <v>11</v>
      </c>
      <c r="E19" s="49">
        <v>4</v>
      </c>
      <c r="F19" s="49">
        <v>3</v>
      </c>
      <c r="G19" s="49">
        <v>0</v>
      </c>
      <c r="H19" s="49">
        <v>0</v>
      </c>
      <c r="I19" s="49">
        <v>4</v>
      </c>
      <c r="J19" s="49">
        <v>3</v>
      </c>
      <c r="K19" s="49">
        <v>1</v>
      </c>
      <c r="L19" s="49">
        <v>3</v>
      </c>
      <c r="M19" s="49">
        <v>183</v>
      </c>
      <c r="N19" s="49">
        <v>0</v>
      </c>
      <c r="O19" s="15">
        <f t="shared" si="0"/>
        <v>77</v>
      </c>
      <c r="P19" s="15">
        <f t="shared" si="1"/>
        <v>260</v>
      </c>
      <c r="R19" s="1" t="s">
        <v>15</v>
      </c>
      <c r="S19" s="17">
        <f t="shared" ref="S19:AF19" si="11">SUM(C46:C49)</f>
        <v>318</v>
      </c>
      <c r="T19" s="17">
        <f t="shared" si="11"/>
        <v>114</v>
      </c>
      <c r="U19" s="17">
        <f t="shared" si="11"/>
        <v>38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23</v>
      </c>
      <c r="Z19" s="17">
        <f t="shared" si="11"/>
        <v>12</v>
      </c>
      <c r="AA19" s="17">
        <f t="shared" si="11"/>
        <v>2</v>
      </c>
      <c r="AB19" s="17">
        <f t="shared" si="11"/>
        <v>1</v>
      </c>
      <c r="AC19" s="17">
        <f t="shared" si="11"/>
        <v>829</v>
      </c>
      <c r="AD19" s="17">
        <f t="shared" si="11"/>
        <v>0</v>
      </c>
      <c r="AE19" s="30">
        <f t="shared" si="11"/>
        <v>511</v>
      </c>
      <c r="AF19" s="30">
        <f t="shared" si="11"/>
        <v>1340</v>
      </c>
    </row>
    <row r="20" spans="2:32" ht="23.1" customHeight="1" x14ac:dyDescent="0.25">
      <c r="B20" s="22" t="s">
        <v>47</v>
      </c>
      <c r="C20" s="49">
        <v>57</v>
      </c>
      <c r="D20" s="49">
        <v>23</v>
      </c>
      <c r="E20" s="49">
        <v>8</v>
      </c>
      <c r="F20" s="49">
        <v>6</v>
      </c>
      <c r="G20" s="49">
        <v>0</v>
      </c>
      <c r="H20" s="49">
        <v>0</v>
      </c>
      <c r="I20" s="49">
        <v>4</v>
      </c>
      <c r="J20" s="49">
        <v>4</v>
      </c>
      <c r="K20" s="49">
        <v>1</v>
      </c>
      <c r="L20" s="49">
        <v>0</v>
      </c>
      <c r="M20" s="49">
        <v>172</v>
      </c>
      <c r="N20" s="49">
        <v>0</v>
      </c>
      <c r="O20" s="15">
        <f t="shared" si="0"/>
        <v>103</v>
      </c>
      <c r="P20" s="15">
        <f t="shared" si="1"/>
        <v>275</v>
      </c>
      <c r="R20" s="1" t="s">
        <v>16</v>
      </c>
      <c r="S20" s="17">
        <f t="shared" ref="S20:AF20" si="12">SUM(C50:C53)</f>
        <v>236</v>
      </c>
      <c r="T20" s="17">
        <f t="shared" si="12"/>
        <v>134</v>
      </c>
      <c r="U20" s="17">
        <f t="shared" si="12"/>
        <v>38</v>
      </c>
      <c r="V20" s="17">
        <f t="shared" si="12"/>
        <v>10</v>
      </c>
      <c r="W20" s="17">
        <f t="shared" si="12"/>
        <v>4</v>
      </c>
      <c r="X20" s="17">
        <f t="shared" si="12"/>
        <v>0</v>
      </c>
      <c r="Y20" s="17">
        <f t="shared" si="12"/>
        <v>20</v>
      </c>
      <c r="Z20" s="17">
        <f t="shared" si="12"/>
        <v>13</v>
      </c>
      <c r="AA20" s="17">
        <f t="shared" si="12"/>
        <v>2</v>
      </c>
      <c r="AB20" s="17">
        <f t="shared" si="12"/>
        <v>0</v>
      </c>
      <c r="AC20" s="17">
        <f t="shared" si="12"/>
        <v>979</v>
      </c>
      <c r="AD20" s="17">
        <f t="shared" si="12"/>
        <v>0</v>
      </c>
      <c r="AE20" s="30">
        <f t="shared" si="12"/>
        <v>457</v>
      </c>
      <c r="AF20" s="30">
        <f t="shared" si="12"/>
        <v>1436</v>
      </c>
    </row>
    <row r="21" spans="2:32" ht="23.1" customHeight="1" x14ac:dyDescent="0.25">
      <c r="B21" s="22" t="s">
        <v>48</v>
      </c>
      <c r="C21" s="49">
        <v>56</v>
      </c>
      <c r="D21" s="49">
        <v>25</v>
      </c>
      <c r="E21" s="49">
        <v>5</v>
      </c>
      <c r="F21" s="49">
        <v>2</v>
      </c>
      <c r="G21" s="49">
        <v>2</v>
      </c>
      <c r="H21" s="49">
        <v>0</v>
      </c>
      <c r="I21" s="49">
        <v>2</v>
      </c>
      <c r="J21" s="49">
        <v>5</v>
      </c>
      <c r="K21" s="49">
        <v>0</v>
      </c>
      <c r="L21" s="49">
        <v>1</v>
      </c>
      <c r="M21" s="49">
        <v>242</v>
      </c>
      <c r="N21" s="49">
        <v>0</v>
      </c>
      <c r="O21" s="15">
        <f t="shared" si="0"/>
        <v>98</v>
      </c>
      <c r="P21" s="15">
        <f t="shared" si="1"/>
        <v>340</v>
      </c>
      <c r="R21" s="35" t="s">
        <v>20</v>
      </c>
      <c r="S21" s="33">
        <f t="shared" ref="S21:AF21" si="13">SUM(C54:C57)</f>
        <v>218</v>
      </c>
      <c r="T21" s="17">
        <f t="shared" si="13"/>
        <v>108</v>
      </c>
      <c r="U21" s="17">
        <f t="shared" si="13"/>
        <v>43</v>
      </c>
      <c r="V21" s="17">
        <f t="shared" si="13"/>
        <v>13</v>
      </c>
      <c r="W21" s="17">
        <f t="shared" si="13"/>
        <v>1</v>
      </c>
      <c r="X21" s="17">
        <f t="shared" si="13"/>
        <v>2</v>
      </c>
      <c r="Y21" s="17">
        <f t="shared" si="13"/>
        <v>21</v>
      </c>
      <c r="Z21" s="17">
        <f t="shared" si="13"/>
        <v>9</v>
      </c>
      <c r="AA21" s="17">
        <f t="shared" si="13"/>
        <v>5</v>
      </c>
      <c r="AB21" s="17">
        <f t="shared" si="13"/>
        <v>1</v>
      </c>
      <c r="AC21" s="17">
        <f t="shared" si="13"/>
        <v>979</v>
      </c>
      <c r="AD21" s="17">
        <f t="shared" si="13"/>
        <v>0</v>
      </c>
      <c r="AE21" s="30">
        <f t="shared" si="13"/>
        <v>421</v>
      </c>
      <c r="AF21" s="30">
        <f t="shared" si="13"/>
        <v>1400</v>
      </c>
    </row>
    <row r="22" spans="2:32" ht="23.1" customHeight="1" x14ac:dyDescent="0.25">
      <c r="B22" s="22" t="s">
        <v>49</v>
      </c>
      <c r="C22" s="49">
        <v>64</v>
      </c>
      <c r="D22" s="49">
        <v>26</v>
      </c>
      <c r="E22" s="49">
        <v>6</v>
      </c>
      <c r="F22" s="49">
        <v>2</v>
      </c>
      <c r="G22" s="49">
        <v>1</v>
      </c>
      <c r="H22" s="49">
        <v>0</v>
      </c>
      <c r="I22" s="49">
        <v>3</v>
      </c>
      <c r="J22" s="49">
        <v>0</v>
      </c>
      <c r="K22" s="49">
        <v>1</v>
      </c>
      <c r="L22" s="49">
        <v>1</v>
      </c>
      <c r="M22" s="49">
        <v>184</v>
      </c>
      <c r="N22" s="49">
        <v>0</v>
      </c>
      <c r="O22" s="15">
        <f t="shared" si="0"/>
        <v>104</v>
      </c>
      <c r="P22" s="15">
        <f t="shared" si="1"/>
        <v>288</v>
      </c>
      <c r="R22" s="37" t="s">
        <v>90</v>
      </c>
      <c r="S22" s="38">
        <f>MAX(S10:S12)</f>
        <v>214</v>
      </c>
      <c r="T22" s="38">
        <f t="shared" ref="T22:AF22" si="14">MAX(T10:T12)</f>
        <v>78</v>
      </c>
      <c r="U22" s="38">
        <f t="shared" si="14"/>
        <v>25</v>
      </c>
      <c r="V22" s="38">
        <f t="shared" si="14"/>
        <v>16</v>
      </c>
      <c r="W22" s="38">
        <f t="shared" si="14"/>
        <v>4</v>
      </c>
      <c r="X22" s="38">
        <f t="shared" si="14"/>
        <v>1</v>
      </c>
      <c r="Y22" s="38">
        <f t="shared" si="14"/>
        <v>16</v>
      </c>
      <c r="Z22" s="38">
        <f t="shared" si="14"/>
        <v>16</v>
      </c>
      <c r="AA22" s="38">
        <f t="shared" si="14"/>
        <v>8</v>
      </c>
      <c r="AB22" s="38">
        <f t="shared" si="14"/>
        <v>4</v>
      </c>
      <c r="AC22" s="38">
        <f t="shared" si="14"/>
        <v>809</v>
      </c>
      <c r="AD22" s="38">
        <f t="shared" si="14"/>
        <v>0</v>
      </c>
      <c r="AE22" s="39">
        <f t="shared" si="14"/>
        <v>377</v>
      </c>
      <c r="AF22" s="39">
        <f t="shared" si="14"/>
        <v>1164</v>
      </c>
    </row>
    <row r="23" spans="2:32" ht="23.1" customHeight="1" x14ac:dyDescent="0.25">
      <c r="B23" s="22" t="s">
        <v>50</v>
      </c>
      <c r="C23" s="49">
        <v>63</v>
      </c>
      <c r="D23" s="49">
        <v>17</v>
      </c>
      <c r="E23" s="49">
        <v>8</v>
      </c>
      <c r="F23" s="49">
        <v>2</v>
      </c>
      <c r="G23" s="49">
        <v>1</v>
      </c>
      <c r="H23" s="49">
        <v>1</v>
      </c>
      <c r="I23" s="49">
        <v>8</v>
      </c>
      <c r="J23" s="49">
        <v>2</v>
      </c>
      <c r="K23" s="49">
        <v>2</v>
      </c>
      <c r="L23" s="49">
        <v>1</v>
      </c>
      <c r="M23" s="49">
        <v>188</v>
      </c>
      <c r="N23" s="49">
        <v>1</v>
      </c>
      <c r="O23" s="15">
        <f t="shared" si="0"/>
        <v>106</v>
      </c>
      <c r="P23" s="15">
        <f t="shared" si="1"/>
        <v>294</v>
      </c>
      <c r="R23" s="37" t="s">
        <v>91</v>
      </c>
      <c r="S23" s="38">
        <f>MAX(S13:S18)</f>
        <v>340</v>
      </c>
      <c r="T23" s="38">
        <f t="shared" ref="T23:AF23" si="15">MAX(T13:T18)</f>
        <v>120</v>
      </c>
      <c r="U23" s="38">
        <f t="shared" si="15"/>
        <v>45</v>
      </c>
      <c r="V23" s="38">
        <f t="shared" si="15"/>
        <v>24</v>
      </c>
      <c r="W23" s="38">
        <f t="shared" si="15"/>
        <v>7</v>
      </c>
      <c r="X23" s="38">
        <f t="shared" si="15"/>
        <v>1</v>
      </c>
      <c r="Y23" s="38">
        <f t="shared" si="15"/>
        <v>27</v>
      </c>
      <c r="Z23" s="38">
        <f t="shared" si="15"/>
        <v>13</v>
      </c>
      <c r="AA23" s="38">
        <f t="shared" si="15"/>
        <v>15</v>
      </c>
      <c r="AB23" s="38">
        <f t="shared" si="15"/>
        <v>5</v>
      </c>
      <c r="AC23" s="38">
        <f t="shared" si="15"/>
        <v>870</v>
      </c>
      <c r="AD23" s="38">
        <f t="shared" si="15"/>
        <v>1</v>
      </c>
      <c r="AE23" s="39">
        <f t="shared" si="15"/>
        <v>558</v>
      </c>
      <c r="AF23" s="39">
        <f t="shared" si="15"/>
        <v>1375</v>
      </c>
    </row>
    <row r="24" spans="2:32" ht="23.1" customHeight="1" x14ac:dyDescent="0.25">
      <c r="B24" s="22" t="s">
        <v>51</v>
      </c>
      <c r="C24" s="49">
        <v>68</v>
      </c>
      <c r="D24" s="49">
        <v>21</v>
      </c>
      <c r="E24" s="49">
        <v>23</v>
      </c>
      <c r="F24" s="49">
        <v>3</v>
      </c>
      <c r="G24" s="49">
        <v>2</v>
      </c>
      <c r="H24" s="49">
        <v>0</v>
      </c>
      <c r="I24" s="49">
        <v>3</v>
      </c>
      <c r="J24" s="49">
        <v>3</v>
      </c>
      <c r="K24" s="49">
        <v>12</v>
      </c>
      <c r="L24" s="49">
        <v>0</v>
      </c>
      <c r="M24" s="49">
        <v>190</v>
      </c>
      <c r="N24" s="49">
        <v>0</v>
      </c>
      <c r="O24" s="15">
        <f t="shared" si="0"/>
        <v>135</v>
      </c>
      <c r="P24" s="15">
        <f t="shared" si="1"/>
        <v>325</v>
      </c>
      <c r="R24" s="37" t="s">
        <v>92</v>
      </c>
      <c r="S24" s="38">
        <f>MAX(S19:S21)</f>
        <v>318</v>
      </c>
      <c r="T24" s="38">
        <f t="shared" ref="T24:AF24" si="16">MAX(T19:T21)</f>
        <v>134</v>
      </c>
      <c r="U24" s="38">
        <f t="shared" si="16"/>
        <v>43</v>
      </c>
      <c r="V24" s="38">
        <f t="shared" si="16"/>
        <v>13</v>
      </c>
      <c r="W24" s="38">
        <f t="shared" si="16"/>
        <v>4</v>
      </c>
      <c r="X24" s="38">
        <f t="shared" si="16"/>
        <v>2</v>
      </c>
      <c r="Y24" s="38">
        <f t="shared" si="16"/>
        <v>23</v>
      </c>
      <c r="Z24" s="38">
        <f t="shared" si="16"/>
        <v>13</v>
      </c>
      <c r="AA24" s="38">
        <f t="shared" si="16"/>
        <v>5</v>
      </c>
      <c r="AB24" s="38">
        <f t="shared" si="16"/>
        <v>1</v>
      </c>
      <c r="AC24" s="38">
        <f t="shared" si="16"/>
        <v>979</v>
      </c>
      <c r="AD24" s="38">
        <f t="shared" si="16"/>
        <v>0</v>
      </c>
      <c r="AE24" s="39">
        <f t="shared" si="16"/>
        <v>511</v>
      </c>
      <c r="AF24" s="39">
        <f t="shared" si="16"/>
        <v>1436</v>
      </c>
    </row>
    <row r="25" spans="2:32" ht="23.1" customHeight="1" x14ac:dyDescent="0.25">
      <c r="B25" s="22" t="s">
        <v>52</v>
      </c>
      <c r="C25" s="49">
        <v>64</v>
      </c>
      <c r="D25" s="49">
        <v>15</v>
      </c>
      <c r="E25" s="49">
        <v>7</v>
      </c>
      <c r="F25" s="49">
        <v>4</v>
      </c>
      <c r="G25" s="49">
        <v>3</v>
      </c>
      <c r="H25" s="49">
        <v>0</v>
      </c>
      <c r="I25" s="49">
        <v>0</v>
      </c>
      <c r="J25" s="49">
        <v>0</v>
      </c>
      <c r="K25" s="49">
        <v>0</v>
      </c>
      <c r="L25" s="49">
        <v>0</v>
      </c>
      <c r="M25" s="49">
        <v>226</v>
      </c>
      <c r="N25" s="49">
        <v>0</v>
      </c>
      <c r="O25" s="15">
        <f t="shared" si="0"/>
        <v>93</v>
      </c>
      <c r="P25" s="15">
        <f t="shared" si="1"/>
        <v>319</v>
      </c>
      <c r="R25" s="36" t="s">
        <v>85</v>
      </c>
      <c r="S25" s="34">
        <f t="shared" ref="S25:AF25" si="17">SUM(S10:S12)</f>
        <v>515</v>
      </c>
      <c r="T25" s="16">
        <f t="shared" si="17"/>
        <v>145</v>
      </c>
      <c r="U25" s="16">
        <f t="shared" si="17"/>
        <v>60</v>
      </c>
      <c r="V25" s="16">
        <f t="shared" si="17"/>
        <v>39</v>
      </c>
      <c r="W25" s="16">
        <f t="shared" si="17"/>
        <v>9</v>
      </c>
      <c r="X25" s="16">
        <f t="shared" si="17"/>
        <v>1</v>
      </c>
      <c r="Y25" s="16">
        <f t="shared" si="17"/>
        <v>34</v>
      </c>
      <c r="Z25" s="16">
        <f t="shared" si="17"/>
        <v>29</v>
      </c>
      <c r="AA25" s="16">
        <f t="shared" si="17"/>
        <v>13</v>
      </c>
      <c r="AB25" s="16">
        <f t="shared" si="17"/>
        <v>9</v>
      </c>
      <c r="AC25" s="16">
        <f t="shared" si="17"/>
        <v>2217</v>
      </c>
      <c r="AD25" s="16">
        <f t="shared" si="17"/>
        <v>0</v>
      </c>
      <c r="AE25" s="31">
        <f t="shared" si="17"/>
        <v>854</v>
      </c>
      <c r="AF25" s="31">
        <f t="shared" si="17"/>
        <v>3071</v>
      </c>
    </row>
    <row r="26" spans="2:32" ht="23.1" customHeight="1" x14ac:dyDescent="0.25">
      <c r="B26" s="22" t="s">
        <v>53</v>
      </c>
      <c r="C26" s="49">
        <v>65</v>
      </c>
      <c r="D26" s="49">
        <v>22</v>
      </c>
      <c r="E26" s="49">
        <v>3</v>
      </c>
      <c r="F26" s="49">
        <v>1</v>
      </c>
      <c r="G26" s="49">
        <v>0</v>
      </c>
      <c r="H26" s="49">
        <v>0</v>
      </c>
      <c r="I26" s="49">
        <v>3</v>
      </c>
      <c r="J26" s="49">
        <v>3</v>
      </c>
      <c r="K26" s="49">
        <v>0</v>
      </c>
      <c r="L26" s="49">
        <v>1</v>
      </c>
      <c r="M26" s="49">
        <v>231</v>
      </c>
      <c r="N26" s="49">
        <v>0</v>
      </c>
      <c r="O26" s="15">
        <f t="shared" si="0"/>
        <v>98</v>
      </c>
      <c r="P26" s="15">
        <f t="shared" si="1"/>
        <v>329</v>
      </c>
      <c r="R26" s="27" t="s">
        <v>86</v>
      </c>
      <c r="S26" s="16">
        <f t="shared" ref="S26:AF26" si="18">SUM(S13:S18)</f>
        <v>1574</v>
      </c>
      <c r="T26" s="16">
        <f t="shared" si="18"/>
        <v>630</v>
      </c>
      <c r="U26" s="16">
        <f t="shared" si="18"/>
        <v>214</v>
      </c>
      <c r="V26" s="16">
        <f t="shared" si="18"/>
        <v>71</v>
      </c>
      <c r="W26" s="16">
        <f t="shared" si="18"/>
        <v>16</v>
      </c>
      <c r="X26" s="16">
        <f t="shared" si="18"/>
        <v>3</v>
      </c>
      <c r="Y26" s="16">
        <f t="shared" si="18"/>
        <v>129</v>
      </c>
      <c r="Z26" s="16">
        <f t="shared" si="18"/>
        <v>57</v>
      </c>
      <c r="AA26" s="16">
        <f t="shared" si="18"/>
        <v>33</v>
      </c>
      <c r="AB26" s="16">
        <f t="shared" si="18"/>
        <v>16</v>
      </c>
      <c r="AC26" s="16">
        <f t="shared" si="18"/>
        <v>4755</v>
      </c>
      <c r="AD26" s="16">
        <f t="shared" si="18"/>
        <v>1</v>
      </c>
      <c r="AE26" s="31">
        <f t="shared" si="18"/>
        <v>2744</v>
      </c>
      <c r="AF26" s="31">
        <f t="shared" si="18"/>
        <v>7499</v>
      </c>
    </row>
    <row r="27" spans="2:32" ht="23.1" customHeight="1" x14ac:dyDescent="0.25">
      <c r="B27" s="22" t="s">
        <v>54</v>
      </c>
      <c r="C27" s="49">
        <v>88</v>
      </c>
      <c r="D27" s="49">
        <v>26</v>
      </c>
      <c r="E27" s="49">
        <v>7</v>
      </c>
      <c r="F27" s="49">
        <v>9</v>
      </c>
      <c r="G27" s="49">
        <v>0</v>
      </c>
      <c r="H27" s="49">
        <v>0</v>
      </c>
      <c r="I27" s="49">
        <v>11</v>
      </c>
      <c r="J27" s="49">
        <v>5</v>
      </c>
      <c r="K27" s="49">
        <v>1</v>
      </c>
      <c r="L27" s="49">
        <v>3</v>
      </c>
      <c r="M27" s="49">
        <v>242</v>
      </c>
      <c r="N27" s="49">
        <v>0</v>
      </c>
      <c r="O27" s="15">
        <f t="shared" si="0"/>
        <v>150</v>
      </c>
      <c r="P27" s="15">
        <f t="shared" si="1"/>
        <v>392</v>
      </c>
      <c r="R27" s="28" t="s">
        <v>87</v>
      </c>
      <c r="S27" s="16">
        <f t="shared" ref="S27:AF27" si="19">SUM(S19:S21)</f>
        <v>772</v>
      </c>
      <c r="T27" s="16">
        <f t="shared" si="19"/>
        <v>356</v>
      </c>
      <c r="U27" s="16">
        <f t="shared" si="19"/>
        <v>119</v>
      </c>
      <c r="V27" s="16">
        <f t="shared" si="19"/>
        <v>26</v>
      </c>
      <c r="W27" s="16">
        <f t="shared" si="19"/>
        <v>5</v>
      </c>
      <c r="X27" s="16">
        <f t="shared" si="19"/>
        <v>2</v>
      </c>
      <c r="Y27" s="16">
        <f t="shared" si="19"/>
        <v>64</v>
      </c>
      <c r="Z27" s="16">
        <f t="shared" si="19"/>
        <v>34</v>
      </c>
      <c r="AA27" s="16">
        <f t="shared" si="19"/>
        <v>9</v>
      </c>
      <c r="AB27" s="16">
        <f t="shared" si="19"/>
        <v>2</v>
      </c>
      <c r="AC27" s="16">
        <f t="shared" si="19"/>
        <v>2787</v>
      </c>
      <c r="AD27" s="16">
        <f t="shared" si="19"/>
        <v>0</v>
      </c>
      <c r="AE27" s="31">
        <f t="shared" si="19"/>
        <v>1389</v>
      </c>
      <c r="AF27" s="31">
        <f t="shared" si="19"/>
        <v>4176</v>
      </c>
    </row>
    <row r="28" spans="2:32" ht="23.1" customHeight="1" x14ac:dyDescent="0.25">
      <c r="B28" s="22" t="s">
        <v>55</v>
      </c>
      <c r="C28" s="49">
        <v>77</v>
      </c>
      <c r="D28" s="49">
        <v>30</v>
      </c>
      <c r="E28" s="49">
        <v>7</v>
      </c>
      <c r="F28" s="49">
        <v>3</v>
      </c>
      <c r="G28" s="49">
        <v>0</v>
      </c>
      <c r="H28" s="49">
        <v>0</v>
      </c>
      <c r="I28" s="49">
        <v>2</v>
      </c>
      <c r="J28" s="49">
        <v>1</v>
      </c>
      <c r="K28" s="49">
        <v>2</v>
      </c>
      <c r="L28" s="49">
        <v>1</v>
      </c>
      <c r="M28" s="49">
        <v>194</v>
      </c>
      <c r="N28" s="49">
        <v>0</v>
      </c>
      <c r="O28" s="15">
        <f t="shared" si="0"/>
        <v>123</v>
      </c>
      <c r="P28" s="15">
        <f t="shared" si="1"/>
        <v>317</v>
      </c>
      <c r="R28" s="5" t="s">
        <v>17</v>
      </c>
      <c r="S28" s="16">
        <f t="shared" ref="S28:AF28" si="20">SUM(S10:S21)</f>
        <v>2861</v>
      </c>
      <c r="T28" s="16">
        <f t="shared" si="20"/>
        <v>1131</v>
      </c>
      <c r="U28" s="16">
        <f t="shared" si="20"/>
        <v>393</v>
      </c>
      <c r="V28" s="16">
        <f t="shared" si="20"/>
        <v>136</v>
      </c>
      <c r="W28" s="16">
        <f t="shared" si="20"/>
        <v>30</v>
      </c>
      <c r="X28" s="16">
        <f t="shared" si="20"/>
        <v>6</v>
      </c>
      <c r="Y28" s="16">
        <f t="shared" si="20"/>
        <v>227</v>
      </c>
      <c r="Z28" s="16">
        <f t="shared" si="20"/>
        <v>120</v>
      </c>
      <c r="AA28" s="16">
        <f t="shared" si="20"/>
        <v>55</v>
      </c>
      <c r="AB28" s="16">
        <f t="shared" si="20"/>
        <v>27</v>
      </c>
      <c r="AC28" s="16">
        <f t="shared" si="20"/>
        <v>9759</v>
      </c>
      <c r="AD28" s="16">
        <f t="shared" si="20"/>
        <v>1</v>
      </c>
      <c r="AE28" s="31">
        <f t="shared" si="20"/>
        <v>4987</v>
      </c>
      <c r="AF28" s="31">
        <f t="shared" si="20"/>
        <v>14746</v>
      </c>
    </row>
    <row r="29" spans="2:32" ht="23.1" customHeight="1" x14ac:dyDescent="0.25">
      <c r="B29" s="22" t="s">
        <v>56</v>
      </c>
      <c r="C29" s="49">
        <v>70</v>
      </c>
      <c r="D29" s="49">
        <v>39</v>
      </c>
      <c r="E29" s="49">
        <v>9</v>
      </c>
      <c r="F29" s="49">
        <v>6</v>
      </c>
      <c r="G29" s="49">
        <v>0</v>
      </c>
      <c r="H29" s="49">
        <v>0</v>
      </c>
      <c r="I29" s="49">
        <v>6</v>
      </c>
      <c r="J29" s="49">
        <v>3</v>
      </c>
      <c r="K29" s="49">
        <v>1</v>
      </c>
      <c r="L29" s="49">
        <v>0</v>
      </c>
      <c r="M29" s="49">
        <v>203</v>
      </c>
      <c r="N29" s="49">
        <v>0</v>
      </c>
      <c r="O29" s="15">
        <f t="shared" si="0"/>
        <v>134</v>
      </c>
      <c r="P29" s="15">
        <f t="shared" si="1"/>
        <v>337</v>
      </c>
      <c r="R29"/>
      <c r="S29" s="20"/>
      <c r="T29" s="19"/>
    </row>
    <row r="30" spans="2:32" ht="23.1" customHeight="1" x14ac:dyDescent="0.25">
      <c r="B30" s="22" t="s">
        <v>57</v>
      </c>
      <c r="C30" s="49">
        <v>85</v>
      </c>
      <c r="D30" s="49">
        <v>23</v>
      </c>
      <c r="E30" s="49">
        <v>12</v>
      </c>
      <c r="F30" s="49">
        <v>2</v>
      </c>
      <c r="G30" s="49">
        <v>1</v>
      </c>
      <c r="H30" s="49">
        <v>0</v>
      </c>
      <c r="I30" s="49">
        <v>7</v>
      </c>
      <c r="J30" s="49">
        <v>3</v>
      </c>
      <c r="K30" s="49">
        <v>1</v>
      </c>
      <c r="L30" s="49">
        <v>0</v>
      </c>
      <c r="M30" s="49">
        <v>225</v>
      </c>
      <c r="N30" s="49">
        <v>0</v>
      </c>
      <c r="O30" s="15">
        <f t="shared" si="0"/>
        <v>134</v>
      </c>
      <c r="P30" s="15">
        <f t="shared" si="1"/>
        <v>359</v>
      </c>
    </row>
    <row r="31" spans="2:32" ht="23.1" customHeight="1" x14ac:dyDescent="0.25">
      <c r="B31" s="23" t="s">
        <v>58</v>
      </c>
      <c r="C31" s="49">
        <v>80</v>
      </c>
      <c r="D31" s="49">
        <v>39</v>
      </c>
      <c r="E31" s="49">
        <v>14</v>
      </c>
      <c r="F31" s="49">
        <v>6</v>
      </c>
      <c r="G31" s="49">
        <v>0</v>
      </c>
      <c r="H31" s="49">
        <v>0</v>
      </c>
      <c r="I31" s="49">
        <v>4</v>
      </c>
      <c r="J31" s="49">
        <v>2</v>
      </c>
      <c r="K31" s="49">
        <v>2</v>
      </c>
      <c r="L31" s="49">
        <v>2</v>
      </c>
      <c r="M31" s="49">
        <v>218</v>
      </c>
      <c r="N31" s="49">
        <v>0</v>
      </c>
      <c r="O31" s="15">
        <f t="shared" si="0"/>
        <v>149</v>
      </c>
      <c r="P31" s="15">
        <f t="shared" si="1"/>
        <v>367</v>
      </c>
    </row>
    <row r="32" spans="2:32" ht="23.1" customHeight="1" x14ac:dyDescent="0.25">
      <c r="B32" s="23" t="s">
        <v>59</v>
      </c>
      <c r="C32" s="49">
        <v>85</v>
      </c>
      <c r="D32" s="49">
        <v>20</v>
      </c>
      <c r="E32" s="49">
        <v>8</v>
      </c>
      <c r="F32" s="49">
        <v>7</v>
      </c>
      <c r="G32" s="49">
        <v>0</v>
      </c>
      <c r="H32" s="49">
        <v>0</v>
      </c>
      <c r="I32" s="49">
        <v>2</v>
      </c>
      <c r="J32" s="49">
        <v>1</v>
      </c>
      <c r="K32" s="49">
        <v>0</v>
      </c>
      <c r="L32" s="49">
        <v>0</v>
      </c>
      <c r="M32" s="49">
        <v>189</v>
      </c>
      <c r="N32" s="49">
        <v>0</v>
      </c>
      <c r="O32" s="15">
        <f t="shared" si="0"/>
        <v>123</v>
      </c>
      <c r="P32" s="15">
        <f t="shared" si="1"/>
        <v>312</v>
      </c>
    </row>
    <row r="33" spans="2:20" ht="23.1" customHeight="1" x14ac:dyDescent="0.25">
      <c r="B33" s="22" t="s">
        <v>60</v>
      </c>
      <c r="C33" s="49">
        <v>90</v>
      </c>
      <c r="D33" s="49">
        <v>21</v>
      </c>
      <c r="E33" s="49">
        <v>11</v>
      </c>
      <c r="F33" s="49">
        <v>9</v>
      </c>
      <c r="G33" s="49">
        <v>0</v>
      </c>
      <c r="H33" s="49">
        <v>1</v>
      </c>
      <c r="I33" s="49">
        <v>11</v>
      </c>
      <c r="J33" s="49">
        <v>6</v>
      </c>
      <c r="K33" s="49">
        <v>2</v>
      </c>
      <c r="L33" s="49">
        <v>1</v>
      </c>
      <c r="M33" s="49">
        <v>182</v>
      </c>
      <c r="N33" s="49">
        <v>0</v>
      </c>
      <c r="O33" s="15">
        <f t="shared" si="0"/>
        <v>152</v>
      </c>
      <c r="P33" s="15">
        <f t="shared" si="1"/>
        <v>334</v>
      </c>
    </row>
    <row r="34" spans="2:20" ht="23.1" customHeight="1" x14ac:dyDescent="0.25">
      <c r="B34" s="23" t="s">
        <v>61</v>
      </c>
      <c r="C34" s="49">
        <v>65</v>
      </c>
      <c r="D34" s="49">
        <v>27</v>
      </c>
      <c r="E34" s="49">
        <v>4</v>
      </c>
      <c r="F34" s="49">
        <v>1</v>
      </c>
      <c r="G34" s="49">
        <v>0</v>
      </c>
      <c r="H34" s="49">
        <v>0</v>
      </c>
      <c r="I34" s="49">
        <v>11</v>
      </c>
      <c r="J34" s="49">
        <v>1</v>
      </c>
      <c r="K34" s="49">
        <v>0</v>
      </c>
      <c r="L34" s="49">
        <v>1</v>
      </c>
      <c r="M34" s="49">
        <v>197</v>
      </c>
      <c r="N34" s="49">
        <v>0</v>
      </c>
      <c r="O34" s="15">
        <f t="shared" si="0"/>
        <v>110</v>
      </c>
      <c r="P34" s="15">
        <f t="shared" si="1"/>
        <v>307</v>
      </c>
    </row>
    <row r="35" spans="2:20" ht="23.1" customHeight="1" x14ac:dyDescent="0.25">
      <c r="B35" s="23" t="s">
        <v>62</v>
      </c>
      <c r="C35" s="49">
        <v>66</v>
      </c>
      <c r="D35" s="49">
        <v>38</v>
      </c>
      <c r="E35" s="49">
        <v>5</v>
      </c>
      <c r="F35" s="49">
        <v>2</v>
      </c>
      <c r="G35" s="49">
        <v>0</v>
      </c>
      <c r="H35" s="49">
        <v>0</v>
      </c>
      <c r="I35" s="49">
        <v>7</v>
      </c>
      <c r="J35" s="49">
        <v>5</v>
      </c>
      <c r="K35" s="49">
        <v>1</v>
      </c>
      <c r="L35" s="49">
        <v>1</v>
      </c>
      <c r="M35" s="49">
        <v>181</v>
      </c>
      <c r="N35" s="49">
        <v>0</v>
      </c>
      <c r="O35" s="15">
        <f t="shared" si="0"/>
        <v>125</v>
      </c>
      <c r="P35" s="15">
        <f t="shared" si="1"/>
        <v>306</v>
      </c>
    </row>
    <row r="36" spans="2:20" ht="23.1" customHeight="1" x14ac:dyDescent="0.25">
      <c r="B36" s="23" t="s">
        <v>63</v>
      </c>
      <c r="C36" s="49">
        <v>55</v>
      </c>
      <c r="D36" s="49">
        <v>29</v>
      </c>
      <c r="E36" s="49">
        <v>3</v>
      </c>
      <c r="F36" s="49">
        <v>2</v>
      </c>
      <c r="G36" s="49">
        <v>1</v>
      </c>
      <c r="H36" s="49">
        <v>0</v>
      </c>
      <c r="I36" s="49">
        <v>3</v>
      </c>
      <c r="J36" s="49">
        <v>1</v>
      </c>
      <c r="K36" s="49">
        <v>0</v>
      </c>
      <c r="L36" s="49">
        <v>1</v>
      </c>
      <c r="M36" s="49">
        <v>172</v>
      </c>
      <c r="N36" s="49">
        <v>0</v>
      </c>
      <c r="O36" s="15">
        <f t="shared" si="0"/>
        <v>95</v>
      </c>
      <c r="P36" s="15">
        <f t="shared" si="1"/>
        <v>267</v>
      </c>
    </row>
    <row r="37" spans="2:20" ht="23.1" customHeight="1" x14ac:dyDescent="0.25">
      <c r="B37" s="22" t="s">
        <v>64</v>
      </c>
      <c r="C37" s="49">
        <v>52</v>
      </c>
      <c r="D37" s="49">
        <v>26</v>
      </c>
      <c r="E37" s="49">
        <v>12</v>
      </c>
      <c r="F37" s="49">
        <v>0</v>
      </c>
      <c r="G37" s="49">
        <v>3</v>
      </c>
      <c r="H37" s="49">
        <v>0</v>
      </c>
      <c r="I37" s="49">
        <v>3</v>
      </c>
      <c r="J37" s="49">
        <v>0</v>
      </c>
      <c r="K37" s="49">
        <v>0</v>
      </c>
      <c r="L37" s="49">
        <v>0</v>
      </c>
      <c r="M37" s="49">
        <v>196</v>
      </c>
      <c r="N37" s="49">
        <v>0</v>
      </c>
      <c r="O37" s="15">
        <f t="shared" si="0"/>
        <v>96</v>
      </c>
      <c r="P37" s="15">
        <f t="shared" si="1"/>
        <v>292</v>
      </c>
    </row>
    <row r="38" spans="2:20" ht="23.1" customHeight="1" x14ac:dyDescent="0.25">
      <c r="B38" s="23" t="s">
        <v>65</v>
      </c>
      <c r="C38" s="49">
        <v>60</v>
      </c>
      <c r="D38" s="49">
        <v>32</v>
      </c>
      <c r="E38" s="49">
        <v>7</v>
      </c>
      <c r="F38" s="49">
        <v>0</v>
      </c>
      <c r="G38" s="49">
        <v>0</v>
      </c>
      <c r="H38" s="49">
        <v>1</v>
      </c>
      <c r="I38" s="49">
        <v>4</v>
      </c>
      <c r="J38" s="49">
        <v>3</v>
      </c>
      <c r="K38" s="49">
        <v>0</v>
      </c>
      <c r="L38" s="49">
        <v>0</v>
      </c>
      <c r="M38" s="49">
        <v>184</v>
      </c>
      <c r="N38" s="49">
        <v>0</v>
      </c>
      <c r="O38" s="15">
        <f t="shared" si="0"/>
        <v>107</v>
      </c>
      <c r="P38" s="15">
        <f t="shared" si="1"/>
        <v>291</v>
      </c>
    </row>
    <row r="39" spans="2:20" ht="23.1" customHeight="1" x14ac:dyDescent="0.25">
      <c r="B39" s="23" t="s">
        <v>66</v>
      </c>
      <c r="C39" s="49">
        <v>52</v>
      </c>
      <c r="D39" s="49">
        <v>30</v>
      </c>
      <c r="E39" s="49">
        <v>9</v>
      </c>
      <c r="F39" s="49">
        <v>4</v>
      </c>
      <c r="G39" s="49">
        <v>0</v>
      </c>
      <c r="H39" s="49">
        <v>0</v>
      </c>
      <c r="I39" s="49">
        <v>5</v>
      </c>
      <c r="J39" s="49">
        <v>0</v>
      </c>
      <c r="K39" s="49">
        <v>1</v>
      </c>
      <c r="L39" s="49">
        <v>2</v>
      </c>
      <c r="M39" s="49">
        <v>203</v>
      </c>
      <c r="N39" s="49">
        <v>0</v>
      </c>
      <c r="O39" s="15">
        <f t="shared" si="0"/>
        <v>103</v>
      </c>
      <c r="P39" s="15">
        <f t="shared" si="1"/>
        <v>306</v>
      </c>
    </row>
    <row r="40" spans="2:20" ht="23.1" customHeight="1" x14ac:dyDescent="0.25">
      <c r="B40" s="23" t="s">
        <v>67</v>
      </c>
      <c r="C40" s="49">
        <v>57</v>
      </c>
      <c r="D40" s="49">
        <v>29</v>
      </c>
      <c r="E40" s="49">
        <v>11</v>
      </c>
      <c r="F40" s="49">
        <v>0</v>
      </c>
      <c r="G40" s="49">
        <v>1</v>
      </c>
      <c r="H40" s="49">
        <v>0</v>
      </c>
      <c r="I40" s="49">
        <v>5</v>
      </c>
      <c r="J40" s="49">
        <v>1</v>
      </c>
      <c r="K40" s="49">
        <v>0</v>
      </c>
      <c r="L40" s="49">
        <v>0</v>
      </c>
      <c r="M40" s="49">
        <v>192</v>
      </c>
      <c r="N40" s="49">
        <v>0</v>
      </c>
      <c r="O40" s="15">
        <f t="shared" si="0"/>
        <v>104</v>
      </c>
      <c r="P40" s="15">
        <f t="shared" si="1"/>
        <v>296</v>
      </c>
    </row>
    <row r="41" spans="2:20" ht="23.1" customHeight="1" x14ac:dyDescent="0.25">
      <c r="B41" s="22" t="s">
        <v>68</v>
      </c>
      <c r="C41" s="49">
        <v>50</v>
      </c>
      <c r="D41" s="49">
        <v>18</v>
      </c>
      <c r="E41" s="49">
        <v>8</v>
      </c>
      <c r="F41" s="49">
        <v>2</v>
      </c>
      <c r="G41" s="49">
        <v>0</v>
      </c>
      <c r="H41" s="49">
        <v>0</v>
      </c>
      <c r="I41" s="49">
        <v>4</v>
      </c>
      <c r="J41" s="49">
        <v>4</v>
      </c>
      <c r="K41" s="49">
        <v>1</v>
      </c>
      <c r="L41" s="49">
        <v>0</v>
      </c>
      <c r="M41" s="49">
        <v>190</v>
      </c>
      <c r="N41" s="49">
        <v>0</v>
      </c>
      <c r="O41" s="15">
        <f t="shared" si="0"/>
        <v>87</v>
      </c>
      <c r="P41" s="15">
        <f t="shared" si="1"/>
        <v>277</v>
      </c>
    </row>
    <row r="42" spans="2:20" ht="23.1" customHeight="1" x14ac:dyDescent="0.25">
      <c r="B42" s="23" t="s">
        <v>69</v>
      </c>
      <c r="C42" s="49">
        <v>52</v>
      </c>
      <c r="D42" s="49">
        <v>30</v>
      </c>
      <c r="E42" s="49">
        <v>10</v>
      </c>
      <c r="F42" s="49">
        <v>0</v>
      </c>
      <c r="G42" s="49">
        <v>0</v>
      </c>
      <c r="H42" s="49">
        <v>0</v>
      </c>
      <c r="I42" s="49">
        <v>4</v>
      </c>
      <c r="J42" s="49">
        <v>1</v>
      </c>
      <c r="K42" s="49">
        <v>0</v>
      </c>
      <c r="L42" s="49">
        <v>1</v>
      </c>
      <c r="M42" s="49">
        <v>205</v>
      </c>
      <c r="N42" s="49">
        <v>0</v>
      </c>
      <c r="O42" s="15">
        <f t="shared" si="0"/>
        <v>98</v>
      </c>
      <c r="P42" s="15">
        <f t="shared" si="1"/>
        <v>303</v>
      </c>
    </row>
    <row r="43" spans="2:20" ht="23.1" customHeight="1" x14ac:dyDescent="0.25">
      <c r="B43" s="22" t="s">
        <v>70</v>
      </c>
      <c r="C43" s="49">
        <v>50</v>
      </c>
      <c r="D43" s="49">
        <v>25</v>
      </c>
      <c r="E43" s="49">
        <v>10</v>
      </c>
      <c r="F43" s="49">
        <v>1</v>
      </c>
      <c r="G43" s="49">
        <v>0</v>
      </c>
      <c r="H43" s="49">
        <v>0</v>
      </c>
      <c r="I43" s="49">
        <v>7</v>
      </c>
      <c r="J43" s="49">
        <v>7</v>
      </c>
      <c r="K43" s="49">
        <v>4</v>
      </c>
      <c r="L43" s="49">
        <v>0</v>
      </c>
      <c r="M43" s="49">
        <v>182</v>
      </c>
      <c r="N43" s="49">
        <v>0</v>
      </c>
      <c r="O43" s="15">
        <f t="shared" si="0"/>
        <v>104</v>
      </c>
      <c r="P43" s="15">
        <f t="shared" si="1"/>
        <v>286</v>
      </c>
    </row>
    <row r="44" spans="2:20" ht="23.1" customHeight="1" x14ac:dyDescent="0.25">
      <c r="B44" s="24" t="s">
        <v>71</v>
      </c>
      <c r="C44" s="49">
        <v>53</v>
      </c>
      <c r="D44" s="49">
        <v>23</v>
      </c>
      <c r="E44" s="49">
        <v>12</v>
      </c>
      <c r="F44" s="49">
        <v>4</v>
      </c>
      <c r="G44" s="49">
        <v>1</v>
      </c>
      <c r="H44" s="49">
        <v>0</v>
      </c>
      <c r="I44" s="49">
        <v>10</v>
      </c>
      <c r="J44" s="49">
        <v>2</v>
      </c>
      <c r="K44" s="49">
        <v>0</v>
      </c>
      <c r="L44" s="49">
        <v>0</v>
      </c>
      <c r="M44" s="49">
        <v>195</v>
      </c>
      <c r="N44" s="49">
        <v>0</v>
      </c>
      <c r="O44" s="15">
        <f t="shared" si="0"/>
        <v>105</v>
      </c>
      <c r="P44" s="15">
        <f t="shared" si="1"/>
        <v>300</v>
      </c>
    </row>
    <row r="45" spans="2:20" ht="23.1" customHeight="1" x14ac:dyDescent="0.25">
      <c r="B45" s="22" t="s">
        <v>72</v>
      </c>
      <c r="C45" s="49">
        <v>63</v>
      </c>
      <c r="D45" s="49">
        <v>24</v>
      </c>
      <c r="E45" s="49">
        <v>8</v>
      </c>
      <c r="F45" s="49">
        <v>1</v>
      </c>
      <c r="G45" s="49">
        <v>2</v>
      </c>
      <c r="H45" s="49">
        <v>0</v>
      </c>
      <c r="I45" s="49">
        <v>6</v>
      </c>
      <c r="J45" s="49">
        <v>3</v>
      </c>
      <c r="K45" s="49">
        <v>2</v>
      </c>
      <c r="L45" s="49">
        <v>0</v>
      </c>
      <c r="M45" s="49">
        <v>186</v>
      </c>
      <c r="N45" s="49">
        <v>0</v>
      </c>
      <c r="O45" s="15">
        <f t="shared" si="0"/>
        <v>109</v>
      </c>
      <c r="P45" s="15">
        <f t="shared" si="1"/>
        <v>295</v>
      </c>
    </row>
    <row r="46" spans="2:20" ht="23.1" customHeight="1" x14ac:dyDescent="0.25">
      <c r="B46" s="23" t="s">
        <v>73</v>
      </c>
      <c r="C46" s="49">
        <v>79</v>
      </c>
      <c r="D46" s="49">
        <v>20</v>
      </c>
      <c r="E46" s="49">
        <v>9</v>
      </c>
      <c r="F46" s="49">
        <v>0</v>
      </c>
      <c r="G46" s="49">
        <v>0</v>
      </c>
      <c r="H46" s="49">
        <v>0</v>
      </c>
      <c r="I46" s="49">
        <v>4</v>
      </c>
      <c r="J46" s="49">
        <v>2</v>
      </c>
      <c r="K46" s="49">
        <v>0</v>
      </c>
      <c r="L46" s="49">
        <v>0</v>
      </c>
      <c r="M46" s="49">
        <v>201</v>
      </c>
      <c r="N46" s="49">
        <v>0</v>
      </c>
      <c r="O46" s="15">
        <f t="shared" si="0"/>
        <v>114</v>
      </c>
      <c r="P46" s="15">
        <f t="shared" si="1"/>
        <v>315</v>
      </c>
      <c r="R46" s="8"/>
      <c r="T46"/>
    </row>
    <row r="47" spans="2:20" ht="23.1" customHeight="1" x14ac:dyDescent="0.25">
      <c r="B47" s="23" t="s">
        <v>74</v>
      </c>
      <c r="C47" s="49">
        <v>89</v>
      </c>
      <c r="D47" s="49">
        <v>31</v>
      </c>
      <c r="E47" s="49">
        <v>8</v>
      </c>
      <c r="F47" s="49">
        <v>2</v>
      </c>
      <c r="G47" s="49">
        <v>0</v>
      </c>
      <c r="H47" s="49">
        <v>0</v>
      </c>
      <c r="I47" s="49">
        <v>9</v>
      </c>
      <c r="J47" s="49">
        <v>3</v>
      </c>
      <c r="K47" s="49">
        <v>0</v>
      </c>
      <c r="L47" s="49">
        <v>0</v>
      </c>
      <c r="M47" s="49">
        <v>185</v>
      </c>
      <c r="N47" s="49">
        <v>0</v>
      </c>
      <c r="O47" s="15">
        <f t="shared" si="0"/>
        <v>142</v>
      </c>
      <c r="P47" s="15">
        <f t="shared" si="1"/>
        <v>327</v>
      </c>
      <c r="R47" s="8"/>
      <c r="T47"/>
    </row>
    <row r="48" spans="2:20" ht="23.1" customHeight="1" x14ac:dyDescent="0.25">
      <c r="B48" s="23" t="s">
        <v>75</v>
      </c>
      <c r="C48" s="49">
        <v>83</v>
      </c>
      <c r="D48" s="49">
        <v>25</v>
      </c>
      <c r="E48" s="49">
        <v>10</v>
      </c>
      <c r="F48" s="49">
        <v>1</v>
      </c>
      <c r="G48" s="49">
        <v>0</v>
      </c>
      <c r="H48" s="49">
        <v>0</v>
      </c>
      <c r="I48" s="49">
        <v>3</v>
      </c>
      <c r="J48" s="49">
        <v>3</v>
      </c>
      <c r="K48" s="49">
        <v>2</v>
      </c>
      <c r="L48" s="49">
        <v>1</v>
      </c>
      <c r="M48" s="49">
        <v>207</v>
      </c>
      <c r="N48" s="49">
        <v>0</v>
      </c>
      <c r="O48" s="15">
        <f t="shared" si="0"/>
        <v>128</v>
      </c>
      <c r="P48" s="15">
        <f t="shared" si="1"/>
        <v>335</v>
      </c>
      <c r="R48" s="8"/>
      <c r="T48"/>
    </row>
    <row r="49" spans="2:20" ht="23.1" customHeight="1" x14ac:dyDescent="0.25">
      <c r="B49" s="22" t="s">
        <v>76</v>
      </c>
      <c r="C49" s="49">
        <v>67</v>
      </c>
      <c r="D49" s="49">
        <v>38</v>
      </c>
      <c r="E49" s="49">
        <v>11</v>
      </c>
      <c r="F49" s="49">
        <v>0</v>
      </c>
      <c r="G49" s="49">
        <v>0</v>
      </c>
      <c r="H49" s="49">
        <v>0</v>
      </c>
      <c r="I49" s="49">
        <v>7</v>
      </c>
      <c r="J49" s="49">
        <v>4</v>
      </c>
      <c r="K49" s="49">
        <v>0</v>
      </c>
      <c r="L49" s="49">
        <v>0</v>
      </c>
      <c r="M49" s="49">
        <v>236</v>
      </c>
      <c r="N49" s="49">
        <v>0</v>
      </c>
      <c r="O49" s="15">
        <f t="shared" si="0"/>
        <v>127</v>
      </c>
      <c r="P49" s="15">
        <f t="shared" si="1"/>
        <v>363</v>
      </c>
      <c r="R49" s="8"/>
      <c r="T49"/>
    </row>
    <row r="50" spans="2:20" ht="23.1" customHeight="1" x14ac:dyDescent="0.25">
      <c r="B50" s="23" t="s">
        <v>77</v>
      </c>
      <c r="C50" s="49">
        <v>63</v>
      </c>
      <c r="D50" s="49">
        <v>37</v>
      </c>
      <c r="E50" s="49">
        <v>9</v>
      </c>
      <c r="F50" s="49">
        <v>4</v>
      </c>
      <c r="G50" s="49">
        <v>1</v>
      </c>
      <c r="H50" s="49">
        <v>0</v>
      </c>
      <c r="I50" s="49">
        <v>4</v>
      </c>
      <c r="J50" s="49">
        <v>2</v>
      </c>
      <c r="K50" s="49">
        <v>1</v>
      </c>
      <c r="L50" s="49">
        <v>0</v>
      </c>
      <c r="M50" s="49">
        <v>252</v>
      </c>
      <c r="N50" s="49">
        <v>0</v>
      </c>
      <c r="O50" s="15">
        <f t="shared" si="0"/>
        <v>121</v>
      </c>
      <c r="P50" s="15">
        <f t="shared" si="1"/>
        <v>373</v>
      </c>
      <c r="R50" s="8"/>
      <c r="T50"/>
    </row>
    <row r="51" spans="2:20" ht="23.1" customHeight="1" x14ac:dyDescent="0.25">
      <c r="B51" s="23" t="s">
        <v>78</v>
      </c>
      <c r="C51" s="49">
        <v>58</v>
      </c>
      <c r="D51" s="49">
        <v>20</v>
      </c>
      <c r="E51" s="49">
        <v>13</v>
      </c>
      <c r="F51" s="49">
        <v>1</v>
      </c>
      <c r="G51" s="49">
        <v>0</v>
      </c>
      <c r="H51" s="49">
        <v>0</v>
      </c>
      <c r="I51" s="49">
        <v>2</v>
      </c>
      <c r="J51" s="49">
        <v>4</v>
      </c>
      <c r="K51" s="49">
        <v>0</v>
      </c>
      <c r="L51" s="49">
        <v>0</v>
      </c>
      <c r="M51" s="49">
        <v>235</v>
      </c>
      <c r="N51" s="49">
        <v>0</v>
      </c>
      <c r="O51" s="15">
        <f t="shared" si="0"/>
        <v>98</v>
      </c>
      <c r="P51" s="15">
        <f t="shared" si="1"/>
        <v>333</v>
      </c>
      <c r="R51" s="8"/>
      <c r="T51"/>
    </row>
    <row r="52" spans="2:20" ht="23.1" customHeight="1" x14ac:dyDescent="0.25">
      <c r="B52" s="23" t="s">
        <v>79</v>
      </c>
      <c r="C52" s="49">
        <v>60</v>
      </c>
      <c r="D52" s="49">
        <v>35</v>
      </c>
      <c r="E52" s="49">
        <v>10</v>
      </c>
      <c r="F52" s="49">
        <v>0</v>
      </c>
      <c r="G52" s="49">
        <v>0</v>
      </c>
      <c r="H52" s="49">
        <v>0</v>
      </c>
      <c r="I52" s="49">
        <v>6</v>
      </c>
      <c r="J52" s="49">
        <v>6</v>
      </c>
      <c r="K52" s="49">
        <v>1</v>
      </c>
      <c r="L52" s="49">
        <v>0</v>
      </c>
      <c r="M52" s="49">
        <v>229</v>
      </c>
      <c r="N52" s="49">
        <v>0</v>
      </c>
      <c r="O52" s="15">
        <f t="shared" si="0"/>
        <v>118</v>
      </c>
      <c r="P52" s="15">
        <f t="shared" si="1"/>
        <v>347</v>
      </c>
      <c r="R52" s="8"/>
      <c r="T52"/>
    </row>
    <row r="53" spans="2:20" ht="23.1" customHeight="1" x14ac:dyDescent="0.25">
      <c r="B53" s="22" t="s">
        <v>80</v>
      </c>
      <c r="C53" s="49">
        <v>55</v>
      </c>
      <c r="D53" s="49">
        <v>42</v>
      </c>
      <c r="E53" s="49">
        <v>6</v>
      </c>
      <c r="F53" s="49">
        <v>5</v>
      </c>
      <c r="G53" s="49">
        <v>3</v>
      </c>
      <c r="H53" s="49">
        <v>0</v>
      </c>
      <c r="I53" s="49">
        <v>8</v>
      </c>
      <c r="J53" s="49">
        <v>1</v>
      </c>
      <c r="K53" s="49">
        <v>0</v>
      </c>
      <c r="L53" s="49">
        <v>0</v>
      </c>
      <c r="M53" s="49">
        <v>263</v>
      </c>
      <c r="N53" s="49">
        <v>0</v>
      </c>
      <c r="O53" s="15">
        <f t="shared" si="0"/>
        <v>120</v>
      </c>
      <c r="P53" s="15">
        <f t="shared" si="1"/>
        <v>383</v>
      </c>
      <c r="R53" s="8"/>
      <c r="T53"/>
    </row>
    <row r="54" spans="2:20" ht="23.1" customHeight="1" x14ac:dyDescent="0.25">
      <c r="B54" s="22" t="s">
        <v>81</v>
      </c>
      <c r="C54" s="49">
        <v>55</v>
      </c>
      <c r="D54" s="49">
        <v>30</v>
      </c>
      <c r="E54" s="49">
        <v>14</v>
      </c>
      <c r="F54" s="49">
        <v>1</v>
      </c>
      <c r="G54" s="49">
        <v>0</v>
      </c>
      <c r="H54" s="49">
        <v>0</v>
      </c>
      <c r="I54" s="49">
        <v>2</v>
      </c>
      <c r="J54" s="49">
        <v>3</v>
      </c>
      <c r="K54" s="49">
        <v>3</v>
      </c>
      <c r="L54" s="49">
        <v>0</v>
      </c>
      <c r="M54" s="49">
        <v>242</v>
      </c>
      <c r="N54" s="49">
        <v>0</v>
      </c>
      <c r="O54" s="15">
        <f t="shared" si="0"/>
        <v>108</v>
      </c>
      <c r="P54" s="15">
        <f t="shared" si="1"/>
        <v>350</v>
      </c>
      <c r="R54" s="8"/>
      <c r="T54"/>
    </row>
    <row r="55" spans="2:20" ht="23.1" customHeight="1" x14ac:dyDescent="0.25">
      <c r="B55" s="22" t="s">
        <v>82</v>
      </c>
      <c r="C55" s="49">
        <v>58</v>
      </c>
      <c r="D55" s="49">
        <v>28</v>
      </c>
      <c r="E55" s="49">
        <v>13</v>
      </c>
      <c r="F55" s="49">
        <v>5</v>
      </c>
      <c r="G55" s="49">
        <v>0</v>
      </c>
      <c r="H55" s="49">
        <v>1</v>
      </c>
      <c r="I55" s="49">
        <v>2</v>
      </c>
      <c r="J55" s="49">
        <v>0</v>
      </c>
      <c r="K55" s="49">
        <v>0</v>
      </c>
      <c r="L55" s="49">
        <v>0</v>
      </c>
      <c r="M55" s="49">
        <v>270</v>
      </c>
      <c r="N55" s="49">
        <v>0</v>
      </c>
      <c r="O55" s="15">
        <f t="shared" si="0"/>
        <v>107</v>
      </c>
      <c r="P55" s="15">
        <f t="shared" si="1"/>
        <v>377</v>
      </c>
      <c r="R55" s="8"/>
      <c r="T55"/>
    </row>
    <row r="56" spans="2:20" ht="23.1" customHeight="1" x14ac:dyDescent="0.25">
      <c r="B56" s="22" t="s">
        <v>83</v>
      </c>
      <c r="C56" s="49">
        <v>50</v>
      </c>
      <c r="D56" s="49">
        <v>20</v>
      </c>
      <c r="E56" s="49">
        <v>13</v>
      </c>
      <c r="F56" s="49">
        <v>3</v>
      </c>
      <c r="G56" s="49">
        <v>1</v>
      </c>
      <c r="H56" s="49">
        <v>1</v>
      </c>
      <c r="I56" s="49">
        <v>7</v>
      </c>
      <c r="J56" s="49">
        <v>3</v>
      </c>
      <c r="K56" s="49">
        <v>1</v>
      </c>
      <c r="L56" s="49">
        <v>0</v>
      </c>
      <c r="M56" s="49">
        <v>220</v>
      </c>
      <c r="N56" s="49">
        <v>0</v>
      </c>
      <c r="O56" s="15">
        <f t="shared" si="0"/>
        <v>99</v>
      </c>
      <c r="P56" s="15">
        <f t="shared" si="1"/>
        <v>319</v>
      </c>
      <c r="R56" s="8"/>
      <c r="T56"/>
    </row>
    <row r="57" spans="2:20" ht="23.1" customHeight="1" x14ac:dyDescent="0.25">
      <c r="B57" s="22" t="s">
        <v>84</v>
      </c>
      <c r="C57" s="49">
        <v>55</v>
      </c>
      <c r="D57" s="49">
        <v>30</v>
      </c>
      <c r="E57" s="49">
        <v>3</v>
      </c>
      <c r="F57" s="49">
        <v>4</v>
      </c>
      <c r="G57" s="49">
        <v>0</v>
      </c>
      <c r="H57" s="49">
        <v>0</v>
      </c>
      <c r="I57" s="49">
        <v>10</v>
      </c>
      <c r="J57" s="49">
        <v>3</v>
      </c>
      <c r="K57" s="49">
        <v>1</v>
      </c>
      <c r="L57" s="49">
        <v>1</v>
      </c>
      <c r="M57" s="49">
        <v>247</v>
      </c>
      <c r="N57" s="49">
        <v>0</v>
      </c>
      <c r="O57" s="15">
        <f t="shared" si="0"/>
        <v>107</v>
      </c>
      <c r="P57" s="15">
        <f t="shared" si="1"/>
        <v>354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2861</v>
      </c>
      <c r="D58" s="16">
        <f t="shared" si="21"/>
        <v>1131</v>
      </c>
      <c r="E58" s="16">
        <f t="shared" si="21"/>
        <v>393</v>
      </c>
      <c r="F58" s="16">
        <f t="shared" si="21"/>
        <v>136</v>
      </c>
      <c r="G58" s="16">
        <f t="shared" si="21"/>
        <v>30</v>
      </c>
      <c r="H58" s="16">
        <f t="shared" si="21"/>
        <v>6</v>
      </c>
      <c r="I58" s="16">
        <f t="shared" si="21"/>
        <v>227</v>
      </c>
      <c r="J58" s="16">
        <f t="shared" si="21"/>
        <v>120</v>
      </c>
      <c r="K58" s="16">
        <f t="shared" si="21"/>
        <v>55</v>
      </c>
      <c r="L58" s="16">
        <f t="shared" si="21"/>
        <v>27</v>
      </c>
      <c r="M58" s="16">
        <f t="shared" si="21"/>
        <v>9759</v>
      </c>
      <c r="N58" s="16">
        <f t="shared" si="21"/>
        <v>1</v>
      </c>
      <c r="O58" s="16">
        <f t="shared" si="21"/>
        <v>4987</v>
      </c>
      <c r="P58" s="16">
        <f t="shared" si="21"/>
        <v>14746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0.19401871694018716</v>
      </c>
      <c r="D59" s="42">
        <f t="shared" si="22"/>
        <v>7.6698765766987656E-2</v>
      </c>
      <c r="E59" s="42">
        <f t="shared" si="22"/>
        <v>2.6651295266512953E-2</v>
      </c>
      <c r="F59" s="42">
        <f t="shared" si="22"/>
        <v>9.2228400922284015E-3</v>
      </c>
      <c r="G59" s="42">
        <f t="shared" si="22"/>
        <v>2.0344500203445001E-3</v>
      </c>
      <c r="H59" s="42">
        <f t="shared" si="22"/>
        <v>4.0689000406890003E-4</v>
      </c>
      <c r="I59" s="42">
        <f t="shared" si="22"/>
        <v>1.5394005153940052E-2</v>
      </c>
      <c r="J59" s="42">
        <f t="shared" si="22"/>
        <v>8.1378000813780004E-3</v>
      </c>
      <c r="K59" s="42">
        <f t="shared" si="22"/>
        <v>3.7298250372982504E-3</v>
      </c>
      <c r="L59" s="42">
        <f t="shared" si="22"/>
        <v>1.8310050183100502E-3</v>
      </c>
      <c r="M59" s="42">
        <f t="shared" si="22"/>
        <v>0.66180659161806588</v>
      </c>
      <c r="N59" s="42">
        <f t="shared" si="22"/>
        <v>6.7815000678150001E-5</v>
      </c>
      <c r="R59" s="8"/>
      <c r="T59"/>
    </row>
    <row r="60" spans="2:20" ht="23.1" customHeight="1" x14ac:dyDescent="0.25">
      <c r="B60" s="41" t="s">
        <v>94</v>
      </c>
      <c r="C60" s="43">
        <f>C58/$O$58</f>
        <v>0.57369159815520354</v>
      </c>
      <c r="D60" s="43">
        <f t="shared" ref="D60:N60" si="23">D58/$O$58</f>
        <v>0.22678965309805493</v>
      </c>
      <c r="E60" s="43">
        <f t="shared" si="23"/>
        <v>7.8804892721074798E-2</v>
      </c>
      <c r="F60" s="43">
        <f t="shared" si="23"/>
        <v>2.7270904351313414E-2</v>
      </c>
      <c r="G60" s="43">
        <f t="shared" si="23"/>
        <v>6.0156406657309001E-3</v>
      </c>
      <c r="H60" s="43">
        <f t="shared" si="23"/>
        <v>1.20312813314618E-3</v>
      </c>
      <c r="I60" s="43">
        <f t="shared" si="23"/>
        <v>4.551834770403048E-2</v>
      </c>
      <c r="J60" s="43">
        <f t="shared" si="23"/>
        <v>2.4062562662923601E-2</v>
      </c>
      <c r="K60" s="43">
        <f t="shared" si="23"/>
        <v>1.1028674553839985E-2</v>
      </c>
      <c r="L60" s="43">
        <f t="shared" si="23"/>
        <v>5.4140765991578105E-3</v>
      </c>
      <c r="M60" s="43"/>
      <c r="N60" s="43">
        <f t="shared" si="23"/>
        <v>2.0052135552436334E-4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40" zoomScale="60" workbookViewId="0">
      <selection activeCell="AD54" sqref="AD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'04.08.Jinja RD-Mukwano'!C3:G3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70" t="s">
        <v>163</v>
      </c>
      <c r="E5" s="71"/>
      <c r="F5" s="40" t="s">
        <v>1</v>
      </c>
      <c r="G5" s="58" t="e">
        <f>#REF!</f>
        <v>#REF!</v>
      </c>
      <c r="H5" s="59"/>
      <c r="I5" s="14"/>
      <c r="J5" s="2" t="s">
        <v>5</v>
      </c>
      <c r="K5" s="58" t="e">
        <f>#REF!</f>
        <v>#REF!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e">
        <f>#REF!</f>
        <v>#REF!</v>
      </c>
      <c r="E6" s="59"/>
      <c r="F6" s="2" t="s">
        <v>2</v>
      </c>
      <c r="G6" s="58" t="e">
        <f>#REF!</f>
        <v>#REF!</v>
      </c>
      <c r="H6" s="59"/>
      <c r="J6" s="2" t="s">
        <v>21</v>
      </c>
      <c r="K6" s="58" t="e">
        <f>#REF!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AVERAGE('29.7.Mukwano-Jinja RD'!C10,'30.7.Mukwano-Jinja RD'!C10,'31.07.Mukwano RBT-JinjaRD'!C10,'01.08. Mukwano RBT-Jinja RD 24h'!C10,'02.08.Jinja-Mukwano'!C10,'03.8.Mukwano-Jinja RD 24h'!C10,'04.08.Mukwano-Jinja'!C10)</f>
        <v>62.142857142857146</v>
      </c>
      <c r="D10" s="48">
        <f>AVERAGE('29.7.Mukwano-Jinja RD'!D10,'30.7.Mukwano-Jinja RD'!D10,'31.07.Mukwano RBT-JinjaRD'!D10,'01.08. Mukwano RBT-Jinja RD 24h'!D10,'02.08.Jinja-Mukwano'!D10,'03.8.Mukwano-Jinja RD 24h'!D10,'04.08.Mukwano-Jinja'!D10)</f>
        <v>14.142857142857142</v>
      </c>
      <c r="E10" s="48">
        <f>AVERAGE('29.7.Mukwano-Jinja RD'!E10,'30.7.Mukwano-Jinja RD'!E10,'31.07.Mukwano RBT-JinjaRD'!E10,'01.08. Mukwano RBT-Jinja RD 24h'!E10,'02.08.Jinja-Mukwano'!E10,'03.8.Mukwano-Jinja RD 24h'!E10,'04.08.Mukwano-Jinja'!E10)</f>
        <v>12.571428571428571</v>
      </c>
      <c r="F10" s="48">
        <f>AVERAGE('29.7.Mukwano-Jinja RD'!F10,'30.7.Mukwano-Jinja RD'!F10,'31.07.Mukwano RBT-JinjaRD'!F10,'01.08. Mukwano RBT-Jinja RD 24h'!F10,'02.08.Jinja-Mukwano'!F10,'03.8.Mukwano-Jinja RD 24h'!F10,'04.08.Mukwano-Jinja'!F10)</f>
        <v>6.1428571428571432</v>
      </c>
      <c r="G10" s="48">
        <f>AVERAGE('29.7.Mukwano-Jinja RD'!G10,'30.7.Mukwano-Jinja RD'!G10,'31.07.Mukwano RBT-JinjaRD'!G10,'01.08. Mukwano RBT-Jinja RD 24h'!G10,'02.08.Jinja-Mukwano'!G10,'03.8.Mukwano-Jinja RD 24h'!G10,'04.08.Mukwano-Jinja'!G10)</f>
        <v>0.14285714285714285</v>
      </c>
      <c r="H10" s="48">
        <f>AVERAGE('29.7.Mukwano-Jinja RD'!H10,'30.7.Mukwano-Jinja RD'!H10,'31.07.Mukwano RBT-JinjaRD'!H10,'01.08. Mukwano RBT-Jinja RD 24h'!H10,'02.08.Jinja-Mukwano'!H10,'03.8.Mukwano-Jinja RD 24h'!H10,'04.08.Mukwano-Jinja'!H10)</f>
        <v>0</v>
      </c>
      <c r="I10" s="48">
        <f>AVERAGE('29.7.Mukwano-Jinja RD'!I10,'30.7.Mukwano-Jinja RD'!I10,'31.07.Mukwano RBT-JinjaRD'!I10,'01.08. Mukwano RBT-Jinja RD 24h'!I10,'02.08.Jinja-Mukwano'!I10,'03.8.Mukwano-Jinja RD 24h'!I10,'04.08.Mukwano-Jinja'!I10)</f>
        <v>2.8571428571428572</v>
      </c>
      <c r="J10" s="48">
        <f>AVERAGE('29.7.Mukwano-Jinja RD'!J10,'30.7.Mukwano-Jinja RD'!J10,'31.07.Mukwano RBT-JinjaRD'!J10,'01.08. Mukwano RBT-Jinja RD 24h'!J10,'02.08.Jinja-Mukwano'!J10,'03.8.Mukwano-Jinja RD 24h'!J10,'04.08.Mukwano-Jinja'!J10)</f>
        <v>0.42857142857142855</v>
      </c>
      <c r="K10" s="48">
        <f>AVERAGE('29.7.Mukwano-Jinja RD'!K10,'30.7.Mukwano-Jinja RD'!K10,'31.07.Mukwano RBT-JinjaRD'!K10,'01.08. Mukwano RBT-Jinja RD 24h'!K10,'02.08.Jinja-Mukwano'!K10,'03.8.Mukwano-Jinja RD 24h'!K10,'04.08.Mukwano-Jinja'!K10)</f>
        <v>0.7142857142857143</v>
      </c>
      <c r="L10" s="48">
        <f>AVERAGE('29.7.Mukwano-Jinja RD'!L10,'30.7.Mukwano-Jinja RD'!L10,'31.07.Mukwano RBT-JinjaRD'!L10,'01.08. Mukwano RBT-Jinja RD 24h'!L10,'02.08.Jinja-Mukwano'!L10,'03.8.Mukwano-Jinja RD 24h'!L10,'04.08.Mukwano-Jinja'!L10)</f>
        <v>1.4285714285714286</v>
      </c>
      <c r="M10" s="48">
        <f>AVERAGE('29.7.Mukwano-Jinja RD'!M10,'30.7.Mukwano-Jinja RD'!M10,'31.07.Mukwano RBT-JinjaRD'!M10,'01.08. Mukwano RBT-Jinja RD 24h'!M10,'02.08.Jinja-Mukwano'!M10,'03.8.Mukwano-Jinja RD 24h'!M10,'04.08.Mukwano-Jinja'!M10)</f>
        <v>279.71428571428572</v>
      </c>
      <c r="N10" s="48">
        <f>AVERAGE('29.7.Mukwano-Jinja RD'!N10,'30.7.Mukwano-Jinja RD'!N10,'31.07.Mukwano RBT-JinjaRD'!N10,'01.08. Mukwano RBT-Jinja RD 24h'!N10,'02.08.Jinja-Mukwano'!N10,'03.8.Mukwano-Jinja RD 24h'!N10,'04.08.Mukwano-Jinja'!N10)</f>
        <v>0</v>
      </c>
      <c r="O10" s="15">
        <f t="shared" ref="O10:O73" si="0">SUM(C10:L10,N10)</f>
        <v>100.57142857142857</v>
      </c>
      <c r="P10" s="15">
        <f t="shared" ref="P10:P73" si="1">SUM(C10:N10)</f>
        <v>380.28571428571428</v>
      </c>
      <c r="R10" s="1" t="s">
        <v>6</v>
      </c>
      <c r="S10" s="17">
        <f t="shared" ref="S10:AF10" si="2">SUM(C10:C13)</f>
        <v>439.28571428571433</v>
      </c>
      <c r="T10" s="17">
        <f t="shared" si="2"/>
        <v>108.14285714285714</v>
      </c>
      <c r="U10" s="17">
        <f t="shared" si="2"/>
        <v>49.714285714285715</v>
      </c>
      <c r="V10" s="17">
        <f t="shared" si="2"/>
        <v>37.428571428571431</v>
      </c>
      <c r="W10" s="17">
        <f t="shared" si="2"/>
        <v>2.5714285714285712</v>
      </c>
      <c r="X10" s="17">
        <f t="shared" si="2"/>
        <v>0.2857142857142857</v>
      </c>
      <c r="Y10" s="17">
        <f t="shared" si="2"/>
        <v>11.714285714285714</v>
      </c>
      <c r="Z10" s="17">
        <f t="shared" si="2"/>
        <v>4.4285714285714288</v>
      </c>
      <c r="AA10" s="17">
        <f t="shared" si="2"/>
        <v>2.7142857142857144</v>
      </c>
      <c r="AB10" s="17">
        <f t="shared" si="2"/>
        <v>4.4285714285714279</v>
      </c>
      <c r="AC10" s="17">
        <f t="shared" si="2"/>
        <v>1315.8571428571429</v>
      </c>
      <c r="AD10" s="17">
        <f t="shared" si="2"/>
        <v>0.14285714285714285</v>
      </c>
      <c r="AE10" s="30">
        <f t="shared" si="2"/>
        <v>660.85714285714289</v>
      </c>
      <c r="AF10" s="30">
        <f t="shared" si="2"/>
        <v>1976.7142857142858</v>
      </c>
    </row>
    <row r="11" spans="2:32" s="6" customFormat="1" ht="23.1" customHeight="1" x14ac:dyDescent="0.25">
      <c r="B11" s="22" t="s">
        <v>38</v>
      </c>
      <c r="C11" s="48">
        <f>AVERAGE('29.7.Mukwano-Jinja RD'!C11,'30.7.Mukwano-Jinja RD'!C11,'31.07.Mukwano RBT-JinjaRD'!C11,'01.08. Mukwano RBT-Jinja RD 24h'!C11,'02.08.Jinja-Mukwano'!C11,'03.8.Mukwano-Jinja RD 24h'!C11,'04.08.Mukwano-Jinja'!C11)</f>
        <v>87.571428571428569</v>
      </c>
      <c r="D11" s="48">
        <f>AVERAGE('29.7.Mukwano-Jinja RD'!D11,'30.7.Mukwano-Jinja RD'!D11,'31.07.Mukwano RBT-JinjaRD'!D11,'01.08. Mukwano RBT-Jinja RD 24h'!D11,'02.08.Jinja-Mukwano'!D11,'03.8.Mukwano-Jinja RD 24h'!D11,'04.08.Mukwano-Jinja'!D11)</f>
        <v>22.857142857142858</v>
      </c>
      <c r="E11" s="48">
        <f>AVERAGE('29.7.Mukwano-Jinja RD'!E11,'30.7.Mukwano-Jinja RD'!E11,'31.07.Mukwano RBT-JinjaRD'!E11,'01.08. Mukwano RBT-Jinja RD 24h'!E11,'02.08.Jinja-Mukwano'!E11,'03.8.Mukwano-Jinja RD 24h'!E11,'04.08.Mukwano-Jinja'!E11)</f>
        <v>10.714285714285714</v>
      </c>
      <c r="F11" s="48">
        <f>AVERAGE('29.7.Mukwano-Jinja RD'!F11,'30.7.Mukwano-Jinja RD'!F11,'31.07.Mukwano RBT-JinjaRD'!F11,'01.08. Mukwano RBT-Jinja RD 24h'!F11,'02.08.Jinja-Mukwano'!F11,'03.8.Mukwano-Jinja RD 24h'!F11,'04.08.Mukwano-Jinja'!F11)</f>
        <v>8.8571428571428577</v>
      </c>
      <c r="G11" s="48">
        <f>AVERAGE('29.7.Mukwano-Jinja RD'!G11,'30.7.Mukwano-Jinja RD'!G11,'31.07.Mukwano RBT-JinjaRD'!G11,'01.08. Mukwano RBT-Jinja RD 24h'!G11,'02.08.Jinja-Mukwano'!G11,'03.8.Mukwano-Jinja RD 24h'!G11,'04.08.Mukwano-Jinja'!G11)</f>
        <v>0</v>
      </c>
      <c r="H11" s="48">
        <f>AVERAGE('29.7.Mukwano-Jinja RD'!H11,'30.7.Mukwano-Jinja RD'!H11,'31.07.Mukwano RBT-JinjaRD'!H11,'01.08. Mukwano RBT-Jinja RD 24h'!H11,'02.08.Jinja-Mukwano'!H11,'03.8.Mukwano-Jinja RD 24h'!H11,'04.08.Mukwano-Jinja'!H11)</f>
        <v>0</v>
      </c>
      <c r="I11" s="48">
        <f>AVERAGE('29.7.Mukwano-Jinja RD'!I11,'30.7.Mukwano-Jinja RD'!I11,'31.07.Mukwano RBT-JinjaRD'!I11,'01.08. Mukwano RBT-Jinja RD 24h'!I11,'02.08.Jinja-Mukwano'!I11,'03.8.Mukwano-Jinja RD 24h'!I11,'04.08.Mukwano-Jinja'!I11)</f>
        <v>2.8571428571428572</v>
      </c>
      <c r="J11" s="48">
        <f>AVERAGE('29.7.Mukwano-Jinja RD'!J11,'30.7.Mukwano-Jinja RD'!J11,'31.07.Mukwano RBT-JinjaRD'!J11,'01.08. Mukwano RBT-Jinja RD 24h'!J11,'02.08.Jinja-Mukwano'!J11,'03.8.Mukwano-Jinja RD 24h'!J11,'04.08.Mukwano-Jinja'!J11)</f>
        <v>0.7142857142857143</v>
      </c>
      <c r="K11" s="48">
        <f>AVERAGE('29.7.Mukwano-Jinja RD'!K11,'30.7.Mukwano-Jinja RD'!K11,'31.07.Mukwano RBT-JinjaRD'!K11,'01.08. Mukwano RBT-Jinja RD 24h'!K11,'02.08.Jinja-Mukwano'!K11,'03.8.Mukwano-Jinja RD 24h'!K11,'04.08.Mukwano-Jinja'!K11)</f>
        <v>0.42857142857142855</v>
      </c>
      <c r="L11" s="48">
        <f>AVERAGE('29.7.Mukwano-Jinja RD'!L11,'30.7.Mukwano-Jinja RD'!L11,'31.07.Mukwano RBT-JinjaRD'!L11,'01.08. Mukwano RBT-Jinja RD 24h'!L11,'02.08.Jinja-Mukwano'!L11,'03.8.Mukwano-Jinja RD 24h'!L11,'04.08.Mukwano-Jinja'!L11)</f>
        <v>1.8571428571428572</v>
      </c>
      <c r="M11" s="48">
        <f>AVERAGE('29.7.Mukwano-Jinja RD'!M11,'30.7.Mukwano-Jinja RD'!M11,'31.07.Mukwano RBT-JinjaRD'!M11,'01.08. Mukwano RBT-Jinja RD 24h'!M11,'02.08.Jinja-Mukwano'!M11,'03.8.Mukwano-Jinja RD 24h'!M11,'04.08.Mukwano-Jinja'!M11)</f>
        <v>285</v>
      </c>
      <c r="N11" s="48">
        <f>AVERAGE('29.7.Mukwano-Jinja RD'!N11,'30.7.Mukwano-Jinja RD'!N11,'31.07.Mukwano RBT-JinjaRD'!N11,'01.08. Mukwano RBT-Jinja RD 24h'!N11,'02.08.Jinja-Mukwano'!N11,'03.8.Mukwano-Jinja RD 24h'!N11,'04.08.Mukwano-Jinja'!N11)</f>
        <v>0.14285714285714285</v>
      </c>
      <c r="O11" s="15">
        <f t="shared" si="0"/>
        <v>136</v>
      </c>
      <c r="P11" s="15">
        <f t="shared" si="1"/>
        <v>421.00000000000006</v>
      </c>
      <c r="R11" s="1" t="s">
        <v>7</v>
      </c>
      <c r="S11" s="17">
        <f t="shared" ref="S11:AF11" si="3">SUM(C14:C17)</f>
        <v>643</v>
      </c>
      <c r="T11" s="17">
        <f t="shared" si="3"/>
        <v>123.57142857142856</v>
      </c>
      <c r="U11" s="17">
        <f t="shared" si="3"/>
        <v>58.571428571428569</v>
      </c>
      <c r="V11" s="17">
        <f t="shared" si="3"/>
        <v>49.714285714285715</v>
      </c>
      <c r="W11" s="17">
        <f t="shared" si="3"/>
        <v>2.4285714285714284</v>
      </c>
      <c r="X11" s="17">
        <f t="shared" si="3"/>
        <v>0.5714285714285714</v>
      </c>
      <c r="Y11" s="17">
        <f t="shared" si="3"/>
        <v>19.714285714285715</v>
      </c>
      <c r="Z11" s="17">
        <f t="shared" si="3"/>
        <v>11.571428571428573</v>
      </c>
      <c r="AA11" s="17">
        <f t="shared" si="3"/>
        <v>3.4285714285714288</v>
      </c>
      <c r="AB11" s="17">
        <f t="shared" si="3"/>
        <v>6.5714285714285712</v>
      </c>
      <c r="AC11" s="17">
        <f t="shared" si="3"/>
        <v>1511</v>
      </c>
      <c r="AD11" s="17">
        <f t="shared" si="3"/>
        <v>0</v>
      </c>
      <c r="AE11" s="30">
        <f t="shared" si="3"/>
        <v>919.14285714285722</v>
      </c>
      <c r="AF11" s="30">
        <f t="shared" si="3"/>
        <v>2430.1428571428569</v>
      </c>
    </row>
    <row r="12" spans="2:32" ht="23.1" customHeight="1" x14ac:dyDescent="0.25">
      <c r="B12" s="22" t="s">
        <v>39</v>
      </c>
      <c r="C12" s="48">
        <f>AVERAGE('29.7.Mukwano-Jinja RD'!C12,'30.7.Mukwano-Jinja RD'!C12,'31.07.Mukwano RBT-JinjaRD'!C12,'01.08. Mukwano RBT-Jinja RD 24h'!C12,'02.08.Jinja-Mukwano'!C12,'03.8.Mukwano-Jinja RD 24h'!C12,'04.08.Mukwano-Jinja'!C12)</f>
        <v>118.14285714285714</v>
      </c>
      <c r="D12" s="48">
        <f>AVERAGE('29.7.Mukwano-Jinja RD'!D12,'30.7.Mukwano-Jinja RD'!D12,'31.07.Mukwano RBT-JinjaRD'!D12,'01.08. Mukwano RBT-Jinja RD 24h'!D12,'02.08.Jinja-Mukwano'!D12,'03.8.Mukwano-Jinja RD 24h'!D12,'04.08.Mukwano-Jinja'!D12)</f>
        <v>25.571428571428573</v>
      </c>
      <c r="E12" s="48">
        <f>AVERAGE('29.7.Mukwano-Jinja RD'!E12,'30.7.Mukwano-Jinja RD'!E12,'31.07.Mukwano RBT-JinjaRD'!E12,'01.08. Mukwano RBT-Jinja RD 24h'!E12,'02.08.Jinja-Mukwano'!E12,'03.8.Mukwano-Jinja RD 24h'!E12,'04.08.Mukwano-Jinja'!E12)</f>
        <v>12.142857142857142</v>
      </c>
      <c r="F12" s="48">
        <f>AVERAGE('29.7.Mukwano-Jinja RD'!F12,'30.7.Mukwano-Jinja RD'!F12,'31.07.Mukwano RBT-JinjaRD'!F12,'01.08. Mukwano RBT-Jinja RD 24h'!F12,'02.08.Jinja-Mukwano'!F12,'03.8.Mukwano-Jinja RD 24h'!F12,'04.08.Mukwano-Jinja'!F12)</f>
        <v>9.7142857142857135</v>
      </c>
      <c r="G12" s="48">
        <f>AVERAGE('29.7.Mukwano-Jinja RD'!G12,'30.7.Mukwano-Jinja RD'!G12,'31.07.Mukwano RBT-JinjaRD'!G12,'01.08. Mukwano RBT-Jinja RD 24h'!G12,'02.08.Jinja-Mukwano'!G12,'03.8.Mukwano-Jinja RD 24h'!G12,'04.08.Mukwano-Jinja'!G12)</f>
        <v>1</v>
      </c>
      <c r="H12" s="48">
        <f>AVERAGE('29.7.Mukwano-Jinja RD'!H12,'30.7.Mukwano-Jinja RD'!H12,'31.07.Mukwano RBT-JinjaRD'!H12,'01.08. Mukwano RBT-Jinja RD 24h'!H12,'02.08.Jinja-Mukwano'!H12,'03.8.Mukwano-Jinja RD 24h'!H12,'04.08.Mukwano-Jinja'!H12)</f>
        <v>0.2857142857142857</v>
      </c>
      <c r="I12" s="48">
        <f>AVERAGE('29.7.Mukwano-Jinja RD'!I12,'30.7.Mukwano-Jinja RD'!I12,'31.07.Mukwano RBT-JinjaRD'!I12,'01.08. Mukwano RBT-Jinja RD 24h'!I12,'02.08.Jinja-Mukwano'!I12,'03.8.Mukwano-Jinja RD 24h'!I12,'04.08.Mukwano-Jinja'!I12)</f>
        <v>2.8571428571428572</v>
      </c>
      <c r="J12" s="48">
        <f>AVERAGE('29.7.Mukwano-Jinja RD'!J12,'30.7.Mukwano-Jinja RD'!J12,'31.07.Mukwano RBT-JinjaRD'!J12,'01.08. Mukwano RBT-Jinja RD 24h'!J12,'02.08.Jinja-Mukwano'!J12,'03.8.Mukwano-Jinja RD 24h'!J12,'04.08.Mukwano-Jinja'!J12)</f>
        <v>1.4285714285714286</v>
      </c>
      <c r="K12" s="48">
        <f>AVERAGE('29.7.Mukwano-Jinja RD'!K12,'30.7.Mukwano-Jinja RD'!K12,'31.07.Mukwano RBT-JinjaRD'!K12,'01.08. Mukwano RBT-Jinja RD 24h'!K12,'02.08.Jinja-Mukwano'!K12,'03.8.Mukwano-Jinja RD 24h'!K12,'04.08.Mukwano-Jinja'!K12)</f>
        <v>0.8571428571428571</v>
      </c>
      <c r="L12" s="48">
        <f>AVERAGE('29.7.Mukwano-Jinja RD'!L12,'30.7.Mukwano-Jinja RD'!L12,'31.07.Mukwano RBT-JinjaRD'!L12,'01.08. Mukwano RBT-Jinja RD 24h'!L12,'02.08.Jinja-Mukwano'!L12,'03.8.Mukwano-Jinja RD 24h'!L12,'04.08.Mukwano-Jinja'!L12)</f>
        <v>0.5714285714285714</v>
      </c>
      <c r="M12" s="48">
        <f>AVERAGE('29.7.Mukwano-Jinja RD'!M12,'30.7.Mukwano-Jinja RD'!M12,'31.07.Mukwano RBT-JinjaRD'!M12,'01.08. Mukwano RBT-Jinja RD 24h'!M12,'02.08.Jinja-Mukwano'!M12,'03.8.Mukwano-Jinja RD 24h'!M12,'04.08.Mukwano-Jinja'!M12)</f>
        <v>356.57142857142856</v>
      </c>
      <c r="N12" s="48">
        <f>AVERAGE('29.7.Mukwano-Jinja RD'!N12,'30.7.Mukwano-Jinja RD'!N12,'31.07.Mukwano RBT-JinjaRD'!N12,'01.08. Mukwano RBT-Jinja RD 24h'!N12,'02.08.Jinja-Mukwano'!N12,'03.8.Mukwano-Jinja RD 24h'!N12,'04.08.Mukwano-Jinja'!N12)</f>
        <v>0</v>
      </c>
      <c r="O12" s="15">
        <f t="shared" si="0"/>
        <v>172.57142857142858</v>
      </c>
      <c r="P12" s="15">
        <f t="shared" si="1"/>
        <v>529.14285714285711</v>
      </c>
      <c r="R12" s="1" t="s">
        <v>8</v>
      </c>
      <c r="S12" s="17">
        <f t="shared" ref="S12:AF12" si="4">SUM(C18:C21)</f>
        <v>715.57142857142867</v>
      </c>
      <c r="T12" s="17">
        <f t="shared" si="4"/>
        <v>154.14285714285717</v>
      </c>
      <c r="U12" s="17">
        <f t="shared" si="4"/>
        <v>69.857142857142861</v>
      </c>
      <c r="V12" s="17">
        <f t="shared" si="4"/>
        <v>43.857142857142854</v>
      </c>
      <c r="W12" s="17">
        <f t="shared" si="4"/>
        <v>3.5714285714285716</v>
      </c>
      <c r="X12" s="17">
        <f t="shared" si="4"/>
        <v>0.2857142857142857</v>
      </c>
      <c r="Y12" s="17">
        <f t="shared" si="4"/>
        <v>28.142857142857146</v>
      </c>
      <c r="Z12" s="17">
        <f t="shared" si="4"/>
        <v>14.714285714285715</v>
      </c>
      <c r="AA12" s="17">
        <f t="shared" si="4"/>
        <v>6</v>
      </c>
      <c r="AB12" s="17">
        <f t="shared" si="4"/>
        <v>6</v>
      </c>
      <c r="AC12" s="17">
        <f t="shared" si="4"/>
        <v>1803.1428571428573</v>
      </c>
      <c r="AD12" s="17">
        <f t="shared" si="4"/>
        <v>0.42857142857142855</v>
      </c>
      <c r="AE12" s="30">
        <f t="shared" si="4"/>
        <v>1042.5714285714287</v>
      </c>
      <c r="AF12" s="30">
        <f t="shared" si="4"/>
        <v>2845.7142857142858</v>
      </c>
    </row>
    <row r="13" spans="2:32" ht="23.1" customHeight="1" x14ac:dyDescent="0.25">
      <c r="B13" s="22" t="s">
        <v>40</v>
      </c>
      <c r="C13" s="48">
        <f>AVERAGE('29.7.Mukwano-Jinja RD'!C13,'30.7.Mukwano-Jinja RD'!C13,'31.07.Mukwano RBT-JinjaRD'!C13,'01.08. Mukwano RBT-Jinja RD 24h'!C13,'02.08.Jinja-Mukwano'!C13,'03.8.Mukwano-Jinja RD 24h'!C13,'04.08.Mukwano-Jinja'!C13)</f>
        <v>171.42857142857142</v>
      </c>
      <c r="D13" s="48">
        <f>AVERAGE('29.7.Mukwano-Jinja RD'!D13,'30.7.Mukwano-Jinja RD'!D13,'31.07.Mukwano RBT-JinjaRD'!D13,'01.08. Mukwano RBT-Jinja RD 24h'!D13,'02.08.Jinja-Mukwano'!D13,'03.8.Mukwano-Jinja RD 24h'!D13,'04.08.Mukwano-Jinja'!D13)</f>
        <v>45.571428571428569</v>
      </c>
      <c r="E13" s="48">
        <f>AVERAGE('29.7.Mukwano-Jinja RD'!E13,'30.7.Mukwano-Jinja RD'!E13,'31.07.Mukwano RBT-JinjaRD'!E13,'01.08. Mukwano RBT-Jinja RD 24h'!E13,'02.08.Jinja-Mukwano'!E13,'03.8.Mukwano-Jinja RD 24h'!E13,'04.08.Mukwano-Jinja'!E13)</f>
        <v>14.285714285714286</v>
      </c>
      <c r="F13" s="48">
        <f>AVERAGE('29.7.Mukwano-Jinja RD'!F13,'30.7.Mukwano-Jinja RD'!F13,'31.07.Mukwano RBT-JinjaRD'!F13,'01.08. Mukwano RBT-Jinja RD 24h'!F13,'02.08.Jinja-Mukwano'!F13,'03.8.Mukwano-Jinja RD 24h'!F13,'04.08.Mukwano-Jinja'!F13)</f>
        <v>12.714285714285714</v>
      </c>
      <c r="G13" s="48">
        <f>AVERAGE('29.7.Mukwano-Jinja RD'!G13,'30.7.Mukwano-Jinja RD'!G13,'31.07.Mukwano RBT-JinjaRD'!G13,'01.08. Mukwano RBT-Jinja RD 24h'!G13,'02.08.Jinja-Mukwano'!G13,'03.8.Mukwano-Jinja RD 24h'!G13,'04.08.Mukwano-Jinja'!G13)</f>
        <v>1.4285714285714286</v>
      </c>
      <c r="H13" s="48">
        <f>AVERAGE('29.7.Mukwano-Jinja RD'!H13,'30.7.Mukwano-Jinja RD'!H13,'31.07.Mukwano RBT-JinjaRD'!H13,'01.08. Mukwano RBT-Jinja RD 24h'!H13,'02.08.Jinja-Mukwano'!H13,'03.8.Mukwano-Jinja RD 24h'!H13,'04.08.Mukwano-Jinja'!H13)</f>
        <v>0</v>
      </c>
      <c r="I13" s="48">
        <f>AVERAGE('29.7.Mukwano-Jinja RD'!I13,'30.7.Mukwano-Jinja RD'!I13,'31.07.Mukwano RBT-JinjaRD'!I13,'01.08. Mukwano RBT-Jinja RD 24h'!I13,'02.08.Jinja-Mukwano'!I13,'03.8.Mukwano-Jinja RD 24h'!I13,'04.08.Mukwano-Jinja'!I13)</f>
        <v>3.1428571428571428</v>
      </c>
      <c r="J13" s="48">
        <f>AVERAGE('29.7.Mukwano-Jinja RD'!J13,'30.7.Mukwano-Jinja RD'!J13,'31.07.Mukwano RBT-JinjaRD'!J13,'01.08. Mukwano RBT-Jinja RD 24h'!J13,'02.08.Jinja-Mukwano'!J13,'03.8.Mukwano-Jinja RD 24h'!J13,'04.08.Mukwano-Jinja'!J13)</f>
        <v>1.8571428571428572</v>
      </c>
      <c r="K13" s="48">
        <f>AVERAGE('29.7.Mukwano-Jinja RD'!K13,'30.7.Mukwano-Jinja RD'!K13,'31.07.Mukwano RBT-JinjaRD'!K13,'01.08. Mukwano RBT-Jinja RD 24h'!K13,'02.08.Jinja-Mukwano'!K13,'03.8.Mukwano-Jinja RD 24h'!K13,'04.08.Mukwano-Jinja'!K13)</f>
        <v>0.7142857142857143</v>
      </c>
      <c r="L13" s="48">
        <f>AVERAGE('29.7.Mukwano-Jinja RD'!L13,'30.7.Mukwano-Jinja RD'!L13,'31.07.Mukwano RBT-JinjaRD'!L13,'01.08. Mukwano RBT-Jinja RD 24h'!L13,'02.08.Jinja-Mukwano'!L13,'03.8.Mukwano-Jinja RD 24h'!L13,'04.08.Mukwano-Jinja'!L13)</f>
        <v>0.5714285714285714</v>
      </c>
      <c r="M13" s="48">
        <f>AVERAGE('29.7.Mukwano-Jinja RD'!M13,'30.7.Mukwano-Jinja RD'!M13,'31.07.Mukwano RBT-JinjaRD'!M13,'01.08. Mukwano RBT-Jinja RD 24h'!M13,'02.08.Jinja-Mukwano'!M13,'03.8.Mukwano-Jinja RD 24h'!M13,'04.08.Mukwano-Jinja'!M13)</f>
        <v>394.57142857142856</v>
      </c>
      <c r="N13" s="48">
        <f>AVERAGE('29.7.Mukwano-Jinja RD'!N13,'30.7.Mukwano-Jinja RD'!N13,'31.07.Mukwano RBT-JinjaRD'!N13,'01.08. Mukwano RBT-Jinja RD 24h'!N13,'02.08.Jinja-Mukwano'!N13,'03.8.Mukwano-Jinja RD 24h'!N13,'04.08.Mukwano-Jinja'!N13)</f>
        <v>0</v>
      </c>
      <c r="O13" s="15">
        <f t="shared" si="0"/>
        <v>251.71428571428572</v>
      </c>
      <c r="P13" s="15">
        <f t="shared" si="1"/>
        <v>646.28571428571422</v>
      </c>
      <c r="R13" s="1" t="s">
        <v>9</v>
      </c>
      <c r="S13" s="17">
        <f t="shared" ref="S13:AF13" si="5">SUM(C22:C25)</f>
        <v>641.42857142857144</v>
      </c>
      <c r="T13" s="17">
        <f t="shared" si="5"/>
        <v>156.85714285714286</v>
      </c>
      <c r="U13" s="17">
        <f t="shared" si="5"/>
        <v>78.285714285714292</v>
      </c>
      <c r="V13" s="17">
        <f t="shared" si="5"/>
        <v>44.428571428571431</v>
      </c>
      <c r="W13" s="17">
        <f t="shared" si="5"/>
        <v>5</v>
      </c>
      <c r="X13" s="17">
        <f t="shared" si="5"/>
        <v>0.85714285714285698</v>
      </c>
      <c r="Y13" s="17">
        <f t="shared" si="5"/>
        <v>38.857142857142861</v>
      </c>
      <c r="Z13" s="17">
        <f t="shared" si="5"/>
        <v>19.857142857142854</v>
      </c>
      <c r="AA13" s="17">
        <f t="shared" si="5"/>
        <v>5.2857142857142847</v>
      </c>
      <c r="AB13" s="17">
        <f t="shared" si="5"/>
        <v>8.5714285714285712</v>
      </c>
      <c r="AC13" s="17">
        <f t="shared" si="5"/>
        <v>1554.5714285714287</v>
      </c>
      <c r="AD13" s="17">
        <f t="shared" si="5"/>
        <v>0.2857142857142857</v>
      </c>
      <c r="AE13" s="30">
        <f t="shared" si="5"/>
        <v>999.71428571428567</v>
      </c>
      <c r="AF13" s="30">
        <f t="shared" si="5"/>
        <v>2554.2857142857142</v>
      </c>
    </row>
    <row r="14" spans="2:32" ht="23.1" customHeight="1" x14ac:dyDescent="0.25">
      <c r="B14" s="22" t="s">
        <v>41</v>
      </c>
      <c r="C14" s="48">
        <f>AVERAGE('29.7.Mukwano-Jinja RD'!C14,'30.7.Mukwano-Jinja RD'!C14,'31.07.Mukwano RBT-JinjaRD'!C14,'01.08. Mukwano RBT-Jinja RD 24h'!C14,'02.08.Jinja-Mukwano'!C14,'03.8.Mukwano-Jinja RD 24h'!C14,'04.08.Mukwano-Jinja'!C14)</f>
        <v>161</v>
      </c>
      <c r="D14" s="48">
        <f>AVERAGE('29.7.Mukwano-Jinja RD'!D14,'30.7.Mukwano-Jinja RD'!D14,'31.07.Mukwano RBT-JinjaRD'!D14,'01.08. Mukwano RBT-Jinja RD 24h'!D14,'02.08.Jinja-Mukwano'!D14,'03.8.Mukwano-Jinja RD 24h'!D14,'04.08.Mukwano-Jinja'!D14)</f>
        <v>21.285714285714285</v>
      </c>
      <c r="E14" s="48">
        <f>AVERAGE('29.7.Mukwano-Jinja RD'!E14,'30.7.Mukwano-Jinja RD'!E14,'31.07.Mukwano RBT-JinjaRD'!E14,'01.08. Mukwano RBT-Jinja RD 24h'!E14,'02.08.Jinja-Mukwano'!E14,'03.8.Mukwano-Jinja RD 24h'!E14,'04.08.Mukwano-Jinja'!E14)</f>
        <v>14.571428571428571</v>
      </c>
      <c r="F14" s="48">
        <f>AVERAGE('29.7.Mukwano-Jinja RD'!F14,'30.7.Mukwano-Jinja RD'!F14,'31.07.Mukwano RBT-JinjaRD'!F14,'01.08. Mukwano RBT-Jinja RD 24h'!F14,'02.08.Jinja-Mukwano'!F14,'03.8.Mukwano-Jinja RD 24h'!F14,'04.08.Mukwano-Jinja'!F14)</f>
        <v>13.714285714285714</v>
      </c>
      <c r="G14" s="48">
        <f>AVERAGE('29.7.Mukwano-Jinja RD'!G14,'30.7.Mukwano-Jinja RD'!G14,'31.07.Mukwano RBT-JinjaRD'!G14,'01.08. Mukwano RBT-Jinja RD 24h'!G14,'02.08.Jinja-Mukwano'!G14,'03.8.Mukwano-Jinja RD 24h'!G14,'04.08.Mukwano-Jinja'!G14)</f>
        <v>1.2857142857142858</v>
      </c>
      <c r="H14" s="48">
        <f>AVERAGE('29.7.Mukwano-Jinja RD'!H14,'30.7.Mukwano-Jinja RD'!H14,'31.07.Mukwano RBT-JinjaRD'!H14,'01.08. Mukwano RBT-Jinja RD 24h'!H14,'02.08.Jinja-Mukwano'!H14,'03.8.Mukwano-Jinja RD 24h'!H14,'04.08.Mukwano-Jinja'!H14)</f>
        <v>0</v>
      </c>
      <c r="I14" s="48">
        <f>AVERAGE('29.7.Mukwano-Jinja RD'!I14,'30.7.Mukwano-Jinja RD'!I14,'31.07.Mukwano RBT-JinjaRD'!I14,'01.08. Mukwano RBT-Jinja RD 24h'!I14,'02.08.Jinja-Mukwano'!I14,'03.8.Mukwano-Jinja RD 24h'!I14,'04.08.Mukwano-Jinja'!I14)</f>
        <v>3.8571428571428572</v>
      </c>
      <c r="J14" s="48">
        <f>AVERAGE('29.7.Mukwano-Jinja RD'!J14,'30.7.Mukwano-Jinja RD'!J14,'31.07.Mukwano RBT-JinjaRD'!J14,'01.08. Mukwano RBT-Jinja RD 24h'!J14,'02.08.Jinja-Mukwano'!J14,'03.8.Mukwano-Jinja RD 24h'!J14,'04.08.Mukwano-Jinja'!J14)</f>
        <v>2.8571428571428572</v>
      </c>
      <c r="K14" s="48">
        <f>AVERAGE('29.7.Mukwano-Jinja RD'!K14,'30.7.Mukwano-Jinja RD'!K14,'31.07.Mukwano RBT-JinjaRD'!K14,'01.08. Mukwano RBT-Jinja RD 24h'!K14,'02.08.Jinja-Mukwano'!K14,'03.8.Mukwano-Jinja RD 24h'!K14,'04.08.Mukwano-Jinja'!K14)</f>
        <v>0.2857142857142857</v>
      </c>
      <c r="L14" s="48">
        <f>AVERAGE('29.7.Mukwano-Jinja RD'!L14,'30.7.Mukwano-Jinja RD'!L14,'31.07.Mukwano RBT-JinjaRD'!L14,'01.08. Mukwano RBT-Jinja RD 24h'!L14,'02.08.Jinja-Mukwano'!L14,'03.8.Mukwano-Jinja RD 24h'!L14,'04.08.Mukwano-Jinja'!L14)</f>
        <v>1.5714285714285714</v>
      </c>
      <c r="M14" s="48">
        <f>AVERAGE('29.7.Mukwano-Jinja RD'!M14,'30.7.Mukwano-Jinja RD'!M14,'31.07.Mukwano RBT-JinjaRD'!M14,'01.08. Mukwano RBT-Jinja RD 24h'!M14,'02.08.Jinja-Mukwano'!M14,'03.8.Mukwano-Jinja RD 24h'!M14,'04.08.Mukwano-Jinja'!M14)</f>
        <v>418.71428571428572</v>
      </c>
      <c r="N14" s="48">
        <f>AVERAGE('29.7.Mukwano-Jinja RD'!N14,'30.7.Mukwano-Jinja RD'!N14,'31.07.Mukwano RBT-JinjaRD'!N14,'01.08. Mukwano RBT-Jinja RD 24h'!N14,'02.08.Jinja-Mukwano'!N14,'03.8.Mukwano-Jinja RD 24h'!N14,'04.08.Mukwano-Jinja'!N14)</f>
        <v>0</v>
      </c>
      <c r="O14" s="15">
        <f t="shared" si="0"/>
        <v>220.42857142857144</v>
      </c>
      <c r="P14" s="15">
        <f t="shared" si="1"/>
        <v>639.14285714285711</v>
      </c>
      <c r="R14" s="1" t="s">
        <v>10</v>
      </c>
      <c r="S14" s="17">
        <f t="shared" ref="S14:AF14" si="6">SUM(C26:C29)</f>
        <v>582.42857142857144</v>
      </c>
      <c r="T14" s="17">
        <f t="shared" si="6"/>
        <v>135</v>
      </c>
      <c r="U14" s="17">
        <f t="shared" si="6"/>
        <v>66.285714285714292</v>
      </c>
      <c r="V14" s="17">
        <f t="shared" si="6"/>
        <v>42.857142857142861</v>
      </c>
      <c r="W14" s="17">
        <f t="shared" si="6"/>
        <v>2.5714285714285712</v>
      </c>
      <c r="X14" s="17">
        <f t="shared" si="6"/>
        <v>0.2857142857142857</v>
      </c>
      <c r="Y14" s="17">
        <f t="shared" si="6"/>
        <v>27.714285714285715</v>
      </c>
      <c r="Z14" s="17">
        <f t="shared" si="6"/>
        <v>18.285714285714285</v>
      </c>
      <c r="AA14" s="17">
        <f t="shared" si="6"/>
        <v>4.1428571428571432</v>
      </c>
      <c r="AB14" s="17">
        <f t="shared" si="6"/>
        <v>10.142857142857142</v>
      </c>
      <c r="AC14" s="17">
        <f t="shared" si="6"/>
        <v>1530.7142857142858</v>
      </c>
      <c r="AD14" s="17">
        <f t="shared" si="6"/>
        <v>0.42857142857142855</v>
      </c>
      <c r="AE14" s="30">
        <f t="shared" si="6"/>
        <v>890.14285714285711</v>
      </c>
      <c r="AF14" s="30">
        <f t="shared" si="6"/>
        <v>2420.8571428571427</v>
      </c>
    </row>
    <row r="15" spans="2:32" ht="23.1" customHeight="1" x14ac:dyDescent="0.25">
      <c r="B15" s="22" t="s">
        <v>42</v>
      </c>
      <c r="C15" s="48">
        <f>AVERAGE('29.7.Mukwano-Jinja RD'!C15,'30.7.Mukwano-Jinja RD'!C15,'31.07.Mukwano RBT-JinjaRD'!C15,'01.08. Mukwano RBT-Jinja RD 24h'!C15,'02.08.Jinja-Mukwano'!C15,'03.8.Mukwano-Jinja RD 24h'!C15,'04.08.Mukwano-Jinja'!C15)</f>
        <v>154.71428571428572</v>
      </c>
      <c r="D15" s="48">
        <f>AVERAGE('29.7.Mukwano-Jinja RD'!D15,'30.7.Mukwano-Jinja RD'!D15,'31.07.Mukwano RBT-JinjaRD'!D15,'01.08. Mukwano RBT-Jinja RD 24h'!D15,'02.08.Jinja-Mukwano'!D15,'03.8.Mukwano-Jinja RD 24h'!D15,'04.08.Mukwano-Jinja'!D15)</f>
        <v>28.857142857142858</v>
      </c>
      <c r="E15" s="48">
        <f>AVERAGE('29.7.Mukwano-Jinja RD'!E15,'30.7.Mukwano-Jinja RD'!E15,'31.07.Mukwano RBT-JinjaRD'!E15,'01.08. Mukwano RBT-Jinja RD 24h'!E15,'02.08.Jinja-Mukwano'!E15,'03.8.Mukwano-Jinja RD 24h'!E15,'04.08.Mukwano-Jinja'!E15)</f>
        <v>15.714285714285714</v>
      </c>
      <c r="F15" s="48">
        <f>AVERAGE('29.7.Mukwano-Jinja RD'!F15,'30.7.Mukwano-Jinja RD'!F15,'31.07.Mukwano RBT-JinjaRD'!F15,'01.08. Mukwano RBT-Jinja RD 24h'!F15,'02.08.Jinja-Mukwano'!F15,'03.8.Mukwano-Jinja RD 24h'!F15,'04.08.Mukwano-Jinja'!F15)</f>
        <v>12</v>
      </c>
      <c r="G15" s="48">
        <f>AVERAGE('29.7.Mukwano-Jinja RD'!G15,'30.7.Mukwano-Jinja RD'!G15,'31.07.Mukwano RBT-JinjaRD'!G15,'01.08. Mukwano RBT-Jinja RD 24h'!G15,'02.08.Jinja-Mukwano'!G15,'03.8.Mukwano-Jinja RD 24h'!G15,'04.08.Mukwano-Jinja'!G15)</f>
        <v>0.5714285714285714</v>
      </c>
      <c r="H15" s="48">
        <f>AVERAGE('29.7.Mukwano-Jinja RD'!H15,'30.7.Mukwano-Jinja RD'!H15,'31.07.Mukwano RBT-JinjaRD'!H15,'01.08. Mukwano RBT-Jinja RD 24h'!H15,'02.08.Jinja-Mukwano'!H15,'03.8.Mukwano-Jinja RD 24h'!H15,'04.08.Mukwano-Jinja'!H15)</f>
        <v>0.5714285714285714</v>
      </c>
      <c r="I15" s="48">
        <f>AVERAGE('29.7.Mukwano-Jinja RD'!I15,'30.7.Mukwano-Jinja RD'!I15,'31.07.Mukwano RBT-JinjaRD'!I15,'01.08. Mukwano RBT-Jinja RD 24h'!I15,'02.08.Jinja-Mukwano'!I15,'03.8.Mukwano-Jinja RD 24h'!I15,'04.08.Mukwano-Jinja'!I15)</f>
        <v>4.7142857142857144</v>
      </c>
      <c r="J15" s="48">
        <f>AVERAGE('29.7.Mukwano-Jinja RD'!J15,'30.7.Mukwano-Jinja RD'!J15,'31.07.Mukwano RBT-JinjaRD'!J15,'01.08. Mukwano RBT-Jinja RD 24h'!J15,'02.08.Jinja-Mukwano'!J15,'03.8.Mukwano-Jinja RD 24h'!J15,'04.08.Mukwano-Jinja'!J15)</f>
        <v>3.1428571428571428</v>
      </c>
      <c r="K15" s="48">
        <f>AVERAGE('29.7.Mukwano-Jinja RD'!K15,'30.7.Mukwano-Jinja RD'!K15,'31.07.Mukwano RBT-JinjaRD'!K15,'01.08. Mukwano RBT-Jinja RD 24h'!K15,'02.08.Jinja-Mukwano'!K15,'03.8.Mukwano-Jinja RD 24h'!K15,'04.08.Mukwano-Jinja'!K15)</f>
        <v>1.2857142857142858</v>
      </c>
      <c r="L15" s="48">
        <f>AVERAGE('29.7.Mukwano-Jinja RD'!L15,'30.7.Mukwano-Jinja RD'!L15,'31.07.Mukwano RBT-JinjaRD'!L15,'01.08. Mukwano RBT-Jinja RD 24h'!L15,'02.08.Jinja-Mukwano'!L15,'03.8.Mukwano-Jinja RD 24h'!L15,'04.08.Mukwano-Jinja'!L15)</f>
        <v>2.2857142857142856</v>
      </c>
      <c r="M15" s="48">
        <f>AVERAGE('29.7.Mukwano-Jinja RD'!M15,'30.7.Mukwano-Jinja RD'!M15,'31.07.Mukwano RBT-JinjaRD'!M15,'01.08. Mukwano RBT-Jinja RD 24h'!M15,'02.08.Jinja-Mukwano'!M15,'03.8.Mukwano-Jinja RD 24h'!M15,'04.08.Mukwano-Jinja'!M15)</f>
        <v>329.85714285714283</v>
      </c>
      <c r="N15" s="48">
        <f>AVERAGE('29.7.Mukwano-Jinja RD'!N15,'30.7.Mukwano-Jinja RD'!N15,'31.07.Mukwano RBT-JinjaRD'!N15,'01.08. Mukwano RBT-Jinja RD 24h'!N15,'02.08.Jinja-Mukwano'!N15,'03.8.Mukwano-Jinja RD 24h'!N15,'04.08.Mukwano-Jinja'!N15)</f>
        <v>0</v>
      </c>
      <c r="O15" s="15">
        <f t="shared" si="0"/>
        <v>223.85714285714289</v>
      </c>
      <c r="P15" s="15">
        <f t="shared" si="1"/>
        <v>553.71428571428578</v>
      </c>
      <c r="R15" s="1" t="s">
        <v>11</v>
      </c>
      <c r="S15" s="17">
        <f t="shared" ref="S15:AF15" si="7">SUM(C30:C33)</f>
        <v>616.14285714285722</v>
      </c>
      <c r="T15" s="17">
        <f t="shared" si="7"/>
        <v>130.71428571428572</v>
      </c>
      <c r="U15" s="17">
        <f t="shared" si="7"/>
        <v>65.571428571428569</v>
      </c>
      <c r="V15" s="17">
        <f t="shared" si="7"/>
        <v>38</v>
      </c>
      <c r="W15" s="17">
        <f t="shared" si="7"/>
        <v>2.2857142857142856</v>
      </c>
      <c r="X15" s="17">
        <f t="shared" si="7"/>
        <v>0.8571428571428571</v>
      </c>
      <c r="Y15" s="17">
        <f t="shared" si="7"/>
        <v>29.571428571428573</v>
      </c>
      <c r="Z15" s="17">
        <f t="shared" si="7"/>
        <v>18.428571428571431</v>
      </c>
      <c r="AA15" s="17">
        <f t="shared" si="7"/>
        <v>4.5714285714285712</v>
      </c>
      <c r="AB15" s="17">
        <f t="shared" si="7"/>
        <v>8.8571428571428577</v>
      </c>
      <c r="AC15" s="17">
        <f t="shared" si="7"/>
        <v>1570.5714285714287</v>
      </c>
      <c r="AD15" s="17">
        <f t="shared" si="7"/>
        <v>0.2857142857142857</v>
      </c>
      <c r="AE15" s="30">
        <f t="shared" si="7"/>
        <v>915.28571428571433</v>
      </c>
      <c r="AF15" s="30">
        <f t="shared" si="7"/>
        <v>2485.8571428571427</v>
      </c>
    </row>
    <row r="16" spans="2:32" ht="23.1" customHeight="1" x14ac:dyDescent="0.25">
      <c r="B16" s="22" t="s">
        <v>43</v>
      </c>
      <c r="C16" s="48">
        <f>AVERAGE('29.7.Mukwano-Jinja RD'!C16,'30.7.Mukwano-Jinja RD'!C16,'31.07.Mukwano RBT-JinjaRD'!C16,'01.08. Mukwano RBT-Jinja RD 24h'!C16,'02.08.Jinja-Mukwano'!C16,'03.8.Mukwano-Jinja RD 24h'!C16,'04.08.Mukwano-Jinja'!C16)</f>
        <v>159.85714285714286</v>
      </c>
      <c r="D16" s="48">
        <f>AVERAGE('29.7.Mukwano-Jinja RD'!D16,'30.7.Mukwano-Jinja RD'!D16,'31.07.Mukwano RBT-JinjaRD'!D16,'01.08. Mukwano RBT-Jinja RD 24h'!D16,'02.08.Jinja-Mukwano'!D16,'03.8.Mukwano-Jinja RD 24h'!D16,'04.08.Mukwano-Jinja'!D16)</f>
        <v>34.285714285714285</v>
      </c>
      <c r="E16" s="48">
        <f>AVERAGE('29.7.Mukwano-Jinja RD'!E16,'30.7.Mukwano-Jinja RD'!E16,'31.07.Mukwano RBT-JinjaRD'!E16,'01.08. Mukwano RBT-Jinja RD 24h'!E16,'02.08.Jinja-Mukwano'!E16,'03.8.Mukwano-Jinja RD 24h'!E16,'04.08.Mukwano-Jinja'!E16)</f>
        <v>15.285714285714286</v>
      </c>
      <c r="F16" s="48">
        <f>AVERAGE('29.7.Mukwano-Jinja RD'!F16,'30.7.Mukwano-Jinja RD'!F16,'31.07.Mukwano RBT-JinjaRD'!F16,'01.08. Mukwano RBT-Jinja RD 24h'!F16,'02.08.Jinja-Mukwano'!F16,'03.8.Mukwano-Jinja RD 24h'!F16,'04.08.Mukwano-Jinja'!F16)</f>
        <v>12</v>
      </c>
      <c r="G16" s="48">
        <f>AVERAGE('29.7.Mukwano-Jinja RD'!G16,'30.7.Mukwano-Jinja RD'!G16,'31.07.Mukwano RBT-JinjaRD'!G16,'01.08. Mukwano RBT-Jinja RD 24h'!G16,'02.08.Jinja-Mukwano'!G16,'03.8.Mukwano-Jinja RD 24h'!G16,'04.08.Mukwano-Jinja'!G16)</f>
        <v>0.14285714285714285</v>
      </c>
      <c r="H16" s="48">
        <f>AVERAGE('29.7.Mukwano-Jinja RD'!H16,'30.7.Mukwano-Jinja RD'!H16,'31.07.Mukwano RBT-JinjaRD'!H16,'01.08. Mukwano RBT-Jinja RD 24h'!H16,'02.08.Jinja-Mukwano'!H16,'03.8.Mukwano-Jinja RD 24h'!H16,'04.08.Mukwano-Jinja'!H16)</f>
        <v>0</v>
      </c>
      <c r="I16" s="48">
        <f>AVERAGE('29.7.Mukwano-Jinja RD'!I16,'30.7.Mukwano-Jinja RD'!I16,'31.07.Mukwano RBT-JinjaRD'!I16,'01.08. Mukwano RBT-Jinja RD 24h'!I16,'02.08.Jinja-Mukwano'!I16,'03.8.Mukwano-Jinja RD 24h'!I16,'04.08.Mukwano-Jinja'!I16)</f>
        <v>5</v>
      </c>
      <c r="J16" s="48">
        <f>AVERAGE('29.7.Mukwano-Jinja RD'!J16,'30.7.Mukwano-Jinja RD'!J16,'31.07.Mukwano RBT-JinjaRD'!J16,'01.08. Mukwano RBT-Jinja RD 24h'!J16,'02.08.Jinja-Mukwano'!J16,'03.8.Mukwano-Jinja RD 24h'!J16,'04.08.Mukwano-Jinja'!J16)</f>
        <v>2.7142857142857144</v>
      </c>
      <c r="K16" s="48">
        <f>AVERAGE('29.7.Mukwano-Jinja RD'!K16,'30.7.Mukwano-Jinja RD'!K16,'31.07.Mukwano RBT-JinjaRD'!K16,'01.08. Mukwano RBT-Jinja RD 24h'!K16,'02.08.Jinja-Mukwano'!K16,'03.8.Mukwano-Jinja RD 24h'!K16,'04.08.Mukwano-Jinja'!K16)</f>
        <v>0.5714285714285714</v>
      </c>
      <c r="L16" s="48">
        <f>AVERAGE('29.7.Mukwano-Jinja RD'!L16,'30.7.Mukwano-Jinja RD'!L16,'31.07.Mukwano RBT-JinjaRD'!L16,'01.08. Mukwano RBT-Jinja RD 24h'!L16,'02.08.Jinja-Mukwano'!L16,'03.8.Mukwano-Jinja RD 24h'!L16,'04.08.Mukwano-Jinja'!L16)</f>
        <v>1.4285714285714286</v>
      </c>
      <c r="M16" s="48">
        <f>AVERAGE('29.7.Mukwano-Jinja RD'!M16,'30.7.Mukwano-Jinja RD'!M16,'31.07.Mukwano RBT-JinjaRD'!M16,'01.08. Mukwano RBT-Jinja RD 24h'!M16,'02.08.Jinja-Mukwano'!M16,'03.8.Mukwano-Jinja RD 24h'!M16,'04.08.Mukwano-Jinja'!M16)</f>
        <v>377.85714285714283</v>
      </c>
      <c r="N16" s="48">
        <f>AVERAGE('29.7.Mukwano-Jinja RD'!N16,'30.7.Mukwano-Jinja RD'!N16,'31.07.Mukwano RBT-JinjaRD'!N16,'01.08. Mukwano RBT-Jinja RD 24h'!N16,'02.08.Jinja-Mukwano'!N16,'03.8.Mukwano-Jinja RD 24h'!N16,'04.08.Mukwano-Jinja'!N16)</f>
        <v>0</v>
      </c>
      <c r="O16" s="15">
        <f t="shared" si="0"/>
        <v>231.28571428571428</v>
      </c>
      <c r="P16" s="15">
        <f t="shared" si="1"/>
        <v>609.14285714285711</v>
      </c>
      <c r="R16" s="1" t="s">
        <v>12</v>
      </c>
      <c r="S16" s="17">
        <f t="shared" ref="S16:AF16" si="8">SUM(C34:C37)</f>
        <v>511.42857142857144</v>
      </c>
      <c r="T16" s="17">
        <f t="shared" si="8"/>
        <v>115.71428571428572</v>
      </c>
      <c r="U16" s="17">
        <f t="shared" si="8"/>
        <v>55.857142857142861</v>
      </c>
      <c r="V16" s="17">
        <f t="shared" si="8"/>
        <v>32.857142857142854</v>
      </c>
      <c r="W16" s="17">
        <f t="shared" si="8"/>
        <v>4.4285714285714288</v>
      </c>
      <c r="X16" s="17">
        <f t="shared" si="8"/>
        <v>1</v>
      </c>
      <c r="Y16" s="17">
        <f t="shared" si="8"/>
        <v>23.714285714285712</v>
      </c>
      <c r="Z16" s="17">
        <f t="shared" si="8"/>
        <v>11.857142857142858</v>
      </c>
      <c r="AA16" s="17">
        <f t="shared" si="8"/>
        <v>6.5714285714285712</v>
      </c>
      <c r="AB16" s="17">
        <f t="shared" si="8"/>
        <v>12.571428571428569</v>
      </c>
      <c r="AC16" s="17">
        <f t="shared" si="8"/>
        <v>1352.4285714285716</v>
      </c>
      <c r="AD16" s="17">
        <f t="shared" si="8"/>
        <v>0.14285714285714285</v>
      </c>
      <c r="AE16" s="30">
        <f t="shared" si="8"/>
        <v>776.14285714285711</v>
      </c>
      <c r="AF16" s="30">
        <f t="shared" si="8"/>
        <v>2128.5714285714284</v>
      </c>
    </row>
    <row r="17" spans="2:32" ht="23.1" customHeight="1" x14ac:dyDescent="0.25">
      <c r="B17" s="22" t="s">
        <v>44</v>
      </c>
      <c r="C17" s="48">
        <f>AVERAGE('29.7.Mukwano-Jinja RD'!C17,'30.7.Mukwano-Jinja RD'!C17,'31.07.Mukwano RBT-JinjaRD'!C17,'01.08. Mukwano RBT-Jinja RD 24h'!C17,'02.08.Jinja-Mukwano'!C17,'03.8.Mukwano-Jinja RD 24h'!C17,'04.08.Mukwano-Jinja'!C17)</f>
        <v>167.42857142857142</v>
      </c>
      <c r="D17" s="48">
        <f>AVERAGE('29.7.Mukwano-Jinja RD'!D17,'30.7.Mukwano-Jinja RD'!D17,'31.07.Mukwano RBT-JinjaRD'!D17,'01.08. Mukwano RBT-Jinja RD 24h'!D17,'02.08.Jinja-Mukwano'!D17,'03.8.Mukwano-Jinja RD 24h'!D17,'04.08.Mukwano-Jinja'!D17)</f>
        <v>39.142857142857146</v>
      </c>
      <c r="E17" s="48">
        <f>AVERAGE('29.7.Mukwano-Jinja RD'!E17,'30.7.Mukwano-Jinja RD'!E17,'31.07.Mukwano RBT-JinjaRD'!E17,'01.08. Mukwano RBT-Jinja RD 24h'!E17,'02.08.Jinja-Mukwano'!E17,'03.8.Mukwano-Jinja RD 24h'!E17,'04.08.Mukwano-Jinja'!E17)</f>
        <v>13</v>
      </c>
      <c r="F17" s="48">
        <f>AVERAGE('29.7.Mukwano-Jinja RD'!F17,'30.7.Mukwano-Jinja RD'!F17,'31.07.Mukwano RBT-JinjaRD'!F17,'01.08. Mukwano RBT-Jinja RD 24h'!F17,'02.08.Jinja-Mukwano'!F17,'03.8.Mukwano-Jinja RD 24h'!F17,'04.08.Mukwano-Jinja'!F17)</f>
        <v>12</v>
      </c>
      <c r="G17" s="48">
        <f>AVERAGE('29.7.Mukwano-Jinja RD'!G17,'30.7.Mukwano-Jinja RD'!G17,'31.07.Mukwano RBT-JinjaRD'!G17,'01.08. Mukwano RBT-Jinja RD 24h'!G17,'02.08.Jinja-Mukwano'!G17,'03.8.Mukwano-Jinja RD 24h'!G17,'04.08.Mukwano-Jinja'!G17)</f>
        <v>0.42857142857142855</v>
      </c>
      <c r="H17" s="48">
        <f>AVERAGE('29.7.Mukwano-Jinja RD'!H17,'30.7.Mukwano-Jinja RD'!H17,'31.07.Mukwano RBT-JinjaRD'!H17,'01.08. Mukwano RBT-Jinja RD 24h'!H17,'02.08.Jinja-Mukwano'!H17,'03.8.Mukwano-Jinja RD 24h'!H17,'04.08.Mukwano-Jinja'!H17)</f>
        <v>0</v>
      </c>
      <c r="I17" s="48">
        <f>AVERAGE('29.7.Mukwano-Jinja RD'!I17,'30.7.Mukwano-Jinja RD'!I17,'31.07.Mukwano RBT-JinjaRD'!I17,'01.08. Mukwano RBT-Jinja RD 24h'!I17,'02.08.Jinja-Mukwano'!I17,'03.8.Mukwano-Jinja RD 24h'!I17,'04.08.Mukwano-Jinja'!I17)</f>
        <v>6.1428571428571432</v>
      </c>
      <c r="J17" s="48">
        <f>AVERAGE('29.7.Mukwano-Jinja RD'!J17,'30.7.Mukwano-Jinja RD'!J17,'31.07.Mukwano RBT-JinjaRD'!J17,'01.08. Mukwano RBT-Jinja RD 24h'!J17,'02.08.Jinja-Mukwano'!J17,'03.8.Mukwano-Jinja RD 24h'!J17,'04.08.Mukwano-Jinja'!J17)</f>
        <v>2.8571428571428572</v>
      </c>
      <c r="K17" s="48">
        <f>AVERAGE('29.7.Mukwano-Jinja RD'!K17,'30.7.Mukwano-Jinja RD'!K17,'31.07.Mukwano RBT-JinjaRD'!K17,'01.08. Mukwano RBT-Jinja RD 24h'!K17,'02.08.Jinja-Mukwano'!K17,'03.8.Mukwano-Jinja RD 24h'!K17,'04.08.Mukwano-Jinja'!K17)</f>
        <v>1.2857142857142858</v>
      </c>
      <c r="L17" s="48">
        <f>AVERAGE('29.7.Mukwano-Jinja RD'!L17,'30.7.Mukwano-Jinja RD'!L17,'31.07.Mukwano RBT-JinjaRD'!L17,'01.08. Mukwano RBT-Jinja RD 24h'!L17,'02.08.Jinja-Mukwano'!L17,'03.8.Mukwano-Jinja RD 24h'!L17,'04.08.Mukwano-Jinja'!L17)</f>
        <v>1.2857142857142858</v>
      </c>
      <c r="M17" s="48">
        <f>AVERAGE('29.7.Mukwano-Jinja RD'!M17,'30.7.Mukwano-Jinja RD'!M17,'31.07.Mukwano RBT-JinjaRD'!M17,'01.08. Mukwano RBT-Jinja RD 24h'!M17,'02.08.Jinja-Mukwano'!M17,'03.8.Mukwano-Jinja RD 24h'!M17,'04.08.Mukwano-Jinja'!M17)</f>
        <v>384.57142857142856</v>
      </c>
      <c r="N17" s="48">
        <f>AVERAGE('29.7.Mukwano-Jinja RD'!N17,'30.7.Mukwano-Jinja RD'!N17,'31.07.Mukwano RBT-JinjaRD'!N17,'01.08. Mukwano RBT-Jinja RD 24h'!N17,'02.08.Jinja-Mukwano'!N17,'03.8.Mukwano-Jinja RD 24h'!N17,'04.08.Mukwano-Jinja'!N17)</f>
        <v>0</v>
      </c>
      <c r="O17" s="15">
        <f t="shared" si="0"/>
        <v>243.57142857142853</v>
      </c>
      <c r="P17" s="15">
        <f t="shared" si="1"/>
        <v>628.14285714285711</v>
      </c>
      <c r="R17" s="1" t="s">
        <v>13</v>
      </c>
      <c r="S17" s="17">
        <f t="shared" ref="S17:AF17" si="9">SUM(C38:C41)</f>
        <v>501</v>
      </c>
      <c r="T17" s="17">
        <f t="shared" si="9"/>
        <v>91.285714285714278</v>
      </c>
      <c r="U17" s="17">
        <f t="shared" si="9"/>
        <v>58.714285714285722</v>
      </c>
      <c r="V17" s="17">
        <f t="shared" si="9"/>
        <v>34</v>
      </c>
      <c r="W17" s="17">
        <f t="shared" si="9"/>
        <v>1.4285714285714284</v>
      </c>
      <c r="X17" s="17">
        <f t="shared" si="9"/>
        <v>0.71428571428571419</v>
      </c>
      <c r="Y17" s="17">
        <f t="shared" si="9"/>
        <v>29.714285714285712</v>
      </c>
      <c r="Z17" s="17">
        <f t="shared" si="9"/>
        <v>14.571428571428573</v>
      </c>
      <c r="AA17" s="17">
        <f t="shared" si="9"/>
        <v>4.8571428571428568</v>
      </c>
      <c r="AB17" s="17">
        <f t="shared" si="9"/>
        <v>10.714285714285714</v>
      </c>
      <c r="AC17" s="17">
        <f t="shared" si="9"/>
        <v>1337.7142857142858</v>
      </c>
      <c r="AD17" s="17">
        <f t="shared" si="9"/>
        <v>0</v>
      </c>
      <c r="AE17" s="30">
        <f t="shared" si="9"/>
        <v>747</v>
      </c>
      <c r="AF17" s="30">
        <f t="shared" si="9"/>
        <v>2084.7142857142858</v>
      </c>
    </row>
    <row r="18" spans="2:32" ht="23.1" customHeight="1" x14ac:dyDescent="0.25">
      <c r="B18" s="22" t="s">
        <v>45</v>
      </c>
      <c r="C18" s="48">
        <f>AVERAGE('29.7.Mukwano-Jinja RD'!C18,'30.7.Mukwano-Jinja RD'!C18,'31.07.Mukwano RBT-JinjaRD'!C18,'01.08. Mukwano RBT-Jinja RD 24h'!C18,'02.08.Jinja-Mukwano'!C18,'03.8.Mukwano-Jinja RD 24h'!C18,'04.08.Mukwano-Jinja'!C18)</f>
        <v>204</v>
      </c>
      <c r="D18" s="48">
        <f>AVERAGE('29.7.Mukwano-Jinja RD'!D18,'30.7.Mukwano-Jinja RD'!D18,'31.07.Mukwano RBT-JinjaRD'!D18,'01.08. Mukwano RBT-Jinja RD 24h'!D18,'02.08.Jinja-Mukwano'!D18,'03.8.Mukwano-Jinja RD 24h'!D18,'04.08.Mukwano-Jinja'!D18)</f>
        <v>43.142857142857146</v>
      </c>
      <c r="E18" s="48">
        <f>AVERAGE('29.7.Mukwano-Jinja RD'!E18,'30.7.Mukwano-Jinja RD'!E18,'31.07.Mukwano RBT-JinjaRD'!E18,'01.08. Mukwano RBT-Jinja RD 24h'!E18,'02.08.Jinja-Mukwano'!E18,'03.8.Mukwano-Jinja RD 24h'!E18,'04.08.Mukwano-Jinja'!E18)</f>
        <v>16.571428571428573</v>
      </c>
      <c r="F18" s="48">
        <f>AVERAGE('29.7.Mukwano-Jinja RD'!F18,'30.7.Mukwano-Jinja RD'!F18,'31.07.Mukwano RBT-JinjaRD'!F18,'01.08. Mukwano RBT-Jinja RD 24h'!F18,'02.08.Jinja-Mukwano'!F18,'03.8.Mukwano-Jinja RD 24h'!F18,'04.08.Mukwano-Jinja'!F18)</f>
        <v>12.428571428571429</v>
      </c>
      <c r="G18" s="48">
        <f>AVERAGE('29.7.Mukwano-Jinja RD'!G18,'30.7.Mukwano-Jinja RD'!G18,'31.07.Mukwano RBT-JinjaRD'!G18,'01.08. Mukwano RBT-Jinja RD 24h'!G18,'02.08.Jinja-Mukwano'!G18,'03.8.Mukwano-Jinja RD 24h'!G18,'04.08.Mukwano-Jinja'!G18)</f>
        <v>0.5714285714285714</v>
      </c>
      <c r="H18" s="48">
        <f>AVERAGE('29.7.Mukwano-Jinja RD'!H18,'30.7.Mukwano-Jinja RD'!H18,'31.07.Mukwano RBT-JinjaRD'!H18,'01.08. Mukwano RBT-Jinja RD 24h'!H18,'02.08.Jinja-Mukwano'!H18,'03.8.Mukwano-Jinja RD 24h'!H18,'04.08.Mukwano-Jinja'!H18)</f>
        <v>0</v>
      </c>
      <c r="I18" s="48">
        <f>AVERAGE('29.7.Mukwano-Jinja RD'!I18,'30.7.Mukwano-Jinja RD'!I18,'31.07.Mukwano RBT-JinjaRD'!I18,'01.08. Mukwano RBT-Jinja RD 24h'!I18,'02.08.Jinja-Mukwano'!I18,'03.8.Mukwano-Jinja RD 24h'!I18,'04.08.Mukwano-Jinja'!I18)</f>
        <v>6.7142857142857144</v>
      </c>
      <c r="J18" s="48">
        <f>AVERAGE('29.7.Mukwano-Jinja RD'!J18,'30.7.Mukwano-Jinja RD'!J18,'31.07.Mukwano RBT-JinjaRD'!J18,'01.08. Mukwano RBT-Jinja RD 24h'!J18,'02.08.Jinja-Mukwano'!J18,'03.8.Mukwano-Jinja RD 24h'!J18,'04.08.Mukwano-Jinja'!J18)</f>
        <v>3.2857142857142856</v>
      </c>
      <c r="K18" s="48">
        <f>AVERAGE('29.7.Mukwano-Jinja RD'!K18,'30.7.Mukwano-Jinja RD'!K18,'31.07.Mukwano RBT-JinjaRD'!K18,'01.08. Mukwano RBT-Jinja RD 24h'!K18,'02.08.Jinja-Mukwano'!K18,'03.8.Mukwano-Jinja RD 24h'!K18,'04.08.Mukwano-Jinja'!K18)</f>
        <v>2.5714285714285716</v>
      </c>
      <c r="L18" s="48">
        <f>AVERAGE('29.7.Mukwano-Jinja RD'!L18,'30.7.Mukwano-Jinja RD'!L18,'31.07.Mukwano RBT-JinjaRD'!L18,'01.08. Mukwano RBT-Jinja RD 24h'!L18,'02.08.Jinja-Mukwano'!L18,'03.8.Mukwano-Jinja RD 24h'!L18,'04.08.Mukwano-Jinja'!L18)</f>
        <v>1.8571428571428572</v>
      </c>
      <c r="M18" s="48">
        <f>AVERAGE('29.7.Mukwano-Jinja RD'!M18,'30.7.Mukwano-Jinja RD'!M18,'31.07.Mukwano RBT-JinjaRD'!M18,'01.08. Mukwano RBT-Jinja RD 24h'!M18,'02.08.Jinja-Mukwano'!M18,'03.8.Mukwano-Jinja RD 24h'!M18,'04.08.Mukwano-Jinja'!M18)</f>
        <v>477.85714285714283</v>
      </c>
      <c r="N18" s="48">
        <f>AVERAGE('29.7.Mukwano-Jinja RD'!N18,'30.7.Mukwano-Jinja RD'!N18,'31.07.Mukwano RBT-JinjaRD'!N18,'01.08. Mukwano RBT-Jinja RD 24h'!N18,'02.08.Jinja-Mukwano'!N18,'03.8.Mukwano-Jinja RD 24h'!N18,'04.08.Mukwano-Jinja'!N18)</f>
        <v>0.2857142857142857</v>
      </c>
      <c r="O18" s="15">
        <f t="shared" si="0"/>
        <v>291.42857142857139</v>
      </c>
      <c r="P18" s="15">
        <f t="shared" si="1"/>
        <v>769.28571428571433</v>
      </c>
      <c r="R18" s="1" t="s">
        <v>14</v>
      </c>
      <c r="S18" s="17">
        <f t="shared" ref="S18:AF18" si="10">SUM(C42:C45)</f>
        <v>500.57142857142856</v>
      </c>
      <c r="T18" s="17">
        <f t="shared" si="10"/>
        <v>101.57142857142857</v>
      </c>
      <c r="U18" s="17">
        <f t="shared" si="10"/>
        <v>66.857142857142861</v>
      </c>
      <c r="V18" s="17">
        <f t="shared" si="10"/>
        <v>34</v>
      </c>
      <c r="W18" s="17">
        <f t="shared" si="10"/>
        <v>1.4285714285714284</v>
      </c>
      <c r="X18" s="17">
        <f t="shared" si="10"/>
        <v>0.5714285714285714</v>
      </c>
      <c r="Y18" s="17">
        <f t="shared" si="10"/>
        <v>22</v>
      </c>
      <c r="Z18" s="17">
        <f t="shared" si="10"/>
        <v>18.714285714285712</v>
      </c>
      <c r="AA18" s="17">
        <f t="shared" si="10"/>
        <v>5.7142857142857144</v>
      </c>
      <c r="AB18" s="17">
        <f t="shared" si="10"/>
        <v>9.7142857142857153</v>
      </c>
      <c r="AC18" s="17">
        <f t="shared" si="10"/>
        <v>1350.4285714285716</v>
      </c>
      <c r="AD18" s="17">
        <f t="shared" si="10"/>
        <v>0.14285714285714285</v>
      </c>
      <c r="AE18" s="30">
        <f t="shared" si="10"/>
        <v>761.28571428571422</v>
      </c>
      <c r="AF18" s="30">
        <f t="shared" si="10"/>
        <v>2111.7142857142853</v>
      </c>
    </row>
    <row r="19" spans="2:32" ht="23.1" customHeight="1" x14ac:dyDescent="0.25">
      <c r="B19" s="22" t="s">
        <v>46</v>
      </c>
      <c r="C19" s="48">
        <f>AVERAGE('29.7.Mukwano-Jinja RD'!C19,'30.7.Mukwano-Jinja RD'!C19,'31.07.Mukwano RBT-JinjaRD'!C19,'01.08. Mukwano RBT-Jinja RD 24h'!C19,'02.08.Jinja-Mukwano'!C19,'03.8.Mukwano-Jinja RD 24h'!C19,'04.08.Mukwano-Jinja'!C19)</f>
        <v>191.42857142857142</v>
      </c>
      <c r="D19" s="48">
        <f>AVERAGE('29.7.Mukwano-Jinja RD'!D19,'30.7.Mukwano-Jinja RD'!D19,'31.07.Mukwano RBT-JinjaRD'!D19,'01.08. Mukwano RBT-Jinja RD 24h'!D19,'02.08.Jinja-Mukwano'!D19,'03.8.Mukwano-Jinja RD 24h'!D19,'04.08.Mukwano-Jinja'!D19)</f>
        <v>44.714285714285715</v>
      </c>
      <c r="E19" s="48">
        <f>AVERAGE('29.7.Mukwano-Jinja RD'!E19,'30.7.Mukwano-Jinja RD'!E19,'31.07.Mukwano RBT-JinjaRD'!E19,'01.08. Mukwano RBT-Jinja RD 24h'!E19,'02.08.Jinja-Mukwano'!E19,'03.8.Mukwano-Jinja RD 24h'!E19,'04.08.Mukwano-Jinja'!E19)</f>
        <v>17.285714285714285</v>
      </c>
      <c r="F19" s="48">
        <f>AVERAGE('29.7.Mukwano-Jinja RD'!F19,'30.7.Mukwano-Jinja RD'!F19,'31.07.Mukwano RBT-JinjaRD'!F19,'01.08. Mukwano RBT-Jinja RD 24h'!F19,'02.08.Jinja-Mukwano'!F19,'03.8.Mukwano-Jinja RD 24h'!F19,'04.08.Mukwano-Jinja'!F19)</f>
        <v>10.857142857142858</v>
      </c>
      <c r="G19" s="48">
        <f>AVERAGE('29.7.Mukwano-Jinja RD'!G19,'30.7.Mukwano-Jinja RD'!G19,'31.07.Mukwano RBT-JinjaRD'!G19,'01.08. Mukwano RBT-Jinja RD 24h'!G19,'02.08.Jinja-Mukwano'!G19,'03.8.Mukwano-Jinja RD 24h'!G19,'04.08.Mukwano-Jinja'!G19)</f>
        <v>1</v>
      </c>
      <c r="H19" s="48">
        <f>AVERAGE('29.7.Mukwano-Jinja RD'!H19,'30.7.Mukwano-Jinja RD'!H19,'31.07.Mukwano RBT-JinjaRD'!H19,'01.08. Mukwano RBT-Jinja RD 24h'!H19,'02.08.Jinja-Mukwano'!H19,'03.8.Mukwano-Jinja RD 24h'!H19,'04.08.Mukwano-Jinja'!H19)</f>
        <v>0</v>
      </c>
      <c r="I19" s="48">
        <f>AVERAGE('29.7.Mukwano-Jinja RD'!I19,'30.7.Mukwano-Jinja RD'!I19,'31.07.Mukwano RBT-JinjaRD'!I19,'01.08. Mukwano RBT-Jinja RD 24h'!I19,'02.08.Jinja-Mukwano'!I19,'03.8.Mukwano-Jinja RD 24h'!I19,'04.08.Mukwano-Jinja'!I19)</f>
        <v>7.4285714285714288</v>
      </c>
      <c r="J19" s="48">
        <f>AVERAGE('29.7.Mukwano-Jinja RD'!J19,'30.7.Mukwano-Jinja RD'!J19,'31.07.Mukwano RBT-JinjaRD'!J19,'01.08. Mukwano RBT-Jinja RD 24h'!J19,'02.08.Jinja-Mukwano'!J19,'03.8.Mukwano-Jinja RD 24h'!J19,'04.08.Mukwano-Jinja'!J19)</f>
        <v>3.1428571428571428</v>
      </c>
      <c r="K19" s="48">
        <f>AVERAGE('29.7.Mukwano-Jinja RD'!K19,'30.7.Mukwano-Jinja RD'!K19,'31.07.Mukwano RBT-JinjaRD'!K19,'01.08. Mukwano RBT-Jinja RD 24h'!K19,'02.08.Jinja-Mukwano'!K19,'03.8.Mukwano-Jinja RD 24h'!K19,'04.08.Mukwano-Jinja'!K19)</f>
        <v>1.1428571428571428</v>
      </c>
      <c r="L19" s="48">
        <f>AVERAGE('29.7.Mukwano-Jinja RD'!L19,'30.7.Mukwano-Jinja RD'!L19,'31.07.Mukwano RBT-JinjaRD'!L19,'01.08. Mukwano RBT-Jinja RD 24h'!L19,'02.08.Jinja-Mukwano'!L19,'03.8.Mukwano-Jinja RD 24h'!L19,'04.08.Mukwano-Jinja'!L19)</f>
        <v>0.5714285714285714</v>
      </c>
      <c r="M19" s="48">
        <f>AVERAGE('29.7.Mukwano-Jinja RD'!M19,'30.7.Mukwano-Jinja RD'!M19,'31.07.Mukwano RBT-JinjaRD'!M19,'01.08. Mukwano RBT-Jinja RD 24h'!M19,'02.08.Jinja-Mukwano'!M19,'03.8.Mukwano-Jinja RD 24h'!M19,'04.08.Mukwano-Jinja'!M19)</f>
        <v>437.85714285714283</v>
      </c>
      <c r="N19" s="48">
        <f>AVERAGE('29.7.Mukwano-Jinja RD'!N19,'30.7.Mukwano-Jinja RD'!N19,'31.07.Mukwano RBT-JinjaRD'!N19,'01.08. Mukwano RBT-Jinja RD 24h'!N19,'02.08.Jinja-Mukwano'!N19,'03.8.Mukwano-Jinja RD 24h'!N19,'04.08.Mukwano-Jinja'!N19)</f>
        <v>0</v>
      </c>
      <c r="O19" s="15">
        <f t="shared" si="0"/>
        <v>277.57142857142861</v>
      </c>
      <c r="P19" s="15">
        <f t="shared" si="1"/>
        <v>715.42857142857144</v>
      </c>
      <c r="R19" s="1" t="s">
        <v>15</v>
      </c>
      <c r="S19" s="17">
        <f t="shared" ref="S19:AF19" si="11">SUM(C46:C49)</f>
        <v>478.85714285714283</v>
      </c>
      <c r="T19" s="17">
        <f t="shared" si="11"/>
        <v>99</v>
      </c>
      <c r="U19" s="17">
        <f t="shared" si="11"/>
        <v>67.714285714285722</v>
      </c>
      <c r="V19" s="17">
        <f t="shared" si="11"/>
        <v>35.857142857142854</v>
      </c>
      <c r="W19" s="17">
        <f t="shared" si="11"/>
        <v>2</v>
      </c>
      <c r="X19" s="17">
        <f t="shared" si="11"/>
        <v>0.2857142857142857</v>
      </c>
      <c r="Y19" s="17">
        <f t="shared" si="11"/>
        <v>24.714285714285712</v>
      </c>
      <c r="Z19" s="17">
        <f t="shared" si="11"/>
        <v>18.714285714285715</v>
      </c>
      <c r="AA19" s="17">
        <f t="shared" si="11"/>
        <v>3.714285714285714</v>
      </c>
      <c r="AB19" s="17">
        <f t="shared" si="11"/>
        <v>11</v>
      </c>
      <c r="AC19" s="17">
        <f t="shared" si="11"/>
        <v>1240.5714285714287</v>
      </c>
      <c r="AD19" s="17">
        <f t="shared" si="11"/>
        <v>0.42857142857142855</v>
      </c>
      <c r="AE19" s="30">
        <f t="shared" si="11"/>
        <v>742.28571428571422</v>
      </c>
      <c r="AF19" s="30">
        <f t="shared" si="11"/>
        <v>1982.8571428571431</v>
      </c>
    </row>
    <row r="20" spans="2:32" ht="23.1" customHeight="1" x14ac:dyDescent="0.25">
      <c r="B20" s="22" t="s">
        <v>47</v>
      </c>
      <c r="C20" s="48">
        <f>AVERAGE('29.7.Mukwano-Jinja RD'!C20,'30.7.Mukwano-Jinja RD'!C20,'31.07.Mukwano RBT-JinjaRD'!C20,'01.08. Mukwano RBT-Jinja RD 24h'!C20,'02.08.Jinja-Mukwano'!C20,'03.8.Mukwano-Jinja RD 24h'!C20,'04.08.Mukwano-Jinja'!C20)</f>
        <v>159.85714285714286</v>
      </c>
      <c r="D20" s="48">
        <f>AVERAGE('29.7.Mukwano-Jinja RD'!D20,'30.7.Mukwano-Jinja RD'!D20,'31.07.Mukwano RBT-JinjaRD'!D20,'01.08. Mukwano RBT-Jinja RD 24h'!D20,'02.08.Jinja-Mukwano'!D20,'03.8.Mukwano-Jinja RD 24h'!D20,'04.08.Mukwano-Jinja'!D20)</f>
        <v>31.857142857142858</v>
      </c>
      <c r="E20" s="48">
        <f>AVERAGE('29.7.Mukwano-Jinja RD'!E20,'30.7.Mukwano-Jinja RD'!E20,'31.07.Mukwano RBT-JinjaRD'!E20,'01.08. Mukwano RBT-Jinja RD 24h'!E20,'02.08.Jinja-Mukwano'!E20,'03.8.Mukwano-Jinja RD 24h'!E20,'04.08.Mukwano-Jinja'!E20)</f>
        <v>17</v>
      </c>
      <c r="F20" s="48">
        <f>AVERAGE('29.7.Mukwano-Jinja RD'!F20,'30.7.Mukwano-Jinja RD'!F20,'31.07.Mukwano RBT-JinjaRD'!F20,'01.08. Mukwano RBT-Jinja RD 24h'!F20,'02.08.Jinja-Mukwano'!F20,'03.8.Mukwano-Jinja RD 24h'!F20,'04.08.Mukwano-Jinja'!F20)</f>
        <v>10</v>
      </c>
      <c r="G20" s="48">
        <f>AVERAGE('29.7.Mukwano-Jinja RD'!G20,'30.7.Mukwano-Jinja RD'!G20,'31.07.Mukwano RBT-JinjaRD'!G20,'01.08. Mukwano RBT-Jinja RD 24h'!G20,'02.08.Jinja-Mukwano'!G20,'03.8.Mukwano-Jinja RD 24h'!G20,'04.08.Mukwano-Jinja'!G20)</f>
        <v>1.2857142857142858</v>
      </c>
      <c r="H20" s="48">
        <f>AVERAGE('29.7.Mukwano-Jinja RD'!H20,'30.7.Mukwano-Jinja RD'!H20,'31.07.Mukwano RBT-JinjaRD'!H20,'01.08. Mukwano RBT-Jinja RD 24h'!H20,'02.08.Jinja-Mukwano'!H20,'03.8.Mukwano-Jinja RD 24h'!H20,'04.08.Mukwano-Jinja'!H20)</f>
        <v>0</v>
      </c>
      <c r="I20" s="48">
        <f>AVERAGE('29.7.Mukwano-Jinja RD'!I20,'30.7.Mukwano-Jinja RD'!I20,'31.07.Mukwano RBT-JinjaRD'!I20,'01.08. Mukwano RBT-Jinja RD 24h'!I20,'02.08.Jinja-Mukwano'!I20,'03.8.Mukwano-Jinja RD 24h'!I20,'04.08.Mukwano-Jinja'!I20)</f>
        <v>8.2857142857142865</v>
      </c>
      <c r="J20" s="48">
        <f>AVERAGE('29.7.Mukwano-Jinja RD'!J20,'30.7.Mukwano-Jinja RD'!J20,'31.07.Mukwano RBT-JinjaRD'!J20,'01.08. Mukwano RBT-Jinja RD 24h'!J20,'02.08.Jinja-Mukwano'!J20,'03.8.Mukwano-Jinja RD 24h'!J20,'04.08.Mukwano-Jinja'!J20)</f>
        <v>3.8571428571428572</v>
      </c>
      <c r="K20" s="48">
        <f>AVERAGE('29.7.Mukwano-Jinja RD'!K20,'30.7.Mukwano-Jinja RD'!K20,'31.07.Mukwano RBT-JinjaRD'!K20,'01.08. Mukwano RBT-Jinja RD 24h'!K20,'02.08.Jinja-Mukwano'!K20,'03.8.Mukwano-Jinja RD 24h'!K20,'04.08.Mukwano-Jinja'!K20)</f>
        <v>0.5714285714285714</v>
      </c>
      <c r="L20" s="48">
        <f>AVERAGE('29.7.Mukwano-Jinja RD'!L20,'30.7.Mukwano-Jinja RD'!L20,'31.07.Mukwano RBT-JinjaRD'!L20,'01.08. Mukwano RBT-Jinja RD 24h'!L20,'02.08.Jinja-Mukwano'!L20,'03.8.Mukwano-Jinja RD 24h'!L20,'04.08.Mukwano-Jinja'!L20)</f>
        <v>2</v>
      </c>
      <c r="M20" s="48">
        <f>AVERAGE('29.7.Mukwano-Jinja RD'!M20,'30.7.Mukwano-Jinja RD'!M20,'31.07.Mukwano RBT-JinjaRD'!M20,'01.08. Mukwano RBT-Jinja RD 24h'!M20,'02.08.Jinja-Mukwano'!M20,'03.8.Mukwano-Jinja RD 24h'!M20,'04.08.Mukwano-Jinja'!M20)</f>
        <v>420</v>
      </c>
      <c r="N20" s="48">
        <f>AVERAGE('29.7.Mukwano-Jinja RD'!N20,'30.7.Mukwano-Jinja RD'!N20,'31.07.Mukwano RBT-JinjaRD'!N20,'01.08. Mukwano RBT-Jinja RD 24h'!N20,'02.08.Jinja-Mukwano'!N20,'03.8.Mukwano-Jinja RD 24h'!N20,'04.08.Mukwano-Jinja'!N20)</f>
        <v>0</v>
      </c>
      <c r="O20" s="15">
        <f t="shared" si="0"/>
        <v>234.71428571428572</v>
      </c>
      <c r="P20" s="15">
        <f t="shared" si="1"/>
        <v>654.71428571428578</v>
      </c>
      <c r="R20" s="1" t="s">
        <v>16</v>
      </c>
      <c r="S20" s="17">
        <f t="shared" ref="S20:AF20" si="12">SUM(C50:C53)</f>
        <v>565.14285714285711</v>
      </c>
      <c r="T20" s="17">
        <f t="shared" si="12"/>
        <v>105</v>
      </c>
      <c r="U20" s="17">
        <f t="shared" si="12"/>
        <v>55.857142857142854</v>
      </c>
      <c r="V20" s="17">
        <f t="shared" si="12"/>
        <v>42.142857142857139</v>
      </c>
      <c r="W20" s="17">
        <f t="shared" si="12"/>
        <v>5.1428571428571432</v>
      </c>
      <c r="X20" s="17">
        <f t="shared" si="12"/>
        <v>0.2857142857142857</v>
      </c>
      <c r="Y20" s="17">
        <f t="shared" si="12"/>
        <v>20</v>
      </c>
      <c r="Z20" s="17">
        <f t="shared" si="12"/>
        <v>10.571428571428571</v>
      </c>
      <c r="AA20" s="17">
        <f t="shared" si="12"/>
        <v>4.1428571428571423</v>
      </c>
      <c r="AB20" s="17">
        <f t="shared" si="12"/>
        <v>9.2857142857142865</v>
      </c>
      <c r="AC20" s="17">
        <f t="shared" si="12"/>
        <v>1230.8571428571429</v>
      </c>
      <c r="AD20" s="17">
        <f t="shared" si="12"/>
        <v>0.42857142857142855</v>
      </c>
      <c r="AE20" s="30">
        <f t="shared" si="12"/>
        <v>818</v>
      </c>
      <c r="AF20" s="30">
        <f t="shared" si="12"/>
        <v>2048.8571428571431</v>
      </c>
    </row>
    <row r="21" spans="2:32" ht="23.1" customHeight="1" x14ac:dyDescent="0.25">
      <c r="B21" s="22" t="s">
        <v>48</v>
      </c>
      <c r="C21" s="48">
        <f>AVERAGE('29.7.Mukwano-Jinja RD'!C21,'30.7.Mukwano-Jinja RD'!C21,'31.07.Mukwano RBT-JinjaRD'!C21,'01.08. Mukwano RBT-Jinja RD 24h'!C21,'02.08.Jinja-Mukwano'!C21,'03.8.Mukwano-Jinja RD 24h'!C21,'04.08.Mukwano-Jinja'!C21)</f>
        <v>160.28571428571428</v>
      </c>
      <c r="D21" s="48">
        <f>AVERAGE('29.7.Mukwano-Jinja RD'!D21,'30.7.Mukwano-Jinja RD'!D21,'31.07.Mukwano RBT-JinjaRD'!D21,'01.08. Mukwano RBT-Jinja RD 24h'!D21,'02.08.Jinja-Mukwano'!D21,'03.8.Mukwano-Jinja RD 24h'!D21,'04.08.Mukwano-Jinja'!D21)</f>
        <v>34.428571428571431</v>
      </c>
      <c r="E21" s="48">
        <f>AVERAGE('29.7.Mukwano-Jinja RD'!E21,'30.7.Mukwano-Jinja RD'!E21,'31.07.Mukwano RBT-JinjaRD'!E21,'01.08. Mukwano RBT-Jinja RD 24h'!E21,'02.08.Jinja-Mukwano'!E21,'03.8.Mukwano-Jinja RD 24h'!E21,'04.08.Mukwano-Jinja'!E21)</f>
        <v>19</v>
      </c>
      <c r="F21" s="48">
        <f>AVERAGE('29.7.Mukwano-Jinja RD'!F21,'30.7.Mukwano-Jinja RD'!F21,'31.07.Mukwano RBT-JinjaRD'!F21,'01.08. Mukwano RBT-Jinja RD 24h'!F21,'02.08.Jinja-Mukwano'!F21,'03.8.Mukwano-Jinja RD 24h'!F21,'04.08.Mukwano-Jinja'!F21)</f>
        <v>10.571428571428571</v>
      </c>
      <c r="G21" s="48">
        <f>AVERAGE('29.7.Mukwano-Jinja RD'!G21,'30.7.Mukwano-Jinja RD'!G21,'31.07.Mukwano RBT-JinjaRD'!G21,'01.08. Mukwano RBT-Jinja RD 24h'!G21,'02.08.Jinja-Mukwano'!G21,'03.8.Mukwano-Jinja RD 24h'!G21,'04.08.Mukwano-Jinja'!G21)</f>
        <v>0.7142857142857143</v>
      </c>
      <c r="H21" s="48">
        <f>AVERAGE('29.7.Mukwano-Jinja RD'!H21,'30.7.Mukwano-Jinja RD'!H21,'31.07.Mukwano RBT-JinjaRD'!H21,'01.08. Mukwano RBT-Jinja RD 24h'!H21,'02.08.Jinja-Mukwano'!H21,'03.8.Mukwano-Jinja RD 24h'!H21,'04.08.Mukwano-Jinja'!H21)</f>
        <v>0.2857142857142857</v>
      </c>
      <c r="I21" s="48">
        <f>AVERAGE('29.7.Mukwano-Jinja RD'!I21,'30.7.Mukwano-Jinja RD'!I21,'31.07.Mukwano RBT-JinjaRD'!I21,'01.08. Mukwano RBT-Jinja RD 24h'!I21,'02.08.Jinja-Mukwano'!I21,'03.8.Mukwano-Jinja RD 24h'!I21,'04.08.Mukwano-Jinja'!I21)</f>
        <v>5.7142857142857144</v>
      </c>
      <c r="J21" s="48">
        <f>AVERAGE('29.7.Mukwano-Jinja RD'!J21,'30.7.Mukwano-Jinja RD'!J21,'31.07.Mukwano RBT-JinjaRD'!J21,'01.08. Mukwano RBT-Jinja RD 24h'!J21,'02.08.Jinja-Mukwano'!J21,'03.8.Mukwano-Jinja RD 24h'!J21,'04.08.Mukwano-Jinja'!J21)</f>
        <v>4.4285714285714288</v>
      </c>
      <c r="K21" s="48">
        <f>AVERAGE('29.7.Mukwano-Jinja RD'!K21,'30.7.Mukwano-Jinja RD'!K21,'31.07.Mukwano RBT-JinjaRD'!K21,'01.08. Mukwano RBT-Jinja RD 24h'!K21,'02.08.Jinja-Mukwano'!K21,'03.8.Mukwano-Jinja RD 24h'!K21,'04.08.Mukwano-Jinja'!K21)</f>
        <v>1.7142857142857142</v>
      </c>
      <c r="L21" s="48">
        <f>AVERAGE('29.7.Mukwano-Jinja RD'!L21,'30.7.Mukwano-Jinja RD'!L21,'31.07.Mukwano RBT-JinjaRD'!L21,'01.08. Mukwano RBT-Jinja RD 24h'!L21,'02.08.Jinja-Mukwano'!L21,'03.8.Mukwano-Jinja RD 24h'!L21,'04.08.Mukwano-Jinja'!L21)</f>
        <v>1.5714285714285714</v>
      </c>
      <c r="M21" s="48">
        <f>AVERAGE('29.7.Mukwano-Jinja RD'!M21,'30.7.Mukwano-Jinja RD'!M21,'31.07.Mukwano RBT-JinjaRD'!M21,'01.08. Mukwano RBT-Jinja RD 24h'!M21,'02.08.Jinja-Mukwano'!M21,'03.8.Mukwano-Jinja RD 24h'!M21,'04.08.Mukwano-Jinja'!M21)</f>
        <v>467.42857142857144</v>
      </c>
      <c r="N21" s="48">
        <f>AVERAGE('29.7.Mukwano-Jinja RD'!N21,'30.7.Mukwano-Jinja RD'!N21,'31.07.Mukwano RBT-JinjaRD'!N21,'01.08. Mukwano RBT-Jinja RD 24h'!N21,'02.08.Jinja-Mukwano'!N21,'03.8.Mukwano-Jinja RD 24h'!N21,'04.08.Mukwano-Jinja'!N21)</f>
        <v>0.14285714285714285</v>
      </c>
      <c r="O21" s="15">
        <f t="shared" si="0"/>
        <v>238.85714285714289</v>
      </c>
      <c r="P21" s="15">
        <f t="shared" si="1"/>
        <v>706.28571428571433</v>
      </c>
      <c r="R21" s="35" t="s">
        <v>20</v>
      </c>
      <c r="S21" s="33">
        <f t="shared" ref="S21:AF21" si="13">SUM(C54:C57)</f>
        <v>494.85714285714283</v>
      </c>
      <c r="T21" s="17">
        <f t="shared" si="13"/>
        <v>88.571428571428555</v>
      </c>
      <c r="U21" s="17">
        <f t="shared" si="13"/>
        <v>45.142857142857146</v>
      </c>
      <c r="V21" s="17">
        <f t="shared" si="13"/>
        <v>38.571428571428569</v>
      </c>
      <c r="W21" s="17">
        <f t="shared" si="13"/>
        <v>3.714285714285714</v>
      </c>
      <c r="X21" s="17">
        <f t="shared" si="13"/>
        <v>1</v>
      </c>
      <c r="Y21" s="17">
        <f t="shared" si="13"/>
        <v>19</v>
      </c>
      <c r="Z21" s="17">
        <f t="shared" si="13"/>
        <v>10.571428571428573</v>
      </c>
      <c r="AA21" s="17">
        <f t="shared" si="13"/>
        <v>3.7142857142857144</v>
      </c>
      <c r="AB21" s="17">
        <f t="shared" si="13"/>
        <v>7</v>
      </c>
      <c r="AC21" s="17">
        <f t="shared" si="13"/>
        <v>1085.5714285714284</v>
      </c>
      <c r="AD21" s="17">
        <f t="shared" si="13"/>
        <v>0.2857142857142857</v>
      </c>
      <c r="AE21" s="30">
        <f t="shared" si="13"/>
        <v>712.42857142857133</v>
      </c>
      <c r="AF21" s="30">
        <f t="shared" si="13"/>
        <v>1798</v>
      </c>
    </row>
    <row r="22" spans="2:32" ht="23.1" customHeight="1" x14ac:dyDescent="0.25">
      <c r="B22" s="22" t="s">
        <v>49</v>
      </c>
      <c r="C22" s="48">
        <f>AVERAGE('29.7.Mukwano-Jinja RD'!C22,'30.7.Mukwano-Jinja RD'!C22,'31.07.Mukwano RBT-JinjaRD'!C22,'01.08. Mukwano RBT-Jinja RD 24h'!C22,'02.08.Jinja-Mukwano'!C22,'03.8.Mukwano-Jinja RD 24h'!C22,'04.08.Mukwano-Jinja'!C22)</f>
        <v>168.14285714285714</v>
      </c>
      <c r="D22" s="48">
        <f>AVERAGE('29.7.Mukwano-Jinja RD'!D22,'30.7.Mukwano-Jinja RD'!D22,'31.07.Mukwano RBT-JinjaRD'!D22,'01.08. Mukwano RBT-Jinja RD 24h'!D22,'02.08.Jinja-Mukwano'!D22,'03.8.Mukwano-Jinja RD 24h'!D22,'04.08.Mukwano-Jinja'!D22)</f>
        <v>36.142857142857146</v>
      </c>
      <c r="E22" s="48">
        <f>AVERAGE('29.7.Mukwano-Jinja RD'!E22,'30.7.Mukwano-Jinja RD'!E22,'31.07.Mukwano RBT-JinjaRD'!E22,'01.08. Mukwano RBT-Jinja RD 24h'!E22,'02.08.Jinja-Mukwano'!E22,'03.8.Mukwano-Jinja RD 24h'!E22,'04.08.Mukwano-Jinja'!E22)</f>
        <v>21.142857142857142</v>
      </c>
      <c r="F22" s="48">
        <f>AVERAGE('29.7.Mukwano-Jinja RD'!F22,'30.7.Mukwano-Jinja RD'!F22,'31.07.Mukwano RBT-JinjaRD'!F22,'01.08. Mukwano RBT-Jinja RD 24h'!F22,'02.08.Jinja-Mukwano'!F22,'03.8.Mukwano-Jinja RD 24h'!F22,'04.08.Mukwano-Jinja'!F22)</f>
        <v>10.285714285714286</v>
      </c>
      <c r="G22" s="48">
        <f>AVERAGE('29.7.Mukwano-Jinja RD'!G22,'30.7.Mukwano-Jinja RD'!G22,'31.07.Mukwano RBT-JinjaRD'!G22,'01.08. Mukwano RBT-Jinja RD 24h'!G22,'02.08.Jinja-Mukwano'!G22,'03.8.Mukwano-Jinja RD 24h'!G22,'04.08.Mukwano-Jinja'!G22)</f>
        <v>1</v>
      </c>
      <c r="H22" s="48">
        <f>AVERAGE('29.7.Mukwano-Jinja RD'!H22,'30.7.Mukwano-Jinja RD'!H22,'31.07.Mukwano RBT-JinjaRD'!H22,'01.08. Mukwano RBT-Jinja RD 24h'!H22,'02.08.Jinja-Mukwano'!H22,'03.8.Mukwano-Jinja RD 24h'!H22,'04.08.Mukwano-Jinja'!H22)</f>
        <v>0.2857142857142857</v>
      </c>
      <c r="I22" s="48">
        <f>AVERAGE('29.7.Mukwano-Jinja RD'!I22,'30.7.Mukwano-Jinja RD'!I22,'31.07.Mukwano RBT-JinjaRD'!I22,'01.08. Mukwano RBT-Jinja RD 24h'!I22,'02.08.Jinja-Mukwano'!I22,'03.8.Mukwano-Jinja RD 24h'!I22,'04.08.Mukwano-Jinja'!I22)</f>
        <v>10.142857142857142</v>
      </c>
      <c r="J22" s="48">
        <f>AVERAGE('29.7.Mukwano-Jinja RD'!J22,'30.7.Mukwano-Jinja RD'!J22,'31.07.Mukwano RBT-JinjaRD'!J22,'01.08. Mukwano RBT-Jinja RD 24h'!J22,'02.08.Jinja-Mukwano'!J22,'03.8.Mukwano-Jinja RD 24h'!J22,'04.08.Mukwano-Jinja'!J22)</f>
        <v>5</v>
      </c>
      <c r="K22" s="48">
        <f>AVERAGE('29.7.Mukwano-Jinja RD'!K22,'30.7.Mukwano-Jinja RD'!K22,'31.07.Mukwano RBT-JinjaRD'!K22,'01.08. Mukwano RBT-Jinja RD 24h'!K22,'02.08.Jinja-Mukwano'!K22,'03.8.Mukwano-Jinja RD 24h'!K22,'04.08.Mukwano-Jinja'!K22)</f>
        <v>2</v>
      </c>
      <c r="L22" s="48">
        <f>AVERAGE('29.7.Mukwano-Jinja RD'!L22,'30.7.Mukwano-Jinja RD'!L22,'31.07.Mukwano RBT-JinjaRD'!L22,'01.08. Mukwano RBT-Jinja RD 24h'!L22,'02.08.Jinja-Mukwano'!L22,'03.8.Mukwano-Jinja RD 24h'!L22,'04.08.Mukwano-Jinja'!L22)</f>
        <v>2</v>
      </c>
      <c r="M22" s="48">
        <f>AVERAGE('29.7.Mukwano-Jinja RD'!M22,'30.7.Mukwano-Jinja RD'!M22,'31.07.Mukwano RBT-JinjaRD'!M22,'01.08. Mukwano RBT-Jinja RD 24h'!M22,'02.08.Jinja-Mukwano'!M22,'03.8.Mukwano-Jinja RD 24h'!M22,'04.08.Mukwano-Jinja'!M22)</f>
        <v>386.85714285714283</v>
      </c>
      <c r="N22" s="48">
        <f>AVERAGE('29.7.Mukwano-Jinja RD'!N22,'30.7.Mukwano-Jinja RD'!N22,'31.07.Mukwano RBT-JinjaRD'!N22,'01.08. Mukwano RBT-Jinja RD 24h'!N22,'02.08.Jinja-Mukwano'!N22,'03.8.Mukwano-Jinja RD 24h'!N22,'04.08.Mukwano-Jinja'!N22)</f>
        <v>0.14285714285714285</v>
      </c>
      <c r="O22" s="15">
        <f t="shared" si="0"/>
        <v>256.28571428571428</v>
      </c>
      <c r="P22" s="15">
        <f t="shared" si="1"/>
        <v>643.14285714285711</v>
      </c>
      <c r="R22" s="1" t="s">
        <v>146</v>
      </c>
      <c r="S22" s="33">
        <f>SUM(C58:C61)</f>
        <v>437.5</v>
      </c>
      <c r="T22" s="33">
        <f t="shared" ref="T22:AF22" si="14">SUM(D58:D61)</f>
        <v>121</v>
      </c>
      <c r="U22" s="33">
        <f t="shared" si="14"/>
        <v>44</v>
      </c>
      <c r="V22" s="33">
        <f t="shared" si="14"/>
        <v>57.5</v>
      </c>
      <c r="W22" s="33">
        <f t="shared" si="14"/>
        <v>4.5</v>
      </c>
      <c r="X22" s="33">
        <f t="shared" si="14"/>
        <v>0</v>
      </c>
      <c r="Y22" s="33">
        <f t="shared" si="14"/>
        <v>17.5</v>
      </c>
      <c r="Z22" s="33">
        <f t="shared" si="14"/>
        <v>6</v>
      </c>
      <c r="AA22" s="33">
        <f t="shared" si="14"/>
        <v>2.5</v>
      </c>
      <c r="AB22" s="33">
        <f t="shared" si="14"/>
        <v>7</v>
      </c>
      <c r="AC22" s="33">
        <f t="shared" si="14"/>
        <v>696.5</v>
      </c>
      <c r="AD22" s="33">
        <f t="shared" si="14"/>
        <v>0</v>
      </c>
      <c r="AE22" s="30">
        <f t="shared" si="14"/>
        <v>697.5</v>
      </c>
      <c r="AF22" s="30">
        <f t="shared" si="14"/>
        <v>1394</v>
      </c>
    </row>
    <row r="23" spans="2:32" ht="23.1" customHeight="1" x14ac:dyDescent="0.25">
      <c r="B23" s="22" t="s">
        <v>50</v>
      </c>
      <c r="C23" s="48">
        <f>AVERAGE('29.7.Mukwano-Jinja RD'!C23,'30.7.Mukwano-Jinja RD'!C23,'31.07.Mukwano RBT-JinjaRD'!C23,'01.08. Mukwano RBT-Jinja RD 24h'!C23,'02.08.Jinja-Mukwano'!C23,'03.8.Mukwano-Jinja RD 24h'!C23,'04.08.Mukwano-Jinja'!C23)</f>
        <v>165.57142857142858</v>
      </c>
      <c r="D23" s="48">
        <f>AVERAGE('29.7.Mukwano-Jinja RD'!D23,'30.7.Mukwano-Jinja RD'!D23,'31.07.Mukwano RBT-JinjaRD'!D23,'01.08. Mukwano RBT-Jinja RD 24h'!D23,'02.08.Jinja-Mukwano'!D23,'03.8.Mukwano-Jinja RD 24h'!D23,'04.08.Mukwano-Jinja'!D23)</f>
        <v>39.571428571428569</v>
      </c>
      <c r="E23" s="48">
        <f>AVERAGE('29.7.Mukwano-Jinja RD'!E23,'30.7.Mukwano-Jinja RD'!E23,'31.07.Mukwano RBT-JinjaRD'!E23,'01.08. Mukwano RBT-Jinja RD 24h'!E23,'02.08.Jinja-Mukwano'!E23,'03.8.Mukwano-Jinja RD 24h'!E23,'04.08.Mukwano-Jinja'!E23)</f>
        <v>19.571428571428573</v>
      </c>
      <c r="F23" s="48">
        <f>AVERAGE('29.7.Mukwano-Jinja RD'!F23,'30.7.Mukwano-Jinja RD'!F23,'31.07.Mukwano RBT-JinjaRD'!F23,'01.08. Mukwano RBT-Jinja RD 24h'!F23,'02.08.Jinja-Mukwano'!F23,'03.8.Mukwano-Jinja RD 24h'!F23,'04.08.Mukwano-Jinja'!F23)</f>
        <v>10.571428571428571</v>
      </c>
      <c r="G23" s="48">
        <f>AVERAGE('29.7.Mukwano-Jinja RD'!G23,'30.7.Mukwano-Jinja RD'!G23,'31.07.Mukwano RBT-JinjaRD'!G23,'01.08. Mukwano RBT-Jinja RD 24h'!G23,'02.08.Jinja-Mukwano'!G23,'03.8.Mukwano-Jinja RD 24h'!G23,'04.08.Mukwano-Jinja'!G23)</f>
        <v>1.1428571428571428</v>
      </c>
      <c r="H23" s="48">
        <f>AVERAGE('29.7.Mukwano-Jinja RD'!H23,'30.7.Mukwano-Jinja RD'!H23,'31.07.Mukwano RBT-JinjaRD'!H23,'01.08. Mukwano RBT-Jinja RD 24h'!H23,'02.08.Jinja-Mukwano'!H23,'03.8.Mukwano-Jinja RD 24h'!H23,'04.08.Mukwano-Jinja'!H23)</f>
        <v>0.2857142857142857</v>
      </c>
      <c r="I23" s="48">
        <f>AVERAGE('29.7.Mukwano-Jinja RD'!I23,'30.7.Mukwano-Jinja RD'!I23,'31.07.Mukwano RBT-JinjaRD'!I23,'01.08. Mukwano RBT-Jinja RD 24h'!I23,'02.08.Jinja-Mukwano'!I23,'03.8.Mukwano-Jinja RD 24h'!I23,'04.08.Mukwano-Jinja'!I23)</f>
        <v>9.1428571428571423</v>
      </c>
      <c r="J23" s="48">
        <f>AVERAGE('29.7.Mukwano-Jinja RD'!J23,'30.7.Mukwano-Jinja RD'!J23,'31.07.Mukwano RBT-JinjaRD'!J23,'01.08. Mukwano RBT-Jinja RD 24h'!J23,'02.08.Jinja-Mukwano'!J23,'03.8.Mukwano-Jinja RD 24h'!J23,'04.08.Mukwano-Jinja'!J23)</f>
        <v>3.1428571428571428</v>
      </c>
      <c r="K23" s="48">
        <f>AVERAGE('29.7.Mukwano-Jinja RD'!K23,'30.7.Mukwano-Jinja RD'!K23,'31.07.Mukwano RBT-JinjaRD'!K23,'01.08. Mukwano RBT-Jinja RD 24h'!K23,'02.08.Jinja-Mukwano'!K23,'03.8.Mukwano-Jinja RD 24h'!K23,'04.08.Mukwano-Jinja'!K23)</f>
        <v>1.1428571428571428</v>
      </c>
      <c r="L23" s="48">
        <f>AVERAGE('29.7.Mukwano-Jinja RD'!L23,'30.7.Mukwano-Jinja RD'!L23,'31.07.Mukwano RBT-JinjaRD'!L23,'01.08. Mukwano RBT-Jinja RD 24h'!L23,'02.08.Jinja-Mukwano'!L23,'03.8.Mukwano-Jinja RD 24h'!L23,'04.08.Mukwano-Jinja'!L23)</f>
        <v>2.2857142857142856</v>
      </c>
      <c r="M23" s="48">
        <f>AVERAGE('29.7.Mukwano-Jinja RD'!M23,'30.7.Mukwano-Jinja RD'!M23,'31.07.Mukwano RBT-JinjaRD'!M23,'01.08. Mukwano RBT-Jinja RD 24h'!M23,'02.08.Jinja-Mukwano'!M23,'03.8.Mukwano-Jinja RD 24h'!M23,'04.08.Mukwano-Jinja'!M23)</f>
        <v>397.71428571428572</v>
      </c>
      <c r="N23" s="48">
        <f>AVERAGE('29.7.Mukwano-Jinja RD'!N23,'30.7.Mukwano-Jinja RD'!N23,'31.07.Mukwano RBT-JinjaRD'!N23,'01.08. Mukwano RBT-Jinja RD 24h'!N23,'02.08.Jinja-Mukwano'!N23,'03.8.Mukwano-Jinja RD 24h'!N23,'04.08.Mukwano-Jinja'!N23)</f>
        <v>0.14285714285714285</v>
      </c>
      <c r="O23" s="15">
        <f t="shared" si="0"/>
        <v>252.57142857142858</v>
      </c>
      <c r="P23" s="15">
        <f t="shared" si="1"/>
        <v>650.28571428571422</v>
      </c>
      <c r="R23" s="1" t="s">
        <v>147</v>
      </c>
      <c r="S23" s="33">
        <f>SUM(C62:C65)</f>
        <v>443</v>
      </c>
      <c r="T23" s="33">
        <f t="shared" ref="T23:AF23" si="15">SUM(D62:D65)</f>
        <v>75</v>
      </c>
      <c r="U23" s="33">
        <f t="shared" si="15"/>
        <v>28</v>
      </c>
      <c r="V23" s="33">
        <f t="shared" si="15"/>
        <v>60.5</v>
      </c>
      <c r="W23" s="33">
        <f t="shared" si="15"/>
        <v>2</v>
      </c>
      <c r="X23" s="33">
        <f t="shared" si="15"/>
        <v>0.5</v>
      </c>
      <c r="Y23" s="33">
        <f t="shared" si="15"/>
        <v>13</v>
      </c>
      <c r="Z23" s="33">
        <f t="shared" si="15"/>
        <v>6</v>
      </c>
      <c r="AA23" s="33">
        <f t="shared" si="15"/>
        <v>0.5</v>
      </c>
      <c r="AB23" s="33">
        <f t="shared" si="15"/>
        <v>3.5</v>
      </c>
      <c r="AC23" s="33">
        <f t="shared" si="15"/>
        <v>835</v>
      </c>
      <c r="AD23" s="33">
        <f t="shared" si="15"/>
        <v>1</v>
      </c>
      <c r="AE23" s="30">
        <f t="shared" si="15"/>
        <v>633</v>
      </c>
      <c r="AF23" s="30">
        <f t="shared" si="15"/>
        <v>1468</v>
      </c>
    </row>
    <row r="24" spans="2:32" ht="23.1" customHeight="1" x14ac:dyDescent="0.25">
      <c r="B24" s="22" t="s">
        <v>51</v>
      </c>
      <c r="C24" s="48">
        <f>AVERAGE('29.7.Mukwano-Jinja RD'!C24,'30.7.Mukwano-Jinja RD'!C24,'31.07.Mukwano RBT-JinjaRD'!C24,'01.08. Mukwano RBT-Jinja RD 24h'!C24,'02.08.Jinja-Mukwano'!C24,'03.8.Mukwano-Jinja RD 24h'!C24,'04.08.Mukwano-Jinja'!C24)</f>
        <v>160.71428571428572</v>
      </c>
      <c r="D24" s="48">
        <f>AVERAGE('29.7.Mukwano-Jinja RD'!D24,'30.7.Mukwano-Jinja RD'!D24,'31.07.Mukwano RBT-JinjaRD'!D24,'01.08. Mukwano RBT-Jinja RD 24h'!D24,'02.08.Jinja-Mukwano'!D24,'03.8.Mukwano-Jinja RD 24h'!D24,'04.08.Mukwano-Jinja'!D24)</f>
        <v>43.857142857142854</v>
      </c>
      <c r="E24" s="48">
        <f>AVERAGE('29.7.Mukwano-Jinja RD'!E24,'30.7.Mukwano-Jinja RD'!E24,'31.07.Mukwano RBT-JinjaRD'!E24,'01.08. Mukwano RBT-Jinja RD 24h'!E24,'02.08.Jinja-Mukwano'!E24,'03.8.Mukwano-Jinja RD 24h'!E24,'04.08.Mukwano-Jinja'!E24)</f>
        <v>19.142857142857142</v>
      </c>
      <c r="F24" s="48">
        <f>AVERAGE('29.7.Mukwano-Jinja RD'!F24,'30.7.Mukwano-Jinja RD'!F24,'31.07.Mukwano RBT-JinjaRD'!F24,'01.08. Mukwano RBT-Jinja RD 24h'!F24,'02.08.Jinja-Mukwano'!F24,'03.8.Mukwano-Jinja RD 24h'!F24,'04.08.Mukwano-Jinja'!F24)</f>
        <v>12.571428571428571</v>
      </c>
      <c r="G24" s="48">
        <f>AVERAGE('29.7.Mukwano-Jinja RD'!G24,'30.7.Mukwano-Jinja RD'!G24,'31.07.Mukwano RBT-JinjaRD'!G24,'01.08. Mukwano RBT-Jinja RD 24h'!G24,'02.08.Jinja-Mukwano'!G24,'03.8.Mukwano-Jinja RD 24h'!G24,'04.08.Mukwano-Jinja'!G24)</f>
        <v>1</v>
      </c>
      <c r="H24" s="48">
        <f>AVERAGE('29.7.Mukwano-Jinja RD'!H24,'30.7.Mukwano-Jinja RD'!H24,'31.07.Mukwano RBT-JinjaRD'!H24,'01.08. Mukwano RBT-Jinja RD 24h'!H24,'02.08.Jinja-Mukwano'!H24,'03.8.Mukwano-Jinja RD 24h'!H24,'04.08.Mukwano-Jinja'!H24)</f>
        <v>0.14285714285714285</v>
      </c>
      <c r="I24" s="48">
        <f>AVERAGE('29.7.Mukwano-Jinja RD'!I24,'30.7.Mukwano-Jinja RD'!I24,'31.07.Mukwano RBT-JinjaRD'!I24,'01.08. Mukwano RBT-Jinja RD 24h'!I24,'02.08.Jinja-Mukwano'!I24,'03.8.Mukwano-Jinja RD 24h'!I24,'04.08.Mukwano-Jinja'!I24)</f>
        <v>10.428571428571429</v>
      </c>
      <c r="J24" s="48">
        <f>AVERAGE('29.7.Mukwano-Jinja RD'!J24,'30.7.Mukwano-Jinja RD'!J24,'31.07.Mukwano RBT-JinjaRD'!J24,'01.08. Mukwano RBT-Jinja RD 24h'!J24,'02.08.Jinja-Mukwano'!J24,'03.8.Mukwano-Jinja RD 24h'!J24,'04.08.Mukwano-Jinja'!J24)</f>
        <v>6.1428571428571432</v>
      </c>
      <c r="K24" s="48">
        <f>AVERAGE('29.7.Mukwano-Jinja RD'!K24,'30.7.Mukwano-Jinja RD'!K24,'31.07.Mukwano RBT-JinjaRD'!K24,'01.08. Mukwano RBT-Jinja RD 24h'!K24,'02.08.Jinja-Mukwano'!K24,'03.8.Mukwano-Jinja RD 24h'!K24,'04.08.Mukwano-Jinja'!K24)</f>
        <v>1</v>
      </c>
      <c r="L24" s="48">
        <f>AVERAGE('29.7.Mukwano-Jinja RD'!L24,'30.7.Mukwano-Jinja RD'!L24,'31.07.Mukwano RBT-JinjaRD'!L24,'01.08. Mukwano RBT-Jinja RD 24h'!L24,'02.08.Jinja-Mukwano'!L24,'03.8.Mukwano-Jinja RD 24h'!L24,'04.08.Mukwano-Jinja'!L24)</f>
        <v>3.1428571428571428</v>
      </c>
      <c r="M24" s="48">
        <f>AVERAGE('29.7.Mukwano-Jinja RD'!M24,'30.7.Mukwano-Jinja RD'!M24,'31.07.Mukwano RBT-JinjaRD'!M24,'01.08. Mukwano RBT-Jinja RD 24h'!M24,'02.08.Jinja-Mukwano'!M24,'03.8.Mukwano-Jinja RD 24h'!M24,'04.08.Mukwano-Jinja'!M24)</f>
        <v>390.14285714285717</v>
      </c>
      <c r="N24" s="48">
        <f>AVERAGE('29.7.Mukwano-Jinja RD'!N24,'30.7.Mukwano-Jinja RD'!N24,'31.07.Mukwano RBT-JinjaRD'!N24,'01.08. Mukwano RBT-Jinja RD 24h'!N24,'02.08.Jinja-Mukwano'!N24,'03.8.Mukwano-Jinja RD 24h'!N24,'04.08.Mukwano-Jinja'!N24)</f>
        <v>0</v>
      </c>
      <c r="O24" s="15">
        <f t="shared" si="0"/>
        <v>258.14285714285717</v>
      </c>
      <c r="P24" s="15">
        <f t="shared" si="1"/>
        <v>648.28571428571433</v>
      </c>
      <c r="R24" s="1" t="s">
        <v>148</v>
      </c>
      <c r="S24" s="33">
        <f>SUM(C66:C69)</f>
        <v>409</v>
      </c>
      <c r="T24" s="33">
        <f t="shared" ref="T24:AF24" si="16">SUM(D66:D69)</f>
        <v>66</v>
      </c>
      <c r="U24" s="33">
        <f t="shared" si="16"/>
        <v>33.5</v>
      </c>
      <c r="V24" s="33">
        <f t="shared" si="16"/>
        <v>34.5</v>
      </c>
      <c r="W24" s="33">
        <f t="shared" si="16"/>
        <v>1.5</v>
      </c>
      <c r="X24" s="33">
        <f t="shared" si="16"/>
        <v>0</v>
      </c>
      <c r="Y24" s="33">
        <f t="shared" si="16"/>
        <v>13.5</v>
      </c>
      <c r="Z24" s="33">
        <f t="shared" si="16"/>
        <v>7</v>
      </c>
      <c r="AA24" s="33">
        <f t="shared" si="16"/>
        <v>2</v>
      </c>
      <c r="AB24" s="33">
        <f t="shared" si="16"/>
        <v>5.5</v>
      </c>
      <c r="AC24" s="33">
        <f t="shared" si="16"/>
        <v>743</v>
      </c>
      <c r="AD24" s="33">
        <f t="shared" si="16"/>
        <v>0</v>
      </c>
      <c r="AE24" s="30">
        <f t="shared" si="16"/>
        <v>572.5</v>
      </c>
      <c r="AF24" s="30">
        <f t="shared" si="16"/>
        <v>1315.5</v>
      </c>
    </row>
    <row r="25" spans="2:32" ht="23.1" customHeight="1" x14ac:dyDescent="0.25">
      <c r="B25" s="22" t="s">
        <v>52</v>
      </c>
      <c r="C25" s="48">
        <f>AVERAGE('29.7.Mukwano-Jinja RD'!C25,'30.7.Mukwano-Jinja RD'!C25,'31.07.Mukwano RBT-JinjaRD'!C25,'01.08. Mukwano RBT-Jinja RD 24h'!C25,'02.08.Jinja-Mukwano'!C25,'03.8.Mukwano-Jinja RD 24h'!C25,'04.08.Mukwano-Jinja'!C25)</f>
        <v>147</v>
      </c>
      <c r="D25" s="48">
        <f>AVERAGE('29.7.Mukwano-Jinja RD'!D25,'30.7.Mukwano-Jinja RD'!D25,'31.07.Mukwano RBT-JinjaRD'!D25,'01.08. Mukwano RBT-Jinja RD 24h'!D25,'02.08.Jinja-Mukwano'!D25,'03.8.Mukwano-Jinja RD 24h'!D25,'04.08.Mukwano-Jinja'!D25)</f>
        <v>37.285714285714285</v>
      </c>
      <c r="E25" s="48">
        <f>AVERAGE('29.7.Mukwano-Jinja RD'!E25,'30.7.Mukwano-Jinja RD'!E25,'31.07.Mukwano RBT-JinjaRD'!E25,'01.08. Mukwano RBT-Jinja RD 24h'!E25,'02.08.Jinja-Mukwano'!E25,'03.8.Mukwano-Jinja RD 24h'!E25,'04.08.Mukwano-Jinja'!E25)</f>
        <v>18.428571428571427</v>
      </c>
      <c r="F25" s="48">
        <f>AVERAGE('29.7.Mukwano-Jinja RD'!F25,'30.7.Mukwano-Jinja RD'!F25,'31.07.Mukwano RBT-JinjaRD'!F25,'01.08. Mukwano RBT-Jinja RD 24h'!F25,'02.08.Jinja-Mukwano'!F25,'03.8.Mukwano-Jinja RD 24h'!F25,'04.08.Mukwano-Jinja'!F25)</f>
        <v>11</v>
      </c>
      <c r="G25" s="48">
        <f>AVERAGE('29.7.Mukwano-Jinja RD'!G25,'30.7.Mukwano-Jinja RD'!G25,'31.07.Mukwano RBT-JinjaRD'!G25,'01.08. Mukwano RBT-Jinja RD 24h'!G25,'02.08.Jinja-Mukwano'!G25,'03.8.Mukwano-Jinja RD 24h'!G25,'04.08.Mukwano-Jinja'!G25)</f>
        <v>1.8571428571428572</v>
      </c>
      <c r="H25" s="48">
        <f>AVERAGE('29.7.Mukwano-Jinja RD'!H25,'30.7.Mukwano-Jinja RD'!H25,'31.07.Mukwano RBT-JinjaRD'!H25,'01.08. Mukwano RBT-Jinja RD 24h'!H25,'02.08.Jinja-Mukwano'!H25,'03.8.Mukwano-Jinja RD 24h'!H25,'04.08.Mukwano-Jinja'!H25)</f>
        <v>0.14285714285714285</v>
      </c>
      <c r="I25" s="48">
        <f>AVERAGE('29.7.Mukwano-Jinja RD'!I25,'30.7.Mukwano-Jinja RD'!I25,'31.07.Mukwano RBT-JinjaRD'!I25,'01.08. Mukwano RBT-Jinja RD 24h'!I25,'02.08.Jinja-Mukwano'!I25,'03.8.Mukwano-Jinja RD 24h'!I25,'04.08.Mukwano-Jinja'!I25)</f>
        <v>9.1428571428571423</v>
      </c>
      <c r="J25" s="48">
        <f>AVERAGE('29.7.Mukwano-Jinja RD'!J25,'30.7.Mukwano-Jinja RD'!J25,'31.07.Mukwano RBT-JinjaRD'!J25,'01.08. Mukwano RBT-Jinja RD 24h'!J25,'02.08.Jinja-Mukwano'!J25,'03.8.Mukwano-Jinja RD 24h'!J25,'04.08.Mukwano-Jinja'!J25)</f>
        <v>5.5714285714285712</v>
      </c>
      <c r="K25" s="48">
        <f>AVERAGE('29.7.Mukwano-Jinja RD'!K25,'30.7.Mukwano-Jinja RD'!K25,'31.07.Mukwano RBT-JinjaRD'!K25,'01.08. Mukwano RBT-Jinja RD 24h'!K25,'02.08.Jinja-Mukwano'!K25,'03.8.Mukwano-Jinja RD 24h'!K25,'04.08.Mukwano-Jinja'!K25)</f>
        <v>1.1428571428571428</v>
      </c>
      <c r="L25" s="48">
        <f>AVERAGE('29.7.Mukwano-Jinja RD'!L25,'30.7.Mukwano-Jinja RD'!L25,'31.07.Mukwano RBT-JinjaRD'!L25,'01.08. Mukwano RBT-Jinja RD 24h'!L25,'02.08.Jinja-Mukwano'!L25,'03.8.Mukwano-Jinja RD 24h'!L25,'04.08.Mukwano-Jinja'!L25)</f>
        <v>1.1428571428571428</v>
      </c>
      <c r="M25" s="48">
        <f>AVERAGE('29.7.Mukwano-Jinja RD'!M25,'30.7.Mukwano-Jinja RD'!M25,'31.07.Mukwano RBT-JinjaRD'!M25,'01.08. Mukwano RBT-Jinja RD 24h'!M25,'02.08.Jinja-Mukwano'!M25,'03.8.Mukwano-Jinja RD 24h'!M25,'04.08.Mukwano-Jinja'!M25)</f>
        <v>379.85714285714283</v>
      </c>
      <c r="N25" s="48">
        <f>AVERAGE('29.7.Mukwano-Jinja RD'!N25,'30.7.Mukwano-Jinja RD'!N25,'31.07.Mukwano RBT-JinjaRD'!N25,'01.08. Mukwano RBT-Jinja RD 24h'!N25,'02.08.Jinja-Mukwano'!N25,'03.8.Mukwano-Jinja RD 24h'!N25,'04.08.Mukwano-Jinja'!N25)</f>
        <v>0</v>
      </c>
      <c r="O25" s="15">
        <f t="shared" si="0"/>
        <v>232.71428571428569</v>
      </c>
      <c r="P25" s="15">
        <f t="shared" si="1"/>
        <v>612.57142857142856</v>
      </c>
      <c r="R25" s="1" t="s">
        <v>149</v>
      </c>
      <c r="S25" s="33">
        <f>SUM(C70:C73)</f>
        <v>334.5</v>
      </c>
      <c r="T25" s="33">
        <f t="shared" ref="T25:AF25" si="17">SUM(D70:D73)</f>
        <v>79.5</v>
      </c>
      <c r="U25" s="33">
        <f t="shared" si="17"/>
        <v>17.5</v>
      </c>
      <c r="V25" s="33">
        <f t="shared" si="17"/>
        <v>21</v>
      </c>
      <c r="W25" s="33">
        <f t="shared" si="17"/>
        <v>1</v>
      </c>
      <c r="X25" s="33">
        <f t="shared" si="17"/>
        <v>0</v>
      </c>
      <c r="Y25" s="33">
        <f t="shared" si="17"/>
        <v>4</v>
      </c>
      <c r="Z25" s="33">
        <f t="shared" si="17"/>
        <v>6</v>
      </c>
      <c r="AA25" s="33">
        <f t="shared" si="17"/>
        <v>1.5</v>
      </c>
      <c r="AB25" s="33">
        <f t="shared" si="17"/>
        <v>4</v>
      </c>
      <c r="AC25" s="33">
        <f t="shared" si="17"/>
        <v>879.5</v>
      </c>
      <c r="AD25" s="33">
        <f t="shared" si="17"/>
        <v>0</v>
      </c>
      <c r="AE25" s="30">
        <f t="shared" si="17"/>
        <v>469</v>
      </c>
      <c r="AF25" s="30">
        <f t="shared" si="17"/>
        <v>1348.5</v>
      </c>
    </row>
    <row r="26" spans="2:32" ht="23.1" customHeight="1" x14ac:dyDescent="0.25">
      <c r="B26" s="22" t="s">
        <v>53</v>
      </c>
      <c r="C26" s="48">
        <f>AVERAGE('29.7.Mukwano-Jinja RD'!C26,'30.7.Mukwano-Jinja RD'!C26,'31.07.Mukwano RBT-JinjaRD'!C26,'01.08. Mukwano RBT-Jinja RD 24h'!C26,'02.08.Jinja-Mukwano'!C26,'03.8.Mukwano-Jinja RD 24h'!C26,'04.08.Mukwano-Jinja'!C26)</f>
        <v>152</v>
      </c>
      <c r="D26" s="48">
        <f>AVERAGE('29.7.Mukwano-Jinja RD'!D26,'30.7.Mukwano-Jinja RD'!D26,'31.07.Mukwano RBT-JinjaRD'!D26,'01.08. Mukwano RBT-Jinja RD 24h'!D26,'02.08.Jinja-Mukwano'!D26,'03.8.Mukwano-Jinja RD 24h'!D26,'04.08.Mukwano-Jinja'!D26)</f>
        <v>39.285714285714285</v>
      </c>
      <c r="E26" s="48">
        <f>AVERAGE('29.7.Mukwano-Jinja RD'!E26,'30.7.Mukwano-Jinja RD'!E26,'31.07.Mukwano RBT-JinjaRD'!E26,'01.08. Mukwano RBT-Jinja RD 24h'!E26,'02.08.Jinja-Mukwano'!E26,'03.8.Mukwano-Jinja RD 24h'!E26,'04.08.Mukwano-Jinja'!E26)</f>
        <v>18.285714285714285</v>
      </c>
      <c r="F26" s="48">
        <f>AVERAGE('29.7.Mukwano-Jinja RD'!F26,'30.7.Mukwano-Jinja RD'!F26,'31.07.Mukwano RBT-JinjaRD'!F26,'01.08. Mukwano RBT-Jinja RD 24h'!F26,'02.08.Jinja-Mukwano'!F26,'03.8.Mukwano-Jinja RD 24h'!F26,'04.08.Mukwano-Jinja'!F26)</f>
        <v>12.285714285714286</v>
      </c>
      <c r="G26" s="48">
        <f>AVERAGE('29.7.Mukwano-Jinja RD'!G26,'30.7.Mukwano-Jinja RD'!G26,'31.07.Mukwano RBT-JinjaRD'!G26,'01.08. Mukwano RBT-Jinja RD 24h'!G26,'02.08.Jinja-Mukwano'!G26,'03.8.Mukwano-Jinja RD 24h'!G26,'04.08.Mukwano-Jinja'!G26)</f>
        <v>1.5714285714285714</v>
      </c>
      <c r="H26" s="48">
        <f>AVERAGE('29.7.Mukwano-Jinja RD'!H26,'30.7.Mukwano-Jinja RD'!H26,'31.07.Mukwano RBT-JinjaRD'!H26,'01.08. Mukwano RBT-Jinja RD 24h'!H26,'02.08.Jinja-Mukwano'!H26,'03.8.Mukwano-Jinja RD 24h'!H26,'04.08.Mukwano-Jinja'!H26)</f>
        <v>0.14285714285714285</v>
      </c>
      <c r="I26" s="48">
        <f>AVERAGE('29.7.Mukwano-Jinja RD'!I26,'30.7.Mukwano-Jinja RD'!I26,'31.07.Mukwano RBT-JinjaRD'!I26,'01.08. Mukwano RBT-Jinja RD 24h'!I26,'02.08.Jinja-Mukwano'!I26,'03.8.Mukwano-Jinja RD 24h'!I26,'04.08.Mukwano-Jinja'!I26)</f>
        <v>5.7142857142857144</v>
      </c>
      <c r="J26" s="48">
        <f>AVERAGE('29.7.Mukwano-Jinja RD'!J26,'30.7.Mukwano-Jinja RD'!J26,'31.07.Mukwano RBT-JinjaRD'!J26,'01.08. Mukwano RBT-Jinja RD 24h'!J26,'02.08.Jinja-Mukwano'!J26,'03.8.Mukwano-Jinja RD 24h'!J26,'04.08.Mukwano-Jinja'!J26)</f>
        <v>5.8571428571428568</v>
      </c>
      <c r="K26" s="48">
        <f>AVERAGE('29.7.Mukwano-Jinja RD'!K26,'30.7.Mukwano-Jinja RD'!K26,'31.07.Mukwano RBT-JinjaRD'!K26,'01.08. Mukwano RBT-Jinja RD 24h'!K26,'02.08.Jinja-Mukwano'!K26,'03.8.Mukwano-Jinja RD 24h'!K26,'04.08.Mukwano-Jinja'!K26)</f>
        <v>1</v>
      </c>
      <c r="L26" s="48">
        <f>AVERAGE('29.7.Mukwano-Jinja RD'!L26,'30.7.Mukwano-Jinja RD'!L26,'31.07.Mukwano RBT-JinjaRD'!L26,'01.08. Mukwano RBT-Jinja RD 24h'!L26,'02.08.Jinja-Mukwano'!L26,'03.8.Mukwano-Jinja RD 24h'!L26,'04.08.Mukwano-Jinja'!L26)</f>
        <v>2.1428571428571428</v>
      </c>
      <c r="M26" s="48">
        <f>AVERAGE('29.7.Mukwano-Jinja RD'!M26,'30.7.Mukwano-Jinja RD'!M26,'31.07.Mukwano RBT-JinjaRD'!M26,'01.08. Mukwano RBT-Jinja RD 24h'!M26,'02.08.Jinja-Mukwano'!M26,'03.8.Mukwano-Jinja RD 24h'!M26,'04.08.Mukwano-Jinja'!M26)</f>
        <v>408.57142857142856</v>
      </c>
      <c r="N26" s="48">
        <f>AVERAGE('29.7.Mukwano-Jinja RD'!N26,'30.7.Mukwano-Jinja RD'!N26,'31.07.Mukwano RBT-JinjaRD'!N26,'01.08. Mukwano RBT-Jinja RD 24h'!N26,'02.08.Jinja-Mukwano'!N26,'03.8.Mukwano-Jinja RD 24h'!N26,'04.08.Mukwano-Jinja'!N26)</f>
        <v>0.2857142857142857</v>
      </c>
      <c r="O26" s="15">
        <f t="shared" si="0"/>
        <v>238.57142857142856</v>
      </c>
      <c r="P26" s="15">
        <f t="shared" si="1"/>
        <v>647.14285714285722</v>
      </c>
      <c r="R26" s="1" t="s">
        <v>150</v>
      </c>
      <c r="S26" s="33">
        <f>SUM(C74:C77)</f>
        <v>270.5</v>
      </c>
      <c r="T26" s="33">
        <f t="shared" ref="T26:AF26" si="18">SUM(D74:D77)</f>
        <v>69.5</v>
      </c>
      <c r="U26" s="33">
        <f t="shared" si="18"/>
        <v>12.5</v>
      </c>
      <c r="V26" s="33">
        <f t="shared" si="18"/>
        <v>6.5</v>
      </c>
      <c r="W26" s="33">
        <f t="shared" si="18"/>
        <v>0.5</v>
      </c>
      <c r="X26" s="33">
        <f t="shared" si="18"/>
        <v>0</v>
      </c>
      <c r="Y26" s="33">
        <f t="shared" si="18"/>
        <v>4.5</v>
      </c>
      <c r="Z26" s="33">
        <f t="shared" si="18"/>
        <v>3.5</v>
      </c>
      <c r="AA26" s="33">
        <f t="shared" si="18"/>
        <v>2.5</v>
      </c>
      <c r="AB26" s="33">
        <f t="shared" si="18"/>
        <v>2.5</v>
      </c>
      <c r="AC26" s="33">
        <f t="shared" si="18"/>
        <v>364.5</v>
      </c>
      <c r="AD26" s="33">
        <f t="shared" si="18"/>
        <v>0</v>
      </c>
      <c r="AE26" s="30">
        <f t="shared" si="18"/>
        <v>372.5</v>
      </c>
      <c r="AF26" s="30">
        <f t="shared" si="18"/>
        <v>737</v>
      </c>
    </row>
    <row r="27" spans="2:32" ht="23.1" customHeight="1" x14ac:dyDescent="0.25">
      <c r="B27" s="22" t="s">
        <v>54</v>
      </c>
      <c r="C27" s="48">
        <f>AVERAGE('29.7.Mukwano-Jinja RD'!C27,'30.7.Mukwano-Jinja RD'!C27,'31.07.Mukwano RBT-JinjaRD'!C27,'01.08. Mukwano RBT-Jinja RD 24h'!C27,'02.08.Jinja-Mukwano'!C27,'03.8.Mukwano-Jinja RD 24h'!C27,'04.08.Mukwano-Jinja'!C27)</f>
        <v>137.28571428571428</v>
      </c>
      <c r="D27" s="48">
        <f>AVERAGE('29.7.Mukwano-Jinja RD'!D27,'30.7.Mukwano-Jinja RD'!D27,'31.07.Mukwano RBT-JinjaRD'!D27,'01.08. Mukwano RBT-Jinja RD 24h'!D27,'02.08.Jinja-Mukwano'!D27,'03.8.Mukwano-Jinja RD 24h'!D27,'04.08.Mukwano-Jinja'!D27)</f>
        <v>34</v>
      </c>
      <c r="E27" s="48">
        <f>AVERAGE('29.7.Mukwano-Jinja RD'!E27,'30.7.Mukwano-Jinja RD'!E27,'31.07.Mukwano RBT-JinjaRD'!E27,'01.08. Mukwano RBT-Jinja RD 24h'!E27,'02.08.Jinja-Mukwano'!E27,'03.8.Mukwano-Jinja RD 24h'!E27,'04.08.Mukwano-Jinja'!E27)</f>
        <v>17.571428571428573</v>
      </c>
      <c r="F27" s="48">
        <f>AVERAGE('29.7.Mukwano-Jinja RD'!F27,'30.7.Mukwano-Jinja RD'!F27,'31.07.Mukwano RBT-JinjaRD'!F27,'01.08. Mukwano RBT-Jinja RD 24h'!F27,'02.08.Jinja-Mukwano'!F27,'03.8.Mukwano-Jinja RD 24h'!F27,'04.08.Mukwano-Jinja'!F27)</f>
        <v>10.142857142857142</v>
      </c>
      <c r="G27" s="48">
        <f>AVERAGE('29.7.Mukwano-Jinja RD'!G27,'30.7.Mukwano-Jinja RD'!G27,'31.07.Mukwano RBT-JinjaRD'!G27,'01.08. Mukwano RBT-Jinja RD 24h'!G27,'02.08.Jinja-Mukwano'!G27,'03.8.Mukwano-Jinja RD 24h'!G27,'04.08.Mukwano-Jinja'!G27)</f>
        <v>0.5714285714285714</v>
      </c>
      <c r="H27" s="48">
        <f>AVERAGE('29.7.Mukwano-Jinja RD'!H27,'30.7.Mukwano-Jinja RD'!H27,'31.07.Mukwano RBT-JinjaRD'!H27,'01.08. Mukwano RBT-Jinja RD 24h'!H27,'02.08.Jinja-Mukwano'!H27,'03.8.Mukwano-Jinja RD 24h'!H27,'04.08.Mukwano-Jinja'!H27)</f>
        <v>0</v>
      </c>
      <c r="I27" s="48">
        <f>AVERAGE('29.7.Mukwano-Jinja RD'!I27,'30.7.Mukwano-Jinja RD'!I27,'31.07.Mukwano RBT-JinjaRD'!I27,'01.08. Mukwano RBT-Jinja RD 24h'!I27,'02.08.Jinja-Mukwano'!I27,'03.8.Mukwano-Jinja RD 24h'!I27,'04.08.Mukwano-Jinja'!I27)</f>
        <v>6.2857142857142856</v>
      </c>
      <c r="J27" s="48">
        <f>AVERAGE('29.7.Mukwano-Jinja RD'!J27,'30.7.Mukwano-Jinja RD'!J27,'31.07.Mukwano RBT-JinjaRD'!J27,'01.08. Mukwano RBT-Jinja RD 24h'!J27,'02.08.Jinja-Mukwano'!J27,'03.8.Mukwano-Jinja RD 24h'!J27,'04.08.Mukwano-Jinja'!J27)</f>
        <v>4.7142857142857144</v>
      </c>
      <c r="K27" s="48">
        <f>AVERAGE('29.7.Mukwano-Jinja RD'!K27,'30.7.Mukwano-Jinja RD'!K27,'31.07.Mukwano RBT-JinjaRD'!K27,'01.08. Mukwano RBT-Jinja RD 24h'!K27,'02.08.Jinja-Mukwano'!K27,'03.8.Mukwano-Jinja RD 24h'!K27,'04.08.Mukwano-Jinja'!K27)</f>
        <v>1</v>
      </c>
      <c r="L27" s="48">
        <f>AVERAGE('29.7.Mukwano-Jinja RD'!L27,'30.7.Mukwano-Jinja RD'!L27,'31.07.Mukwano RBT-JinjaRD'!L27,'01.08. Mukwano RBT-Jinja RD 24h'!L27,'02.08.Jinja-Mukwano'!L27,'03.8.Mukwano-Jinja RD 24h'!L27,'04.08.Mukwano-Jinja'!L27)</f>
        <v>1.5714285714285714</v>
      </c>
      <c r="M27" s="48">
        <f>AVERAGE('29.7.Mukwano-Jinja RD'!M27,'30.7.Mukwano-Jinja RD'!M27,'31.07.Mukwano RBT-JinjaRD'!M27,'01.08. Mukwano RBT-Jinja RD 24h'!M27,'02.08.Jinja-Mukwano'!M27,'03.8.Mukwano-Jinja RD 24h'!M27,'04.08.Mukwano-Jinja'!M27)</f>
        <v>382.28571428571428</v>
      </c>
      <c r="N27" s="48">
        <f>AVERAGE('29.7.Mukwano-Jinja RD'!N27,'30.7.Mukwano-Jinja RD'!N27,'31.07.Mukwano RBT-JinjaRD'!N27,'01.08. Mukwano RBT-Jinja RD 24h'!N27,'02.08.Jinja-Mukwano'!N27,'03.8.Mukwano-Jinja RD 24h'!N27,'04.08.Mukwano-Jinja'!N27)</f>
        <v>0</v>
      </c>
      <c r="O27" s="15">
        <f t="shared" si="0"/>
        <v>213.14285714285717</v>
      </c>
      <c r="P27" s="15">
        <f t="shared" si="1"/>
        <v>595.42857142857144</v>
      </c>
      <c r="R27" s="1" t="s">
        <v>151</v>
      </c>
      <c r="S27" s="33">
        <f>SUM(C78:C81)</f>
        <v>165</v>
      </c>
      <c r="T27" s="33">
        <f t="shared" ref="T27:AF27" si="19">SUM(D78:D81)</f>
        <v>36.5</v>
      </c>
      <c r="U27" s="33">
        <f t="shared" si="19"/>
        <v>8.5</v>
      </c>
      <c r="V27" s="33">
        <f t="shared" si="19"/>
        <v>5.5</v>
      </c>
      <c r="W27" s="33">
        <f t="shared" si="19"/>
        <v>0</v>
      </c>
      <c r="X27" s="33">
        <f t="shared" si="19"/>
        <v>0</v>
      </c>
      <c r="Y27" s="33">
        <f t="shared" si="19"/>
        <v>4</v>
      </c>
      <c r="Z27" s="33">
        <f t="shared" si="19"/>
        <v>2.5</v>
      </c>
      <c r="AA27" s="33">
        <f t="shared" si="19"/>
        <v>0</v>
      </c>
      <c r="AB27" s="33">
        <f t="shared" si="19"/>
        <v>4</v>
      </c>
      <c r="AC27" s="33">
        <f t="shared" si="19"/>
        <v>194</v>
      </c>
      <c r="AD27" s="33">
        <f t="shared" si="19"/>
        <v>0</v>
      </c>
      <c r="AE27" s="30">
        <f t="shared" si="19"/>
        <v>226</v>
      </c>
      <c r="AF27" s="30">
        <f t="shared" si="19"/>
        <v>420</v>
      </c>
    </row>
    <row r="28" spans="2:32" ht="23.1" customHeight="1" x14ac:dyDescent="0.25">
      <c r="B28" s="22" t="s">
        <v>55</v>
      </c>
      <c r="C28" s="48">
        <f>AVERAGE('29.7.Mukwano-Jinja RD'!C28,'30.7.Mukwano-Jinja RD'!C28,'31.07.Mukwano RBT-JinjaRD'!C28,'01.08. Mukwano RBT-Jinja RD 24h'!C28,'02.08.Jinja-Mukwano'!C28,'03.8.Mukwano-Jinja RD 24h'!C28,'04.08.Mukwano-Jinja'!C28)</f>
        <v>155.28571428571428</v>
      </c>
      <c r="D28" s="48">
        <f>AVERAGE('29.7.Mukwano-Jinja RD'!D28,'30.7.Mukwano-Jinja RD'!D28,'31.07.Mukwano RBT-JinjaRD'!D28,'01.08. Mukwano RBT-Jinja RD 24h'!D28,'02.08.Jinja-Mukwano'!D28,'03.8.Mukwano-Jinja RD 24h'!D28,'04.08.Mukwano-Jinja'!D28)</f>
        <v>32.571428571428569</v>
      </c>
      <c r="E28" s="48">
        <f>AVERAGE('29.7.Mukwano-Jinja RD'!E28,'30.7.Mukwano-Jinja RD'!E28,'31.07.Mukwano RBT-JinjaRD'!E28,'01.08. Mukwano RBT-Jinja RD 24h'!E28,'02.08.Jinja-Mukwano'!E28,'03.8.Mukwano-Jinja RD 24h'!E28,'04.08.Mukwano-Jinja'!E28)</f>
        <v>15.142857142857142</v>
      </c>
      <c r="F28" s="48">
        <f>AVERAGE('29.7.Mukwano-Jinja RD'!F28,'30.7.Mukwano-Jinja RD'!F28,'31.07.Mukwano RBT-JinjaRD'!F28,'01.08. Mukwano RBT-Jinja RD 24h'!F28,'02.08.Jinja-Mukwano'!F28,'03.8.Mukwano-Jinja RD 24h'!F28,'04.08.Mukwano-Jinja'!F28)</f>
        <v>10.285714285714286</v>
      </c>
      <c r="G28" s="48">
        <f>AVERAGE('29.7.Mukwano-Jinja RD'!G28,'30.7.Mukwano-Jinja RD'!G28,'31.07.Mukwano RBT-JinjaRD'!G28,'01.08. Mukwano RBT-Jinja RD 24h'!G28,'02.08.Jinja-Mukwano'!G28,'03.8.Mukwano-Jinja RD 24h'!G28,'04.08.Mukwano-Jinja'!G28)</f>
        <v>0.14285714285714285</v>
      </c>
      <c r="H28" s="48">
        <f>AVERAGE('29.7.Mukwano-Jinja RD'!H28,'30.7.Mukwano-Jinja RD'!H28,'31.07.Mukwano RBT-JinjaRD'!H28,'01.08. Mukwano RBT-Jinja RD 24h'!H28,'02.08.Jinja-Mukwano'!H28,'03.8.Mukwano-Jinja RD 24h'!H28,'04.08.Mukwano-Jinja'!H28)</f>
        <v>0</v>
      </c>
      <c r="I28" s="48">
        <f>AVERAGE('29.7.Mukwano-Jinja RD'!I28,'30.7.Mukwano-Jinja RD'!I28,'31.07.Mukwano RBT-JinjaRD'!I28,'01.08. Mukwano RBT-Jinja RD 24h'!I28,'02.08.Jinja-Mukwano'!I28,'03.8.Mukwano-Jinja RD 24h'!I28,'04.08.Mukwano-Jinja'!I28)</f>
        <v>7</v>
      </c>
      <c r="J28" s="48">
        <f>AVERAGE('29.7.Mukwano-Jinja RD'!J28,'30.7.Mukwano-Jinja RD'!J28,'31.07.Mukwano RBT-JinjaRD'!J28,'01.08. Mukwano RBT-Jinja RD 24h'!J28,'02.08.Jinja-Mukwano'!J28,'03.8.Mukwano-Jinja RD 24h'!J28,'04.08.Mukwano-Jinja'!J28)</f>
        <v>4</v>
      </c>
      <c r="K28" s="48">
        <f>AVERAGE('29.7.Mukwano-Jinja RD'!K28,'30.7.Mukwano-Jinja RD'!K28,'31.07.Mukwano RBT-JinjaRD'!K28,'01.08. Mukwano RBT-Jinja RD 24h'!K28,'02.08.Jinja-Mukwano'!K28,'03.8.Mukwano-Jinja RD 24h'!K28,'04.08.Mukwano-Jinja'!K28)</f>
        <v>0.7142857142857143</v>
      </c>
      <c r="L28" s="48">
        <f>AVERAGE('29.7.Mukwano-Jinja RD'!L28,'30.7.Mukwano-Jinja RD'!L28,'31.07.Mukwano RBT-JinjaRD'!L28,'01.08. Mukwano RBT-Jinja RD 24h'!L28,'02.08.Jinja-Mukwano'!L28,'03.8.Mukwano-Jinja RD 24h'!L28,'04.08.Mukwano-Jinja'!L28)</f>
        <v>2</v>
      </c>
      <c r="M28" s="48">
        <f>AVERAGE('29.7.Mukwano-Jinja RD'!M28,'30.7.Mukwano-Jinja RD'!M28,'31.07.Mukwano RBT-JinjaRD'!M28,'01.08. Mukwano RBT-Jinja RD 24h'!M28,'02.08.Jinja-Mukwano'!M28,'03.8.Mukwano-Jinja RD 24h'!M28,'04.08.Mukwano-Jinja'!M28)</f>
        <v>341.57142857142856</v>
      </c>
      <c r="N28" s="48">
        <f>AVERAGE('29.7.Mukwano-Jinja RD'!N28,'30.7.Mukwano-Jinja RD'!N28,'31.07.Mukwano RBT-JinjaRD'!N28,'01.08. Mukwano RBT-Jinja RD 24h'!N28,'02.08.Jinja-Mukwano'!N28,'03.8.Mukwano-Jinja RD 24h'!N28,'04.08.Mukwano-Jinja'!N28)</f>
        <v>0</v>
      </c>
      <c r="O28" s="15">
        <f t="shared" si="0"/>
        <v>227.14285714285711</v>
      </c>
      <c r="P28" s="15">
        <f t="shared" si="1"/>
        <v>568.71428571428567</v>
      </c>
      <c r="R28" s="1" t="s">
        <v>152</v>
      </c>
      <c r="S28" s="33">
        <f>SUM(C82:C85)</f>
        <v>166</v>
      </c>
      <c r="T28" s="33">
        <f t="shared" ref="T28:AF28" si="20">SUM(D82:D85)</f>
        <v>17</v>
      </c>
      <c r="U28" s="33">
        <f t="shared" si="20"/>
        <v>5.5</v>
      </c>
      <c r="V28" s="33">
        <f t="shared" si="20"/>
        <v>7</v>
      </c>
      <c r="W28" s="33">
        <f t="shared" si="20"/>
        <v>0</v>
      </c>
      <c r="X28" s="33">
        <f t="shared" si="20"/>
        <v>0</v>
      </c>
      <c r="Y28" s="33">
        <f t="shared" si="20"/>
        <v>2</v>
      </c>
      <c r="Z28" s="33">
        <f t="shared" si="20"/>
        <v>1</v>
      </c>
      <c r="AA28" s="33">
        <f t="shared" si="20"/>
        <v>0.5</v>
      </c>
      <c r="AB28" s="33">
        <f t="shared" si="20"/>
        <v>4</v>
      </c>
      <c r="AC28" s="33">
        <f t="shared" si="20"/>
        <v>121</v>
      </c>
      <c r="AD28" s="33">
        <f t="shared" si="20"/>
        <v>0</v>
      </c>
      <c r="AE28" s="30">
        <f t="shared" si="20"/>
        <v>203</v>
      </c>
      <c r="AF28" s="30">
        <f t="shared" si="20"/>
        <v>324</v>
      </c>
    </row>
    <row r="29" spans="2:32" ht="23.1" customHeight="1" x14ac:dyDescent="0.25">
      <c r="B29" s="22" t="s">
        <v>56</v>
      </c>
      <c r="C29" s="48">
        <f>AVERAGE('29.7.Mukwano-Jinja RD'!C29,'30.7.Mukwano-Jinja RD'!C29,'31.07.Mukwano RBT-JinjaRD'!C29,'01.08. Mukwano RBT-Jinja RD 24h'!C29,'02.08.Jinja-Mukwano'!C29,'03.8.Mukwano-Jinja RD 24h'!C29,'04.08.Mukwano-Jinja'!C29)</f>
        <v>137.85714285714286</v>
      </c>
      <c r="D29" s="48">
        <f>AVERAGE('29.7.Mukwano-Jinja RD'!D29,'30.7.Mukwano-Jinja RD'!D29,'31.07.Mukwano RBT-JinjaRD'!D29,'01.08. Mukwano RBT-Jinja RD 24h'!D29,'02.08.Jinja-Mukwano'!D29,'03.8.Mukwano-Jinja RD 24h'!D29,'04.08.Mukwano-Jinja'!D29)</f>
        <v>29.142857142857142</v>
      </c>
      <c r="E29" s="48">
        <f>AVERAGE('29.7.Mukwano-Jinja RD'!E29,'30.7.Mukwano-Jinja RD'!E29,'31.07.Mukwano RBT-JinjaRD'!E29,'01.08. Mukwano RBT-Jinja RD 24h'!E29,'02.08.Jinja-Mukwano'!E29,'03.8.Mukwano-Jinja RD 24h'!E29,'04.08.Mukwano-Jinja'!E29)</f>
        <v>15.285714285714286</v>
      </c>
      <c r="F29" s="48">
        <f>AVERAGE('29.7.Mukwano-Jinja RD'!F29,'30.7.Mukwano-Jinja RD'!F29,'31.07.Mukwano RBT-JinjaRD'!F29,'01.08. Mukwano RBT-Jinja RD 24h'!F29,'02.08.Jinja-Mukwano'!F29,'03.8.Mukwano-Jinja RD 24h'!F29,'04.08.Mukwano-Jinja'!F29)</f>
        <v>10.142857142857142</v>
      </c>
      <c r="G29" s="48">
        <f>AVERAGE('29.7.Mukwano-Jinja RD'!G29,'30.7.Mukwano-Jinja RD'!G29,'31.07.Mukwano RBT-JinjaRD'!G29,'01.08. Mukwano RBT-Jinja RD 24h'!G29,'02.08.Jinja-Mukwano'!G29,'03.8.Mukwano-Jinja RD 24h'!G29,'04.08.Mukwano-Jinja'!G29)</f>
        <v>0.2857142857142857</v>
      </c>
      <c r="H29" s="48">
        <f>AVERAGE('29.7.Mukwano-Jinja RD'!H29,'30.7.Mukwano-Jinja RD'!H29,'31.07.Mukwano RBT-JinjaRD'!H29,'01.08. Mukwano RBT-Jinja RD 24h'!H29,'02.08.Jinja-Mukwano'!H29,'03.8.Mukwano-Jinja RD 24h'!H29,'04.08.Mukwano-Jinja'!H29)</f>
        <v>0.14285714285714285</v>
      </c>
      <c r="I29" s="48">
        <f>AVERAGE('29.7.Mukwano-Jinja RD'!I29,'30.7.Mukwano-Jinja RD'!I29,'31.07.Mukwano RBT-JinjaRD'!I29,'01.08. Mukwano RBT-Jinja RD 24h'!I29,'02.08.Jinja-Mukwano'!I29,'03.8.Mukwano-Jinja RD 24h'!I29,'04.08.Mukwano-Jinja'!I29)</f>
        <v>8.7142857142857135</v>
      </c>
      <c r="J29" s="48">
        <f>AVERAGE('29.7.Mukwano-Jinja RD'!J29,'30.7.Mukwano-Jinja RD'!J29,'31.07.Mukwano RBT-JinjaRD'!J29,'01.08. Mukwano RBT-Jinja RD 24h'!J29,'02.08.Jinja-Mukwano'!J29,'03.8.Mukwano-Jinja RD 24h'!J29,'04.08.Mukwano-Jinja'!J29)</f>
        <v>3.7142857142857144</v>
      </c>
      <c r="K29" s="48">
        <f>AVERAGE('29.7.Mukwano-Jinja RD'!K29,'30.7.Mukwano-Jinja RD'!K29,'31.07.Mukwano RBT-JinjaRD'!K29,'01.08. Mukwano RBT-Jinja RD 24h'!K29,'02.08.Jinja-Mukwano'!K29,'03.8.Mukwano-Jinja RD 24h'!K29,'04.08.Mukwano-Jinja'!K29)</f>
        <v>1.4285714285714286</v>
      </c>
      <c r="L29" s="48">
        <f>AVERAGE('29.7.Mukwano-Jinja RD'!L29,'30.7.Mukwano-Jinja RD'!L29,'31.07.Mukwano RBT-JinjaRD'!L29,'01.08. Mukwano RBT-Jinja RD 24h'!L29,'02.08.Jinja-Mukwano'!L29,'03.8.Mukwano-Jinja RD 24h'!L29,'04.08.Mukwano-Jinja'!L29)</f>
        <v>4.4285714285714288</v>
      </c>
      <c r="M29" s="48">
        <f>AVERAGE('29.7.Mukwano-Jinja RD'!M29,'30.7.Mukwano-Jinja RD'!M29,'31.07.Mukwano RBT-JinjaRD'!M29,'01.08. Mukwano RBT-Jinja RD 24h'!M29,'02.08.Jinja-Mukwano'!M29,'03.8.Mukwano-Jinja RD 24h'!M29,'04.08.Mukwano-Jinja'!M29)</f>
        <v>398.28571428571428</v>
      </c>
      <c r="N29" s="48">
        <f>AVERAGE('29.7.Mukwano-Jinja RD'!N29,'30.7.Mukwano-Jinja RD'!N29,'31.07.Mukwano RBT-JinjaRD'!N29,'01.08. Mukwano RBT-Jinja RD 24h'!N29,'02.08.Jinja-Mukwano'!N29,'03.8.Mukwano-Jinja RD 24h'!N29,'04.08.Mukwano-Jinja'!N29)</f>
        <v>0.14285714285714285</v>
      </c>
      <c r="O29" s="15">
        <f t="shared" si="0"/>
        <v>211.28571428571425</v>
      </c>
      <c r="P29" s="15">
        <f t="shared" si="1"/>
        <v>609.57142857142844</v>
      </c>
      <c r="R29" s="1" t="s">
        <v>153</v>
      </c>
      <c r="S29" s="33">
        <f>SUM(C86:C89)</f>
        <v>67.5</v>
      </c>
      <c r="T29" s="33">
        <f t="shared" ref="T29:AF29" si="21">SUM(D86:D89)</f>
        <v>9</v>
      </c>
      <c r="U29" s="33">
        <f t="shared" si="21"/>
        <v>5.5</v>
      </c>
      <c r="V29" s="33">
        <f t="shared" si="21"/>
        <v>0.5</v>
      </c>
      <c r="W29" s="33">
        <f t="shared" si="21"/>
        <v>0</v>
      </c>
      <c r="X29" s="33">
        <f t="shared" si="21"/>
        <v>0</v>
      </c>
      <c r="Y29" s="33">
        <f t="shared" si="21"/>
        <v>1.5</v>
      </c>
      <c r="Z29" s="33">
        <f t="shared" si="21"/>
        <v>0.5</v>
      </c>
      <c r="AA29" s="33">
        <f t="shared" si="21"/>
        <v>1</v>
      </c>
      <c r="AB29" s="33">
        <f t="shared" si="21"/>
        <v>3.5</v>
      </c>
      <c r="AC29" s="33">
        <f t="shared" si="21"/>
        <v>76.5</v>
      </c>
      <c r="AD29" s="33">
        <f t="shared" si="21"/>
        <v>0</v>
      </c>
      <c r="AE29" s="30">
        <f t="shared" si="21"/>
        <v>89</v>
      </c>
      <c r="AF29" s="30">
        <f t="shared" si="21"/>
        <v>165.5</v>
      </c>
    </row>
    <row r="30" spans="2:32" ht="23.1" customHeight="1" x14ac:dyDescent="0.25">
      <c r="B30" s="22" t="s">
        <v>57</v>
      </c>
      <c r="C30" s="48">
        <f>AVERAGE('29.7.Mukwano-Jinja RD'!C30,'30.7.Mukwano-Jinja RD'!C30,'31.07.Mukwano RBT-JinjaRD'!C30,'01.08. Mukwano RBT-Jinja RD 24h'!C30,'02.08.Jinja-Mukwano'!C30,'03.8.Mukwano-Jinja RD 24h'!C30,'04.08.Mukwano-Jinja'!C30)</f>
        <v>154</v>
      </c>
      <c r="D30" s="48">
        <f>AVERAGE('29.7.Mukwano-Jinja RD'!D30,'30.7.Mukwano-Jinja RD'!D30,'31.07.Mukwano RBT-JinjaRD'!D30,'01.08. Mukwano RBT-Jinja RD 24h'!D30,'02.08.Jinja-Mukwano'!D30,'03.8.Mukwano-Jinja RD 24h'!D30,'04.08.Mukwano-Jinja'!D30)</f>
        <v>36</v>
      </c>
      <c r="E30" s="48">
        <f>AVERAGE('29.7.Mukwano-Jinja RD'!E30,'30.7.Mukwano-Jinja RD'!E30,'31.07.Mukwano RBT-JinjaRD'!E30,'01.08. Mukwano RBT-Jinja RD 24h'!E30,'02.08.Jinja-Mukwano'!E30,'03.8.Mukwano-Jinja RD 24h'!E30,'04.08.Mukwano-Jinja'!E30)</f>
        <v>18.714285714285715</v>
      </c>
      <c r="F30" s="48">
        <f>AVERAGE('29.7.Mukwano-Jinja RD'!F30,'30.7.Mukwano-Jinja RD'!F30,'31.07.Mukwano RBT-JinjaRD'!F30,'01.08. Mukwano RBT-Jinja RD 24h'!F30,'02.08.Jinja-Mukwano'!F30,'03.8.Mukwano-Jinja RD 24h'!F30,'04.08.Mukwano-Jinja'!F30)</f>
        <v>10</v>
      </c>
      <c r="G30" s="48">
        <f>AVERAGE('29.7.Mukwano-Jinja RD'!G30,'30.7.Mukwano-Jinja RD'!G30,'31.07.Mukwano RBT-JinjaRD'!G30,'01.08. Mukwano RBT-Jinja RD 24h'!G30,'02.08.Jinja-Mukwano'!G30,'03.8.Mukwano-Jinja RD 24h'!G30,'04.08.Mukwano-Jinja'!G30)</f>
        <v>0.8571428571428571</v>
      </c>
      <c r="H30" s="48">
        <f>AVERAGE('29.7.Mukwano-Jinja RD'!H30,'30.7.Mukwano-Jinja RD'!H30,'31.07.Mukwano RBT-JinjaRD'!H30,'01.08. Mukwano RBT-Jinja RD 24h'!H30,'02.08.Jinja-Mukwano'!H30,'03.8.Mukwano-Jinja RD 24h'!H30,'04.08.Mukwano-Jinja'!H30)</f>
        <v>0.2857142857142857</v>
      </c>
      <c r="I30" s="48">
        <f>AVERAGE('29.7.Mukwano-Jinja RD'!I30,'30.7.Mukwano-Jinja RD'!I30,'31.07.Mukwano RBT-JinjaRD'!I30,'01.08. Mukwano RBT-Jinja RD 24h'!I30,'02.08.Jinja-Mukwano'!I30,'03.8.Mukwano-Jinja RD 24h'!I30,'04.08.Mukwano-Jinja'!I30)</f>
        <v>9.8571428571428577</v>
      </c>
      <c r="J30" s="48">
        <f>AVERAGE('29.7.Mukwano-Jinja RD'!J30,'30.7.Mukwano-Jinja RD'!J30,'31.07.Mukwano RBT-JinjaRD'!J30,'01.08. Mukwano RBT-Jinja RD 24h'!J30,'02.08.Jinja-Mukwano'!J30,'03.8.Mukwano-Jinja RD 24h'!J30,'04.08.Mukwano-Jinja'!J30)</f>
        <v>6.2857142857142856</v>
      </c>
      <c r="K30" s="48">
        <f>AVERAGE('29.7.Mukwano-Jinja RD'!K30,'30.7.Mukwano-Jinja RD'!K30,'31.07.Mukwano RBT-JinjaRD'!K30,'01.08. Mukwano RBT-Jinja RD 24h'!K30,'02.08.Jinja-Mukwano'!K30,'03.8.Mukwano-Jinja RD 24h'!K30,'04.08.Mukwano-Jinja'!K30)</f>
        <v>1.5714285714285714</v>
      </c>
      <c r="L30" s="48">
        <f>AVERAGE('29.7.Mukwano-Jinja RD'!L30,'30.7.Mukwano-Jinja RD'!L30,'31.07.Mukwano RBT-JinjaRD'!L30,'01.08. Mukwano RBT-Jinja RD 24h'!L30,'02.08.Jinja-Mukwano'!L30,'03.8.Mukwano-Jinja RD 24h'!L30,'04.08.Mukwano-Jinja'!L30)</f>
        <v>2.7142857142857144</v>
      </c>
      <c r="M30" s="48">
        <f>AVERAGE('29.7.Mukwano-Jinja RD'!M30,'30.7.Mukwano-Jinja RD'!M30,'31.07.Mukwano RBT-JinjaRD'!M30,'01.08. Mukwano RBT-Jinja RD 24h'!M30,'02.08.Jinja-Mukwano'!M30,'03.8.Mukwano-Jinja RD 24h'!M30,'04.08.Mukwano-Jinja'!M30)</f>
        <v>414.14285714285717</v>
      </c>
      <c r="N30" s="48">
        <f>AVERAGE('29.7.Mukwano-Jinja RD'!N30,'30.7.Mukwano-Jinja RD'!N30,'31.07.Mukwano RBT-JinjaRD'!N30,'01.08. Mukwano RBT-Jinja RD 24h'!N30,'02.08.Jinja-Mukwano'!N30,'03.8.Mukwano-Jinja RD 24h'!N30,'04.08.Mukwano-Jinja'!N30)</f>
        <v>0</v>
      </c>
      <c r="O30" s="15">
        <f t="shared" si="0"/>
        <v>240.28571428571431</v>
      </c>
      <c r="P30" s="15">
        <f t="shared" si="1"/>
        <v>654.42857142857144</v>
      </c>
      <c r="R30" s="1" t="s">
        <v>154</v>
      </c>
      <c r="S30" s="33">
        <f>SUM(C90:C93)</f>
        <v>55.5</v>
      </c>
      <c r="T30" s="33">
        <f t="shared" ref="T30:AF30" si="22">SUM(D90:D93)</f>
        <v>11.5</v>
      </c>
      <c r="U30" s="33">
        <f t="shared" si="22"/>
        <v>1.5</v>
      </c>
      <c r="V30" s="33">
        <f t="shared" si="22"/>
        <v>3.5</v>
      </c>
      <c r="W30" s="33">
        <f t="shared" si="22"/>
        <v>0</v>
      </c>
      <c r="X30" s="33">
        <f t="shared" si="22"/>
        <v>0</v>
      </c>
      <c r="Y30" s="33">
        <f t="shared" si="22"/>
        <v>4.5</v>
      </c>
      <c r="Z30" s="33">
        <f t="shared" si="22"/>
        <v>2</v>
      </c>
      <c r="AA30" s="33">
        <f t="shared" si="22"/>
        <v>1</v>
      </c>
      <c r="AB30" s="33">
        <f t="shared" si="22"/>
        <v>3</v>
      </c>
      <c r="AC30" s="33">
        <f t="shared" si="22"/>
        <v>64.5</v>
      </c>
      <c r="AD30" s="33">
        <f t="shared" si="22"/>
        <v>0</v>
      </c>
      <c r="AE30" s="30">
        <f t="shared" si="22"/>
        <v>82.5</v>
      </c>
      <c r="AF30" s="30">
        <f t="shared" si="22"/>
        <v>147</v>
      </c>
    </row>
    <row r="31" spans="2:32" ht="23.1" customHeight="1" x14ac:dyDescent="0.25">
      <c r="B31" s="23" t="s">
        <v>58</v>
      </c>
      <c r="C31" s="48">
        <f>AVERAGE('29.7.Mukwano-Jinja RD'!C31,'30.7.Mukwano-Jinja RD'!C31,'31.07.Mukwano RBT-JinjaRD'!C31,'01.08. Mukwano RBT-Jinja RD 24h'!C31,'02.08.Jinja-Mukwano'!C31,'03.8.Mukwano-Jinja RD 24h'!C31,'04.08.Mukwano-Jinja'!C31)</f>
        <v>146.85714285714286</v>
      </c>
      <c r="D31" s="48">
        <f>AVERAGE('29.7.Mukwano-Jinja RD'!D31,'30.7.Mukwano-Jinja RD'!D31,'31.07.Mukwano RBT-JinjaRD'!D31,'01.08. Mukwano RBT-Jinja RD 24h'!D31,'02.08.Jinja-Mukwano'!D31,'03.8.Mukwano-Jinja RD 24h'!D31,'04.08.Mukwano-Jinja'!D31)</f>
        <v>35.142857142857146</v>
      </c>
      <c r="E31" s="48">
        <f>AVERAGE('29.7.Mukwano-Jinja RD'!E31,'30.7.Mukwano-Jinja RD'!E31,'31.07.Mukwano RBT-JinjaRD'!E31,'01.08. Mukwano RBT-Jinja RD 24h'!E31,'02.08.Jinja-Mukwano'!E31,'03.8.Mukwano-Jinja RD 24h'!E31,'04.08.Mukwano-Jinja'!E31)</f>
        <v>13.857142857142858</v>
      </c>
      <c r="F31" s="48">
        <f>AVERAGE('29.7.Mukwano-Jinja RD'!F31,'30.7.Mukwano-Jinja RD'!F31,'31.07.Mukwano RBT-JinjaRD'!F31,'01.08. Mukwano RBT-Jinja RD 24h'!F31,'02.08.Jinja-Mukwano'!F31,'03.8.Mukwano-Jinja RD 24h'!F31,'04.08.Mukwano-Jinja'!F31)</f>
        <v>9.7142857142857135</v>
      </c>
      <c r="G31" s="48">
        <f>AVERAGE('29.7.Mukwano-Jinja RD'!G31,'30.7.Mukwano-Jinja RD'!G31,'31.07.Mukwano RBT-JinjaRD'!G31,'01.08. Mukwano RBT-Jinja RD 24h'!G31,'02.08.Jinja-Mukwano'!G31,'03.8.Mukwano-Jinja RD 24h'!G31,'04.08.Mukwano-Jinja'!G31)</f>
        <v>0.42857142857142855</v>
      </c>
      <c r="H31" s="48">
        <f>AVERAGE('29.7.Mukwano-Jinja RD'!H31,'30.7.Mukwano-Jinja RD'!H31,'31.07.Mukwano RBT-JinjaRD'!H31,'01.08. Mukwano RBT-Jinja RD 24h'!H31,'02.08.Jinja-Mukwano'!H31,'03.8.Mukwano-Jinja RD 24h'!H31,'04.08.Mukwano-Jinja'!H31)</f>
        <v>0</v>
      </c>
      <c r="I31" s="48">
        <f>AVERAGE('29.7.Mukwano-Jinja RD'!I31,'30.7.Mukwano-Jinja RD'!I31,'31.07.Mukwano RBT-JinjaRD'!I31,'01.08. Mukwano RBT-Jinja RD 24h'!I31,'02.08.Jinja-Mukwano'!I31,'03.8.Mukwano-Jinja RD 24h'!I31,'04.08.Mukwano-Jinja'!I31)</f>
        <v>5.5714285714285712</v>
      </c>
      <c r="J31" s="48">
        <f>AVERAGE('29.7.Mukwano-Jinja RD'!J31,'30.7.Mukwano-Jinja RD'!J31,'31.07.Mukwano RBT-JinjaRD'!J31,'01.08. Mukwano RBT-Jinja RD 24h'!J31,'02.08.Jinja-Mukwano'!J31,'03.8.Mukwano-Jinja RD 24h'!J31,'04.08.Mukwano-Jinja'!J31)</f>
        <v>4.2857142857142856</v>
      </c>
      <c r="K31" s="48">
        <f>AVERAGE('29.7.Mukwano-Jinja RD'!K31,'30.7.Mukwano-Jinja RD'!K31,'31.07.Mukwano RBT-JinjaRD'!K31,'01.08. Mukwano RBT-Jinja RD 24h'!K31,'02.08.Jinja-Mukwano'!K31,'03.8.Mukwano-Jinja RD 24h'!K31,'04.08.Mukwano-Jinja'!K31)</f>
        <v>1</v>
      </c>
      <c r="L31" s="48">
        <f>AVERAGE('29.7.Mukwano-Jinja RD'!L31,'30.7.Mukwano-Jinja RD'!L31,'31.07.Mukwano RBT-JinjaRD'!L31,'01.08. Mukwano RBT-Jinja RD 24h'!L31,'02.08.Jinja-Mukwano'!L31,'03.8.Mukwano-Jinja RD 24h'!L31,'04.08.Mukwano-Jinja'!L31)</f>
        <v>2.1428571428571428</v>
      </c>
      <c r="M31" s="48">
        <f>AVERAGE('29.7.Mukwano-Jinja RD'!M31,'30.7.Mukwano-Jinja RD'!M31,'31.07.Mukwano RBT-JinjaRD'!M31,'01.08. Mukwano RBT-Jinja RD 24h'!M31,'02.08.Jinja-Mukwano'!M31,'03.8.Mukwano-Jinja RD 24h'!M31,'04.08.Mukwano-Jinja'!M31)</f>
        <v>415.28571428571428</v>
      </c>
      <c r="N31" s="48">
        <f>AVERAGE('29.7.Mukwano-Jinja RD'!N31,'30.7.Mukwano-Jinja RD'!N31,'31.07.Mukwano RBT-JinjaRD'!N31,'01.08. Mukwano RBT-Jinja RD 24h'!N31,'02.08.Jinja-Mukwano'!N31,'03.8.Mukwano-Jinja RD 24h'!N31,'04.08.Mukwano-Jinja'!N31)</f>
        <v>0.14285714285714285</v>
      </c>
      <c r="O31" s="15">
        <f t="shared" si="0"/>
        <v>219.14285714285714</v>
      </c>
      <c r="P31" s="15">
        <f t="shared" si="1"/>
        <v>634.42857142857133</v>
      </c>
      <c r="R31" s="1" t="s">
        <v>155</v>
      </c>
      <c r="S31" s="33">
        <f>SUM(C94:C97)</f>
        <v>33.5</v>
      </c>
      <c r="T31" s="33">
        <f t="shared" ref="T31:AF31" si="23">SUM(D94:D97)</f>
        <v>4.5</v>
      </c>
      <c r="U31" s="33">
        <f t="shared" si="23"/>
        <v>0.5</v>
      </c>
      <c r="V31" s="33">
        <f t="shared" si="23"/>
        <v>4</v>
      </c>
      <c r="W31" s="33">
        <f t="shared" si="23"/>
        <v>0</v>
      </c>
      <c r="X31" s="33">
        <f t="shared" si="23"/>
        <v>1.5</v>
      </c>
      <c r="Y31" s="33">
        <f t="shared" si="23"/>
        <v>3</v>
      </c>
      <c r="Z31" s="33">
        <f t="shared" si="23"/>
        <v>2.5</v>
      </c>
      <c r="AA31" s="33">
        <f t="shared" si="23"/>
        <v>1</v>
      </c>
      <c r="AB31" s="33">
        <f t="shared" si="23"/>
        <v>0</v>
      </c>
      <c r="AC31" s="33">
        <f t="shared" si="23"/>
        <v>112</v>
      </c>
      <c r="AD31" s="33">
        <f t="shared" si="23"/>
        <v>0</v>
      </c>
      <c r="AE31" s="30">
        <f t="shared" si="23"/>
        <v>50.5</v>
      </c>
      <c r="AF31" s="30">
        <f t="shared" si="23"/>
        <v>162.5</v>
      </c>
    </row>
    <row r="32" spans="2:32" ht="23.1" customHeight="1" x14ac:dyDescent="0.25">
      <c r="B32" s="23" t="s">
        <v>59</v>
      </c>
      <c r="C32" s="48">
        <f>AVERAGE('29.7.Mukwano-Jinja RD'!C32,'30.7.Mukwano-Jinja RD'!C32,'31.07.Mukwano RBT-JinjaRD'!C32,'01.08. Mukwano RBT-Jinja RD 24h'!C32,'02.08.Jinja-Mukwano'!C32,'03.8.Mukwano-Jinja RD 24h'!C32,'04.08.Mukwano-Jinja'!C32)</f>
        <v>142.71428571428572</v>
      </c>
      <c r="D32" s="48">
        <f>AVERAGE('29.7.Mukwano-Jinja RD'!D32,'30.7.Mukwano-Jinja RD'!D32,'31.07.Mukwano RBT-JinjaRD'!D32,'01.08. Mukwano RBT-Jinja RD 24h'!D32,'02.08.Jinja-Mukwano'!D32,'03.8.Mukwano-Jinja RD 24h'!D32,'04.08.Mukwano-Jinja'!D32)</f>
        <v>30.857142857142858</v>
      </c>
      <c r="E32" s="48">
        <f>AVERAGE('29.7.Mukwano-Jinja RD'!E32,'30.7.Mukwano-Jinja RD'!E32,'31.07.Mukwano RBT-JinjaRD'!E32,'01.08. Mukwano RBT-Jinja RD 24h'!E32,'02.08.Jinja-Mukwano'!E32,'03.8.Mukwano-Jinja RD 24h'!E32,'04.08.Mukwano-Jinja'!E32)</f>
        <v>17.142857142857142</v>
      </c>
      <c r="F32" s="48">
        <f>AVERAGE('29.7.Mukwano-Jinja RD'!F32,'30.7.Mukwano-Jinja RD'!F32,'31.07.Mukwano RBT-JinjaRD'!F32,'01.08. Mukwano RBT-Jinja RD 24h'!F32,'02.08.Jinja-Mukwano'!F32,'03.8.Mukwano-Jinja RD 24h'!F32,'04.08.Mukwano-Jinja'!F32)</f>
        <v>9.8571428571428577</v>
      </c>
      <c r="G32" s="48">
        <f>AVERAGE('29.7.Mukwano-Jinja RD'!G32,'30.7.Mukwano-Jinja RD'!G32,'31.07.Mukwano RBT-JinjaRD'!G32,'01.08. Mukwano RBT-Jinja RD 24h'!G32,'02.08.Jinja-Mukwano'!G32,'03.8.Mukwano-Jinja RD 24h'!G32,'04.08.Mukwano-Jinja'!G32)</f>
        <v>0.5714285714285714</v>
      </c>
      <c r="H32" s="48">
        <f>AVERAGE('29.7.Mukwano-Jinja RD'!H32,'30.7.Mukwano-Jinja RD'!H32,'31.07.Mukwano RBT-JinjaRD'!H32,'01.08. Mukwano RBT-Jinja RD 24h'!H32,'02.08.Jinja-Mukwano'!H32,'03.8.Mukwano-Jinja RD 24h'!H32,'04.08.Mukwano-Jinja'!H32)</f>
        <v>0.2857142857142857</v>
      </c>
      <c r="I32" s="48">
        <f>AVERAGE('29.7.Mukwano-Jinja RD'!I32,'30.7.Mukwano-Jinja RD'!I32,'31.07.Mukwano RBT-JinjaRD'!I32,'01.08. Mukwano RBT-Jinja RD 24h'!I32,'02.08.Jinja-Mukwano'!I32,'03.8.Mukwano-Jinja RD 24h'!I32,'04.08.Mukwano-Jinja'!I32)</f>
        <v>8</v>
      </c>
      <c r="J32" s="48">
        <f>AVERAGE('29.7.Mukwano-Jinja RD'!J32,'30.7.Mukwano-Jinja RD'!J32,'31.07.Mukwano RBT-JinjaRD'!J32,'01.08. Mukwano RBT-Jinja RD 24h'!J32,'02.08.Jinja-Mukwano'!J32,'03.8.Mukwano-Jinja RD 24h'!J32,'04.08.Mukwano-Jinja'!J32)</f>
        <v>4.1428571428571432</v>
      </c>
      <c r="K32" s="48">
        <f>AVERAGE('29.7.Mukwano-Jinja RD'!K32,'30.7.Mukwano-Jinja RD'!K32,'31.07.Mukwano RBT-JinjaRD'!K32,'01.08. Mukwano RBT-Jinja RD 24h'!K32,'02.08.Jinja-Mukwano'!K32,'03.8.Mukwano-Jinja RD 24h'!K32,'04.08.Mukwano-Jinja'!K32)</f>
        <v>0.8571428571428571</v>
      </c>
      <c r="L32" s="48">
        <f>AVERAGE('29.7.Mukwano-Jinja RD'!L32,'30.7.Mukwano-Jinja RD'!L32,'31.07.Mukwano RBT-JinjaRD'!L32,'01.08. Mukwano RBT-Jinja RD 24h'!L32,'02.08.Jinja-Mukwano'!L32,'03.8.Mukwano-Jinja RD 24h'!L32,'04.08.Mukwano-Jinja'!L32)</f>
        <v>1.8571428571428572</v>
      </c>
      <c r="M32" s="48">
        <f>AVERAGE('29.7.Mukwano-Jinja RD'!M32,'30.7.Mukwano-Jinja RD'!M32,'31.07.Mukwano RBT-JinjaRD'!M32,'01.08. Mukwano RBT-Jinja RD 24h'!M32,'02.08.Jinja-Mukwano'!M32,'03.8.Mukwano-Jinja RD 24h'!M32,'04.08.Mukwano-Jinja'!M32)</f>
        <v>365.42857142857144</v>
      </c>
      <c r="N32" s="48">
        <f>AVERAGE('29.7.Mukwano-Jinja RD'!N32,'30.7.Mukwano-Jinja RD'!N32,'31.07.Mukwano RBT-JinjaRD'!N32,'01.08. Mukwano RBT-Jinja RD 24h'!N32,'02.08.Jinja-Mukwano'!N32,'03.8.Mukwano-Jinja RD 24h'!N32,'04.08.Mukwano-Jinja'!N32)</f>
        <v>0.14285714285714285</v>
      </c>
      <c r="O32" s="15">
        <f t="shared" si="0"/>
        <v>216.42857142857144</v>
      </c>
      <c r="P32" s="15">
        <f t="shared" si="1"/>
        <v>581.85714285714289</v>
      </c>
      <c r="R32" s="1" t="s">
        <v>156</v>
      </c>
      <c r="S32" s="33">
        <f>SUM(C98:C101)</f>
        <v>85.5</v>
      </c>
      <c r="T32" s="33">
        <f t="shared" ref="T32:AF32" si="24">SUM(D98:D101)</f>
        <v>14.5</v>
      </c>
      <c r="U32" s="33">
        <f t="shared" si="24"/>
        <v>8</v>
      </c>
      <c r="V32" s="33">
        <f t="shared" si="24"/>
        <v>11</v>
      </c>
      <c r="W32" s="33">
        <f t="shared" si="24"/>
        <v>1</v>
      </c>
      <c r="X32" s="33">
        <f t="shared" si="24"/>
        <v>0.5</v>
      </c>
      <c r="Y32" s="33">
        <f t="shared" si="24"/>
        <v>3.5</v>
      </c>
      <c r="Z32" s="33">
        <f t="shared" si="24"/>
        <v>5.5</v>
      </c>
      <c r="AA32" s="33">
        <f t="shared" si="24"/>
        <v>1.5</v>
      </c>
      <c r="AB32" s="33">
        <f t="shared" si="24"/>
        <v>4</v>
      </c>
      <c r="AC32" s="33">
        <f t="shared" si="24"/>
        <v>171</v>
      </c>
      <c r="AD32" s="33">
        <f t="shared" si="24"/>
        <v>0</v>
      </c>
      <c r="AE32" s="30">
        <f t="shared" si="24"/>
        <v>135</v>
      </c>
      <c r="AF32" s="30">
        <f t="shared" si="24"/>
        <v>306</v>
      </c>
    </row>
    <row r="33" spans="2:32" ht="23.1" customHeight="1" x14ac:dyDescent="0.25">
      <c r="B33" s="22" t="s">
        <v>60</v>
      </c>
      <c r="C33" s="48">
        <f>AVERAGE('29.7.Mukwano-Jinja RD'!C33,'30.7.Mukwano-Jinja RD'!C33,'31.07.Mukwano RBT-JinjaRD'!C33,'01.08. Mukwano RBT-Jinja RD 24h'!C33,'02.08.Jinja-Mukwano'!C33,'03.8.Mukwano-Jinja RD 24h'!C33,'04.08.Mukwano-Jinja'!C33)</f>
        <v>172.57142857142858</v>
      </c>
      <c r="D33" s="48">
        <f>AVERAGE('29.7.Mukwano-Jinja RD'!D33,'30.7.Mukwano-Jinja RD'!D33,'31.07.Mukwano RBT-JinjaRD'!D33,'01.08. Mukwano RBT-Jinja RD 24h'!D33,'02.08.Jinja-Mukwano'!D33,'03.8.Mukwano-Jinja RD 24h'!D33,'04.08.Mukwano-Jinja'!D33)</f>
        <v>28.714285714285715</v>
      </c>
      <c r="E33" s="48">
        <f>AVERAGE('29.7.Mukwano-Jinja RD'!E33,'30.7.Mukwano-Jinja RD'!E33,'31.07.Mukwano RBT-JinjaRD'!E33,'01.08. Mukwano RBT-Jinja RD 24h'!E33,'02.08.Jinja-Mukwano'!E33,'03.8.Mukwano-Jinja RD 24h'!E33,'04.08.Mukwano-Jinja'!E33)</f>
        <v>15.857142857142858</v>
      </c>
      <c r="F33" s="48">
        <f>AVERAGE('29.7.Mukwano-Jinja RD'!F33,'30.7.Mukwano-Jinja RD'!F33,'31.07.Mukwano RBT-JinjaRD'!F33,'01.08. Mukwano RBT-Jinja RD 24h'!F33,'02.08.Jinja-Mukwano'!F33,'03.8.Mukwano-Jinja RD 24h'!F33,'04.08.Mukwano-Jinja'!F33)</f>
        <v>8.4285714285714288</v>
      </c>
      <c r="G33" s="48">
        <f>AVERAGE('29.7.Mukwano-Jinja RD'!G33,'30.7.Mukwano-Jinja RD'!G33,'31.07.Mukwano RBT-JinjaRD'!G33,'01.08. Mukwano RBT-Jinja RD 24h'!G33,'02.08.Jinja-Mukwano'!G33,'03.8.Mukwano-Jinja RD 24h'!G33,'04.08.Mukwano-Jinja'!G33)</f>
        <v>0.42857142857142855</v>
      </c>
      <c r="H33" s="48">
        <f>AVERAGE('29.7.Mukwano-Jinja RD'!H33,'30.7.Mukwano-Jinja RD'!H33,'31.07.Mukwano RBT-JinjaRD'!H33,'01.08. Mukwano RBT-Jinja RD 24h'!H33,'02.08.Jinja-Mukwano'!H33,'03.8.Mukwano-Jinja RD 24h'!H33,'04.08.Mukwano-Jinja'!H33)</f>
        <v>0.2857142857142857</v>
      </c>
      <c r="I33" s="48">
        <f>AVERAGE('29.7.Mukwano-Jinja RD'!I33,'30.7.Mukwano-Jinja RD'!I33,'31.07.Mukwano RBT-JinjaRD'!I33,'01.08. Mukwano RBT-Jinja RD 24h'!I33,'02.08.Jinja-Mukwano'!I33,'03.8.Mukwano-Jinja RD 24h'!I33,'04.08.Mukwano-Jinja'!I33)</f>
        <v>6.1428571428571432</v>
      </c>
      <c r="J33" s="48">
        <f>AVERAGE('29.7.Mukwano-Jinja RD'!J33,'30.7.Mukwano-Jinja RD'!J33,'31.07.Mukwano RBT-JinjaRD'!J33,'01.08. Mukwano RBT-Jinja RD 24h'!J33,'02.08.Jinja-Mukwano'!J33,'03.8.Mukwano-Jinja RD 24h'!J33,'04.08.Mukwano-Jinja'!J33)</f>
        <v>3.7142857142857144</v>
      </c>
      <c r="K33" s="48">
        <f>AVERAGE('29.7.Mukwano-Jinja RD'!K33,'30.7.Mukwano-Jinja RD'!K33,'31.07.Mukwano RBT-JinjaRD'!K33,'01.08. Mukwano RBT-Jinja RD 24h'!K33,'02.08.Jinja-Mukwano'!K33,'03.8.Mukwano-Jinja RD 24h'!K33,'04.08.Mukwano-Jinja'!K33)</f>
        <v>1.1428571428571428</v>
      </c>
      <c r="L33" s="48">
        <f>AVERAGE('29.7.Mukwano-Jinja RD'!L33,'30.7.Mukwano-Jinja RD'!L33,'31.07.Mukwano RBT-JinjaRD'!L33,'01.08. Mukwano RBT-Jinja RD 24h'!L33,'02.08.Jinja-Mukwano'!L33,'03.8.Mukwano-Jinja RD 24h'!L33,'04.08.Mukwano-Jinja'!L33)</f>
        <v>2.1428571428571428</v>
      </c>
      <c r="M33" s="48">
        <f>AVERAGE('29.7.Mukwano-Jinja RD'!M33,'30.7.Mukwano-Jinja RD'!M33,'31.07.Mukwano RBT-JinjaRD'!M33,'01.08. Mukwano RBT-Jinja RD 24h'!M33,'02.08.Jinja-Mukwano'!M33,'03.8.Mukwano-Jinja RD 24h'!M33,'04.08.Mukwano-Jinja'!M33)</f>
        <v>375.71428571428572</v>
      </c>
      <c r="N33" s="48">
        <f>AVERAGE('29.7.Mukwano-Jinja RD'!N33,'30.7.Mukwano-Jinja RD'!N33,'31.07.Mukwano RBT-JinjaRD'!N33,'01.08. Mukwano RBT-Jinja RD 24h'!N33,'02.08.Jinja-Mukwano'!N33,'03.8.Mukwano-Jinja RD 24h'!N33,'04.08.Mukwano-Jinja'!N33)</f>
        <v>0</v>
      </c>
      <c r="O33" s="15">
        <f t="shared" si="0"/>
        <v>239.42857142857142</v>
      </c>
      <c r="P33" s="15">
        <f t="shared" si="1"/>
        <v>615.14285714285711</v>
      </c>
      <c r="R33" s="1" t="s">
        <v>157</v>
      </c>
      <c r="S33" s="33">
        <f>SUM(C102:C105)</f>
        <v>275.5</v>
      </c>
      <c r="T33" s="33">
        <f t="shared" ref="T33:AF33" si="25">SUM(D102:D105)</f>
        <v>88</v>
      </c>
      <c r="U33" s="33">
        <f t="shared" si="25"/>
        <v>31.5</v>
      </c>
      <c r="V33" s="33">
        <f t="shared" si="25"/>
        <v>38.5</v>
      </c>
      <c r="W33" s="33">
        <f t="shared" si="25"/>
        <v>5</v>
      </c>
      <c r="X33" s="33">
        <f t="shared" si="25"/>
        <v>0</v>
      </c>
      <c r="Y33" s="33">
        <f t="shared" si="25"/>
        <v>9</v>
      </c>
      <c r="Z33" s="33">
        <f t="shared" si="25"/>
        <v>5</v>
      </c>
      <c r="AA33" s="33">
        <f t="shared" si="25"/>
        <v>4</v>
      </c>
      <c r="AB33" s="33">
        <f t="shared" si="25"/>
        <v>4.5</v>
      </c>
      <c r="AC33" s="33">
        <f t="shared" si="25"/>
        <v>586.5</v>
      </c>
      <c r="AD33" s="33">
        <f t="shared" si="25"/>
        <v>0</v>
      </c>
      <c r="AE33" s="30">
        <f t="shared" si="25"/>
        <v>461</v>
      </c>
      <c r="AF33" s="30">
        <f t="shared" si="25"/>
        <v>1047.5</v>
      </c>
    </row>
    <row r="34" spans="2:32" ht="23.1" customHeight="1" x14ac:dyDescent="0.25">
      <c r="B34" s="23" t="s">
        <v>61</v>
      </c>
      <c r="C34" s="48">
        <f>AVERAGE('29.7.Mukwano-Jinja RD'!C34,'30.7.Mukwano-Jinja RD'!C34,'31.07.Mukwano RBT-JinjaRD'!C34,'01.08. Mukwano RBT-Jinja RD 24h'!C34,'02.08.Jinja-Mukwano'!C34,'03.8.Mukwano-Jinja RD 24h'!C34,'04.08.Mukwano-Jinja'!C34)</f>
        <v>133.42857142857142</v>
      </c>
      <c r="D34" s="48">
        <f>AVERAGE('29.7.Mukwano-Jinja RD'!D34,'30.7.Mukwano-Jinja RD'!D34,'31.07.Mukwano RBT-JinjaRD'!D34,'01.08. Mukwano RBT-Jinja RD 24h'!D34,'02.08.Jinja-Mukwano'!D34,'03.8.Mukwano-Jinja RD 24h'!D34,'04.08.Mukwano-Jinja'!D34)</f>
        <v>33.714285714285715</v>
      </c>
      <c r="E34" s="48">
        <f>AVERAGE('29.7.Mukwano-Jinja RD'!E34,'30.7.Mukwano-Jinja RD'!E34,'31.07.Mukwano RBT-JinjaRD'!E34,'01.08. Mukwano RBT-Jinja RD 24h'!E34,'02.08.Jinja-Mukwano'!E34,'03.8.Mukwano-Jinja RD 24h'!E34,'04.08.Mukwano-Jinja'!E34)</f>
        <v>15</v>
      </c>
      <c r="F34" s="48">
        <f>AVERAGE('29.7.Mukwano-Jinja RD'!F34,'30.7.Mukwano-Jinja RD'!F34,'31.07.Mukwano RBT-JinjaRD'!F34,'01.08. Mukwano RBT-Jinja RD 24h'!F34,'02.08.Jinja-Mukwano'!F34,'03.8.Mukwano-Jinja RD 24h'!F34,'04.08.Mukwano-Jinja'!F34)</f>
        <v>9</v>
      </c>
      <c r="G34" s="48">
        <f>AVERAGE('29.7.Mukwano-Jinja RD'!G34,'30.7.Mukwano-Jinja RD'!G34,'31.07.Mukwano RBT-JinjaRD'!G34,'01.08. Mukwano RBT-Jinja RD 24h'!G34,'02.08.Jinja-Mukwano'!G34,'03.8.Mukwano-Jinja RD 24h'!G34,'04.08.Mukwano-Jinja'!G34)</f>
        <v>1.7142857142857142</v>
      </c>
      <c r="H34" s="48">
        <f>AVERAGE('29.7.Mukwano-Jinja RD'!H34,'30.7.Mukwano-Jinja RD'!H34,'31.07.Mukwano RBT-JinjaRD'!H34,'01.08. Mukwano RBT-Jinja RD 24h'!H34,'02.08.Jinja-Mukwano'!H34,'03.8.Mukwano-Jinja RD 24h'!H34,'04.08.Mukwano-Jinja'!H34)</f>
        <v>0</v>
      </c>
      <c r="I34" s="48">
        <f>AVERAGE('29.7.Mukwano-Jinja RD'!I34,'30.7.Mukwano-Jinja RD'!I34,'31.07.Mukwano RBT-JinjaRD'!I34,'01.08. Mukwano RBT-Jinja RD 24h'!I34,'02.08.Jinja-Mukwano'!I34,'03.8.Mukwano-Jinja RD 24h'!I34,'04.08.Mukwano-Jinja'!I34)</f>
        <v>6.7142857142857144</v>
      </c>
      <c r="J34" s="48">
        <f>AVERAGE('29.7.Mukwano-Jinja RD'!J34,'30.7.Mukwano-Jinja RD'!J34,'31.07.Mukwano RBT-JinjaRD'!J34,'01.08. Mukwano RBT-Jinja RD 24h'!J34,'02.08.Jinja-Mukwano'!J34,'03.8.Mukwano-Jinja RD 24h'!J34,'04.08.Mukwano-Jinja'!J34)</f>
        <v>3</v>
      </c>
      <c r="K34" s="48">
        <f>AVERAGE('29.7.Mukwano-Jinja RD'!K34,'30.7.Mukwano-Jinja RD'!K34,'31.07.Mukwano RBT-JinjaRD'!K34,'01.08. Mukwano RBT-Jinja RD 24h'!K34,'02.08.Jinja-Mukwano'!K34,'03.8.Mukwano-Jinja RD 24h'!K34,'04.08.Mukwano-Jinja'!K34)</f>
        <v>1.8571428571428572</v>
      </c>
      <c r="L34" s="48">
        <f>AVERAGE('29.7.Mukwano-Jinja RD'!L34,'30.7.Mukwano-Jinja RD'!L34,'31.07.Mukwano RBT-JinjaRD'!L34,'01.08. Mukwano RBT-Jinja RD 24h'!L34,'02.08.Jinja-Mukwano'!L34,'03.8.Mukwano-Jinja RD 24h'!L34,'04.08.Mukwano-Jinja'!L34)</f>
        <v>4.8571428571428568</v>
      </c>
      <c r="M34" s="48">
        <f>AVERAGE('29.7.Mukwano-Jinja RD'!M34,'30.7.Mukwano-Jinja RD'!M34,'31.07.Mukwano RBT-JinjaRD'!M34,'01.08. Mukwano RBT-Jinja RD 24h'!M34,'02.08.Jinja-Mukwano'!M34,'03.8.Mukwano-Jinja RD 24h'!M34,'04.08.Mukwano-Jinja'!M34)</f>
        <v>407.85714285714283</v>
      </c>
      <c r="N34" s="48">
        <f>AVERAGE('29.7.Mukwano-Jinja RD'!N34,'30.7.Mukwano-Jinja RD'!N34,'31.07.Mukwano RBT-JinjaRD'!N34,'01.08. Mukwano RBT-Jinja RD 24h'!N34,'02.08.Jinja-Mukwano'!N34,'03.8.Mukwano-Jinja RD 24h'!N34,'04.08.Mukwano-Jinja'!N34)</f>
        <v>0</v>
      </c>
      <c r="O34" s="15">
        <f t="shared" si="0"/>
        <v>209.28571428571431</v>
      </c>
      <c r="P34" s="15">
        <f t="shared" si="1"/>
        <v>617.14285714285711</v>
      </c>
      <c r="R34" s="37" t="s">
        <v>90</v>
      </c>
      <c r="S34" s="38">
        <f t="shared" ref="S34:AF34" si="26">MAX(S10:S12)</f>
        <v>715.57142857142867</v>
      </c>
      <c r="T34" s="38">
        <f t="shared" si="26"/>
        <v>154.14285714285717</v>
      </c>
      <c r="U34" s="38">
        <f t="shared" si="26"/>
        <v>69.857142857142861</v>
      </c>
      <c r="V34" s="38">
        <f t="shared" si="26"/>
        <v>49.714285714285715</v>
      </c>
      <c r="W34" s="38">
        <f t="shared" si="26"/>
        <v>3.5714285714285716</v>
      </c>
      <c r="X34" s="38">
        <f t="shared" si="26"/>
        <v>0.5714285714285714</v>
      </c>
      <c r="Y34" s="38">
        <f t="shared" si="26"/>
        <v>28.142857142857146</v>
      </c>
      <c r="Z34" s="38">
        <f t="shared" si="26"/>
        <v>14.714285714285715</v>
      </c>
      <c r="AA34" s="38">
        <f t="shared" si="26"/>
        <v>6</v>
      </c>
      <c r="AB34" s="38">
        <f t="shared" si="26"/>
        <v>6.5714285714285712</v>
      </c>
      <c r="AC34" s="38">
        <f t="shared" si="26"/>
        <v>1803.1428571428573</v>
      </c>
      <c r="AD34" s="38">
        <f t="shared" si="26"/>
        <v>0.42857142857142855</v>
      </c>
      <c r="AE34" s="39">
        <f t="shared" si="26"/>
        <v>1042.5714285714287</v>
      </c>
      <c r="AF34" s="39">
        <f t="shared" si="26"/>
        <v>2845.7142857142858</v>
      </c>
    </row>
    <row r="35" spans="2:32" ht="23.1" customHeight="1" x14ac:dyDescent="0.25">
      <c r="B35" s="23" t="s">
        <v>62</v>
      </c>
      <c r="C35" s="48">
        <f>AVERAGE('29.7.Mukwano-Jinja RD'!C35,'30.7.Mukwano-Jinja RD'!C35,'31.07.Mukwano RBT-JinjaRD'!C35,'01.08. Mukwano RBT-Jinja RD 24h'!C35,'02.08.Jinja-Mukwano'!C35,'03.8.Mukwano-Jinja RD 24h'!C35,'04.08.Mukwano-Jinja'!C35)</f>
        <v>142</v>
      </c>
      <c r="D35" s="48">
        <f>AVERAGE('29.7.Mukwano-Jinja RD'!D35,'30.7.Mukwano-Jinja RD'!D35,'31.07.Mukwano RBT-JinjaRD'!D35,'01.08. Mukwano RBT-Jinja RD 24h'!D35,'02.08.Jinja-Mukwano'!D35,'03.8.Mukwano-Jinja RD 24h'!D35,'04.08.Mukwano-Jinja'!D35)</f>
        <v>31.571428571428573</v>
      </c>
      <c r="E35" s="48">
        <f>AVERAGE('29.7.Mukwano-Jinja RD'!E35,'30.7.Mukwano-Jinja RD'!E35,'31.07.Mukwano RBT-JinjaRD'!E35,'01.08. Mukwano RBT-Jinja RD 24h'!E35,'02.08.Jinja-Mukwano'!E35,'03.8.Mukwano-Jinja RD 24h'!E35,'04.08.Mukwano-Jinja'!E35)</f>
        <v>13.142857142857142</v>
      </c>
      <c r="F35" s="48">
        <f>AVERAGE('29.7.Mukwano-Jinja RD'!F35,'30.7.Mukwano-Jinja RD'!F35,'31.07.Mukwano RBT-JinjaRD'!F35,'01.08. Mukwano RBT-Jinja RD 24h'!F35,'02.08.Jinja-Mukwano'!F35,'03.8.Mukwano-Jinja RD 24h'!F35,'04.08.Mukwano-Jinja'!F35)</f>
        <v>7.5714285714285712</v>
      </c>
      <c r="G35" s="48">
        <f>AVERAGE('29.7.Mukwano-Jinja RD'!G35,'30.7.Mukwano-Jinja RD'!G35,'31.07.Mukwano RBT-JinjaRD'!G35,'01.08. Mukwano RBT-Jinja RD 24h'!G35,'02.08.Jinja-Mukwano'!G35,'03.8.Mukwano-Jinja RD 24h'!G35,'04.08.Mukwano-Jinja'!G35)</f>
        <v>0.2857142857142857</v>
      </c>
      <c r="H35" s="48">
        <f>AVERAGE('29.7.Mukwano-Jinja RD'!H35,'30.7.Mukwano-Jinja RD'!H35,'31.07.Mukwano RBT-JinjaRD'!H35,'01.08. Mukwano RBT-Jinja RD 24h'!H35,'02.08.Jinja-Mukwano'!H35,'03.8.Mukwano-Jinja RD 24h'!H35,'04.08.Mukwano-Jinja'!H35)</f>
        <v>0</v>
      </c>
      <c r="I35" s="48">
        <f>AVERAGE('29.7.Mukwano-Jinja RD'!I35,'30.7.Mukwano-Jinja RD'!I35,'31.07.Mukwano RBT-JinjaRD'!I35,'01.08. Mukwano RBT-Jinja RD 24h'!I35,'02.08.Jinja-Mukwano'!I35,'03.8.Mukwano-Jinja RD 24h'!I35,'04.08.Mukwano-Jinja'!I35)</f>
        <v>5.4285714285714288</v>
      </c>
      <c r="J35" s="48">
        <f>AVERAGE('29.7.Mukwano-Jinja RD'!J35,'30.7.Mukwano-Jinja RD'!J35,'31.07.Mukwano RBT-JinjaRD'!J35,'01.08. Mukwano RBT-Jinja RD 24h'!J35,'02.08.Jinja-Mukwano'!J35,'03.8.Mukwano-Jinja RD 24h'!J35,'04.08.Mukwano-Jinja'!J35)</f>
        <v>3.4285714285714284</v>
      </c>
      <c r="K35" s="48">
        <f>AVERAGE('29.7.Mukwano-Jinja RD'!K35,'30.7.Mukwano-Jinja RD'!K35,'31.07.Mukwano RBT-JinjaRD'!K35,'01.08. Mukwano RBT-Jinja RD 24h'!K35,'02.08.Jinja-Mukwano'!K35,'03.8.Mukwano-Jinja RD 24h'!K35,'04.08.Mukwano-Jinja'!K35)</f>
        <v>1</v>
      </c>
      <c r="L35" s="48">
        <f>AVERAGE('29.7.Mukwano-Jinja RD'!L35,'30.7.Mukwano-Jinja RD'!L35,'31.07.Mukwano RBT-JinjaRD'!L35,'01.08. Mukwano RBT-Jinja RD 24h'!L35,'02.08.Jinja-Mukwano'!L35,'03.8.Mukwano-Jinja RD 24h'!L35,'04.08.Mukwano-Jinja'!L35)</f>
        <v>3.8571428571428572</v>
      </c>
      <c r="M35" s="48">
        <f>AVERAGE('29.7.Mukwano-Jinja RD'!M35,'30.7.Mukwano-Jinja RD'!M35,'31.07.Mukwano RBT-JinjaRD'!M35,'01.08. Mukwano RBT-Jinja RD 24h'!M35,'02.08.Jinja-Mukwano'!M35,'03.8.Mukwano-Jinja RD 24h'!M35,'04.08.Mukwano-Jinja'!M35)</f>
        <v>381</v>
      </c>
      <c r="N35" s="48">
        <f>AVERAGE('29.7.Mukwano-Jinja RD'!N35,'30.7.Mukwano-Jinja RD'!N35,'31.07.Mukwano RBT-JinjaRD'!N35,'01.08. Mukwano RBT-Jinja RD 24h'!N35,'02.08.Jinja-Mukwano'!N35,'03.8.Mukwano-Jinja RD 24h'!N35,'04.08.Mukwano-Jinja'!N35)</f>
        <v>0.14285714285714285</v>
      </c>
      <c r="O35" s="15">
        <f t="shared" si="0"/>
        <v>208.42857142857142</v>
      </c>
      <c r="P35" s="15">
        <f t="shared" si="1"/>
        <v>589.42857142857133</v>
      </c>
      <c r="R35" s="37" t="s">
        <v>91</v>
      </c>
      <c r="S35" s="38">
        <f t="shared" ref="S35:AF35" si="27">MAX(S13:S18)</f>
        <v>641.42857142857144</v>
      </c>
      <c r="T35" s="38">
        <f t="shared" si="27"/>
        <v>156.85714285714286</v>
      </c>
      <c r="U35" s="38">
        <f t="shared" si="27"/>
        <v>78.285714285714292</v>
      </c>
      <c r="V35" s="38">
        <f t="shared" si="27"/>
        <v>44.428571428571431</v>
      </c>
      <c r="W35" s="38">
        <f t="shared" si="27"/>
        <v>5</v>
      </c>
      <c r="X35" s="38">
        <f t="shared" si="27"/>
        <v>1</v>
      </c>
      <c r="Y35" s="38">
        <f t="shared" si="27"/>
        <v>38.857142857142861</v>
      </c>
      <c r="Z35" s="38">
        <f t="shared" si="27"/>
        <v>19.857142857142854</v>
      </c>
      <c r="AA35" s="38">
        <f t="shared" si="27"/>
        <v>6.5714285714285712</v>
      </c>
      <c r="AB35" s="38">
        <f t="shared" si="27"/>
        <v>12.571428571428569</v>
      </c>
      <c r="AC35" s="38">
        <f t="shared" si="27"/>
        <v>1570.5714285714287</v>
      </c>
      <c r="AD35" s="38">
        <f t="shared" si="27"/>
        <v>0.42857142857142855</v>
      </c>
      <c r="AE35" s="39">
        <f t="shared" si="27"/>
        <v>999.71428571428567</v>
      </c>
      <c r="AF35" s="39">
        <f t="shared" si="27"/>
        <v>2554.2857142857142</v>
      </c>
    </row>
    <row r="36" spans="2:32" ht="23.1" customHeight="1" x14ac:dyDescent="0.25">
      <c r="B36" s="23" t="s">
        <v>63</v>
      </c>
      <c r="C36" s="48">
        <f>AVERAGE('29.7.Mukwano-Jinja RD'!C36,'30.7.Mukwano-Jinja RD'!C36,'31.07.Mukwano RBT-JinjaRD'!C36,'01.08. Mukwano RBT-Jinja RD 24h'!C36,'02.08.Jinja-Mukwano'!C36,'03.8.Mukwano-Jinja RD 24h'!C36,'04.08.Mukwano-Jinja'!C36)</f>
        <v>129</v>
      </c>
      <c r="D36" s="48">
        <f>AVERAGE('29.7.Mukwano-Jinja RD'!D36,'30.7.Mukwano-Jinja RD'!D36,'31.07.Mukwano RBT-JinjaRD'!D36,'01.08. Mukwano RBT-Jinja RD 24h'!D36,'02.08.Jinja-Mukwano'!D36,'03.8.Mukwano-Jinja RD 24h'!D36,'04.08.Mukwano-Jinja'!D36)</f>
        <v>26.142857142857142</v>
      </c>
      <c r="E36" s="48">
        <f>AVERAGE('29.7.Mukwano-Jinja RD'!E36,'30.7.Mukwano-Jinja RD'!E36,'31.07.Mukwano RBT-JinjaRD'!E36,'01.08. Mukwano RBT-Jinja RD 24h'!E36,'02.08.Jinja-Mukwano'!E36,'03.8.Mukwano-Jinja RD 24h'!E36,'04.08.Mukwano-Jinja'!E36)</f>
        <v>14.857142857142858</v>
      </c>
      <c r="F36" s="48">
        <f>AVERAGE('29.7.Mukwano-Jinja RD'!F36,'30.7.Mukwano-Jinja RD'!F36,'31.07.Mukwano RBT-JinjaRD'!F36,'01.08. Mukwano RBT-Jinja RD 24h'!F36,'02.08.Jinja-Mukwano'!F36,'03.8.Mukwano-Jinja RD 24h'!F36,'04.08.Mukwano-Jinja'!F36)</f>
        <v>7.8571428571428568</v>
      </c>
      <c r="G36" s="48">
        <f>AVERAGE('29.7.Mukwano-Jinja RD'!G36,'30.7.Mukwano-Jinja RD'!G36,'31.07.Mukwano RBT-JinjaRD'!G36,'01.08. Mukwano RBT-Jinja RD 24h'!G36,'02.08.Jinja-Mukwano'!G36,'03.8.Mukwano-Jinja RD 24h'!G36,'04.08.Mukwano-Jinja'!G36)</f>
        <v>2</v>
      </c>
      <c r="H36" s="48">
        <f>AVERAGE('29.7.Mukwano-Jinja RD'!H36,'30.7.Mukwano-Jinja RD'!H36,'31.07.Mukwano RBT-JinjaRD'!H36,'01.08. Mukwano RBT-Jinja RD 24h'!H36,'02.08.Jinja-Mukwano'!H36,'03.8.Mukwano-Jinja RD 24h'!H36,'04.08.Mukwano-Jinja'!H36)</f>
        <v>1</v>
      </c>
      <c r="I36" s="48">
        <f>AVERAGE('29.7.Mukwano-Jinja RD'!I36,'30.7.Mukwano-Jinja RD'!I36,'31.07.Mukwano RBT-JinjaRD'!I36,'01.08. Mukwano RBT-Jinja RD 24h'!I36,'02.08.Jinja-Mukwano'!I36,'03.8.Mukwano-Jinja RD 24h'!I36,'04.08.Mukwano-Jinja'!I36)</f>
        <v>5.4285714285714288</v>
      </c>
      <c r="J36" s="48">
        <f>AVERAGE('29.7.Mukwano-Jinja RD'!J36,'30.7.Mukwano-Jinja RD'!J36,'31.07.Mukwano RBT-JinjaRD'!J36,'01.08. Mukwano RBT-Jinja RD 24h'!J36,'02.08.Jinja-Mukwano'!J36,'03.8.Mukwano-Jinja RD 24h'!J36,'04.08.Mukwano-Jinja'!J36)</f>
        <v>3.1428571428571428</v>
      </c>
      <c r="K36" s="48">
        <f>AVERAGE('29.7.Mukwano-Jinja RD'!K36,'30.7.Mukwano-Jinja RD'!K36,'31.07.Mukwano RBT-JinjaRD'!K36,'01.08. Mukwano RBT-Jinja RD 24h'!K36,'02.08.Jinja-Mukwano'!K36,'03.8.Mukwano-Jinja RD 24h'!K36,'04.08.Mukwano-Jinja'!K36)</f>
        <v>2.1428571428571428</v>
      </c>
      <c r="L36" s="48">
        <f>AVERAGE('29.7.Mukwano-Jinja RD'!L36,'30.7.Mukwano-Jinja RD'!L36,'31.07.Mukwano RBT-JinjaRD'!L36,'01.08. Mukwano RBT-Jinja RD 24h'!L36,'02.08.Jinja-Mukwano'!L36,'03.8.Mukwano-Jinja RD 24h'!L36,'04.08.Mukwano-Jinja'!L36)</f>
        <v>1.5714285714285714</v>
      </c>
      <c r="M36" s="48">
        <f>AVERAGE('29.7.Mukwano-Jinja RD'!M36,'30.7.Mukwano-Jinja RD'!M36,'31.07.Mukwano RBT-JinjaRD'!M36,'01.08. Mukwano RBT-Jinja RD 24h'!M36,'02.08.Jinja-Mukwano'!M36,'03.8.Mukwano-Jinja RD 24h'!M36,'04.08.Mukwano-Jinja'!M36)</f>
        <v>295.85714285714283</v>
      </c>
      <c r="N36" s="48">
        <f>AVERAGE('29.7.Mukwano-Jinja RD'!N36,'30.7.Mukwano-Jinja RD'!N36,'31.07.Mukwano RBT-JinjaRD'!N36,'01.08. Mukwano RBT-Jinja RD 24h'!N36,'02.08.Jinja-Mukwano'!N36,'03.8.Mukwano-Jinja RD 24h'!N36,'04.08.Mukwano-Jinja'!N36)</f>
        <v>0</v>
      </c>
      <c r="O36" s="15">
        <f t="shared" si="0"/>
        <v>193.14285714285714</v>
      </c>
      <c r="P36" s="15">
        <f t="shared" si="1"/>
        <v>489</v>
      </c>
      <c r="R36" s="37" t="s">
        <v>92</v>
      </c>
      <c r="S36" s="38">
        <f t="shared" ref="S36:AF36" si="28">MAX(S19:S21)</f>
        <v>565.14285714285711</v>
      </c>
      <c r="T36" s="38">
        <f t="shared" si="28"/>
        <v>105</v>
      </c>
      <c r="U36" s="38">
        <f t="shared" si="28"/>
        <v>67.714285714285722</v>
      </c>
      <c r="V36" s="38">
        <f t="shared" si="28"/>
        <v>42.142857142857139</v>
      </c>
      <c r="W36" s="38">
        <f t="shared" si="28"/>
        <v>5.1428571428571432</v>
      </c>
      <c r="X36" s="38">
        <f t="shared" si="28"/>
        <v>1</v>
      </c>
      <c r="Y36" s="38">
        <f t="shared" si="28"/>
        <v>24.714285714285712</v>
      </c>
      <c r="Z36" s="38">
        <f t="shared" si="28"/>
        <v>18.714285714285715</v>
      </c>
      <c r="AA36" s="38">
        <f t="shared" si="28"/>
        <v>4.1428571428571423</v>
      </c>
      <c r="AB36" s="38">
        <f t="shared" si="28"/>
        <v>11</v>
      </c>
      <c r="AC36" s="38">
        <f t="shared" si="28"/>
        <v>1240.5714285714287</v>
      </c>
      <c r="AD36" s="38">
        <f t="shared" si="28"/>
        <v>0.42857142857142855</v>
      </c>
      <c r="AE36" s="39">
        <f t="shared" si="28"/>
        <v>818</v>
      </c>
      <c r="AF36" s="39">
        <f t="shared" si="28"/>
        <v>2048.8571428571431</v>
      </c>
    </row>
    <row r="37" spans="2:32" ht="23.1" customHeight="1" x14ac:dyDescent="0.25">
      <c r="B37" s="22" t="s">
        <v>64</v>
      </c>
      <c r="C37" s="48">
        <f>AVERAGE('29.7.Mukwano-Jinja RD'!C37,'30.7.Mukwano-Jinja RD'!C37,'31.07.Mukwano RBT-JinjaRD'!C37,'01.08. Mukwano RBT-Jinja RD 24h'!C37,'02.08.Jinja-Mukwano'!C37,'03.8.Mukwano-Jinja RD 24h'!C37,'04.08.Mukwano-Jinja'!C37)</f>
        <v>107</v>
      </c>
      <c r="D37" s="48">
        <f>AVERAGE('29.7.Mukwano-Jinja RD'!D37,'30.7.Mukwano-Jinja RD'!D37,'31.07.Mukwano RBT-JinjaRD'!D37,'01.08. Mukwano RBT-Jinja RD 24h'!D37,'02.08.Jinja-Mukwano'!D37,'03.8.Mukwano-Jinja RD 24h'!D37,'04.08.Mukwano-Jinja'!D37)</f>
        <v>24.285714285714285</v>
      </c>
      <c r="E37" s="48">
        <f>AVERAGE('29.7.Mukwano-Jinja RD'!E37,'30.7.Mukwano-Jinja RD'!E37,'31.07.Mukwano RBT-JinjaRD'!E37,'01.08. Mukwano RBT-Jinja RD 24h'!E37,'02.08.Jinja-Mukwano'!E37,'03.8.Mukwano-Jinja RD 24h'!E37,'04.08.Mukwano-Jinja'!E37)</f>
        <v>12.857142857142858</v>
      </c>
      <c r="F37" s="48">
        <f>AVERAGE('29.7.Mukwano-Jinja RD'!F37,'30.7.Mukwano-Jinja RD'!F37,'31.07.Mukwano RBT-JinjaRD'!F37,'01.08. Mukwano RBT-Jinja RD 24h'!F37,'02.08.Jinja-Mukwano'!F37,'03.8.Mukwano-Jinja RD 24h'!F37,'04.08.Mukwano-Jinja'!F37)</f>
        <v>8.4285714285714288</v>
      </c>
      <c r="G37" s="48">
        <f>AVERAGE('29.7.Mukwano-Jinja RD'!G37,'30.7.Mukwano-Jinja RD'!G37,'31.07.Mukwano RBT-JinjaRD'!G37,'01.08. Mukwano RBT-Jinja RD 24h'!G37,'02.08.Jinja-Mukwano'!G37,'03.8.Mukwano-Jinja RD 24h'!G37,'04.08.Mukwano-Jinja'!G37)</f>
        <v>0.42857142857142855</v>
      </c>
      <c r="H37" s="48">
        <f>AVERAGE('29.7.Mukwano-Jinja RD'!H37,'30.7.Mukwano-Jinja RD'!H37,'31.07.Mukwano RBT-JinjaRD'!H37,'01.08. Mukwano RBT-Jinja RD 24h'!H37,'02.08.Jinja-Mukwano'!H37,'03.8.Mukwano-Jinja RD 24h'!H37,'04.08.Mukwano-Jinja'!H37)</f>
        <v>0</v>
      </c>
      <c r="I37" s="48">
        <f>AVERAGE('29.7.Mukwano-Jinja RD'!I37,'30.7.Mukwano-Jinja RD'!I37,'31.07.Mukwano RBT-JinjaRD'!I37,'01.08. Mukwano RBT-Jinja RD 24h'!I37,'02.08.Jinja-Mukwano'!I37,'03.8.Mukwano-Jinja RD 24h'!I37,'04.08.Mukwano-Jinja'!I37)</f>
        <v>6.1428571428571432</v>
      </c>
      <c r="J37" s="48">
        <f>AVERAGE('29.7.Mukwano-Jinja RD'!J37,'30.7.Mukwano-Jinja RD'!J37,'31.07.Mukwano RBT-JinjaRD'!J37,'01.08. Mukwano RBT-Jinja RD 24h'!J37,'02.08.Jinja-Mukwano'!J37,'03.8.Mukwano-Jinja RD 24h'!J37,'04.08.Mukwano-Jinja'!J37)</f>
        <v>2.2857142857142856</v>
      </c>
      <c r="K37" s="48">
        <f>AVERAGE('29.7.Mukwano-Jinja RD'!K37,'30.7.Mukwano-Jinja RD'!K37,'31.07.Mukwano RBT-JinjaRD'!K37,'01.08. Mukwano RBT-Jinja RD 24h'!K37,'02.08.Jinja-Mukwano'!K37,'03.8.Mukwano-Jinja RD 24h'!K37,'04.08.Mukwano-Jinja'!K37)</f>
        <v>1.5714285714285714</v>
      </c>
      <c r="L37" s="48">
        <f>AVERAGE('29.7.Mukwano-Jinja RD'!L37,'30.7.Mukwano-Jinja RD'!L37,'31.07.Mukwano RBT-JinjaRD'!L37,'01.08. Mukwano RBT-Jinja RD 24h'!L37,'02.08.Jinja-Mukwano'!L37,'03.8.Mukwano-Jinja RD 24h'!L37,'04.08.Mukwano-Jinja'!L37)</f>
        <v>2.2857142857142856</v>
      </c>
      <c r="M37" s="48">
        <f>AVERAGE('29.7.Mukwano-Jinja RD'!M37,'30.7.Mukwano-Jinja RD'!M37,'31.07.Mukwano RBT-JinjaRD'!M37,'01.08. Mukwano RBT-Jinja RD 24h'!M37,'02.08.Jinja-Mukwano'!M37,'03.8.Mukwano-Jinja RD 24h'!M37,'04.08.Mukwano-Jinja'!M37)</f>
        <v>267.71428571428572</v>
      </c>
      <c r="N37" s="48">
        <f>AVERAGE('29.7.Mukwano-Jinja RD'!N37,'30.7.Mukwano-Jinja RD'!N37,'31.07.Mukwano RBT-JinjaRD'!N37,'01.08. Mukwano RBT-Jinja RD 24h'!N37,'02.08.Jinja-Mukwano'!N37,'03.8.Mukwano-Jinja RD 24h'!N37,'04.08.Mukwano-Jinja'!N37)</f>
        <v>0</v>
      </c>
      <c r="O37" s="15">
        <f t="shared" si="0"/>
        <v>165.28571428571425</v>
      </c>
      <c r="P37" s="15">
        <f t="shared" si="1"/>
        <v>433</v>
      </c>
      <c r="R37" s="36" t="s">
        <v>85</v>
      </c>
      <c r="S37" s="34">
        <f t="shared" ref="S37:AF37" si="29">SUM(S10:S12)</f>
        <v>1797.8571428571429</v>
      </c>
      <c r="T37" s="16">
        <f t="shared" si="29"/>
        <v>385.85714285714289</v>
      </c>
      <c r="U37" s="16">
        <f t="shared" si="29"/>
        <v>178.14285714285714</v>
      </c>
      <c r="V37" s="16">
        <f t="shared" si="29"/>
        <v>131</v>
      </c>
      <c r="W37" s="16">
        <f t="shared" si="29"/>
        <v>8.5714285714285712</v>
      </c>
      <c r="X37" s="16">
        <f t="shared" si="29"/>
        <v>1.1428571428571428</v>
      </c>
      <c r="Y37" s="16">
        <f t="shared" si="29"/>
        <v>59.571428571428577</v>
      </c>
      <c r="Z37" s="16">
        <f t="shared" si="29"/>
        <v>30.714285714285715</v>
      </c>
      <c r="AA37" s="16">
        <f t="shared" si="29"/>
        <v>12.142857142857142</v>
      </c>
      <c r="AB37" s="16">
        <f t="shared" si="29"/>
        <v>17</v>
      </c>
      <c r="AC37" s="16">
        <f t="shared" si="29"/>
        <v>4630</v>
      </c>
      <c r="AD37" s="16">
        <f t="shared" si="29"/>
        <v>0.5714285714285714</v>
      </c>
      <c r="AE37" s="31">
        <f t="shared" si="29"/>
        <v>2622.5714285714284</v>
      </c>
      <c r="AF37" s="31">
        <f t="shared" si="29"/>
        <v>7252.5714285714294</v>
      </c>
    </row>
    <row r="38" spans="2:32" ht="23.1" customHeight="1" x14ac:dyDescent="0.25">
      <c r="B38" s="23" t="s">
        <v>65</v>
      </c>
      <c r="C38" s="48">
        <f>AVERAGE('29.7.Mukwano-Jinja RD'!C38,'30.7.Mukwano-Jinja RD'!C38,'31.07.Mukwano RBT-JinjaRD'!C38,'01.08. Mukwano RBT-Jinja RD 24h'!C38,'02.08.Jinja-Mukwano'!C38,'03.8.Mukwano-Jinja RD 24h'!C38,'04.08.Mukwano-Jinja'!C38)</f>
        <v>135</v>
      </c>
      <c r="D38" s="48">
        <f>AVERAGE('29.7.Mukwano-Jinja RD'!D38,'30.7.Mukwano-Jinja RD'!D38,'31.07.Mukwano RBT-JinjaRD'!D38,'01.08. Mukwano RBT-Jinja RD 24h'!D38,'02.08.Jinja-Mukwano'!D38,'03.8.Mukwano-Jinja RD 24h'!D38,'04.08.Mukwano-Jinja'!D38)</f>
        <v>21</v>
      </c>
      <c r="E38" s="48">
        <f>AVERAGE('29.7.Mukwano-Jinja RD'!E38,'30.7.Mukwano-Jinja RD'!E38,'31.07.Mukwano RBT-JinjaRD'!E38,'01.08. Mukwano RBT-Jinja RD 24h'!E38,'02.08.Jinja-Mukwano'!E38,'03.8.Mukwano-Jinja RD 24h'!E38,'04.08.Mukwano-Jinja'!E38)</f>
        <v>14.142857142857142</v>
      </c>
      <c r="F38" s="48">
        <f>AVERAGE('29.7.Mukwano-Jinja RD'!F38,'30.7.Mukwano-Jinja RD'!F38,'31.07.Mukwano RBT-JinjaRD'!F38,'01.08. Mukwano RBT-Jinja RD 24h'!F38,'02.08.Jinja-Mukwano'!F38,'03.8.Mukwano-Jinja RD 24h'!F38,'04.08.Mukwano-Jinja'!F38)</f>
        <v>8.1428571428571423</v>
      </c>
      <c r="G38" s="48">
        <f>AVERAGE('29.7.Mukwano-Jinja RD'!G38,'30.7.Mukwano-Jinja RD'!G38,'31.07.Mukwano RBT-JinjaRD'!G38,'01.08. Mukwano RBT-Jinja RD 24h'!G38,'02.08.Jinja-Mukwano'!G38,'03.8.Mukwano-Jinja RD 24h'!G38,'04.08.Mukwano-Jinja'!G38)</f>
        <v>0.14285714285714285</v>
      </c>
      <c r="H38" s="48">
        <f>AVERAGE('29.7.Mukwano-Jinja RD'!H38,'30.7.Mukwano-Jinja RD'!H38,'31.07.Mukwano RBT-JinjaRD'!H38,'01.08. Mukwano RBT-Jinja RD 24h'!H38,'02.08.Jinja-Mukwano'!H38,'03.8.Mukwano-Jinja RD 24h'!H38,'04.08.Mukwano-Jinja'!H38)</f>
        <v>0.14285714285714285</v>
      </c>
      <c r="I38" s="48">
        <f>AVERAGE('29.7.Mukwano-Jinja RD'!I38,'30.7.Mukwano-Jinja RD'!I38,'31.07.Mukwano RBT-JinjaRD'!I38,'01.08. Mukwano RBT-Jinja RD 24h'!I38,'02.08.Jinja-Mukwano'!I38,'03.8.Mukwano-Jinja RD 24h'!I38,'04.08.Mukwano-Jinja'!I38)</f>
        <v>6.7142857142857144</v>
      </c>
      <c r="J38" s="48">
        <f>AVERAGE('29.7.Mukwano-Jinja RD'!J38,'30.7.Mukwano-Jinja RD'!J38,'31.07.Mukwano RBT-JinjaRD'!J38,'01.08. Mukwano RBT-Jinja RD 24h'!J38,'02.08.Jinja-Mukwano'!J38,'03.8.Mukwano-Jinja RD 24h'!J38,'04.08.Mukwano-Jinja'!J38)</f>
        <v>3.8571428571428572</v>
      </c>
      <c r="K38" s="48">
        <f>AVERAGE('29.7.Mukwano-Jinja RD'!K38,'30.7.Mukwano-Jinja RD'!K38,'31.07.Mukwano RBT-JinjaRD'!K38,'01.08. Mukwano RBT-Jinja RD 24h'!K38,'02.08.Jinja-Mukwano'!K38,'03.8.Mukwano-Jinja RD 24h'!K38,'04.08.Mukwano-Jinja'!K38)</f>
        <v>1.2857142857142858</v>
      </c>
      <c r="L38" s="48">
        <f>AVERAGE('29.7.Mukwano-Jinja RD'!L38,'30.7.Mukwano-Jinja RD'!L38,'31.07.Mukwano RBT-JinjaRD'!L38,'01.08. Mukwano RBT-Jinja RD 24h'!L38,'02.08.Jinja-Mukwano'!L38,'03.8.Mukwano-Jinja RD 24h'!L38,'04.08.Mukwano-Jinja'!L38)</f>
        <v>2</v>
      </c>
      <c r="M38" s="48">
        <f>AVERAGE('29.7.Mukwano-Jinja RD'!M38,'30.7.Mukwano-Jinja RD'!M38,'31.07.Mukwano RBT-JinjaRD'!M38,'01.08. Mukwano RBT-Jinja RD 24h'!M38,'02.08.Jinja-Mukwano'!M38,'03.8.Mukwano-Jinja RD 24h'!M38,'04.08.Mukwano-Jinja'!M38)</f>
        <v>305.71428571428572</v>
      </c>
      <c r="N38" s="48">
        <f>AVERAGE('29.7.Mukwano-Jinja RD'!N38,'30.7.Mukwano-Jinja RD'!N38,'31.07.Mukwano RBT-JinjaRD'!N38,'01.08. Mukwano RBT-Jinja RD 24h'!N38,'02.08.Jinja-Mukwano'!N38,'03.8.Mukwano-Jinja RD 24h'!N38,'04.08.Mukwano-Jinja'!N38)</f>
        <v>0</v>
      </c>
      <c r="O38" s="15">
        <f t="shared" si="0"/>
        <v>192.42857142857142</v>
      </c>
      <c r="P38" s="15">
        <f t="shared" si="1"/>
        <v>498.14285714285711</v>
      </c>
      <c r="R38" s="27" t="s">
        <v>86</v>
      </c>
      <c r="S38" s="16">
        <f t="shared" ref="S38:AF38" si="30">SUM(S13:S18)</f>
        <v>3353</v>
      </c>
      <c r="T38" s="16">
        <f t="shared" si="30"/>
        <v>731.14285714285722</v>
      </c>
      <c r="U38" s="16">
        <f t="shared" si="30"/>
        <v>391.57142857142856</v>
      </c>
      <c r="V38" s="16">
        <f t="shared" si="30"/>
        <v>226.14285714285714</v>
      </c>
      <c r="W38" s="16">
        <f t="shared" si="30"/>
        <v>17.142857142857142</v>
      </c>
      <c r="X38" s="16">
        <f t="shared" si="30"/>
        <v>4.2857142857142856</v>
      </c>
      <c r="Y38" s="16">
        <f t="shared" si="30"/>
        <v>171.57142857142858</v>
      </c>
      <c r="Z38" s="16">
        <f t="shared" si="30"/>
        <v>101.71428571428571</v>
      </c>
      <c r="AA38" s="16">
        <f t="shared" si="30"/>
        <v>31.142857142857142</v>
      </c>
      <c r="AB38" s="16">
        <f t="shared" si="30"/>
        <v>60.571428571428569</v>
      </c>
      <c r="AC38" s="16">
        <f t="shared" si="30"/>
        <v>8696.4285714285725</v>
      </c>
      <c r="AD38" s="16">
        <f t="shared" si="30"/>
        <v>1.2857142857142856</v>
      </c>
      <c r="AE38" s="31">
        <f t="shared" si="30"/>
        <v>5089.5714285714275</v>
      </c>
      <c r="AF38" s="31">
        <f t="shared" si="30"/>
        <v>13786</v>
      </c>
    </row>
    <row r="39" spans="2:32" ht="23.1" customHeight="1" x14ac:dyDescent="0.25">
      <c r="B39" s="23" t="s">
        <v>66</v>
      </c>
      <c r="C39" s="48">
        <f>AVERAGE('29.7.Mukwano-Jinja RD'!C39,'30.7.Mukwano-Jinja RD'!C39,'31.07.Mukwano RBT-JinjaRD'!C39,'01.08. Mukwano RBT-Jinja RD 24h'!C39,'02.08.Jinja-Mukwano'!C39,'03.8.Mukwano-Jinja RD 24h'!C39,'04.08.Mukwano-Jinja'!C39)</f>
        <v>126</v>
      </c>
      <c r="D39" s="48">
        <f>AVERAGE('29.7.Mukwano-Jinja RD'!D39,'30.7.Mukwano-Jinja RD'!D39,'31.07.Mukwano RBT-JinjaRD'!D39,'01.08. Mukwano RBT-Jinja RD 24h'!D39,'02.08.Jinja-Mukwano'!D39,'03.8.Mukwano-Jinja RD 24h'!D39,'04.08.Mukwano-Jinja'!D39)</f>
        <v>25.142857142857142</v>
      </c>
      <c r="E39" s="48">
        <f>AVERAGE('29.7.Mukwano-Jinja RD'!E39,'30.7.Mukwano-Jinja RD'!E39,'31.07.Mukwano RBT-JinjaRD'!E39,'01.08. Mukwano RBT-Jinja RD 24h'!E39,'02.08.Jinja-Mukwano'!E39,'03.8.Mukwano-Jinja RD 24h'!E39,'04.08.Mukwano-Jinja'!E39)</f>
        <v>18.714285714285715</v>
      </c>
      <c r="F39" s="48">
        <f>AVERAGE('29.7.Mukwano-Jinja RD'!F39,'30.7.Mukwano-Jinja RD'!F39,'31.07.Mukwano RBT-JinjaRD'!F39,'01.08. Mukwano RBT-Jinja RD 24h'!F39,'02.08.Jinja-Mukwano'!F39,'03.8.Mukwano-Jinja RD 24h'!F39,'04.08.Mukwano-Jinja'!F39)</f>
        <v>8.8571428571428577</v>
      </c>
      <c r="G39" s="48">
        <f>AVERAGE('29.7.Mukwano-Jinja RD'!G39,'30.7.Mukwano-Jinja RD'!G39,'31.07.Mukwano RBT-JinjaRD'!G39,'01.08. Mukwano RBT-Jinja RD 24h'!G39,'02.08.Jinja-Mukwano'!G39,'03.8.Mukwano-Jinja RD 24h'!G39,'04.08.Mukwano-Jinja'!G39)</f>
        <v>0.5714285714285714</v>
      </c>
      <c r="H39" s="48">
        <f>AVERAGE('29.7.Mukwano-Jinja RD'!H39,'30.7.Mukwano-Jinja RD'!H39,'31.07.Mukwano RBT-JinjaRD'!H39,'01.08. Mukwano RBT-Jinja RD 24h'!H39,'02.08.Jinja-Mukwano'!H39,'03.8.Mukwano-Jinja RD 24h'!H39,'04.08.Mukwano-Jinja'!H39)</f>
        <v>0</v>
      </c>
      <c r="I39" s="48">
        <f>AVERAGE('29.7.Mukwano-Jinja RD'!I39,'30.7.Mukwano-Jinja RD'!I39,'31.07.Mukwano RBT-JinjaRD'!I39,'01.08. Mukwano RBT-Jinja RD 24h'!I39,'02.08.Jinja-Mukwano'!I39,'03.8.Mukwano-Jinja RD 24h'!I39,'04.08.Mukwano-Jinja'!I39)</f>
        <v>9.7142857142857135</v>
      </c>
      <c r="J39" s="48">
        <f>AVERAGE('29.7.Mukwano-Jinja RD'!J39,'30.7.Mukwano-Jinja RD'!J39,'31.07.Mukwano RBT-JinjaRD'!J39,'01.08. Mukwano RBT-Jinja RD 24h'!J39,'02.08.Jinja-Mukwano'!J39,'03.8.Mukwano-Jinja RD 24h'!J39,'04.08.Mukwano-Jinja'!J39)</f>
        <v>5.1428571428571432</v>
      </c>
      <c r="K39" s="48">
        <f>AVERAGE('29.7.Mukwano-Jinja RD'!K39,'30.7.Mukwano-Jinja RD'!K39,'31.07.Mukwano RBT-JinjaRD'!K39,'01.08. Mukwano RBT-Jinja RD 24h'!K39,'02.08.Jinja-Mukwano'!K39,'03.8.Mukwano-Jinja RD 24h'!K39,'04.08.Mukwano-Jinja'!K39)</f>
        <v>1.7142857142857142</v>
      </c>
      <c r="L39" s="48">
        <f>AVERAGE('29.7.Mukwano-Jinja RD'!L39,'30.7.Mukwano-Jinja RD'!L39,'31.07.Mukwano RBT-JinjaRD'!L39,'01.08. Mukwano RBT-Jinja RD 24h'!L39,'02.08.Jinja-Mukwano'!L39,'03.8.Mukwano-Jinja RD 24h'!L39,'04.08.Mukwano-Jinja'!L39)</f>
        <v>2.7142857142857144</v>
      </c>
      <c r="M39" s="48">
        <f>AVERAGE('29.7.Mukwano-Jinja RD'!M39,'30.7.Mukwano-Jinja RD'!M39,'31.07.Mukwano RBT-JinjaRD'!M39,'01.08. Mukwano RBT-Jinja RD 24h'!M39,'02.08.Jinja-Mukwano'!M39,'03.8.Mukwano-Jinja RD 24h'!M39,'04.08.Mukwano-Jinja'!M39)</f>
        <v>357</v>
      </c>
      <c r="N39" s="48">
        <f>AVERAGE('29.7.Mukwano-Jinja RD'!N39,'30.7.Mukwano-Jinja RD'!N39,'31.07.Mukwano RBT-JinjaRD'!N39,'01.08. Mukwano RBT-Jinja RD 24h'!N39,'02.08.Jinja-Mukwano'!N39,'03.8.Mukwano-Jinja RD 24h'!N39,'04.08.Mukwano-Jinja'!N39)</f>
        <v>0</v>
      </c>
      <c r="O39" s="15">
        <f t="shared" si="0"/>
        <v>198.57142857142861</v>
      </c>
      <c r="P39" s="15">
        <f t="shared" si="1"/>
        <v>555.57142857142867</v>
      </c>
      <c r="R39" s="28" t="s">
        <v>87</v>
      </c>
      <c r="S39" s="16">
        <f t="shared" ref="S39:AF39" si="31">SUM(S19:S21)</f>
        <v>1538.8571428571429</v>
      </c>
      <c r="T39" s="16">
        <f t="shared" si="31"/>
        <v>292.57142857142856</v>
      </c>
      <c r="U39" s="16">
        <f t="shared" si="31"/>
        <v>168.71428571428572</v>
      </c>
      <c r="V39" s="16">
        <f t="shared" si="31"/>
        <v>116.57142857142857</v>
      </c>
      <c r="W39" s="16">
        <f t="shared" si="31"/>
        <v>10.857142857142858</v>
      </c>
      <c r="X39" s="16">
        <f t="shared" si="31"/>
        <v>1.5714285714285714</v>
      </c>
      <c r="Y39" s="16">
        <f t="shared" si="31"/>
        <v>63.714285714285708</v>
      </c>
      <c r="Z39" s="16">
        <f t="shared" si="31"/>
        <v>39.857142857142861</v>
      </c>
      <c r="AA39" s="16">
        <f t="shared" si="31"/>
        <v>11.571428571428569</v>
      </c>
      <c r="AB39" s="16">
        <f t="shared" si="31"/>
        <v>27.285714285714285</v>
      </c>
      <c r="AC39" s="16">
        <f t="shared" si="31"/>
        <v>3557</v>
      </c>
      <c r="AD39" s="16">
        <f t="shared" si="31"/>
        <v>1.1428571428571428</v>
      </c>
      <c r="AE39" s="31">
        <f t="shared" si="31"/>
        <v>2272.7142857142853</v>
      </c>
      <c r="AF39" s="31">
        <f t="shared" si="31"/>
        <v>5829.7142857142862</v>
      </c>
    </row>
    <row r="40" spans="2:32" ht="23.1" customHeight="1" x14ac:dyDescent="0.25">
      <c r="B40" s="23" t="s">
        <v>67</v>
      </c>
      <c r="C40" s="48">
        <f>AVERAGE('29.7.Mukwano-Jinja RD'!C40,'30.7.Mukwano-Jinja RD'!C40,'31.07.Mukwano RBT-JinjaRD'!C40,'01.08. Mukwano RBT-Jinja RD 24h'!C40,'02.08.Jinja-Mukwano'!C40,'03.8.Mukwano-Jinja RD 24h'!C40,'04.08.Mukwano-Jinja'!C40)</f>
        <v>105.42857142857143</v>
      </c>
      <c r="D40" s="48">
        <f>AVERAGE('29.7.Mukwano-Jinja RD'!D40,'30.7.Mukwano-Jinja RD'!D40,'31.07.Mukwano RBT-JinjaRD'!D40,'01.08. Mukwano RBT-Jinja RD 24h'!D40,'02.08.Jinja-Mukwano'!D40,'03.8.Mukwano-Jinja RD 24h'!D40,'04.08.Mukwano-Jinja'!D40)</f>
        <v>18.285714285714285</v>
      </c>
      <c r="E40" s="48">
        <f>AVERAGE('29.7.Mukwano-Jinja RD'!E40,'30.7.Mukwano-Jinja RD'!E40,'31.07.Mukwano RBT-JinjaRD'!E40,'01.08. Mukwano RBT-Jinja RD 24h'!E40,'02.08.Jinja-Mukwano'!E40,'03.8.Mukwano-Jinja RD 24h'!E40,'04.08.Mukwano-Jinja'!E40)</f>
        <v>10.857142857142858</v>
      </c>
      <c r="F40" s="48">
        <f>AVERAGE('29.7.Mukwano-Jinja RD'!F40,'30.7.Mukwano-Jinja RD'!F40,'31.07.Mukwano RBT-JinjaRD'!F40,'01.08. Mukwano RBT-Jinja RD 24h'!F40,'02.08.Jinja-Mukwano'!F40,'03.8.Mukwano-Jinja RD 24h'!F40,'04.08.Mukwano-Jinja'!F40)</f>
        <v>8.2857142857142865</v>
      </c>
      <c r="G40" s="48">
        <f>AVERAGE('29.7.Mukwano-Jinja RD'!G40,'30.7.Mukwano-Jinja RD'!G40,'31.07.Mukwano RBT-JinjaRD'!G40,'01.08. Mukwano RBT-Jinja RD 24h'!G40,'02.08.Jinja-Mukwano'!G40,'03.8.Mukwano-Jinja RD 24h'!G40,'04.08.Mukwano-Jinja'!G40)</f>
        <v>0.2857142857142857</v>
      </c>
      <c r="H40" s="48">
        <f>AVERAGE('29.7.Mukwano-Jinja RD'!H40,'30.7.Mukwano-Jinja RD'!H40,'31.07.Mukwano RBT-JinjaRD'!H40,'01.08. Mukwano RBT-Jinja RD 24h'!H40,'02.08.Jinja-Mukwano'!H40,'03.8.Mukwano-Jinja RD 24h'!H40,'04.08.Mukwano-Jinja'!H40)</f>
        <v>0.14285714285714285</v>
      </c>
      <c r="I40" s="48">
        <f>AVERAGE('29.7.Mukwano-Jinja RD'!I40,'30.7.Mukwano-Jinja RD'!I40,'31.07.Mukwano RBT-JinjaRD'!I40,'01.08. Mukwano RBT-Jinja RD 24h'!I40,'02.08.Jinja-Mukwano'!I40,'03.8.Mukwano-Jinja RD 24h'!I40,'04.08.Mukwano-Jinja'!I40)</f>
        <v>6.2857142857142856</v>
      </c>
      <c r="J40" s="48">
        <f>AVERAGE('29.7.Mukwano-Jinja RD'!J40,'30.7.Mukwano-Jinja RD'!J40,'31.07.Mukwano RBT-JinjaRD'!J40,'01.08. Mukwano RBT-Jinja RD 24h'!J40,'02.08.Jinja-Mukwano'!J40,'03.8.Mukwano-Jinja RD 24h'!J40,'04.08.Mukwano-Jinja'!J40)</f>
        <v>2.7142857142857144</v>
      </c>
      <c r="K40" s="48">
        <f>AVERAGE('29.7.Mukwano-Jinja RD'!K40,'30.7.Mukwano-Jinja RD'!K40,'31.07.Mukwano RBT-JinjaRD'!K40,'01.08. Mukwano RBT-Jinja RD 24h'!K40,'02.08.Jinja-Mukwano'!K40,'03.8.Mukwano-Jinja RD 24h'!K40,'04.08.Mukwano-Jinja'!K40)</f>
        <v>1.1428571428571428</v>
      </c>
      <c r="L40" s="48">
        <f>AVERAGE('29.7.Mukwano-Jinja RD'!L40,'30.7.Mukwano-Jinja RD'!L40,'31.07.Mukwano RBT-JinjaRD'!L40,'01.08. Mukwano RBT-Jinja RD 24h'!L40,'02.08.Jinja-Mukwano'!L40,'03.8.Mukwano-Jinja RD 24h'!L40,'04.08.Mukwano-Jinja'!L40)</f>
        <v>2.4285714285714284</v>
      </c>
      <c r="M40" s="48">
        <f>AVERAGE('29.7.Mukwano-Jinja RD'!M40,'30.7.Mukwano-Jinja RD'!M40,'31.07.Mukwano RBT-JinjaRD'!M40,'01.08. Mukwano RBT-Jinja RD 24h'!M40,'02.08.Jinja-Mukwano'!M40,'03.8.Mukwano-Jinja RD 24h'!M40,'04.08.Mukwano-Jinja'!M40)</f>
        <v>345.42857142857144</v>
      </c>
      <c r="N40" s="48">
        <f>AVERAGE('29.7.Mukwano-Jinja RD'!N40,'30.7.Mukwano-Jinja RD'!N40,'31.07.Mukwano RBT-JinjaRD'!N40,'01.08. Mukwano RBT-Jinja RD 24h'!N40,'02.08.Jinja-Mukwano'!N40,'03.8.Mukwano-Jinja RD 24h'!N40,'04.08.Mukwano-Jinja'!N40)</f>
        <v>0</v>
      </c>
      <c r="O40" s="15">
        <f t="shared" si="0"/>
        <v>155.85714285714283</v>
      </c>
      <c r="P40" s="15">
        <f t="shared" si="1"/>
        <v>501.28571428571428</v>
      </c>
      <c r="R40" s="5" t="s">
        <v>17</v>
      </c>
      <c r="S40" s="16">
        <f t="shared" ref="S40:AF40" si="32">SUM(S10:S21)</f>
        <v>6689.7142857142862</v>
      </c>
      <c r="T40" s="16">
        <f t="shared" si="32"/>
        <v>1409.5714285714289</v>
      </c>
      <c r="U40" s="16">
        <f t="shared" si="32"/>
        <v>738.42857142857133</v>
      </c>
      <c r="V40" s="16">
        <f t="shared" si="32"/>
        <v>473.71428571428567</v>
      </c>
      <c r="W40" s="16">
        <f t="shared" si="32"/>
        <v>36.571428571428569</v>
      </c>
      <c r="X40" s="16">
        <f t="shared" si="32"/>
        <v>6.9999999999999991</v>
      </c>
      <c r="Y40" s="16">
        <f t="shared" si="32"/>
        <v>294.85714285714289</v>
      </c>
      <c r="Z40" s="16">
        <f t="shared" si="32"/>
        <v>172.28571428571433</v>
      </c>
      <c r="AA40" s="16">
        <f t="shared" si="32"/>
        <v>54.857142857142854</v>
      </c>
      <c r="AB40" s="16">
        <f t="shared" si="32"/>
        <v>104.85714285714285</v>
      </c>
      <c r="AC40" s="16">
        <f t="shared" si="32"/>
        <v>16883.428571428572</v>
      </c>
      <c r="AD40" s="16">
        <f t="shared" si="32"/>
        <v>2.9999999999999991</v>
      </c>
      <c r="AE40" s="31">
        <f t="shared" si="32"/>
        <v>9984.8571428571413</v>
      </c>
      <c r="AF40" s="31">
        <f t="shared" si="32"/>
        <v>26868.285714285717</v>
      </c>
    </row>
    <row r="41" spans="2:32" ht="23.1" customHeight="1" x14ac:dyDescent="0.25">
      <c r="B41" s="22" t="s">
        <v>68</v>
      </c>
      <c r="C41" s="48">
        <f>AVERAGE('29.7.Mukwano-Jinja RD'!C41,'30.7.Mukwano-Jinja RD'!C41,'31.07.Mukwano RBT-JinjaRD'!C41,'01.08. Mukwano RBT-Jinja RD 24h'!C41,'02.08.Jinja-Mukwano'!C41,'03.8.Mukwano-Jinja RD 24h'!C41,'04.08.Mukwano-Jinja'!C41)</f>
        <v>134.57142857142858</v>
      </c>
      <c r="D41" s="48">
        <f>AVERAGE('29.7.Mukwano-Jinja RD'!D41,'30.7.Mukwano-Jinja RD'!D41,'31.07.Mukwano RBT-JinjaRD'!D41,'01.08. Mukwano RBT-Jinja RD 24h'!D41,'02.08.Jinja-Mukwano'!D41,'03.8.Mukwano-Jinja RD 24h'!D41,'04.08.Mukwano-Jinja'!D41)</f>
        <v>26.857142857142858</v>
      </c>
      <c r="E41" s="48">
        <f>AVERAGE('29.7.Mukwano-Jinja RD'!E41,'30.7.Mukwano-Jinja RD'!E41,'31.07.Mukwano RBT-JinjaRD'!E41,'01.08. Mukwano RBT-Jinja RD 24h'!E41,'02.08.Jinja-Mukwano'!E41,'03.8.Mukwano-Jinja RD 24h'!E41,'04.08.Mukwano-Jinja'!E41)</f>
        <v>15</v>
      </c>
      <c r="F41" s="48">
        <f>AVERAGE('29.7.Mukwano-Jinja RD'!F41,'30.7.Mukwano-Jinja RD'!F41,'31.07.Mukwano RBT-JinjaRD'!F41,'01.08. Mukwano RBT-Jinja RD 24h'!F41,'02.08.Jinja-Mukwano'!F41,'03.8.Mukwano-Jinja RD 24h'!F41,'04.08.Mukwano-Jinja'!F41)</f>
        <v>8.7142857142857135</v>
      </c>
      <c r="G41" s="48">
        <f>AVERAGE('29.7.Mukwano-Jinja RD'!G41,'30.7.Mukwano-Jinja RD'!G41,'31.07.Mukwano RBT-JinjaRD'!G41,'01.08. Mukwano RBT-Jinja RD 24h'!G41,'02.08.Jinja-Mukwano'!G41,'03.8.Mukwano-Jinja RD 24h'!G41,'04.08.Mukwano-Jinja'!G41)</f>
        <v>0.42857142857142855</v>
      </c>
      <c r="H41" s="48">
        <f>AVERAGE('29.7.Mukwano-Jinja RD'!H41,'30.7.Mukwano-Jinja RD'!H41,'31.07.Mukwano RBT-JinjaRD'!H41,'01.08. Mukwano RBT-Jinja RD 24h'!H41,'02.08.Jinja-Mukwano'!H41,'03.8.Mukwano-Jinja RD 24h'!H41,'04.08.Mukwano-Jinja'!H41)</f>
        <v>0.42857142857142855</v>
      </c>
      <c r="I41" s="48">
        <f>AVERAGE('29.7.Mukwano-Jinja RD'!I41,'30.7.Mukwano-Jinja RD'!I41,'31.07.Mukwano RBT-JinjaRD'!I41,'01.08. Mukwano RBT-Jinja RD 24h'!I41,'02.08.Jinja-Mukwano'!I41,'03.8.Mukwano-Jinja RD 24h'!I41,'04.08.Mukwano-Jinja'!I41)</f>
        <v>7</v>
      </c>
      <c r="J41" s="48">
        <f>AVERAGE('29.7.Mukwano-Jinja RD'!J41,'30.7.Mukwano-Jinja RD'!J41,'31.07.Mukwano RBT-JinjaRD'!J41,'01.08. Mukwano RBT-Jinja RD 24h'!J41,'02.08.Jinja-Mukwano'!J41,'03.8.Mukwano-Jinja RD 24h'!J41,'04.08.Mukwano-Jinja'!J41)</f>
        <v>2.8571428571428572</v>
      </c>
      <c r="K41" s="48">
        <f>AVERAGE('29.7.Mukwano-Jinja RD'!K41,'30.7.Mukwano-Jinja RD'!K41,'31.07.Mukwano RBT-JinjaRD'!K41,'01.08. Mukwano RBT-Jinja RD 24h'!K41,'02.08.Jinja-Mukwano'!K41,'03.8.Mukwano-Jinja RD 24h'!K41,'04.08.Mukwano-Jinja'!K41)</f>
        <v>0.7142857142857143</v>
      </c>
      <c r="L41" s="48">
        <f>AVERAGE('29.7.Mukwano-Jinja RD'!L41,'30.7.Mukwano-Jinja RD'!L41,'31.07.Mukwano RBT-JinjaRD'!L41,'01.08. Mukwano RBT-Jinja RD 24h'!L41,'02.08.Jinja-Mukwano'!L41,'03.8.Mukwano-Jinja RD 24h'!L41,'04.08.Mukwano-Jinja'!L41)</f>
        <v>3.5714285714285716</v>
      </c>
      <c r="M41" s="48">
        <f>AVERAGE('29.7.Mukwano-Jinja RD'!M41,'30.7.Mukwano-Jinja RD'!M41,'31.07.Mukwano RBT-JinjaRD'!M41,'01.08. Mukwano RBT-Jinja RD 24h'!M41,'02.08.Jinja-Mukwano'!M41,'03.8.Mukwano-Jinja RD 24h'!M41,'04.08.Mukwano-Jinja'!M41)</f>
        <v>329.57142857142856</v>
      </c>
      <c r="N41" s="48">
        <f>AVERAGE('29.7.Mukwano-Jinja RD'!N41,'30.7.Mukwano-Jinja RD'!N41,'31.07.Mukwano RBT-JinjaRD'!N41,'01.08. Mukwano RBT-Jinja RD 24h'!N41,'02.08.Jinja-Mukwano'!N41,'03.8.Mukwano-Jinja RD 24h'!N41,'04.08.Mukwano-Jinja'!N41)</f>
        <v>0</v>
      </c>
      <c r="O41" s="15">
        <f t="shared" si="0"/>
        <v>200.14285714285717</v>
      </c>
      <c r="P41" s="15">
        <f t="shared" si="1"/>
        <v>529.71428571428578</v>
      </c>
      <c r="R41" s="5" t="s">
        <v>191</v>
      </c>
      <c r="S41" s="16">
        <f>SUM(S10:S33)</f>
        <v>9432.7142857142862</v>
      </c>
      <c r="T41" s="16">
        <f t="shared" ref="T41:AD41" si="33">SUM(T10:T33)</f>
        <v>2001.5714285714289</v>
      </c>
      <c r="U41" s="16">
        <f t="shared" si="33"/>
        <v>934.92857142857133</v>
      </c>
      <c r="V41" s="16">
        <f t="shared" si="33"/>
        <v>723.71428571428567</v>
      </c>
      <c r="W41" s="16">
        <f t="shared" si="33"/>
        <v>52.071428571428569</v>
      </c>
      <c r="X41" s="16">
        <f t="shared" si="33"/>
        <v>9.5</v>
      </c>
      <c r="Y41" s="16">
        <f t="shared" si="33"/>
        <v>374.85714285714289</v>
      </c>
      <c r="Z41" s="16">
        <f t="shared" si="33"/>
        <v>219.78571428571433</v>
      </c>
      <c r="AA41" s="16">
        <f t="shared" si="33"/>
        <v>72.857142857142861</v>
      </c>
      <c r="AB41" s="16">
        <f t="shared" si="33"/>
        <v>150.35714285714283</v>
      </c>
      <c r="AC41" s="16">
        <f t="shared" si="33"/>
        <v>21727.428571428572</v>
      </c>
      <c r="AD41" s="16">
        <f t="shared" si="33"/>
        <v>3.9999999999999991</v>
      </c>
      <c r="AE41" s="31">
        <f>SUM(AE10:AE33)</f>
        <v>13976.357142857141</v>
      </c>
      <c r="AF41" s="31">
        <f>SUM(AF10:AF33)</f>
        <v>35703.785714285717</v>
      </c>
    </row>
    <row r="42" spans="2:32" ht="23.1" customHeight="1" x14ac:dyDescent="0.25">
      <c r="B42" s="23" t="s">
        <v>69</v>
      </c>
      <c r="C42" s="48">
        <f>AVERAGE('29.7.Mukwano-Jinja RD'!C42,'30.7.Mukwano-Jinja RD'!C42,'31.07.Mukwano RBT-JinjaRD'!C42,'01.08. Mukwano RBT-Jinja RD 24h'!C42,'02.08.Jinja-Mukwano'!C42,'03.8.Mukwano-Jinja RD 24h'!C42,'04.08.Mukwano-Jinja'!C42)</f>
        <v>113.42857142857143</v>
      </c>
      <c r="D42" s="48">
        <f>AVERAGE('29.7.Mukwano-Jinja RD'!D42,'30.7.Mukwano-Jinja RD'!D42,'31.07.Mukwano RBT-JinjaRD'!D42,'01.08. Mukwano RBT-Jinja RD 24h'!D42,'02.08.Jinja-Mukwano'!D42,'03.8.Mukwano-Jinja RD 24h'!D42,'04.08.Mukwano-Jinja'!D42)</f>
        <v>20.142857142857142</v>
      </c>
      <c r="E42" s="48">
        <f>AVERAGE('29.7.Mukwano-Jinja RD'!E42,'30.7.Mukwano-Jinja RD'!E42,'31.07.Mukwano RBT-JinjaRD'!E42,'01.08. Mukwano RBT-Jinja RD 24h'!E42,'02.08.Jinja-Mukwano'!E42,'03.8.Mukwano-Jinja RD 24h'!E42,'04.08.Mukwano-Jinja'!E42)</f>
        <v>15.857142857142858</v>
      </c>
      <c r="F42" s="48">
        <f>AVERAGE('29.7.Mukwano-Jinja RD'!F42,'30.7.Mukwano-Jinja RD'!F42,'31.07.Mukwano RBT-JinjaRD'!F42,'01.08. Mukwano RBT-Jinja RD 24h'!F42,'02.08.Jinja-Mukwano'!F42,'03.8.Mukwano-Jinja RD 24h'!F42,'04.08.Mukwano-Jinja'!F42)</f>
        <v>7.4285714285714288</v>
      </c>
      <c r="G42" s="48">
        <f>AVERAGE('29.7.Mukwano-Jinja RD'!G42,'30.7.Mukwano-Jinja RD'!G42,'31.07.Mukwano RBT-JinjaRD'!G42,'01.08. Mukwano RBT-Jinja RD 24h'!G42,'02.08.Jinja-Mukwano'!G42,'03.8.Mukwano-Jinja RD 24h'!G42,'04.08.Mukwano-Jinja'!G42)</f>
        <v>0.42857142857142855</v>
      </c>
      <c r="H42" s="48">
        <f>AVERAGE('29.7.Mukwano-Jinja RD'!H42,'30.7.Mukwano-Jinja RD'!H42,'31.07.Mukwano RBT-JinjaRD'!H42,'01.08. Mukwano RBT-Jinja RD 24h'!H42,'02.08.Jinja-Mukwano'!H42,'03.8.Mukwano-Jinja RD 24h'!H42,'04.08.Mukwano-Jinja'!H42)</f>
        <v>0</v>
      </c>
      <c r="I42" s="48">
        <f>AVERAGE('29.7.Mukwano-Jinja RD'!I42,'30.7.Mukwano-Jinja RD'!I42,'31.07.Mukwano RBT-JinjaRD'!I42,'01.08. Mukwano RBT-Jinja RD 24h'!I42,'02.08.Jinja-Mukwano'!I42,'03.8.Mukwano-Jinja RD 24h'!I42,'04.08.Mukwano-Jinja'!I42)</f>
        <v>5.4285714285714288</v>
      </c>
      <c r="J42" s="48">
        <f>AVERAGE('29.7.Mukwano-Jinja RD'!J42,'30.7.Mukwano-Jinja RD'!J42,'31.07.Mukwano RBT-JinjaRD'!J42,'01.08. Mukwano RBT-Jinja RD 24h'!J42,'02.08.Jinja-Mukwano'!J42,'03.8.Mukwano-Jinja RD 24h'!J42,'04.08.Mukwano-Jinja'!J42)</f>
        <v>4.8571428571428568</v>
      </c>
      <c r="K42" s="48">
        <f>AVERAGE('29.7.Mukwano-Jinja RD'!K42,'30.7.Mukwano-Jinja RD'!K42,'31.07.Mukwano RBT-JinjaRD'!K42,'01.08. Mukwano RBT-Jinja RD 24h'!K42,'02.08.Jinja-Mukwano'!K42,'03.8.Mukwano-Jinja RD 24h'!K42,'04.08.Mukwano-Jinja'!K42)</f>
        <v>1</v>
      </c>
      <c r="L42" s="48">
        <f>AVERAGE('29.7.Mukwano-Jinja RD'!L42,'30.7.Mukwano-Jinja RD'!L42,'31.07.Mukwano RBT-JinjaRD'!L42,'01.08. Mukwano RBT-Jinja RD 24h'!L42,'02.08.Jinja-Mukwano'!L42,'03.8.Mukwano-Jinja RD 24h'!L42,'04.08.Mukwano-Jinja'!L42)</f>
        <v>2.4285714285714284</v>
      </c>
      <c r="M42" s="48">
        <f>AVERAGE('29.7.Mukwano-Jinja RD'!M42,'30.7.Mukwano-Jinja RD'!M42,'31.07.Mukwano RBT-JinjaRD'!M42,'01.08. Mukwano RBT-Jinja RD 24h'!M42,'02.08.Jinja-Mukwano'!M42,'03.8.Mukwano-Jinja RD 24h'!M42,'04.08.Mukwano-Jinja'!M42)</f>
        <v>361.28571428571428</v>
      </c>
      <c r="N42" s="48">
        <f>AVERAGE('29.7.Mukwano-Jinja RD'!N42,'30.7.Mukwano-Jinja RD'!N42,'31.07.Mukwano RBT-JinjaRD'!N42,'01.08. Mukwano RBT-Jinja RD 24h'!N42,'02.08.Jinja-Mukwano'!N42,'03.8.Mukwano-Jinja RD 24h'!N42,'04.08.Mukwano-Jinja'!N42)</f>
        <v>0</v>
      </c>
      <c r="O42" s="15">
        <f t="shared" si="0"/>
        <v>170.99999999999997</v>
      </c>
      <c r="P42" s="15">
        <f t="shared" si="1"/>
        <v>532.28571428571422</v>
      </c>
      <c r="R42" s="5" t="s">
        <v>160</v>
      </c>
      <c r="S42" s="47">
        <f>S41/S40</f>
        <v>1.4100324592124369</v>
      </c>
      <c r="T42" s="47">
        <f t="shared" ref="T42:AF42" si="34">T41/T40</f>
        <v>1.4199858112901591</v>
      </c>
      <c r="U42" s="47">
        <f t="shared" si="34"/>
        <v>1.2661056297156124</v>
      </c>
      <c r="V42" s="47">
        <f t="shared" si="34"/>
        <v>1.5277442702050663</v>
      </c>
      <c r="W42" s="47">
        <f t="shared" si="34"/>
        <v>1.423828125</v>
      </c>
      <c r="X42" s="47">
        <f t="shared" si="34"/>
        <v>1.3571428571428572</v>
      </c>
      <c r="Y42" s="47">
        <f t="shared" si="34"/>
        <v>1.2713178294573644</v>
      </c>
      <c r="Z42" s="47">
        <f t="shared" si="34"/>
        <v>1.2757048092868988</v>
      </c>
      <c r="AA42" s="47">
        <f t="shared" si="34"/>
        <v>1.3281250000000002</v>
      </c>
      <c r="AB42" s="47">
        <f t="shared" si="34"/>
        <v>1.4339237057220708</v>
      </c>
      <c r="AC42" s="47">
        <f t="shared" si="34"/>
        <v>1.2869085493806267</v>
      </c>
      <c r="AD42" s="47">
        <f t="shared" si="34"/>
        <v>1.3333333333333335</v>
      </c>
      <c r="AE42" s="51">
        <f t="shared" si="34"/>
        <v>1.3997553438063353</v>
      </c>
      <c r="AF42" s="51">
        <f t="shared" si="34"/>
        <v>1.3288449473090951</v>
      </c>
    </row>
    <row r="43" spans="2:32" ht="23.1" customHeight="1" x14ac:dyDescent="0.25">
      <c r="B43" s="22" t="s">
        <v>70</v>
      </c>
      <c r="C43" s="48">
        <f>AVERAGE('29.7.Mukwano-Jinja RD'!C43,'30.7.Mukwano-Jinja RD'!C43,'31.07.Mukwano RBT-JinjaRD'!C43,'01.08. Mukwano RBT-Jinja RD 24h'!C43,'02.08.Jinja-Mukwano'!C43,'03.8.Mukwano-Jinja RD 24h'!C43,'04.08.Mukwano-Jinja'!C43)</f>
        <v>144.14285714285714</v>
      </c>
      <c r="D43" s="48">
        <f>AVERAGE('29.7.Mukwano-Jinja RD'!D43,'30.7.Mukwano-Jinja RD'!D43,'31.07.Mukwano RBT-JinjaRD'!D43,'01.08. Mukwano RBT-Jinja RD 24h'!D43,'02.08.Jinja-Mukwano'!D43,'03.8.Mukwano-Jinja RD 24h'!D43,'04.08.Mukwano-Jinja'!D43)</f>
        <v>30</v>
      </c>
      <c r="E43" s="48">
        <f>AVERAGE('29.7.Mukwano-Jinja RD'!E43,'30.7.Mukwano-Jinja RD'!E43,'31.07.Mukwano RBT-JinjaRD'!E43,'01.08. Mukwano RBT-Jinja RD 24h'!E43,'02.08.Jinja-Mukwano'!E43,'03.8.Mukwano-Jinja RD 24h'!E43,'04.08.Mukwano-Jinja'!E43)</f>
        <v>18.857142857142858</v>
      </c>
      <c r="F43" s="48">
        <f>AVERAGE('29.7.Mukwano-Jinja RD'!F43,'30.7.Mukwano-Jinja RD'!F43,'31.07.Mukwano RBT-JinjaRD'!F43,'01.08. Mukwano RBT-Jinja RD 24h'!F43,'02.08.Jinja-Mukwano'!F43,'03.8.Mukwano-Jinja RD 24h'!F43,'04.08.Mukwano-Jinja'!F43)</f>
        <v>9.4285714285714288</v>
      </c>
      <c r="G43" s="48">
        <f>AVERAGE('29.7.Mukwano-Jinja RD'!G43,'30.7.Mukwano-Jinja RD'!G43,'31.07.Mukwano RBT-JinjaRD'!G43,'01.08. Mukwano RBT-Jinja RD 24h'!G43,'02.08.Jinja-Mukwano'!G43,'03.8.Mukwano-Jinja RD 24h'!G43,'04.08.Mukwano-Jinja'!G43)</f>
        <v>0.14285714285714285</v>
      </c>
      <c r="H43" s="48">
        <f>AVERAGE('29.7.Mukwano-Jinja RD'!H43,'30.7.Mukwano-Jinja RD'!H43,'31.07.Mukwano RBT-JinjaRD'!H43,'01.08. Mukwano RBT-Jinja RD 24h'!H43,'02.08.Jinja-Mukwano'!H43,'03.8.Mukwano-Jinja RD 24h'!H43,'04.08.Mukwano-Jinja'!H43)</f>
        <v>0.14285714285714285</v>
      </c>
      <c r="I43" s="48">
        <f>AVERAGE('29.7.Mukwano-Jinja RD'!I43,'30.7.Mukwano-Jinja RD'!I43,'31.07.Mukwano RBT-JinjaRD'!I43,'01.08. Mukwano RBT-Jinja RD 24h'!I43,'02.08.Jinja-Mukwano'!I43,'03.8.Mukwano-Jinja RD 24h'!I43,'04.08.Mukwano-Jinja'!I43)</f>
        <v>5.2857142857142856</v>
      </c>
      <c r="J43" s="48">
        <f>AVERAGE('29.7.Mukwano-Jinja RD'!J43,'30.7.Mukwano-Jinja RD'!J43,'31.07.Mukwano RBT-JinjaRD'!J43,'01.08. Mukwano RBT-Jinja RD 24h'!J43,'02.08.Jinja-Mukwano'!J43,'03.8.Mukwano-Jinja RD 24h'!J43,'04.08.Mukwano-Jinja'!J43)</f>
        <v>5.5714285714285712</v>
      </c>
      <c r="K43" s="48">
        <f>AVERAGE('29.7.Mukwano-Jinja RD'!K43,'30.7.Mukwano-Jinja RD'!K43,'31.07.Mukwano RBT-JinjaRD'!K43,'01.08. Mukwano RBT-Jinja RD 24h'!K43,'02.08.Jinja-Mukwano'!K43,'03.8.Mukwano-Jinja RD 24h'!K43,'04.08.Mukwano-Jinja'!K43)</f>
        <v>2</v>
      </c>
      <c r="L43" s="48">
        <f>AVERAGE('29.7.Mukwano-Jinja RD'!L43,'30.7.Mukwano-Jinja RD'!L43,'31.07.Mukwano RBT-JinjaRD'!L43,'01.08. Mukwano RBT-Jinja RD 24h'!L43,'02.08.Jinja-Mukwano'!L43,'03.8.Mukwano-Jinja RD 24h'!L43,'04.08.Mukwano-Jinja'!L43)</f>
        <v>1.8571428571428572</v>
      </c>
      <c r="M43" s="48">
        <f>AVERAGE('29.7.Mukwano-Jinja RD'!M43,'30.7.Mukwano-Jinja RD'!M43,'31.07.Mukwano RBT-JinjaRD'!M43,'01.08. Mukwano RBT-Jinja RD 24h'!M43,'02.08.Jinja-Mukwano'!M43,'03.8.Mukwano-Jinja RD 24h'!M43,'04.08.Mukwano-Jinja'!M43)</f>
        <v>358.14285714285717</v>
      </c>
      <c r="N43" s="48">
        <f>AVERAGE('29.7.Mukwano-Jinja RD'!N43,'30.7.Mukwano-Jinja RD'!N43,'31.07.Mukwano RBT-JinjaRD'!N43,'01.08. Mukwano RBT-Jinja RD 24h'!N43,'02.08.Jinja-Mukwano'!N43,'03.8.Mukwano-Jinja RD 24h'!N43,'04.08.Mukwano-Jinja'!N43)</f>
        <v>0</v>
      </c>
      <c r="O43" s="15">
        <f t="shared" si="0"/>
        <v>217.42857142857142</v>
      </c>
      <c r="P43" s="15">
        <f t="shared" si="1"/>
        <v>575.57142857142856</v>
      </c>
    </row>
    <row r="44" spans="2:32" ht="23.1" customHeight="1" x14ac:dyDescent="0.25">
      <c r="B44" s="24" t="s">
        <v>71</v>
      </c>
      <c r="C44" s="48">
        <f>AVERAGE('29.7.Mukwano-Jinja RD'!C44,'30.7.Mukwano-Jinja RD'!C44,'31.07.Mukwano RBT-JinjaRD'!C44,'01.08. Mukwano RBT-Jinja RD 24h'!C44,'02.08.Jinja-Mukwano'!C44,'03.8.Mukwano-Jinja RD 24h'!C44,'04.08.Mukwano-Jinja'!C44)</f>
        <v>134.71428571428572</v>
      </c>
      <c r="D44" s="48">
        <f>AVERAGE('29.7.Mukwano-Jinja RD'!D44,'30.7.Mukwano-Jinja RD'!D44,'31.07.Mukwano RBT-JinjaRD'!D44,'01.08. Mukwano RBT-Jinja RD 24h'!D44,'02.08.Jinja-Mukwano'!D44,'03.8.Mukwano-Jinja RD 24h'!D44,'04.08.Mukwano-Jinja'!D44)</f>
        <v>25.428571428571427</v>
      </c>
      <c r="E44" s="48">
        <f>AVERAGE('29.7.Mukwano-Jinja RD'!E44,'30.7.Mukwano-Jinja RD'!E44,'31.07.Mukwano RBT-JinjaRD'!E44,'01.08. Mukwano RBT-Jinja RD 24h'!E44,'02.08.Jinja-Mukwano'!E44,'03.8.Mukwano-Jinja RD 24h'!E44,'04.08.Mukwano-Jinja'!E44)</f>
        <v>17.142857142857142</v>
      </c>
      <c r="F44" s="48">
        <f>AVERAGE('29.7.Mukwano-Jinja RD'!F44,'30.7.Mukwano-Jinja RD'!F44,'31.07.Mukwano RBT-JinjaRD'!F44,'01.08. Mukwano RBT-Jinja RD 24h'!F44,'02.08.Jinja-Mukwano'!F44,'03.8.Mukwano-Jinja RD 24h'!F44,'04.08.Mukwano-Jinja'!F44)</f>
        <v>8.4285714285714288</v>
      </c>
      <c r="G44" s="48">
        <f>AVERAGE('29.7.Mukwano-Jinja RD'!G44,'30.7.Mukwano-Jinja RD'!G44,'31.07.Mukwano RBT-JinjaRD'!G44,'01.08. Mukwano RBT-Jinja RD 24h'!G44,'02.08.Jinja-Mukwano'!G44,'03.8.Mukwano-Jinja RD 24h'!G44,'04.08.Mukwano-Jinja'!G44)</f>
        <v>0.2857142857142857</v>
      </c>
      <c r="H44" s="48">
        <f>AVERAGE('29.7.Mukwano-Jinja RD'!H44,'30.7.Mukwano-Jinja RD'!H44,'31.07.Mukwano RBT-JinjaRD'!H44,'01.08. Mukwano RBT-Jinja RD 24h'!H44,'02.08.Jinja-Mukwano'!H44,'03.8.Mukwano-Jinja RD 24h'!H44,'04.08.Mukwano-Jinja'!H44)</f>
        <v>0.2857142857142857</v>
      </c>
      <c r="I44" s="48">
        <f>AVERAGE('29.7.Mukwano-Jinja RD'!I44,'30.7.Mukwano-Jinja RD'!I44,'31.07.Mukwano RBT-JinjaRD'!I44,'01.08. Mukwano RBT-Jinja RD 24h'!I44,'02.08.Jinja-Mukwano'!I44,'03.8.Mukwano-Jinja RD 24h'!I44,'04.08.Mukwano-Jinja'!I44)</f>
        <v>5.8571428571428568</v>
      </c>
      <c r="J44" s="48">
        <f>AVERAGE('29.7.Mukwano-Jinja RD'!J44,'30.7.Mukwano-Jinja RD'!J44,'31.07.Mukwano RBT-JinjaRD'!J44,'01.08. Mukwano RBT-Jinja RD 24h'!J44,'02.08.Jinja-Mukwano'!J44,'03.8.Mukwano-Jinja RD 24h'!J44,'04.08.Mukwano-Jinja'!J44)</f>
        <v>4.1428571428571432</v>
      </c>
      <c r="K44" s="48">
        <f>AVERAGE('29.7.Mukwano-Jinja RD'!K44,'30.7.Mukwano-Jinja RD'!K44,'31.07.Mukwano RBT-JinjaRD'!K44,'01.08. Mukwano RBT-Jinja RD 24h'!K44,'02.08.Jinja-Mukwano'!K44,'03.8.Mukwano-Jinja RD 24h'!K44,'04.08.Mukwano-Jinja'!K44)</f>
        <v>1.2857142857142858</v>
      </c>
      <c r="L44" s="48">
        <f>AVERAGE('29.7.Mukwano-Jinja RD'!L44,'30.7.Mukwano-Jinja RD'!L44,'31.07.Mukwano RBT-JinjaRD'!L44,'01.08. Mukwano RBT-Jinja RD 24h'!L44,'02.08.Jinja-Mukwano'!L44,'03.8.Mukwano-Jinja RD 24h'!L44,'04.08.Mukwano-Jinja'!L44)</f>
        <v>2.5714285714285716</v>
      </c>
      <c r="M44" s="48">
        <f>AVERAGE('29.7.Mukwano-Jinja RD'!M44,'30.7.Mukwano-Jinja RD'!M44,'31.07.Mukwano RBT-JinjaRD'!M44,'01.08. Mukwano RBT-Jinja RD 24h'!M44,'02.08.Jinja-Mukwano'!M44,'03.8.Mukwano-Jinja RD 24h'!M44,'04.08.Mukwano-Jinja'!M44)</f>
        <v>337</v>
      </c>
      <c r="N44" s="48">
        <f>AVERAGE('29.7.Mukwano-Jinja RD'!N44,'30.7.Mukwano-Jinja RD'!N44,'31.07.Mukwano RBT-JinjaRD'!N44,'01.08. Mukwano RBT-Jinja RD 24h'!N44,'02.08.Jinja-Mukwano'!N44,'03.8.Mukwano-Jinja RD 24h'!N44,'04.08.Mukwano-Jinja'!N44)</f>
        <v>0.14285714285714285</v>
      </c>
      <c r="O44" s="15">
        <f t="shared" si="0"/>
        <v>200.28571428571425</v>
      </c>
      <c r="P44" s="15">
        <f t="shared" si="1"/>
        <v>537.28571428571422</v>
      </c>
    </row>
    <row r="45" spans="2:32" ht="23.1" customHeight="1" x14ac:dyDescent="0.25">
      <c r="B45" s="22" t="s">
        <v>72</v>
      </c>
      <c r="C45" s="48">
        <f>AVERAGE('29.7.Mukwano-Jinja RD'!C45,'30.7.Mukwano-Jinja RD'!C45,'31.07.Mukwano RBT-JinjaRD'!C45,'01.08. Mukwano RBT-Jinja RD 24h'!C45,'02.08.Jinja-Mukwano'!C45,'03.8.Mukwano-Jinja RD 24h'!C45,'04.08.Mukwano-Jinja'!C45)</f>
        <v>108.28571428571429</v>
      </c>
      <c r="D45" s="48">
        <f>AVERAGE('29.7.Mukwano-Jinja RD'!D45,'30.7.Mukwano-Jinja RD'!D45,'31.07.Mukwano RBT-JinjaRD'!D45,'01.08. Mukwano RBT-Jinja RD 24h'!D45,'02.08.Jinja-Mukwano'!D45,'03.8.Mukwano-Jinja RD 24h'!D45,'04.08.Mukwano-Jinja'!D45)</f>
        <v>26</v>
      </c>
      <c r="E45" s="48">
        <f>AVERAGE('29.7.Mukwano-Jinja RD'!E45,'30.7.Mukwano-Jinja RD'!E45,'31.07.Mukwano RBT-JinjaRD'!E45,'01.08. Mukwano RBT-Jinja RD 24h'!E45,'02.08.Jinja-Mukwano'!E45,'03.8.Mukwano-Jinja RD 24h'!E45,'04.08.Mukwano-Jinja'!E45)</f>
        <v>15</v>
      </c>
      <c r="F45" s="48">
        <f>AVERAGE('29.7.Mukwano-Jinja RD'!F45,'30.7.Mukwano-Jinja RD'!F45,'31.07.Mukwano RBT-JinjaRD'!F45,'01.08. Mukwano RBT-Jinja RD 24h'!F45,'02.08.Jinja-Mukwano'!F45,'03.8.Mukwano-Jinja RD 24h'!F45,'04.08.Mukwano-Jinja'!F45)</f>
        <v>8.7142857142857135</v>
      </c>
      <c r="G45" s="48">
        <f>AVERAGE('29.7.Mukwano-Jinja RD'!G45,'30.7.Mukwano-Jinja RD'!G45,'31.07.Mukwano RBT-JinjaRD'!G45,'01.08. Mukwano RBT-Jinja RD 24h'!G45,'02.08.Jinja-Mukwano'!G45,'03.8.Mukwano-Jinja RD 24h'!G45,'04.08.Mukwano-Jinja'!G45)</f>
        <v>0.5714285714285714</v>
      </c>
      <c r="H45" s="48">
        <f>AVERAGE('29.7.Mukwano-Jinja RD'!H45,'30.7.Mukwano-Jinja RD'!H45,'31.07.Mukwano RBT-JinjaRD'!H45,'01.08. Mukwano RBT-Jinja RD 24h'!H45,'02.08.Jinja-Mukwano'!H45,'03.8.Mukwano-Jinja RD 24h'!H45,'04.08.Mukwano-Jinja'!H45)</f>
        <v>0.14285714285714285</v>
      </c>
      <c r="I45" s="48">
        <f>AVERAGE('29.7.Mukwano-Jinja RD'!I45,'30.7.Mukwano-Jinja RD'!I45,'31.07.Mukwano RBT-JinjaRD'!I45,'01.08. Mukwano RBT-Jinja RD 24h'!I45,'02.08.Jinja-Mukwano'!I45,'03.8.Mukwano-Jinja RD 24h'!I45,'04.08.Mukwano-Jinja'!I45)</f>
        <v>5.4285714285714288</v>
      </c>
      <c r="J45" s="48">
        <f>AVERAGE('29.7.Mukwano-Jinja RD'!J45,'30.7.Mukwano-Jinja RD'!J45,'31.07.Mukwano RBT-JinjaRD'!J45,'01.08. Mukwano RBT-Jinja RD 24h'!J45,'02.08.Jinja-Mukwano'!J45,'03.8.Mukwano-Jinja RD 24h'!J45,'04.08.Mukwano-Jinja'!J45)</f>
        <v>4.1428571428571432</v>
      </c>
      <c r="K45" s="48">
        <f>AVERAGE('29.7.Mukwano-Jinja RD'!K45,'30.7.Mukwano-Jinja RD'!K45,'31.07.Mukwano RBT-JinjaRD'!K45,'01.08. Mukwano RBT-Jinja RD 24h'!K45,'02.08.Jinja-Mukwano'!K45,'03.8.Mukwano-Jinja RD 24h'!K45,'04.08.Mukwano-Jinja'!K45)</f>
        <v>1.4285714285714286</v>
      </c>
      <c r="L45" s="48">
        <f>AVERAGE('29.7.Mukwano-Jinja RD'!L45,'30.7.Mukwano-Jinja RD'!L45,'31.07.Mukwano RBT-JinjaRD'!L45,'01.08. Mukwano RBT-Jinja RD 24h'!L45,'02.08.Jinja-Mukwano'!L45,'03.8.Mukwano-Jinja RD 24h'!L45,'04.08.Mukwano-Jinja'!L45)</f>
        <v>2.8571428571428572</v>
      </c>
      <c r="M45" s="48">
        <f>AVERAGE('29.7.Mukwano-Jinja RD'!M45,'30.7.Mukwano-Jinja RD'!M45,'31.07.Mukwano RBT-JinjaRD'!M45,'01.08. Mukwano RBT-Jinja RD 24h'!M45,'02.08.Jinja-Mukwano'!M45,'03.8.Mukwano-Jinja RD 24h'!M45,'04.08.Mukwano-Jinja'!M45)</f>
        <v>294</v>
      </c>
      <c r="N45" s="48">
        <f>AVERAGE('29.7.Mukwano-Jinja RD'!N45,'30.7.Mukwano-Jinja RD'!N45,'31.07.Mukwano RBT-JinjaRD'!N45,'01.08. Mukwano RBT-Jinja RD 24h'!N45,'02.08.Jinja-Mukwano'!N45,'03.8.Mukwano-Jinja RD 24h'!N45,'04.08.Mukwano-Jinja'!N45)</f>
        <v>0</v>
      </c>
      <c r="O45" s="15">
        <f t="shared" si="0"/>
        <v>172.57142857142856</v>
      </c>
      <c r="P45" s="15">
        <f t="shared" si="1"/>
        <v>466.57142857142856</v>
      </c>
    </row>
    <row r="46" spans="2:32" ht="23.1" customHeight="1" x14ac:dyDescent="0.25">
      <c r="B46" s="23" t="s">
        <v>73</v>
      </c>
      <c r="C46" s="48">
        <f>AVERAGE('29.7.Mukwano-Jinja RD'!C46,'30.7.Mukwano-Jinja RD'!C46,'31.07.Mukwano RBT-JinjaRD'!C46,'01.08. Mukwano RBT-Jinja RD 24h'!C46,'02.08.Jinja-Mukwano'!C46,'03.8.Mukwano-Jinja RD 24h'!C46,'04.08.Mukwano-Jinja'!C46)</f>
        <v>115.85714285714286</v>
      </c>
      <c r="D46" s="48">
        <f>AVERAGE('29.7.Mukwano-Jinja RD'!D46,'30.7.Mukwano-Jinja RD'!D46,'31.07.Mukwano RBT-JinjaRD'!D46,'01.08. Mukwano RBT-Jinja RD 24h'!D46,'02.08.Jinja-Mukwano'!D46,'03.8.Mukwano-Jinja RD 24h'!D46,'04.08.Mukwano-Jinja'!D46)</f>
        <v>22.571428571428573</v>
      </c>
      <c r="E46" s="48">
        <f>AVERAGE('29.7.Mukwano-Jinja RD'!E46,'30.7.Mukwano-Jinja RD'!E46,'31.07.Mukwano RBT-JinjaRD'!E46,'01.08. Mukwano RBT-Jinja RD 24h'!E46,'02.08.Jinja-Mukwano'!E46,'03.8.Mukwano-Jinja RD 24h'!E46,'04.08.Mukwano-Jinja'!E46)</f>
        <v>14.857142857142858</v>
      </c>
      <c r="F46" s="48">
        <f>AVERAGE('29.7.Mukwano-Jinja RD'!F46,'30.7.Mukwano-Jinja RD'!F46,'31.07.Mukwano RBT-JinjaRD'!F46,'01.08. Mukwano RBT-Jinja RD 24h'!F46,'02.08.Jinja-Mukwano'!F46,'03.8.Mukwano-Jinja RD 24h'!F46,'04.08.Mukwano-Jinja'!F46)</f>
        <v>8.5714285714285712</v>
      </c>
      <c r="G46" s="48">
        <f>AVERAGE('29.7.Mukwano-Jinja RD'!G46,'30.7.Mukwano-Jinja RD'!G46,'31.07.Mukwano RBT-JinjaRD'!G46,'01.08. Mukwano RBT-Jinja RD 24h'!G46,'02.08.Jinja-Mukwano'!G46,'03.8.Mukwano-Jinja RD 24h'!G46,'04.08.Mukwano-Jinja'!G46)</f>
        <v>0.2857142857142857</v>
      </c>
      <c r="H46" s="48">
        <f>AVERAGE('29.7.Mukwano-Jinja RD'!H46,'30.7.Mukwano-Jinja RD'!H46,'31.07.Mukwano RBT-JinjaRD'!H46,'01.08. Mukwano RBT-Jinja RD 24h'!H46,'02.08.Jinja-Mukwano'!H46,'03.8.Mukwano-Jinja RD 24h'!H46,'04.08.Mukwano-Jinja'!H46)</f>
        <v>0.2857142857142857</v>
      </c>
      <c r="I46" s="48">
        <f>AVERAGE('29.7.Mukwano-Jinja RD'!I46,'30.7.Mukwano-Jinja RD'!I46,'31.07.Mukwano RBT-JinjaRD'!I46,'01.08. Mukwano RBT-Jinja RD 24h'!I46,'02.08.Jinja-Mukwano'!I46,'03.8.Mukwano-Jinja RD 24h'!I46,'04.08.Mukwano-Jinja'!I46)</f>
        <v>5.4285714285714288</v>
      </c>
      <c r="J46" s="48">
        <f>AVERAGE('29.7.Mukwano-Jinja RD'!J46,'30.7.Mukwano-Jinja RD'!J46,'31.07.Mukwano RBT-JinjaRD'!J46,'01.08. Mukwano RBT-Jinja RD 24h'!J46,'02.08.Jinja-Mukwano'!J46,'03.8.Mukwano-Jinja RD 24h'!J46,'04.08.Mukwano-Jinja'!J46)</f>
        <v>4.1428571428571432</v>
      </c>
      <c r="K46" s="48">
        <f>AVERAGE('29.7.Mukwano-Jinja RD'!K46,'30.7.Mukwano-Jinja RD'!K46,'31.07.Mukwano RBT-JinjaRD'!K46,'01.08. Mukwano RBT-Jinja RD 24h'!K46,'02.08.Jinja-Mukwano'!K46,'03.8.Mukwano-Jinja RD 24h'!K46,'04.08.Mukwano-Jinja'!K46)</f>
        <v>1.1428571428571428</v>
      </c>
      <c r="L46" s="48">
        <f>AVERAGE('29.7.Mukwano-Jinja RD'!L46,'30.7.Mukwano-Jinja RD'!L46,'31.07.Mukwano RBT-JinjaRD'!L46,'01.08. Mukwano RBT-Jinja RD 24h'!L46,'02.08.Jinja-Mukwano'!L46,'03.8.Mukwano-Jinja RD 24h'!L46,'04.08.Mukwano-Jinja'!L46)</f>
        <v>2.4285714285714284</v>
      </c>
      <c r="M46" s="48">
        <f>AVERAGE('29.7.Mukwano-Jinja RD'!M46,'30.7.Mukwano-Jinja RD'!M46,'31.07.Mukwano RBT-JinjaRD'!M46,'01.08. Mukwano RBT-Jinja RD 24h'!M46,'02.08.Jinja-Mukwano'!M46,'03.8.Mukwano-Jinja RD 24h'!M46,'04.08.Mukwano-Jinja'!M46)</f>
        <v>255.85714285714286</v>
      </c>
      <c r="N46" s="48">
        <f>AVERAGE('29.7.Mukwano-Jinja RD'!N46,'30.7.Mukwano-Jinja RD'!N46,'31.07.Mukwano RBT-JinjaRD'!N46,'01.08. Mukwano RBT-Jinja RD 24h'!N46,'02.08.Jinja-Mukwano'!N46,'03.8.Mukwano-Jinja RD 24h'!N46,'04.08.Mukwano-Jinja'!N46)</f>
        <v>0</v>
      </c>
      <c r="O46" s="15">
        <f t="shared" si="0"/>
        <v>175.57142857142856</v>
      </c>
      <c r="P46" s="15">
        <f t="shared" si="1"/>
        <v>431.42857142857144</v>
      </c>
      <c r="R46" s="8"/>
      <c r="T46"/>
    </row>
    <row r="47" spans="2:32" ht="23.1" customHeight="1" x14ac:dyDescent="0.25">
      <c r="B47" s="23" t="s">
        <v>74</v>
      </c>
      <c r="C47" s="48">
        <f>AVERAGE('29.7.Mukwano-Jinja RD'!C47,'30.7.Mukwano-Jinja RD'!C47,'31.07.Mukwano RBT-JinjaRD'!C47,'01.08. Mukwano RBT-Jinja RD 24h'!C47,'02.08.Jinja-Mukwano'!C47,'03.8.Mukwano-Jinja RD 24h'!C47,'04.08.Mukwano-Jinja'!C47)</f>
        <v>111.71428571428571</v>
      </c>
      <c r="D47" s="48">
        <f>AVERAGE('29.7.Mukwano-Jinja RD'!D47,'30.7.Mukwano-Jinja RD'!D47,'31.07.Mukwano RBT-JinjaRD'!D47,'01.08. Mukwano RBT-Jinja RD 24h'!D47,'02.08.Jinja-Mukwano'!D47,'03.8.Mukwano-Jinja RD 24h'!D47,'04.08.Mukwano-Jinja'!D47)</f>
        <v>25.142857142857142</v>
      </c>
      <c r="E47" s="48">
        <f>AVERAGE('29.7.Mukwano-Jinja RD'!E47,'30.7.Mukwano-Jinja RD'!E47,'31.07.Mukwano RBT-JinjaRD'!E47,'01.08. Mukwano RBT-Jinja RD 24h'!E47,'02.08.Jinja-Mukwano'!E47,'03.8.Mukwano-Jinja RD 24h'!E47,'04.08.Mukwano-Jinja'!E47)</f>
        <v>16.714285714285715</v>
      </c>
      <c r="F47" s="48">
        <f>AVERAGE('29.7.Mukwano-Jinja RD'!F47,'30.7.Mukwano-Jinja RD'!F47,'31.07.Mukwano RBT-JinjaRD'!F47,'01.08. Mukwano RBT-Jinja RD 24h'!F47,'02.08.Jinja-Mukwano'!F47,'03.8.Mukwano-Jinja RD 24h'!F47,'04.08.Mukwano-Jinja'!F47)</f>
        <v>9</v>
      </c>
      <c r="G47" s="48">
        <f>AVERAGE('29.7.Mukwano-Jinja RD'!G47,'30.7.Mukwano-Jinja RD'!G47,'31.07.Mukwano RBT-JinjaRD'!G47,'01.08. Mukwano RBT-Jinja RD 24h'!G47,'02.08.Jinja-Mukwano'!G47,'03.8.Mukwano-Jinja RD 24h'!G47,'04.08.Mukwano-Jinja'!G47)</f>
        <v>0.7142857142857143</v>
      </c>
      <c r="H47" s="48">
        <f>AVERAGE('29.7.Mukwano-Jinja RD'!H47,'30.7.Mukwano-Jinja RD'!H47,'31.07.Mukwano RBT-JinjaRD'!H47,'01.08. Mukwano RBT-Jinja RD 24h'!H47,'02.08.Jinja-Mukwano'!H47,'03.8.Mukwano-Jinja RD 24h'!H47,'04.08.Mukwano-Jinja'!H47)</f>
        <v>0</v>
      </c>
      <c r="I47" s="48">
        <f>AVERAGE('29.7.Mukwano-Jinja RD'!I47,'30.7.Mukwano-Jinja RD'!I47,'31.07.Mukwano RBT-JinjaRD'!I47,'01.08. Mukwano RBT-Jinja RD 24h'!I47,'02.08.Jinja-Mukwano'!I47,'03.8.Mukwano-Jinja RD 24h'!I47,'04.08.Mukwano-Jinja'!I47)</f>
        <v>6.5714285714285712</v>
      </c>
      <c r="J47" s="48">
        <f>AVERAGE('29.7.Mukwano-Jinja RD'!J47,'30.7.Mukwano-Jinja RD'!J47,'31.07.Mukwano RBT-JinjaRD'!J47,'01.08. Mukwano RBT-Jinja RD 24h'!J47,'02.08.Jinja-Mukwano'!J47,'03.8.Mukwano-Jinja RD 24h'!J47,'04.08.Mukwano-Jinja'!J47)</f>
        <v>6.1428571428571432</v>
      </c>
      <c r="K47" s="48">
        <f>AVERAGE('29.7.Mukwano-Jinja RD'!K47,'30.7.Mukwano-Jinja RD'!K47,'31.07.Mukwano RBT-JinjaRD'!K47,'01.08. Mukwano RBT-Jinja RD 24h'!K47,'02.08.Jinja-Mukwano'!K47,'03.8.Mukwano-Jinja RD 24h'!K47,'04.08.Mukwano-Jinja'!K47)</f>
        <v>0.42857142857142855</v>
      </c>
      <c r="L47" s="48">
        <f>AVERAGE('29.7.Mukwano-Jinja RD'!L47,'30.7.Mukwano-Jinja RD'!L47,'31.07.Mukwano RBT-JinjaRD'!L47,'01.08. Mukwano RBT-Jinja RD 24h'!L47,'02.08.Jinja-Mukwano'!L47,'03.8.Mukwano-Jinja RD 24h'!L47,'04.08.Mukwano-Jinja'!L47)</f>
        <v>3.1428571428571428</v>
      </c>
      <c r="M47" s="48">
        <f>AVERAGE('29.7.Mukwano-Jinja RD'!M47,'30.7.Mukwano-Jinja RD'!M47,'31.07.Mukwano RBT-JinjaRD'!M47,'01.08. Mukwano RBT-Jinja RD 24h'!M47,'02.08.Jinja-Mukwano'!M47,'03.8.Mukwano-Jinja RD 24h'!M47,'04.08.Mukwano-Jinja'!M47)</f>
        <v>298.28571428571428</v>
      </c>
      <c r="N47" s="48">
        <f>AVERAGE('29.7.Mukwano-Jinja RD'!N47,'30.7.Mukwano-Jinja RD'!N47,'31.07.Mukwano RBT-JinjaRD'!N47,'01.08. Mukwano RBT-Jinja RD 24h'!N47,'02.08.Jinja-Mukwano'!N47,'03.8.Mukwano-Jinja RD 24h'!N47,'04.08.Mukwano-Jinja'!N47)</f>
        <v>0</v>
      </c>
      <c r="O47" s="15">
        <f t="shared" si="0"/>
        <v>179.57142857142858</v>
      </c>
      <c r="P47" s="15">
        <f t="shared" si="1"/>
        <v>477.85714285714289</v>
      </c>
      <c r="R47" s="8"/>
      <c r="T47"/>
    </row>
    <row r="48" spans="2:32" ht="23.1" customHeight="1" x14ac:dyDescent="0.25">
      <c r="B48" s="23" t="s">
        <v>75</v>
      </c>
      <c r="C48" s="48">
        <f>AVERAGE('29.7.Mukwano-Jinja RD'!C48,'30.7.Mukwano-Jinja RD'!C48,'31.07.Mukwano RBT-JinjaRD'!C48,'01.08. Mukwano RBT-Jinja RD 24h'!C48,'02.08.Jinja-Mukwano'!C48,'03.8.Mukwano-Jinja RD 24h'!C48,'04.08.Mukwano-Jinja'!C48)</f>
        <v>127.57142857142857</v>
      </c>
      <c r="D48" s="48">
        <f>AVERAGE('29.7.Mukwano-Jinja RD'!D48,'30.7.Mukwano-Jinja RD'!D48,'31.07.Mukwano RBT-JinjaRD'!D48,'01.08. Mukwano RBT-Jinja RD 24h'!D48,'02.08.Jinja-Mukwano'!D48,'03.8.Mukwano-Jinja RD 24h'!D48,'04.08.Mukwano-Jinja'!D48)</f>
        <v>25.285714285714285</v>
      </c>
      <c r="E48" s="48">
        <f>AVERAGE('29.7.Mukwano-Jinja RD'!E48,'30.7.Mukwano-Jinja RD'!E48,'31.07.Mukwano RBT-JinjaRD'!E48,'01.08. Mukwano RBT-Jinja RD 24h'!E48,'02.08.Jinja-Mukwano'!E48,'03.8.Mukwano-Jinja RD 24h'!E48,'04.08.Mukwano-Jinja'!E48)</f>
        <v>18.571428571428573</v>
      </c>
      <c r="F48" s="48">
        <f>AVERAGE('29.7.Mukwano-Jinja RD'!F48,'30.7.Mukwano-Jinja RD'!F48,'31.07.Mukwano RBT-JinjaRD'!F48,'01.08. Mukwano RBT-Jinja RD 24h'!F48,'02.08.Jinja-Mukwano'!F48,'03.8.Mukwano-Jinja RD 24h'!F48,'04.08.Mukwano-Jinja'!F48)</f>
        <v>10</v>
      </c>
      <c r="G48" s="48">
        <f>AVERAGE('29.7.Mukwano-Jinja RD'!G48,'30.7.Mukwano-Jinja RD'!G48,'31.07.Mukwano RBT-JinjaRD'!G48,'01.08. Mukwano RBT-Jinja RD 24h'!G48,'02.08.Jinja-Mukwano'!G48,'03.8.Mukwano-Jinja RD 24h'!G48,'04.08.Mukwano-Jinja'!G48)</f>
        <v>0.2857142857142857</v>
      </c>
      <c r="H48" s="48">
        <f>AVERAGE('29.7.Mukwano-Jinja RD'!H48,'30.7.Mukwano-Jinja RD'!H48,'31.07.Mukwano RBT-JinjaRD'!H48,'01.08. Mukwano RBT-Jinja RD 24h'!H48,'02.08.Jinja-Mukwano'!H48,'03.8.Mukwano-Jinja RD 24h'!H48,'04.08.Mukwano-Jinja'!H48)</f>
        <v>0</v>
      </c>
      <c r="I48" s="48">
        <f>AVERAGE('29.7.Mukwano-Jinja RD'!I48,'30.7.Mukwano-Jinja RD'!I48,'31.07.Mukwano RBT-JinjaRD'!I48,'01.08. Mukwano RBT-Jinja RD 24h'!I48,'02.08.Jinja-Mukwano'!I48,'03.8.Mukwano-Jinja RD 24h'!I48,'04.08.Mukwano-Jinja'!I48)</f>
        <v>9.2857142857142865</v>
      </c>
      <c r="J48" s="48">
        <f>AVERAGE('29.7.Mukwano-Jinja RD'!J48,'30.7.Mukwano-Jinja RD'!J48,'31.07.Mukwano RBT-JinjaRD'!J48,'01.08. Mukwano RBT-Jinja RD 24h'!J48,'02.08.Jinja-Mukwano'!J48,'03.8.Mukwano-Jinja RD 24h'!J48,'04.08.Mukwano-Jinja'!J48)</f>
        <v>4.1428571428571432</v>
      </c>
      <c r="K48" s="48">
        <f>AVERAGE('29.7.Mukwano-Jinja RD'!K48,'30.7.Mukwano-Jinja RD'!K48,'31.07.Mukwano RBT-JinjaRD'!K48,'01.08. Mukwano RBT-Jinja RD 24h'!K48,'02.08.Jinja-Mukwano'!K48,'03.8.Mukwano-Jinja RD 24h'!K48,'04.08.Mukwano-Jinja'!K48)</f>
        <v>1</v>
      </c>
      <c r="L48" s="48">
        <f>AVERAGE('29.7.Mukwano-Jinja RD'!L48,'30.7.Mukwano-Jinja RD'!L48,'31.07.Mukwano RBT-JinjaRD'!L48,'01.08. Mukwano RBT-Jinja RD 24h'!L48,'02.08.Jinja-Mukwano'!L48,'03.8.Mukwano-Jinja RD 24h'!L48,'04.08.Mukwano-Jinja'!L48)</f>
        <v>2.7142857142857144</v>
      </c>
      <c r="M48" s="48">
        <f>AVERAGE('29.7.Mukwano-Jinja RD'!M48,'30.7.Mukwano-Jinja RD'!M48,'31.07.Mukwano RBT-JinjaRD'!M48,'01.08. Mukwano RBT-Jinja RD 24h'!M48,'02.08.Jinja-Mukwano'!M48,'03.8.Mukwano-Jinja RD 24h'!M48,'04.08.Mukwano-Jinja'!M48)</f>
        <v>334.71428571428572</v>
      </c>
      <c r="N48" s="48">
        <f>AVERAGE('29.7.Mukwano-Jinja RD'!N48,'30.7.Mukwano-Jinja RD'!N48,'31.07.Mukwano RBT-JinjaRD'!N48,'01.08. Mukwano RBT-Jinja RD 24h'!N48,'02.08.Jinja-Mukwano'!N48,'03.8.Mukwano-Jinja RD 24h'!N48,'04.08.Mukwano-Jinja'!N48)</f>
        <v>0.2857142857142857</v>
      </c>
      <c r="O48" s="15">
        <f t="shared" si="0"/>
        <v>199.14285714285714</v>
      </c>
      <c r="P48" s="15">
        <f t="shared" si="1"/>
        <v>533.85714285714289</v>
      </c>
      <c r="R48" s="8"/>
      <c r="T48"/>
    </row>
    <row r="49" spans="2:20" ht="23.1" customHeight="1" x14ac:dyDescent="0.25">
      <c r="B49" s="22" t="s">
        <v>76</v>
      </c>
      <c r="C49" s="48">
        <f>AVERAGE('29.7.Mukwano-Jinja RD'!C49,'30.7.Mukwano-Jinja RD'!C49,'31.07.Mukwano RBT-JinjaRD'!C49,'01.08. Mukwano RBT-Jinja RD 24h'!C49,'02.08.Jinja-Mukwano'!C49,'03.8.Mukwano-Jinja RD 24h'!C49,'04.08.Mukwano-Jinja'!C49)</f>
        <v>123.71428571428571</v>
      </c>
      <c r="D49" s="48">
        <f>AVERAGE('29.7.Mukwano-Jinja RD'!D49,'30.7.Mukwano-Jinja RD'!D49,'31.07.Mukwano RBT-JinjaRD'!D49,'01.08. Mukwano RBT-Jinja RD 24h'!D49,'02.08.Jinja-Mukwano'!D49,'03.8.Mukwano-Jinja RD 24h'!D49,'04.08.Mukwano-Jinja'!D49)</f>
        <v>26</v>
      </c>
      <c r="E49" s="48">
        <f>AVERAGE('29.7.Mukwano-Jinja RD'!E49,'30.7.Mukwano-Jinja RD'!E49,'31.07.Mukwano RBT-JinjaRD'!E49,'01.08. Mukwano RBT-Jinja RD 24h'!E49,'02.08.Jinja-Mukwano'!E49,'03.8.Mukwano-Jinja RD 24h'!E49,'04.08.Mukwano-Jinja'!E49)</f>
        <v>17.571428571428573</v>
      </c>
      <c r="F49" s="48">
        <f>AVERAGE('29.7.Mukwano-Jinja RD'!F49,'30.7.Mukwano-Jinja RD'!F49,'31.07.Mukwano RBT-JinjaRD'!F49,'01.08. Mukwano RBT-Jinja RD 24h'!F49,'02.08.Jinja-Mukwano'!F49,'03.8.Mukwano-Jinja RD 24h'!F49,'04.08.Mukwano-Jinja'!F49)</f>
        <v>8.2857142857142865</v>
      </c>
      <c r="G49" s="48">
        <f>AVERAGE('29.7.Mukwano-Jinja RD'!G49,'30.7.Mukwano-Jinja RD'!G49,'31.07.Mukwano RBT-JinjaRD'!G49,'01.08. Mukwano RBT-Jinja RD 24h'!G49,'02.08.Jinja-Mukwano'!G49,'03.8.Mukwano-Jinja RD 24h'!G49,'04.08.Mukwano-Jinja'!G49)</f>
        <v>0.7142857142857143</v>
      </c>
      <c r="H49" s="48">
        <f>AVERAGE('29.7.Mukwano-Jinja RD'!H49,'30.7.Mukwano-Jinja RD'!H49,'31.07.Mukwano RBT-JinjaRD'!H49,'01.08. Mukwano RBT-Jinja RD 24h'!H49,'02.08.Jinja-Mukwano'!H49,'03.8.Mukwano-Jinja RD 24h'!H49,'04.08.Mukwano-Jinja'!H49)</f>
        <v>0</v>
      </c>
      <c r="I49" s="48">
        <f>AVERAGE('29.7.Mukwano-Jinja RD'!I49,'30.7.Mukwano-Jinja RD'!I49,'31.07.Mukwano RBT-JinjaRD'!I49,'01.08. Mukwano RBT-Jinja RD 24h'!I49,'02.08.Jinja-Mukwano'!I49,'03.8.Mukwano-Jinja RD 24h'!I49,'04.08.Mukwano-Jinja'!I49)</f>
        <v>3.4285714285714284</v>
      </c>
      <c r="J49" s="48">
        <f>AVERAGE('29.7.Mukwano-Jinja RD'!J49,'30.7.Mukwano-Jinja RD'!J49,'31.07.Mukwano RBT-JinjaRD'!J49,'01.08. Mukwano RBT-Jinja RD 24h'!J49,'02.08.Jinja-Mukwano'!J49,'03.8.Mukwano-Jinja RD 24h'!J49,'04.08.Mukwano-Jinja'!J49)</f>
        <v>4.2857142857142856</v>
      </c>
      <c r="K49" s="48">
        <f>AVERAGE('29.7.Mukwano-Jinja RD'!K49,'30.7.Mukwano-Jinja RD'!K49,'31.07.Mukwano RBT-JinjaRD'!K49,'01.08. Mukwano RBT-Jinja RD 24h'!K49,'02.08.Jinja-Mukwano'!K49,'03.8.Mukwano-Jinja RD 24h'!K49,'04.08.Mukwano-Jinja'!K49)</f>
        <v>1.1428571428571428</v>
      </c>
      <c r="L49" s="48">
        <f>AVERAGE('29.7.Mukwano-Jinja RD'!L49,'30.7.Mukwano-Jinja RD'!L49,'31.07.Mukwano RBT-JinjaRD'!L49,'01.08. Mukwano RBT-Jinja RD 24h'!L49,'02.08.Jinja-Mukwano'!L49,'03.8.Mukwano-Jinja RD 24h'!L49,'04.08.Mukwano-Jinja'!L49)</f>
        <v>2.7142857142857144</v>
      </c>
      <c r="M49" s="48">
        <f>AVERAGE('29.7.Mukwano-Jinja RD'!M49,'30.7.Mukwano-Jinja RD'!M49,'31.07.Mukwano RBT-JinjaRD'!M49,'01.08. Mukwano RBT-Jinja RD 24h'!M49,'02.08.Jinja-Mukwano'!M49,'03.8.Mukwano-Jinja RD 24h'!M49,'04.08.Mukwano-Jinja'!M49)</f>
        <v>351.71428571428572</v>
      </c>
      <c r="N49" s="48">
        <f>AVERAGE('29.7.Mukwano-Jinja RD'!N49,'30.7.Mukwano-Jinja RD'!N49,'31.07.Mukwano RBT-JinjaRD'!N49,'01.08. Mukwano RBT-Jinja RD 24h'!N49,'02.08.Jinja-Mukwano'!N49,'03.8.Mukwano-Jinja RD 24h'!N49,'04.08.Mukwano-Jinja'!N49)</f>
        <v>0.14285714285714285</v>
      </c>
      <c r="O49" s="15">
        <f t="shared" si="0"/>
        <v>188</v>
      </c>
      <c r="P49" s="15">
        <f t="shared" si="1"/>
        <v>539.71428571428567</v>
      </c>
      <c r="R49" s="8"/>
      <c r="T49"/>
    </row>
    <row r="50" spans="2:20" ht="23.1" customHeight="1" x14ac:dyDescent="0.25">
      <c r="B50" s="23" t="s">
        <v>77</v>
      </c>
      <c r="C50" s="48">
        <f>AVERAGE('29.7.Mukwano-Jinja RD'!C50,'30.7.Mukwano-Jinja RD'!C50,'31.07.Mukwano RBT-JinjaRD'!C50,'01.08. Mukwano RBT-Jinja RD 24h'!C50,'02.08.Jinja-Mukwano'!C50,'03.8.Mukwano-Jinja RD 24h'!C50,'04.08.Mukwano-Jinja'!C50)</f>
        <v>130</v>
      </c>
      <c r="D50" s="48">
        <f>AVERAGE('29.7.Mukwano-Jinja RD'!D50,'30.7.Mukwano-Jinja RD'!D50,'31.07.Mukwano RBT-JinjaRD'!D50,'01.08. Mukwano RBT-Jinja RD 24h'!D50,'02.08.Jinja-Mukwano'!D50,'03.8.Mukwano-Jinja RD 24h'!D50,'04.08.Mukwano-Jinja'!D50)</f>
        <v>27.285714285714285</v>
      </c>
      <c r="E50" s="48">
        <f>AVERAGE('29.7.Mukwano-Jinja RD'!E50,'30.7.Mukwano-Jinja RD'!E50,'31.07.Mukwano RBT-JinjaRD'!E50,'01.08. Mukwano RBT-Jinja RD 24h'!E50,'02.08.Jinja-Mukwano'!E50,'03.8.Mukwano-Jinja RD 24h'!E50,'04.08.Mukwano-Jinja'!E50)</f>
        <v>15.571428571428571</v>
      </c>
      <c r="F50" s="48">
        <f>AVERAGE('29.7.Mukwano-Jinja RD'!F50,'30.7.Mukwano-Jinja RD'!F50,'31.07.Mukwano RBT-JinjaRD'!F50,'01.08. Mukwano RBT-Jinja RD 24h'!F50,'02.08.Jinja-Mukwano'!F50,'03.8.Mukwano-Jinja RD 24h'!F50,'04.08.Mukwano-Jinja'!F50)</f>
        <v>11.714285714285714</v>
      </c>
      <c r="G50" s="48">
        <f>AVERAGE('29.7.Mukwano-Jinja RD'!G50,'30.7.Mukwano-Jinja RD'!G50,'31.07.Mukwano RBT-JinjaRD'!G50,'01.08. Mukwano RBT-Jinja RD 24h'!G50,'02.08.Jinja-Mukwano'!G50,'03.8.Mukwano-Jinja RD 24h'!G50,'04.08.Mukwano-Jinja'!G50)</f>
        <v>1</v>
      </c>
      <c r="H50" s="48">
        <f>AVERAGE('29.7.Mukwano-Jinja RD'!H50,'30.7.Mukwano-Jinja RD'!H50,'31.07.Mukwano RBT-JinjaRD'!H50,'01.08. Mukwano RBT-Jinja RD 24h'!H50,'02.08.Jinja-Mukwano'!H50,'03.8.Mukwano-Jinja RD 24h'!H50,'04.08.Mukwano-Jinja'!H50)</f>
        <v>0.14285714285714285</v>
      </c>
      <c r="I50" s="48">
        <f>AVERAGE('29.7.Mukwano-Jinja RD'!I50,'30.7.Mukwano-Jinja RD'!I50,'31.07.Mukwano RBT-JinjaRD'!I50,'01.08. Mukwano RBT-Jinja RD 24h'!I50,'02.08.Jinja-Mukwano'!I50,'03.8.Mukwano-Jinja RD 24h'!I50,'04.08.Mukwano-Jinja'!I50)</f>
        <v>5.2857142857142856</v>
      </c>
      <c r="J50" s="48">
        <f>AVERAGE('29.7.Mukwano-Jinja RD'!J50,'30.7.Mukwano-Jinja RD'!J50,'31.07.Mukwano RBT-JinjaRD'!J50,'01.08. Mukwano RBT-Jinja RD 24h'!J50,'02.08.Jinja-Mukwano'!J50,'03.8.Mukwano-Jinja RD 24h'!J50,'04.08.Mukwano-Jinja'!J50)</f>
        <v>2.4285714285714284</v>
      </c>
      <c r="K50" s="48">
        <f>AVERAGE('29.7.Mukwano-Jinja RD'!K50,'30.7.Mukwano-Jinja RD'!K50,'31.07.Mukwano RBT-JinjaRD'!K50,'01.08. Mukwano RBT-Jinja RD 24h'!K50,'02.08.Jinja-Mukwano'!K50,'03.8.Mukwano-Jinja RD 24h'!K50,'04.08.Mukwano-Jinja'!K50)</f>
        <v>1.4285714285714286</v>
      </c>
      <c r="L50" s="48">
        <f>AVERAGE('29.7.Mukwano-Jinja RD'!L50,'30.7.Mukwano-Jinja RD'!L50,'31.07.Mukwano RBT-JinjaRD'!L50,'01.08. Mukwano RBT-Jinja RD 24h'!L50,'02.08.Jinja-Mukwano'!L50,'03.8.Mukwano-Jinja RD 24h'!L50,'04.08.Mukwano-Jinja'!L50)</f>
        <v>2.7142857142857144</v>
      </c>
      <c r="M50" s="48">
        <f>AVERAGE('29.7.Mukwano-Jinja RD'!M50,'30.7.Mukwano-Jinja RD'!M50,'31.07.Mukwano RBT-JinjaRD'!M50,'01.08. Mukwano RBT-Jinja RD 24h'!M50,'02.08.Jinja-Mukwano'!M50,'03.8.Mukwano-Jinja RD 24h'!M50,'04.08.Mukwano-Jinja'!M50)</f>
        <v>322.14285714285717</v>
      </c>
      <c r="N50" s="48">
        <f>AVERAGE('29.7.Mukwano-Jinja RD'!N50,'30.7.Mukwano-Jinja RD'!N50,'31.07.Mukwano RBT-JinjaRD'!N50,'01.08. Mukwano RBT-Jinja RD 24h'!N50,'02.08.Jinja-Mukwano'!N50,'03.8.Mukwano-Jinja RD 24h'!N50,'04.08.Mukwano-Jinja'!N50)</f>
        <v>0</v>
      </c>
      <c r="O50" s="15">
        <f t="shared" si="0"/>
        <v>197.57142857142856</v>
      </c>
      <c r="P50" s="15">
        <f t="shared" si="1"/>
        <v>519.71428571428578</v>
      </c>
      <c r="R50" s="8"/>
      <c r="T50"/>
    </row>
    <row r="51" spans="2:20" ht="23.1" customHeight="1" x14ac:dyDescent="0.25">
      <c r="B51" s="23" t="s">
        <v>78</v>
      </c>
      <c r="C51" s="48">
        <f>AVERAGE('29.7.Mukwano-Jinja RD'!C51,'30.7.Mukwano-Jinja RD'!C51,'31.07.Mukwano RBT-JinjaRD'!C51,'01.08. Mukwano RBT-Jinja RD 24h'!C51,'02.08.Jinja-Mukwano'!C51,'03.8.Mukwano-Jinja RD 24h'!C51,'04.08.Mukwano-Jinja'!C51)</f>
        <v>137.57142857142858</v>
      </c>
      <c r="D51" s="48">
        <f>AVERAGE('29.7.Mukwano-Jinja RD'!D51,'30.7.Mukwano-Jinja RD'!D51,'31.07.Mukwano RBT-JinjaRD'!D51,'01.08. Mukwano RBT-Jinja RD 24h'!D51,'02.08.Jinja-Mukwano'!D51,'03.8.Mukwano-Jinja RD 24h'!D51,'04.08.Mukwano-Jinja'!D51)</f>
        <v>24.857142857142858</v>
      </c>
      <c r="E51" s="48">
        <f>AVERAGE('29.7.Mukwano-Jinja RD'!E51,'30.7.Mukwano-Jinja RD'!E51,'31.07.Mukwano RBT-JinjaRD'!E51,'01.08. Mukwano RBT-Jinja RD 24h'!E51,'02.08.Jinja-Mukwano'!E51,'03.8.Mukwano-Jinja RD 24h'!E51,'04.08.Mukwano-Jinja'!E51)</f>
        <v>14.571428571428571</v>
      </c>
      <c r="F51" s="48">
        <f>AVERAGE('29.7.Mukwano-Jinja RD'!F51,'30.7.Mukwano-Jinja RD'!F51,'31.07.Mukwano RBT-JinjaRD'!F51,'01.08. Mukwano RBT-Jinja RD 24h'!F51,'02.08.Jinja-Mukwano'!F51,'03.8.Mukwano-Jinja RD 24h'!F51,'04.08.Mukwano-Jinja'!F51)</f>
        <v>9.2857142857142865</v>
      </c>
      <c r="G51" s="48">
        <f>AVERAGE('29.7.Mukwano-Jinja RD'!G51,'30.7.Mukwano-Jinja RD'!G51,'31.07.Mukwano RBT-JinjaRD'!G51,'01.08. Mukwano RBT-Jinja RD 24h'!G51,'02.08.Jinja-Mukwano'!G51,'03.8.Mukwano-Jinja RD 24h'!G51,'04.08.Mukwano-Jinja'!G51)</f>
        <v>1.8571428571428572</v>
      </c>
      <c r="H51" s="48">
        <f>AVERAGE('29.7.Mukwano-Jinja RD'!H51,'30.7.Mukwano-Jinja RD'!H51,'31.07.Mukwano RBT-JinjaRD'!H51,'01.08. Mukwano RBT-Jinja RD 24h'!H51,'02.08.Jinja-Mukwano'!H51,'03.8.Mukwano-Jinja RD 24h'!H51,'04.08.Mukwano-Jinja'!H51)</f>
        <v>0</v>
      </c>
      <c r="I51" s="48">
        <f>AVERAGE('29.7.Mukwano-Jinja RD'!I51,'30.7.Mukwano-Jinja RD'!I51,'31.07.Mukwano RBT-JinjaRD'!I51,'01.08. Mukwano RBT-Jinja RD 24h'!I51,'02.08.Jinja-Mukwano'!I51,'03.8.Mukwano-Jinja RD 24h'!I51,'04.08.Mukwano-Jinja'!I51)</f>
        <v>5.7142857142857144</v>
      </c>
      <c r="J51" s="48">
        <f>AVERAGE('29.7.Mukwano-Jinja RD'!J51,'30.7.Mukwano-Jinja RD'!J51,'31.07.Mukwano RBT-JinjaRD'!J51,'01.08. Mukwano RBT-Jinja RD 24h'!J51,'02.08.Jinja-Mukwano'!J51,'03.8.Mukwano-Jinja RD 24h'!J51,'04.08.Mukwano-Jinja'!J51)</f>
        <v>2.5714285714285716</v>
      </c>
      <c r="K51" s="48">
        <f>AVERAGE('29.7.Mukwano-Jinja RD'!K51,'30.7.Mukwano-Jinja RD'!K51,'31.07.Mukwano RBT-JinjaRD'!K51,'01.08. Mukwano RBT-Jinja RD 24h'!K51,'02.08.Jinja-Mukwano'!K51,'03.8.Mukwano-Jinja RD 24h'!K51,'04.08.Mukwano-Jinja'!K51)</f>
        <v>0.7142857142857143</v>
      </c>
      <c r="L51" s="48">
        <f>AVERAGE('29.7.Mukwano-Jinja RD'!L51,'30.7.Mukwano-Jinja RD'!L51,'31.07.Mukwano RBT-JinjaRD'!L51,'01.08. Mukwano RBT-Jinja RD 24h'!L51,'02.08.Jinja-Mukwano'!L51,'03.8.Mukwano-Jinja RD 24h'!L51,'04.08.Mukwano-Jinja'!L51)</f>
        <v>2.7142857142857144</v>
      </c>
      <c r="M51" s="48">
        <f>AVERAGE('29.7.Mukwano-Jinja RD'!M51,'30.7.Mukwano-Jinja RD'!M51,'31.07.Mukwano RBT-JinjaRD'!M51,'01.08. Mukwano RBT-Jinja RD 24h'!M51,'02.08.Jinja-Mukwano'!M51,'03.8.Mukwano-Jinja RD 24h'!M51,'04.08.Mukwano-Jinja'!M51)</f>
        <v>333.28571428571428</v>
      </c>
      <c r="N51" s="48">
        <f>AVERAGE('29.7.Mukwano-Jinja RD'!N51,'30.7.Mukwano-Jinja RD'!N51,'31.07.Mukwano RBT-JinjaRD'!N51,'01.08. Mukwano RBT-Jinja RD 24h'!N51,'02.08.Jinja-Mukwano'!N51,'03.8.Mukwano-Jinja RD 24h'!N51,'04.08.Mukwano-Jinja'!N51)</f>
        <v>0</v>
      </c>
      <c r="O51" s="15">
        <f t="shared" si="0"/>
        <v>199.85714285714292</v>
      </c>
      <c r="P51" s="15">
        <f t="shared" si="1"/>
        <v>533.14285714285722</v>
      </c>
      <c r="R51" s="8"/>
      <c r="T51"/>
    </row>
    <row r="52" spans="2:20" ht="23.1" customHeight="1" x14ac:dyDescent="0.25">
      <c r="B52" s="23" t="s">
        <v>79</v>
      </c>
      <c r="C52" s="48">
        <f>AVERAGE('29.7.Mukwano-Jinja RD'!C52,'30.7.Mukwano-Jinja RD'!C52,'31.07.Mukwano RBT-JinjaRD'!C52,'01.08. Mukwano RBT-Jinja RD 24h'!C52,'02.08.Jinja-Mukwano'!C52,'03.8.Mukwano-Jinja RD 24h'!C52,'04.08.Mukwano-Jinja'!C52)</f>
        <v>154.85714285714286</v>
      </c>
      <c r="D52" s="48">
        <f>AVERAGE('29.7.Mukwano-Jinja RD'!D52,'30.7.Mukwano-Jinja RD'!D52,'31.07.Mukwano RBT-JinjaRD'!D52,'01.08. Mukwano RBT-Jinja RD 24h'!D52,'02.08.Jinja-Mukwano'!D52,'03.8.Mukwano-Jinja RD 24h'!D52,'04.08.Mukwano-Jinja'!D52)</f>
        <v>28.571428571428573</v>
      </c>
      <c r="E52" s="48">
        <f>AVERAGE('29.7.Mukwano-Jinja RD'!E52,'30.7.Mukwano-Jinja RD'!E52,'31.07.Mukwano RBT-JinjaRD'!E52,'01.08. Mukwano RBT-Jinja RD 24h'!E52,'02.08.Jinja-Mukwano'!E52,'03.8.Mukwano-Jinja RD 24h'!E52,'04.08.Mukwano-Jinja'!E52)</f>
        <v>12.714285714285714</v>
      </c>
      <c r="F52" s="48">
        <f>AVERAGE('29.7.Mukwano-Jinja RD'!F52,'30.7.Mukwano-Jinja RD'!F52,'31.07.Mukwano RBT-JinjaRD'!F52,'01.08. Mukwano RBT-Jinja RD 24h'!F52,'02.08.Jinja-Mukwano'!F52,'03.8.Mukwano-Jinja RD 24h'!F52,'04.08.Mukwano-Jinja'!F52)</f>
        <v>9.2857142857142865</v>
      </c>
      <c r="G52" s="48">
        <f>AVERAGE('29.7.Mukwano-Jinja RD'!G52,'30.7.Mukwano-Jinja RD'!G52,'31.07.Mukwano RBT-JinjaRD'!G52,'01.08. Mukwano RBT-Jinja RD 24h'!G52,'02.08.Jinja-Mukwano'!G52,'03.8.Mukwano-Jinja RD 24h'!G52,'04.08.Mukwano-Jinja'!G52)</f>
        <v>1</v>
      </c>
      <c r="H52" s="48">
        <f>AVERAGE('29.7.Mukwano-Jinja RD'!H52,'30.7.Mukwano-Jinja RD'!H52,'31.07.Mukwano RBT-JinjaRD'!H52,'01.08. Mukwano RBT-Jinja RD 24h'!H52,'02.08.Jinja-Mukwano'!H52,'03.8.Mukwano-Jinja RD 24h'!H52,'04.08.Mukwano-Jinja'!H52)</f>
        <v>0.14285714285714285</v>
      </c>
      <c r="I52" s="48">
        <f>AVERAGE('29.7.Mukwano-Jinja RD'!I52,'30.7.Mukwano-Jinja RD'!I52,'31.07.Mukwano RBT-JinjaRD'!I52,'01.08. Mukwano RBT-Jinja RD 24h'!I52,'02.08.Jinja-Mukwano'!I52,'03.8.Mukwano-Jinja RD 24h'!I52,'04.08.Mukwano-Jinja'!I52)</f>
        <v>4.5714285714285712</v>
      </c>
      <c r="J52" s="48">
        <f>AVERAGE('29.7.Mukwano-Jinja RD'!J52,'30.7.Mukwano-Jinja RD'!J52,'31.07.Mukwano RBT-JinjaRD'!J52,'01.08. Mukwano RBT-Jinja RD 24h'!J52,'02.08.Jinja-Mukwano'!J52,'03.8.Mukwano-Jinja RD 24h'!J52,'04.08.Mukwano-Jinja'!J52)</f>
        <v>2.5714285714285716</v>
      </c>
      <c r="K52" s="48">
        <f>AVERAGE('29.7.Mukwano-Jinja RD'!K52,'30.7.Mukwano-Jinja RD'!K52,'31.07.Mukwano RBT-JinjaRD'!K52,'01.08. Mukwano RBT-Jinja RD 24h'!K52,'02.08.Jinja-Mukwano'!K52,'03.8.Mukwano-Jinja RD 24h'!K52,'04.08.Mukwano-Jinja'!K52)</f>
        <v>1.1428571428571428</v>
      </c>
      <c r="L52" s="48">
        <f>AVERAGE('29.7.Mukwano-Jinja RD'!L52,'30.7.Mukwano-Jinja RD'!L52,'31.07.Mukwano RBT-JinjaRD'!L52,'01.08. Mukwano RBT-Jinja RD 24h'!L52,'02.08.Jinja-Mukwano'!L52,'03.8.Mukwano-Jinja RD 24h'!L52,'04.08.Mukwano-Jinja'!L52)</f>
        <v>1.7142857142857142</v>
      </c>
      <c r="M52" s="48">
        <f>AVERAGE('29.7.Mukwano-Jinja RD'!M52,'30.7.Mukwano-Jinja RD'!M52,'31.07.Mukwano RBT-JinjaRD'!M52,'01.08. Mukwano RBT-Jinja RD 24h'!M52,'02.08.Jinja-Mukwano'!M52,'03.8.Mukwano-Jinja RD 24h'!M52,'04.08.Mukwano-Jinja'!M52)</f>
        <v>291.57142857142856</v>
      </c>
      <c r="N52" s="48">
        <f>AVERAGE('29.7.Mukwano-Jinja RD'!N52,'30.7.Mukwano-Jinja RD'!N52,'31.07.Mukwano RBT-JinjaRD'!N52,'01.08. Mukwano RBT-Jinja RD 24h'!N52,'02.08.Jinja-Mukwano'!N52,'03.8.Mukwano-Jinja RD 24h'!N52,'04.08.Mukwano-Jinja'!N52)</f>
        <v>0.14285714285714285</v>
      </c>
      <c r="O52" s="15">
        <f t="shared" si="0"/>
        <v>216.71428571428575</v>
      </c>
      <c r="P52" s="15">
        <f t="shared" si="1"/>
        <v>508.28571428571433</v>
      </c>
      <c r="R52" s="8"/>
      <c r="T52"/>
    </row>
    <row r="53" spans="2:20" ht="23.1" customHeight="1" x14ac:dyDescent="0.25">
      <c r="B53" s="22" t="s">
        <v>80</v>
      </c>
      <c r="C53" s="48">
        <f>AVERAGE('29.7.Mukwano-Jinja RD'!C53,'30.7.Mukwano-Jinja RD'!C53,'31.07.Mukwano RBT-JinjaRD'!C53,'01.08. Mukwano RBT-Jinja RD 24h'!C53,'02.08.Jinja-Mukwano'!C53,'03.8.Mukwano-Jinja RD 24h'!C53,'04.08.Mukwano-Jinja'!C53)</f>
        <v>142.71428571428572</v>
      </c>
      <c r="D53" s="48">
        <f>AVERAGE('29.7.Mukwano-Jinja RD'!D53,'30.7.Mukwano-Jinja RD'!D53,'31.07.Mukwano RBT-JinjaRD'!D53,'01.08. Mukwano RBT-Jinja RD 24h'!D53,'02.08.Jinja-Mukwano'!D53,'03.8.Mukwano-Jinja RD 24h'!D53,'04.08.Mukwano-Jinja'!D53)</f>
        <v>24.285714285714285</v>
      </c>
      <c r="E53" s="48">
        <f>AVERAGE('29.7.Mukwano-Jinja RD'!E53,'30.7.Mukwano-Jinja RD'!E53,'31.07.Mukwano RBT-JinjaRD'!E53,'01.08. Mukwano RBT-Jinja RD 24h'!E53,'02.08.Jinja-Mukwano'!E53,'03.8.Mukwano-Jinja RD 24h'!E53,'04.08.Mukwano-Jinja'!E53)</f>
        <v>13</v>
      </c>
      <c r="F53" s="48">
        <f>AVERAGE('29.7.Mukwano-Jinja RD'!F53,'30.7.Mukwano-Jinja RD'!F53,'31.07.Mukwano RBT-JinjaRD'!F53,'01.08. Mukwano RBT-Jinja RD 24h'!F53,'02.08.Jinja-Mukwano'!F53,'03.8.Mukwano-Jinja RD 24h'!F53,'04.08.Mukwano-Jinja'!F53)</f>
        <v>11.857142857142858</v>
      </c>
      <c r="G53" s="48">
        <f>AVERAGE('29.7.Mukwano-Jinja RD'!G53,'30.7.Mukwano-Jinja RD'!G53,'31.07.Mukwano RBT-JinjaRD'!G53,'01.08. Mukwano RBT-Jinja RD 24h'!G53,'02.08.Jinja-Mukwano'!G53,'03.8.Mukwano-Jinja RD 24h'!G53,'04.08.Mukwano-Jinja'!G53)</f>
        <v>1.2857142857142858</v>
      </c>
      <c r="H53" s="48">
        <f>AVERAGE('29.7.Mukwano-Jinja RD'!H53,'30.7.Mukwano-Jinja RD'!H53,'31.07.Mukwano RBT-JinjaRD'!H53,'01.08. Mukwano RBT-Jinja RD 24h'!H53,'02.08.Jinja-Mukwano'!H53,'03.8.Mukwano-Jinja RD 24h'!H53,'04.08.Mukwano-Jinja'!H53)</f>
        <v>0</v>
      </c>
      <c r="I53" s="48">
        <f>AVERAGE('29.7.Mukwano-Jinja RD'!I53,'30.7.Mukwano-Jinja RD'!I53,'31.07.Mukwano RBT-JinjaRD'!I53,'01.08. Mukwano RBT-Jinja RD 24h'!I53,'02.08.Jinja-Mukwano'!I53,'03.8.Mukwano-Jinja RD 24h'!I53,'04.08.Mukwano-Jinja'!I53)</f>
        <v>4.4285714285714288</v>
      </c>
      <c r="J53" s="48">
        <f>AVERAGE('29.7.Mukwano-Jinja RD'!J53,'30.7.Mukwano-Jinja RD'!J53,'31.07.Mukwano RBT-JinjaRD'!J53,'01.08. Mukwano RBT-Jinja RD 24h'!J53,'02.08.Jinja-Mukwano'!J53,'03.8.Mukwano-Jinja RD 24h'!J53,'04.08.Mukwano-Jinja'!J53)</f>
        <v>3</v>
      </c>
      <c r="K53" s="48">
        <f>AVERAGE('29.7.Mukwano-Jinja RD'!K53,'30.7.Mukwano-Jinja RD'!K53,'31.07.Mukwano RBT-JinjaRD'!K53,'01.08. Mukwano RBT-Jinja RD 24h'!K53,'02.08.Jinja-Mukwano'!K53,'03.8.Mukwano-Jinja RD 24h'!K53,'04.08.Mukwano-Jinja'!K53)</f>
        <v>0.8571428571428571</v>
      </c>
      <c r="L53" s="48">
        <f>AVERAGE('29.7.Mukwano-Jinja RD'!L53,'30.7.Mukwano-Jinja RD'!L53,'31.07.Mukwano RBT-JinjaRD'!L53,'01.08. Mukwano RBT-Jinja RD 24h'!L53,'02.08.Jinja-Mukwano'!L53,'03.8.Mukwano-Jinja RD 24h'!L53,'04.08.Mukwano-Jinja'!L53)</f>
        <v>2.1428571428571428</v>
      </c>
      <c r="M53" s="48">
        <f>AVERAGE('29.7.Mukwano-Jinja RD'!M53,'30.7.Mukwano-Jinja RD'!M53,'31.07.Mukwano RBT-JinjaRD'!M53,'01.08. Mukwano RBT-Jinja RD 24h'!M53,'02.08.Jinja-Mukwano'!M53,'03.8.Mukwano-Jinja RD 24h'!M53,'04.08.Mukwano-Jinja'!M53)</f>
        <v>283.85714285714283</v>
      </c>
      <c r="N53" s="48">
        <f>AVERAGE('29.7.Mukwano-Jinja RD'!N53,'30.7.Mukwano-Jinja RD'!N53,'31.07.Mukwano RBT-JinjaRD'!N53,'01.08. Mukwano RBT-Jinja RD 24h'!N53,'02.08.Jinja-Mukwano'!N53,'03.8.Mukwano-Jinja RD 24h'!N53,'04.08.Mukwano-Jinja'!N53)</f>
        <v>0.2857142857142857</v>
      </c>
      <c r="O53" s="15">
        <f t="shared" si="0"/>
        <v>203.85714285714283</v>
      </c>
      <c r="P53" s="15">
        <f t="shared" si="1"/>
        <v>487.71428571428567</v>
      </c>
      <c r="R53" s="8"/>
      <c r="T53"/>
    </row>
    <row r="54" spans="2:20" ht="23.1" customHeight="1" x14ac:dyDescent="0.25">
      <c r="B54" s="22" t="s">
        <v>81</v>
      </c>
      <c r="C54" s="48">
        <f>AVERAGE('29.7.Mukwano-Jinja RD'!C54,'30.7.Mukwano-Jinja RD'!C54,'31.07.Mukwano RBT-JinjaRD'!C54,'01.08. Mukwano RBT-Jinja RD 24h'!C54,'02.08.Jinja-Mukwano'!C54,'03.8.Mukwano-Jinja RD 24h'!C54,'04.08.Mukwano-Jinja'!C54)</f>
        <v>121.85714285714286</v>
      </c>
      <c r="D54" s="48">
        <f>AVERAGE('29.7.Mukwano-Jinja RD'!D54,'30.7.Mukwano-Jinja RD'!D54,'31.07.Mukwano RBT-JinjaRD'!D54,'01.08. Mukwano RBT-Jinja RD 24h'!D54,'02.08.Jinja-Mukwano'!D54,'03.8.Mukwano-Jinja RD 24h'!D54,'04.08.Mukwano-Jinja'!D54)</f>
        <v>19.285714285714285</v>
      </c>
      <c r="E54" s="48">
        <f>AVERAGE('29.7.Mukwano-Jinja RD'!E54,'30.7.Mukwano-Jinja RD'!E54,'31.07.Mukwano RBT-JinjaRD'!E54,'01.08. Mukwano RBT-Jinja RD 24h'!E54,'02.08.Jinja-Mukwano'!E54,'03.8.Mukwano-Jinja RD 24h'!E54,'04.08.Mukwano-Jinja'!E54)</f>
        <v>10</v>
      </c>
      <c r="F54" s="48">
        <f>AVERAGE('29.7.Mukwano-Jinja RD'!F54,'30.7.Mukwano-Jinja RD'!F54,'31.07.Mukwano RBT-JinjaRD'!F54,'01.08. Mukwano RBT-Jinja RD 24h'!F54,'02.08.Jinja-Mukwano'!F54,'03.8.Mukwano-Jinja RD 24h'!F54,'04.08.Mukwano-Jinja'!F54)</f>
        <v>8.2857142857142865</v>
      </c>
      <c r="G54" s="48">
        <f>AVERAGE('29.7.Mukwano-Jinja RD'!G54,'30.7.Mukwano-Jinja RD'!G54,'31.07.Mukwano RBT-JinjaRD'!G54,'01.08. Mukwano RBT-Jinja RD 24h'!G54,'02.08.Jinja-Mukwano'!G54,'03.8.Mukwano-Jinja RD 24h'!G54,'04.08.Mukwano-Jinja'!G54)</f>
        <v>1.2857142857142858</v>
      </c>
      <c r="H54" s="48">
        <f>AVERAGE('29.7.Mukwano-Jinja RD'!H54,'30.7.Mukwano-Jinja RD'!H54,'31.07.Mukwano RBT-JinjaRD'!H54,'01.08. Mukwano RBT-Jinja RD 24h'!H54,'02.08.Jinja-Mukwano'!H54,'03.8.Mukwano-Jinja RD 24h'!H54,'04.08.Mukwano-Jinja'!H54)</f>
        <v>0</v>
      </c>
      <c r="I54" s="48">
        <f>AVERAGE('29.7.Mukwano-Jinja RD'!I54,'30.7.Mukwano-Jinja RD'!I54,'31.07.Mukwano RBT-JinjaRD'!I54,'01.08. Mukwano RBT-Jinja RD 24h'!I54,'02.08.Jinja-Mukwano'!I54,'03.8.Mukwano-Jinja RD 24h'!I54,'04.08.Mukwano-Jinja'!I54)</f>
        <v>5</v>
      </c>
      <c r="J54" s="48">
        <f>AVERAGE('29.7.Mukwano-Jinja RD'!J54,'30.7.Mukwano-Jinja RD'!J54,'31.07.Mukwano RBT-JinjaRD'!J54,'01.08. Mukwano RBT-Jinja RD 24h'!J54,'02.08.Jinja-Mukwano'!J54,'03.8.Mukwano-Jinja RD 24h'!J54,'04.08.Mukwano-Jinja'!J54)</f>
        <v>3</v>
      </c>
      <c r="K54" s="48">
        <f>AVERAGE('29.7.Mukwano-Jinja RD'!K54,'30.7.Mukwano-Jinja RD'!K54,'31.07.Mukwano RBT-JinjaRD'!K54,'01.08. Mukwano RBT-Jinja RD 24h'!K54,'02.08.Jinja-Mukwano'!K54,'03.8.Mukwano-Jinja RD 24h'!K54,'04.08.Mukwano-Jinja'!K54)</f>
        <v>1</v>
      </c>
      <c r="L54" s="48">
        <f>AVERAGE('29.7.Mukwano-Jinja RD'!L54,'30.7.Mukwano-Jinja RD'!L54,'31.07.Mukwano RBT-JinjaRD'!L54,'01.08. Mukwano RBT-Jinja RD 24h'!L54,'02.08.Jinja-Mukwano'!L54,'03.8.Mukwano-Jinja RD 24h'!L54,'04.08.Mukwano-Jinja'!L54)</f>
        <v>2</v>
      </c>
      <c r="M54" s="48">
        <f>AVERAGE('29.7.Mukwano-Jinja RD'!M54,'30.7.Mukwano-Jinja RD'!M54,'31.07.Mukwano RBT-JinjaRD'!M54,'01.08. Mukwano RBT-Jinja RD 24h'!M54,'02.08.Jinja-Mukwano'!M54,'03.8.Mukwano-Jinja RD 24h'!M54,'04.08.Mukwano-Jinja'!M54)</f>
        <v>268.42857142857144</v>
      </c>
      <c r="N54" s="48">
        <f>AVERAGE('29.7.Mukwano-Jinja RD'!N54,'30.7.Mukwano-Jinja RD'!N54,'31.07.Mukwano RBT-JinjaRD'!N54,'01.08. Mukwano RBT-Jinja RD 24h'!N54,'02.08.Jinja-Mukwano'!N54,'03.8.Mukwano-Jinja RD 24h'!N54,'04.08.Mukwano-Jinja'!N54)</f>
        <v>0</v>
      </c>
      <c r="O54" s="15">
        <f t="shared" si="0"/>
        <v>171.71428571428569</v>
      </c>
      <c r="P54" s="15">
        <f t="shared" si="1"/>
        <v>440.14285714285711</v>
      </c>
      <c r="R54" s="8"/>
      <c r="T54"/>
    </row>
    <row r="55" spans="2:20" ht="23.1" customHeight="1" x14ac:dyDescent="0.25">
      <c r="B55" s="22" t="s">
        <v>82</v>
      </c>
      <c r="C55" s="48">
        <f>AVERAGE('29.7.Mukwano-Jinja RD'!C55,'30.7.Mukwano-Jinja RD'!C55,'31.07.Mukwano RBT-JinjaRD'!C55,'01.08. Mukwano RBT-Jinja RD 24h'!C55,'02.08.Jinja-Mukwano'!C55,'03.8.Mukwano-Jinja RD 24h'!C55,'04.08.Mukwano-Jinja'!C55)</f>
        <v>118.14285714285714</v>
      </c>
      <c r="D55" s="48">
        <f>AVERAGE('29.7.Mukwano-Jinja RD'!D55,'30.7.Mukwano-Jinja RD'!D55,'31.07.Mukwano RBT-JinjaRD'!D55,'01.08. Mukwano RBT-Jinja RD 24h'!D55,'02.08.Jinja-Mukwano'!D55,'03.8.Mukwano-Jinja RD 24h'!D55,'04.08.Mukwano-Jinja'!D55)</f>
        <v>22.428571428571427</v>
      </c>
      <c r="E55" s="48">
        <f>AVERAGE('29.7.Mukwano-Jinja RD'!E55,'30.7.Mukwano-Jinja RD'!E55,'31.07.Mukwano RBT-JinjaRD'!E55,'01.08. Mukwano RBT-Jinja RD 24h'!E55,'02.08.Jinja-Mukwano'!E55,'03.8.Mukwano-Jinja RD 24h'!E55,'04.08.Mukwano-Jinja'!E55)</f>
        <v>12</v>
      </c>
      <c r="F55" s="48">
        <f>AVERAGE('29.7.Mukwano-Jinja RD'!F55,'30.7.Mukwano-Jinja RD'!F55,'31.07.Mukwano RBT-JinjaRD'!F55,'01.08. Mukwano RBT-Jinja RD 24h'!F55,'02.08.Jinja-Mukwano'!F55,'03.8.Mukwano-Jinja RD 24h'!F55,'04.08.Mukwano-Jinja'!F55)</f>
        <v>10.571428571428571</v>
      </c>
      <c r="G55" s="48">
        <f>AVERAGE('29.7.Mukwano-Jinja RD'!G55,'30.7.Mukwano-Jinja RD'!G55,'31.07.Mukwano RBT-JinjaRD'!G55,'01.08. Mukwano RBT-Jinja RD 24h'!G55,'02.08.Jinja-Mukwano'!G55,'03.8.Mukwano-Jinja RD 24h'!G55,'04.08.Mukwano-Jinja'!G55)</f>
        <v>0.8571428571428571</v>
      </c>
      <c r="H55" s="48">
        <f>AVERAGE('29.7.Mukwano-Jinja RD'!H55,'30.7.Mukwano-Jinja RD'!H55,'31.07.Mukwano RBT-JinjaRD'!H55,'01.08. Mukwano RBT-Jinja RD 24h'!H55,'02.08.Jinja-Mukwano'!H55,'03.8.Mukwano-Jinja RD 24h'!H55,'04.08.Mukwano-Jinja'!H55)</f>
        <v>0</v>
      </c>
      <c r="I55" s="48">
        <f>AVERAGE('29.7.Mukwano-Jinja RD'!I55,'30.7.Mukwano-Jinja RD'!I55,'31.07.Mukwano RBT-JinjaRD'!I55,'01.08. Mukwano RBT-Jinja RD 24h'!I55,'02.08.Jinja-Mukwano'!I55,'03.8.Mukwano-Jinja RD 24h'!I55,'04.08.Mukwano-Jinja'!I55)</f>
        <v>4</v>
      </c>
      <c r="J55" s="48">
        <f>AVERAGE('29.7.Mukwano-Jinja RD'!J55,'30.7.Mukwano-Jinja RD'!J55,'31.07.Mukwano RBT-JinjaRD'!J55,'01.08. Mukwano RBT-Jinja RD 24h'!J55,'02.08.Jinja-Mukwano'!J55,'03.8.Mukwano-Jinja RD 24h'!J55,'04.08.Mukwano-Jinja'!J55)</f>
        <v>2.8571428571428572</v>
      </c>
      <c r="K55" s="48">
        <f>AVERAGE('29.7.Mukwano-Jinja RD'!K55,'30.7.Mukwano-Jinja RD'!K55,'31.07.Mukwano RBT-JinjaRD'!K55,'01.08. Mukwano RBT-Jinja RD 24h'!K55,'02.08.Jinja-Mukwano'!K55,'03.8.Mukwano-Jinja RD 24h'!K55,'04.08.Mukwano-Jinja'!K55)</f>
        <v>0.7142857142857143</v>
      </c>
      <c r="L55" s="48">
        <f>AVERAGE('29.7.Mukwano-Jinja RD'!L55,'30.7.Mukwano-Jinja RD'!L55,'31.07.Mukwano RBT-JinjaRD'!L55,'01.08. Mukwano RBT-Jinja RD 24h'!L55,'02.08.Jinja-Mukwano'!L55,'03.8.Mukwano-Jinja RD 24h'!L55,'04.08.Mukwano-Jinja'!L55)</f>
        <v>1.2857142857142858</v>
      </c>
      <c r="M55" s="48">
        <f>AVERAGE('29.7.Mukwano-Jinja RD'!M55,'30.7.Mukwano-Jinja RD'!M55,'31.07.Mukwano RBT-JinjaRD'!M55,'01.08. Mukwano RBT-Jinja RD 24h'!M55,'02.08.Jinja-Mukwano'!M55,'03.8.Mukwano-Jinja RD 24h'!M55,'04.08.Mukwano-Jinja'!M55)</f>
        <v>281.71428571428572</v>
      </c>
      <c r="N55" s="48">
        <f>AVERAGE('29.7.Mukwano-Jinja RD'!N55,'30.7.Mukwano-Jinja RD'!N55,'31.07.Mukwano RBT-JinjaRD'!N55,'01.08. Mukwano RBT-Jinja RD 24h'!N55,'02.08.Jinja-Mukwano'!N55,'03.8.Mukwano-Jinja RD 24h'!N55,'04.08.Mukwano-Jinja'!N55)</f>
        <v>0</v>
      </c>
      <c r="O55" s="15">
        <f t="shared" si="0"/>
        <v>172.85714285714286</v>
      </c>
      <c r="P55" s="15">
        <f t="shared" si="1"/>
        <v>454.57142857142856</v>
      </c>
      <c r="R55" s="8"/>
      <c r="T55"/>
    </row>
    <row r="56" spans="2:20" ht="23.1" customHeight="1" x14ac:dyDescent="0.25">
      <c r="B56" s="22" t="s">
        <v>83</v>
      </c>
      <c r="C56" s="48">
        <f>AVERAGE('29.7.Mukwano-Jinja RD'!C56,'30.7.Mukwano-Jinja RD'!C56,'31.07.Mukwano RBT-JinjaRD'!C56,'01.08. Mukwano RBT-Jinja RD 24h'!C56,'02.08.Jinja-Mukwano'!C56,'03.8.Mukwano-Jinja RD 24h'!C56,'04.08.Mukwano-Jinja'!C56)</f>
        <v>125.14285714285714</v>
      </c>
      <c r="D56" s="48">
        <f>AVERAGE('29.7.Mukwano-Jinja RD'!D56,'30.7.Mukwano-Jinja RD'!D56,'31.07.Mukwano RBT-JinjaRD'!D56,'01.08. Mukwano RBT-Jinja RD 24h'!D56,'02.08.Jinja-Mukwano'!D56,'03.8.Mukwano-Jinja RD 24h'!D56,'04.08.Mukwano-Jinja'!D56)</f>
        <v>25.571428571428573</v>
      </c>
      <c r="E56" s="48">
        <f>AVERAGE('29.7.Mukwano-Jinja RD'!E56,'30.7.Mukwano-Jinja RD'!E56,'31.07.Mukwano RBT-JinjaRD'!E56,'01.08. Mukwano RBT-Jinja RD 24h'!E56,'02.08.Jinja-Mukwano'!E56,'03.8.Mukwano-Jinja RD 24h'!E56,'04.08.Mukwano-Jinja'!E56)</f>
        <v>12.714285714285714</v>
      </c>
      <c r="F56" s="48">
        <f>AVERAGE('29.7.Mukwano-Jinja RD'!F56,'30.7.Mukwano-Jinja RD'!F56,'31.07.Mukwano RBT-JinjaRD'!F56,'01.08. Mukwano RBT-Jinja RD 24h'!F56,'02.08.Jinja-Mukwano'!F56,'03.8.Mukwano-Jinja RD 24h'!F56,'04.08.Mukwano-Jinja'!F56)</f>
        <v>9.1428571428571423</v>
      </c>
      <c r="G56" s="48">
        <f>AVERAGE('29.7.Mukwano-Jinja RD'!G56,'30.7.Mukwano-Jinja RD'!G56,'31.07.Mukwano RBT-JinjaRD'!G56,'01.08. Mukwano RBT-Jinja RD 24h'!G56,'02.08.Jinja-Mukwano'!G56,'03.8.Mukwano-Jinja RD 24h'!G56,'04.08.Mukwano-Jinja'!G56)</f>
        <v>1.1428571428571428</v>
      </c>
      <c r="H56" s="48">
        <f>AVERAGE('29.7.Mukwano-Jinja RD'!H56,'30.7.Mukwano-Jinja RD'!H56,'31.07.Mukwano RBT-JinjaRD'!H56,'01.08. Mukwano RBT-Jinja RD 24h'!H56,'02.08.Jinja-Mukwano'!H56,'03.8.Mukwano-Jinja RD 24h'!H56,'04.08.Mukwano-Jinja'!H56)</f>
        <v>0.5714285714285714</v>
      </c>
      <c r="I56" s="48">
        <f>AVERAGE('29.7.Mukwano-Jinja RD'!I56,'30.7.Mukwano-Jinja RD'!I56,'31.07.Mukwano RBT-JinjaRD'!I56,'01.08. Mukwano RBT-Jinja RD 24h'!I56,'02.08.Jinja-Mukwano'!I56,'03.8.Mukwano-Jinja RD 24h'!I56,'04.08.Mukwano-Jinja'!I56)</f>
        <v>4.2857142857142856</v>
      </c>
      <c r="J56" s="48">
        <f>AVERAGE('29.7.Mukwano-Jinja RD'!J56,'30.7.Mukwano-Jinja RD'!J56,'31.07.Mukwano RBT-JinjaRD'!J56,'01.08. Mukwano RBT-Jinja RD 24h'!J56,'02.08.Jinja-Mukwano'!J56,'03.8.Mukwano-Jinja RD 24h'!J56,'04.08.Mukwano-Jinja'!J56)</f>
        <v>2.4285714285714284</v>
      </c>
      <c r="K56" s="48">
        <f>AVERAGE('29.7.Mukwano-Jinja RD'!K56,'30.7.Mukwano-Jinja RD'!K56,'31.07.Mukwano RBT-JinjaRD'!K56,'01.08. Mukwano RBT-Jinja RD 24h'!K56,'02.08.Jinja-Mukwano'!K56,'03.8.Mukwano-Jinja RD 24h'!K56,'04.08.Mukwano-Jinja'!K56)</f>
        <v>1.2857142857142858</v>
      </c>
      <c r="L56" s="48">
        <f>AVERAGE('29.7.Mukwano-Jinja RD'!L56,'30.7.Mukwano-Jinja RD'!L56,'31.07.Mukwano RBT-JinjaRD'!L56,'01.08. Mukwano RBT-Jinja RD 24h'!L56,'02.08.Jinja-Mukwano'!L56,'03.8.Mukwano-Jinja RD 24h'!L56,'04.08.Mukwano-Jinja'!L56)</f>
        <v>1.5714285714285714</v>
      </c>
      <c r="M56" s="48">
        <f>AVERAGE('29.7.Mukwano-Jinja RD'!M56,'30.7.Mukwano-Jinja RD'!M56,'31.07.Mukwano RBT-JinjaRD'!M56,'01.08. Mukwano RBT-Jinja RD 24h'!M56,'02.08.Jinja-Mukwano'!M56,'03.8.Mukwano-Jinja RD 24h'!M56,'04.08.Mukwano-Jinja'!M56)</f>
        <v>278.14285714285717</v>
      </c>
      <c r="N56" s="48">
        <f>AVERAGE('29.7.Mukwano-Jinja RD'!N56,'30.7.Mukwano-Jinja RD'!N56,'31.07.Mukwano RBT-JinjaRD'!N56,'01.08. Mukwano RBT-Jinja RD 24h'!N56,'02.08.Jinja-Mukwano'!N56,'03.8.Mukwano-Jinja RD 24h'!N56,'04.08.Mukwano-Jinja'!N56)</f>
        <v>0.14285714285714285</v>
      </c>
      <c r="O56" s="15">
        <f t="shared" si="0"/>
        <v>184</v>
      </c>
      <c r="P56" s="15">
        <f t="shared" si="1"/>
        <v>462.14285714285717</v>
      </c>
      <c r="R56" s="8"/>
      <c r="T56"/>
    </row>
    <row r="57" spans="2:20" ht="23.1" customHeight="1" x14ac:dyDescent="0.25">
      <c r="B57" s="22" t="s">
        <v>84</v>
      </c>
      <c r="C57" s="48">
        <f>AVERAGE('29.7.Mukwano-Jinja RD'!C57,'30.7.Mukwano-Jinja RD'!C57,'31.07.Mukwano RBT-JinjaRD'!C57,'01.08. Mukwano RBT-Jinja RD 24h'!C57,'02.08.Jinja-Mukwano'!C57,'03.8.Mukwano-Jinja RD 24h'!C57,'04.08.Mukwano-Jinja'!C57)</f>
        <v>129.71428571428572</v>
      </c>
      <c r="D57" s="48">
        <f>AVERAGE('29.7.Mukwano-Jinja RD'!D57,'30.7.Mukwano-Jinja RD'!D57,'31.07.Mukwano RBT-JinjaRD'!D57,'01.08. Mukwano RBT-Jinja RD 24h'!D57,'02.08.Jinja-Mukwano'!D57,'03.8.Mukwano-Jinja RD 24h'!D57,'04.08.Mukwano-Jinja'!D57)</f>
        <v>21.285714285714285</v>
      </c>
      <c r="E57" s="48">
        <f>AVERAGE('29.7.Mukwano-Jinja RD'!E57,'30.7.Mukwano-Jinja RD'!E57,'31.07.Mukwano RBT-JinjaRD'!E57,'01.08. Mukwano RBT-Jinja RD 24h'!E57,'02.08.Jinja-Mukwano'!E57,'03.8.Mukwano-Jinja RD 24h'!E57,'04.08.Mukwano-Jinja'!E57)</f>
        <v>10.428571428571429</v>
      </c>
      <c r="F57" s="48">
        <f>AVERAGE('29.7.Mukwano-Jinja RD'!F57,'30.7.Mukwano-Jinja RD'!F57,'31.07.Mukwano RBT-JinjaRD'!F57,'01.08. Mukwano RBT-Jinja RD 24h'!F57,'02.08.Jinja-Mukwano'!F57,'03.8.Mukwano-Jinja RD 24h'!F57,'04.08.Mukwano-Jinja'!F57)</f>
        <v>10.571428571428571</v>
      </c>
      <c r="G57" s="48">
        <f>AVERAGE('29.7.Mukwano-Jinja RD'!G57,'30.7.Mukwano-Jinja RD'!G57,'31.07.Mukwano RBT-JinjaRD'!G57,'01.08. Mukwano RBT-Jinja RD 24h'!G57,'02.08.Jinja-Mukwano'!G57,'03.8.Mukwano-Jinja RD 24h'!G57,'04.08.Mukwano-Jinja'!G57)</f>
        <v>0.42857142857142855</v>
      </c>
      <c r="H57" s="48">
        <f>AVERAGE('29.7.Mukwano-Jinja RD'!H57,'30.7.Mukwano-Jinja RD'!H57,'31.07.Mukwano RBT-JinjaRD'!H57,'01.08. Mukwano RBT-Jinja RD 24h'!H57,'02.08.Jinja-Mukwano'!H57,'03.8.Mukwano-Jinja RD 24h'!H57,'04.08.Mukwano-Jinja'!H57)</f>
        <v>0.42857142857142855</v>
      </c>
      <c r="I57" s="48">
        <f>AVERAGE('29.7.Mukwano-Jinja RD'!I57,'30.7.Mukwano-Jinja RD'!I57,'31.07.Mukwano RBT-JinjaRD'!I57,'01.08. Mukwano RBT-Jinja RD 24h'!I57,'02.08.Jinja-Mukwano'!I57,'03.8.Mukwano-Jinja RD 24h'!I57,'04.08.Mukwano-Jinja'!I57)</f>
        <v>5.7142857142857144</v>
      </c>
      <c r="J57" s="48">
        <f>AVERAGE('29.7.Mukwano-Jinja RD'!J57,'30.7.Mukwano-Jinja RD'!J57,'31.07.Mukwano RBT-JinjaRD'!J57,'01.08. Mukwano RBT-Jinja RD 24h'!J57,'02.08.Jinja-Mukwano'!J57,'03.8.Mukwano-Jinja RD 24h'!J57,'04.08.Mukwano-Jinja'!J57)</f>
        <v>2.2857142857142856</v>
      </c>
      <c r="K57" s="48">
        <f>AVERAGE('29.7.Mukwano-Jinja RD'!K57,'30.7.Mukwano-Jinja RD'!K57,'31.07.Mukwano RBT-JinjaRD'!K57,'01.08. Mukwano RBT-Jinja RD 24h'!K57,'02.08.Jinja-Mukwano'!K57,'03.8.Mukwano-Jinja RD 24h'!K57,'04.08.Mukwano-Jinja'!K57)</f>
        <v>0.7142857142857143</v>
      </c>
      <c r="L57" s="48">
        <f>AVERAGE('29.7.Mukwano-Jinja RD'!L57,'30.7.Mukwano-Jinja RD'!L57,'31.07.Mukwano RBT-JinjaRD'!L57,'01.08. Mukwano RBT-Jinja RD 24h'!L57,'02.08.Jinja-Mukwano'!L57,'03.8.Mukwano-Jinja RD 24h'!L57,'04.08.Mukwano-Jinja'!L57)</f>
        <v>2.1428571428571428</v>
      </c>
      <c r="M57" s="48">
        <f>AVERAGE('29.7.Mukwano-Jinja RD'!M57,'30.7.Mukwano-Jinja RD'!M57,'31.07.Mukwano RBT-JinjaRD'!M57,'01.08. Mukwano RBT-Jinja RD 24h'!M57,'02.08.Jinja-Mukwano'!M57,'03.8.Mukwano-Jinja RD 24h'!M57,'04.08.Mukwano-Jinja'!M57)</f>
        <v>257.28571428571428</v>
      </c>
      <c r="N57" s="48">
        <f>AVERAGE('29.7.Mukwano-Jinja RD'!N57,'30.7.Mukwano-Jinja RD'!N57,'31.07.Mukwano RBT-JinjaRD'!N57,'01.08. Mukwano RBT-Jinja RD 24h'!N57,'02.08.Jinja-Mukwano'!N57,'03.8.Mukwano-Jinja RD 24h'!N57,'04.08.Mukwano-Jinja'!N57)</f>
        <v>0.14285714285714285</v>
      </c>
      <c r="O57" s="15">
        <f t="shared" si="0"/>
        <v>183.85714285714283</v>
      </c>
      <c r="P57" s="15">
        <f t="shared" si="1"/>
        <v>441.14285714285717</v>
      </c>
      <c r="R57" s="8"/>
      <c r="T57"/>
    </row>
    <row r="58" spans="2:20" ht="23.1" customHeight="1" x14ac:dyDescent="0.25">
      <c r="B58" s="22" t="s">
        <v>99</v>
      </c>
      <c r="C58" s="48">
        <f>AVERAGE('01.08. Mukwano RBT-Jinja RD 24h'!C58,'03.8.Mukwano-Jinja RD 24h'!C58)</f>
        <v>67.5</v>
      </c>
      <c r="D58" s="48">
        <f>AVERAGE('01.08. Mukwano RBT-Jinja RD 24h'!D58,'03.8.Mukwano-Jinja RD 24h'!D58)</f>
        <v>33</v>
      </c>
      <c r="E58" s="48">
        <f>AVERAGE('01.08. Mukwano RBT-Jinja RD 24h'!E58,'03.8.Mukwano-Jinja RD 24h'!E58)</f>
        <v>9</v>
      </c>
      <c r="F58" s="48">
        <f>AVERAGE('01.08. Mukwano RBT-Jinja RD 24h'!F58,'03.8.Mukwano-Jinja RD 24h'!F58)</f>
        <v>11</v>
      </c>
      <c r="G58" s="48">
        <f>AVERAGE('01.08. Mukwano RBT-Jinja RD 24h'!G58,'03.8.Mukwano-Jinja RD 24h'!G58)</f>
        <v>0.5</v>
      </c>
      <c r="H58" s="48">
        <f>AVERAGE('01.08. Mukwano RBT-Jinja RD 24h'!H58,'03.8.Mukwano-Jinja RD 24h'!H58)</f>
        <v>0</v>
      </c>
      <c r="I58" s="48">
        <f>AVERAGE('01.08. Mukwano RBT-Jinja RD 24h'!I58,'03.8.Mukwano-Jinja RD 24h'!I58)</f>
        <v>3.5</v>
      </c>
      <c r="J58" s="48">
        <f>AVERAGE('01.08. Mukwano RBT-Jinja RD 24h'!J58,'03.8.Mukwano-Jinja RD 24h'!J58)</f>
        <v>1</v>
      </c>
      <c r="K58" s="48">
        <f>AVERAGE('01.08. Mukwano RBT-Jinja RD 24h'!K58,'03.8.Mukwano-Jinja RD 24h'!K58)</f>
        <v>0.5</v>
      </c>
      <c r="L58" s="48">
        <f>AVERAGE('01.08. Mukwano RBT-Jinja RD 24h'!L58,'03.8.Mukwano-Jinja RD 24h'!L58)</f>
        <v>1</v>
      </c>
      <c r="M58" s="48">
        <f>AVERAGE('01.08. Mukwano RBT-Jinja RD 24h'!M58,'03.8.Mukwano-Jinja RD 24h'!M58)</f>
        <v>155</v>
      </c>
      <c r="N58" s="48">
        <f>AVERAGE('01.08. Mukwano RBT-Jinja RD 24h'!N58,'03.8.Mukwano-Jinja RD 24h'!N58)</f>
        <v>0</v>
      </c>
      <c r="O58" s="15">
        <f t="shared" si="0"/>
        <v>127</v>
      </c>
      <c r="P58" s="15">
        <f t="shared" si="1"/>
        <v>282</v>
      </c>
      <c r="R58" s="8"/>
      <c r="T58"/>
    </row>
    <row r="59" spans="2:20" ht="23.1" customHeight="1" x14ac:dyDescent="0.25">
      <c r="B59" s="22" t="s">
        <v>100</v>
      </c>
      <c r="C59" s="48">
        <f>AVERAGE('01.08. Mukwano RBT-Jinja RD 24h'!C59,'03.8.Mukwano-Jinja RD 24h'!C59)</f>
        <v>103.5</v>
      </c>
      <c r="D59" s="48">
        <f>AVERAGE('01.08. Mukwano RBT-Jinja RD 24h'!D59,'03.8.Mukwano-Jinja RD 24h'!D59)</f>
        <v>37.5</v>
      </c>
      <c r="E59" s="48">
        <f>AVERAGE('01.08. Mukwano RBT-Jinja RD 24h'!E59,'03.8.Mukwano-Jinja RD 24h'!E59)</f>
        <v>15.5</v>
      </c>
      <c r="F59" s="48">
        <f>AVERAGE('01.08. Mukwano RBT-Jinja RD 24h'!F59,'03.8.Mukwano-Jinja RD 24h'!F59)</f>
        <v>14.5</v>
      </c>
      <c r="G59" s="48">
        <f>AVERAGE('01.08. Mukwano RBT-Jinja RD 24h'!G59,'03.8.Mukwano-Jinja RD 24h'!G59)</f>
        <v>3</v>
      </c>
      <c r="H59" s="48">
        <f>AVERAGE('01.08. Mukwano RBT-Jinja RD 24h'!H59,'03.8.Mukwano-Jinja RD 24h'!H59)</f>
        <v>0</v>
      </c>
      <c r="I59" s="48">
        <f>AVERAGE('01.08. Mukwano RBT-Jinja RD 24h'!I59,'03.8.Mukwano-Jinja RD 24h'!I59)</f>
        <v>5</v>
      </c>
      <c r="J59" s="48">
        <f>AVERAGE('01.08. Mukwano RBT-Jinja RD 24h'!J59,'03.8.Mukwano-Jinja RD 24h'!J59)</f>
        <v>2</v>
      </c>
      <c r="K59" s="48">
        <f>AVERAGE('01.08. Mukwano RBT-Jinja RD 24h'!K59,'03.8.Mukwano-Jinja RD 24h'!K59)</f>
        <v>0.5</v>
      </c>
      <c r="L59" s="48">
        <f>AVERAGE('01.08. Mukwano RBT-Jinja RD 24h'!L59,'03.8.Mukwano-Jinja RD 24h'!L59)</f>
        <v>1</v>
      </c>
      <c r="M59" s="48">
        <f>AVERAGE('01.08. Mukwano RBT-Jinja RD 24h'!M59,'03.8.Mukwano-Jinja RD 24h'!M59)</f>
        <v>156.5</v>
      </c>
      <c r="N59" s="48">
        <f>AVERAGE('01.08. Mukwano RBT-Jinja RD 24h'!N59,'03.8.Mukwano-Jinja RD 24h'!N59)</f>
        <v>0</v>
      </c>
      <c r="O59" s="15">
        <f t="shared" si="0"/>
        <v>182.5</v>
      </c>
      <c r="P59" s="15">
        <f t="shared" si="1"/>
        <v>339</v>
      </c>
      <c r="R59" s="8"/>
      <c r="T59"/>
    </row>
    <row r="60" spans="2:20" ht="23.1" customHeight="1" x14ac:dyDescent="0.25">
      <c r="B60" s="22" t="s">
        <v>101</v>
      </c>
      <c r="C60" s="48">
        <f>AVERAGE('01.08. Mukwano RBT-Jinja RD 24h'!C60,'03.8.Mukwano-Jinja RD 24h'!C60)</f>
        <v>144</v>
      </c>
      <c r="D60" s="48">
        <f>AVERAGE('01.08. Mukwano RBT-Jinja RD 24h'!D60,'03.8.Mukwano-Jinja RD 24h'!D60)</f>
        <v>28.5</v>
      </c>
      <c r="E60" s="48">
        <f>AVERAGE('01.08. Mukwano RBT-Jinja RD 24h'!E60,'03.8.Mukwano-Jinja RD 24h'!E60)</f>
        <v>8.5</v>
      </c>
      <c r="F60" s="48">
        <f>AVERAGE('01.08. Mukwano RBT-Jinja RD 24h'!F60,'03.8.Mukwano-Jinja RD 24h'!F60)</f>
        <v>16.5</v>
      </c>
      <c r="G60" s="48">
        <f>AVERAGE('01.08. Mukwano RBT-Jinja RD 24h'!G60,'03.8.Mukwano-Jinja RD 24h'!G60)</f>
        <v>0</v>
      </c>
      <c r="H60" s="48">
        <f>AVERAGE('01.08. Mukwano RBT-Jinja RD 24h'!H60,'03.8.Mukwano-Jinja RD 24h'!H60)</f>
        <v>0</v>
      </c>
      <c r="I60" s="48">
        <f>AVERAGE('01.08. Mukwano RBT-Jinja RD 24h'!I60,'03.8.Mukwano-Jinja RD 24h'!I60)</f>
        <v>4.5</v>
      </c>
      <c r="J60" s="48">
        <f>AVERAGE('01.08. Mukwano RBT-Jinja RD 24h'!J60,'03.8.Mukwano-Jinja RD 24h'!J60)</f>
        <v>2</v>
      </c>
      <c r="K60" s="48">
        <f>AVERAGE('01.08. Mukwano RBT-Jinja RD 24h'!K60,'03.8.Mukwano-Jinja RD 24h'!K60)</f>
        <v>0</v>
      </c>
      <c r="L60" s="48">
        <f>AVERAGE('01.08. Mukwano RBT-Jinja RD 24h'!L60,'03.8.Mukwano-Jinja RD 24h'!L60)</f>
        <v>3</v>
      </c>
      <c r="M60" s="48">
        <f>AVERAGE('01.08. Mukwano RBT-Jinja RD 24h'!M60,'03.8.Mukwano-Jinja RD 24h'!M60)</f>
        <v>195.5</v>
      </c>
      <c r="N60" s="48">
        <f>AVERAGE('01.08. Mukwano RBT-Jinja RD 24h'!N60,'03.8.Mukwano-Jinja RD 24h'!N60)</f>
        <v>0</v>
      </c>
      <c r="O60" s="15">
        <f t="shared" si="0"/>
        <v>207</v>
      </c>
      <c r="P60" s="15">
        <f t="shared" si="1"/>
        <v>402.5</v>
      </c>
      <c r="R60" s="8"/>
      <c r="T60"/>
    </row>
    <row r="61" spans="2:20" ht="23.1" customHeight="1" x14ac:dyDescent="0.25">
      <c r="B61" s="22" t="s">
        <v>102</v>
      </c>
      <c r="C61" s="48">
        <f>AVERAGE('01.08. Mukwano RBT-Jinja RD 24h'!C61,'03.8.Mukwano-Jinja RD 24h'!C61)</f>
        <v>122.5</v>
      </c>
      <c r="D61" s="48">
        <f>AVERAGE('01.08. Mukwano RBT-Jinja RD 24h'!D61,'03.8.Mukwano-Jinja RD 24h'!D61)</f>
        <v>22</v>
      </c>
      <c r="E61" s="48">
        <f>AVERAGE('01.08. Mukwano RBT-Jinja RD 24h'!E61,'03.8.Mukwano-Jinja RD 24h'!E61)</f>
        <v>11</v>
      </c>
      <c r="F61" s="48">
        <f>AVERAGE('01.08. Mukwano RBT-Jinja RD 24h'!F61,'03.8.Mukwano-Jinja RD 24h'!F61)</f>
        <v>15.5</v>
      </c>
      <c r="G61" s="48">
        <f>AVERAGE('01.08. Mukwano RBT-Jinja RD 24h'!G61,'03.8.Mukwano-Jinja RD 24h'!G61)</f>
        <v>1</v>
      </c>
      <c r="H61" s="48">
        <f>AVERAGE('01.08. Mukwano RBT-Jinja RD 24h'!H61,'03.8.Mukwano-Jinja RD 24h'!H61)</f>
        <v>0</v>
      </c>
      <c r="I61" s="48">
        <f>AVERAGE('01.08. Mukwano RBT-Jinja RD 24h'!I61,'03.8.Mukwano-Jinja RD 24h'!I61)</f>
        <v>4.5</v>
      </c>
      <c r="J61" s="48">
        <f>AVERAGE('01.08. Mukwano RBT-Jinja RD 24h'!J61,'03.8.Mukwano-Jinja RD 24h'!J61)</f>
        <v>1</v>
      </c>
      <c r="K61" s="48">
        <f>AVERAGE('01.08. Mukwano RBT-Jinja RD 24h'!K61,'03.8.Mukwano-Jinja RD 24h'!K61)</f>
        <v>1.5</v>
      </c>
      <c r="L61" s="48">
        <f>AVERAGE('01.08. Mukwano RBT-Jinja RD 24h'!L61,'03.8.Mukwano-Jinja RD 24h'!L61)</f>
        <v>2</v>
      </c>
      <c r="M61" s="48">
        <f>AVERAGE('01.08. Mukwano RBT-Jinja RD 24h'!M61,'03.8.Mukwano-Jinja RD 24h'!M61)</f>
        <v>189.5</v>
      </c>
      <c r="N61" s="48">
        <f>AVERAGE('01.08. Mukwano RBT-Jinja RD 24h'!N61,'03.8.Mukwano-Jinja RD 24h'!N61)</f>
        <v>0</v>
      </c>
      <c r="O61" s="15">
        <f t="shared" si="0"/>
        <v>181</v>
      </c>
      <c r="P61" s="15">
        <f t="shared" si="1"/>
        <v>370.5</v>
      </c>
      <c r="R61" s="8"/>
      <c r="T61"/>
    </row>
    <row r="62" spans="2:20" ht="23.1" customHeight="1" x14ac:dyDescent="0.25">
      <c r="B62" s="22" t="s">
        <v>107</v>
      </c>
      <c r="C62" s="48">
        <f>AVERAGE('01.08. Mukwano RBT-Jinja RD 24h'!C62,'03.8.Mukwano-Jinja RD 24h'!C62)</f>
        <v>130</v>
      </c>
      <c r="D62" s="48">
        <f>AVERAGE('01.08. Mukwano RBT-Jinja RD 24h'!D62,'03.8.Mukwano-Jinja RD 24h'!D62)</f>
        <v>14.5</v>
      </c>
      <c r="E62" s="48">
        <f>AVERAGE('01.08. Mukwano RBT-Jinja RD 24h'!E62,'03.8.Mukwano-Jinja RD 24h'!E62)</f>
        <v>8.5</v>
      </c>
      <c r="F62" s="48">
        <f>AVERAGE('01.08. Mukwano RBT-Jinja RD 24h'!F62,'03.8.Mukwano-Jinja RD 24h'!F62)</f>
        <v>20</v>
      </c>
      <c r="G62" s="48">
        <f>AVERAGE('01.08. Mukwano RBT-Jinja RD 24h'!G62,'03.8.Mukwano-Jinja RD 24h'!G62)</f>
        <v>1</v>
      </c>
      <c r="H62" s="48">
        <f>AVERAGE('01.08. Mukwano RBT-Jinja RD 24h'!H62,'03.8.Mukwano-Jinja RD 24h'!H62)</f>
        <v>0.5</v>
      </c>
      <c r="I62" s="48">
        <f>AVERAGE('01.08. Mukwano RBT-Jinja RD 24h'!I62,'03.8.Mukwano-Jinja RD 24h'!I62)</f>
        <v>7.5</v>
      </c>
      <c r="J62" s="48">
        <f>AVERAGE('01.08. Mukwano RBT-Jinja RD 24h'!J62,'03.8.Mukwano-Jinja RD 24h'!J62)</f>
        <v>3</v>
      </c>
      <c r="K62" s="48">
        <f>AVERAGE('01.08. Mukwano RBT-Jinja RD 24h'!K62,'03.8.Mukwano-Jinja RD 24h'!K62)</f>
        <v>0</v>
      </c>
      <c r="L62" s="48">
        <f>AVERAGE('01.08. Mukwano RBT-Jinja RD 24h'!L62,'03.8.Mukwano-Jinja RD 24h'!L62)</f>
        <v>0</v>
      </c>
      <c r="M62" s="48">
        <f>AVERAGE('01.08. Mukwano RBT-Jinja RD 24h'!M62,'03.8.Mukwano-Jinja RD 24h'!M62)</f>
        <v>187.5</v>
      </c>
      <c r="N62" s="48">
        <f>AVERAGE('01.08. Mukwano RBT-Jinja RD 24h'!N62,'03.8.Mukwano-Jinja RD 24h'!N62)</f>
        <v>0</v>
      </c>
      <c r="O62" s="15">
        <f t="shared" si="0"/>
        <v>185</v>
      </c>
      <c r="P62" s="15">
        <f t="shared" si="1"/>
        <v>372.5</v>
      </c>
      <c r="R62" s="8"/>
      <c r="T62"/>
    </row>
    <row r="63" spans="2:20" ht="23.1" customHeight="1" x14ac:dyDescent="0.25">
      <c r="B63" s="22" t="s">
        <v>108</v>
      </c>
      <c r="C63" s="48">
        <f>AVERAGE('01.08. Mukwano RBT-Jinja RD 24h'!C63,'03.8.Mukwano-Jinja RD 24h'!C63)</f>
        <v>106.5</v>
      </c>
      <c r="D63" s="48">
        <f>AVERAGE('01.08. Mukwano RBT-Jinja RD 24h'!D63,'03.8.Mukwano-Jinja RD 24h'!D63)</f>
        <v>22.5</v>
      </c>
      <c r="E63" s="48">
        <f>AVERAGE('01.08. Mukwano RBT-Jinja RD 24h'!E63,'03.8.Mukwano-Jinja RD 24h'!E63)</f>
        <v>6</v>
      </c>
      <c r="F63" s="48">
        <f>AVERAGE('01.08. Mukwano RBT-Jinja RD 24h'!F63,'03.8.Mukwano-Jinja RD 24h'!F63)</f>
        <v>13</v>
      </c>
      <c r="G63" s="48">
        <f>AVERAGE('01.08. Mukwano RBT-Jinja RD 24h'!G63,'03.8.Mukwano-Jinja RD 24h'!G63)</f>
        <v>0.5</v>
      </c>
      <c r="H63" s="48">
        <f>AVERAGE('01.08. Mukwano RBT-Jinja RD 24h'!H63,'03.8.Mukwano-Jinja RD 24h'!H63)</f>
        <v>0</v>
      </c>
      <c r="I63" s="48">
        <f>AVERAGE('01.08. Mukwano RBT-Jinja RD 24h'!I63,'03.8.Mukwano-Jinja RD 24h'!I63)</f>
        <v>2.5</v>
      </c>
      <c r="J63" s="48">
        <f>AVERAGE('01.08. Mukwano RBT-Jinja RD 24h'!J63,'03.8.Mukwano-Jinja RD 24h'!J63)</f>
        <v>1.5</v>
      </c>
      <c r="K63" s="48">
        <f>AVERAGE('01.08. Mukwano RBT-Jinja RD 24h'!K63,'03.8.Mukwano-Jinja RD 24h'!K63)</f>
        <v>0.5</v>
      </c>
      <c r="L63" s="48">
        <f>AVERAGE('01.08. Mukwano RBT-Jinja RD 24h'!L63,'03.8.Mukwano-Jinja RD 24h'!L63)</f>
        <v>2</v>
      </c>
      <c r="M63" s="48">
        <f>AVERAGE('01.08. Mukwano RBT-Jinja RD 24h'!M63,'03.8.Mukwano-Jinja RD 24h'!M63)</f>
        <v>256</v>
      </c>
      <c r="N63" s="48">
        <f>AVERAGE('01.08. Mukwano RBT-Jinja RD 24h'!N63,'03.8.Mukwano-Jinja RD 24h'!N63)</f>
        <v>0.5</v>
      </c>
      <c r="O63" s="15">
        <f t="shared" si="0"/>
        <v>155.5</v>
      </c>
      <c r="P63" s="15">
        <f t="shared" si="1"/>
        <v>411.5</v>
      </c>
      <c r="R63" s="8"/>
      <c r="T63"/>
    </row>
    <row r="64" spans="2:20" ht="23.1" customHeight="1" x14ac:dyDescent="0.25">
      <c r="B64" s="22" t="s">
        <v>109</v>
      </c>
      <c r="C64" s="48">
        <f>AVERAGE('01.08. Mukwano RBT-Jinja RD 24h'!C64,'03.8.Mukwano-Jinja RD 24h'!C64)</f>
        <v>99</v>
      </c>
      <c r="D64" s="48">
        <f>AVERAGE('01.08. Mukwano RBT-Jinja RD 24h'!D64,'03.8.Mukwano-Jinja RD 24h'!D64)</f>
        <v>26</v>
      </c>
      <c r="E64" s="48">
        <f>AVERAGE('01.08. Mukwano RBT-Jinja RD 24h'!E64,'03.8.Mukwano-Jinja RD 24h'!E64)</f>
        <v>3.5</v>
      </c>
      <c r="F64" s="48">
        <f>AVERAGE('01.08. Mukwano RBT-Jinja RD 24h'!F64,'03.8.Mukwano-Jinja RD 24h'!F64)</f>
        <v>11.5</v>
      </c>
      <c r="G64" s="48">
        <f>AVERAGE('01.08. Mukwano RBT-Jinja RD 24h'!G64,'03.8.Mukwano-Jinja RD 24h'!G64)</f>
        <v>0.5</v>
      </c>
      <c r="H64" s="48">
        <f>AVERAGE('01.08. Mukwano RBT-Jinja RD 24h'!H64,'03.8.Mukwano-Jinja RD 24h'!H64)</f>
        <v>0</v>
      </c>
      <c r="I64" s="48">
        <f>AVERAGE('01.08. Mukwano RBT-Jinja RD 24h'!I64,'03.8.Mukwano-Jinja RD 24h'!I64)</f>
        <v>1</v>
      </c>
      <c r="J64" s="48">
        <f>AVERAGE('01.08. Mukwano RBT-Jinja RD 24h'!J64,'03.8.Mukwano-Jinja RD 24h'!J64)</f>
        <v>0.5</v>
      </c>
      <c r="K64" s="48">
        <f>AVERAGE('01.08. Mukwano RBT-Jinja RD 24h'!K64,'03.8.Mukwano-Jinja RD 24h'!K64)</f>
        <v>0</v>
      </c>
      <c r="L64" s="48">
        <f>AVERAGE('01.08. Mukwano RBT-Jinja RD 24h'!L64,'03.8.Mukwano-Jinja RD 24h'!L64)</f>
        <v>0</v>
      </c>
      <c r="M64" s="48">
        <f>AVERAGE('01.08. Mukwano RBT-Jinja RD 24h'!M64,'03.8.Mukwano-Jinja RD 24h'!M64)</f>
        <v>204</v>
      </c>
      <c r="N64" s="48">
        <f>AVERAGE('01.08. Mukwano RBT-Jinja RD 24h'!N64,'03.8.Mukwano-Jinja RD 24h'!N64)</f>
        <v>0.5</v>
      </c>
      <c r="O64" s="15">
        <f t="shared" si="0"/>
        <v>142.5</v>
      </c>
      <c r="P64" s="15">
        <f t="shared" si="1"/>
        <v>346.5</v>
      </c>
      <c r="R64" s="8"/>
      <c r="T64"/>
    </row>
    <row r="65" spans="2:20" ht="23.1" customHeight="1" x14ac:dyDescent="0.25">
      <c r="B65" s="22" t="s">
        <v>158</v>
      </c>
      <c r="C65" s="48">
        <f>AVERAGE('01.08. Mukwano RBT-Jinja RD 24h'!C65,'03.8.Mukwano-Jinja RD 24h'!C65)</f>
        <v>107.5</v>
      </c>
      <c r="D65" s="48">
        <f>AVERAGE('01.08. Mukwano RBT-Jinja RD 24h'!D65,'03.8.Mukwano-Jinja RD 24h'!D65)</f>
        <v>12</v>
      </c>
      <c r="E65" s="48">
        <f>AVERAGE('01.08. Mukwano RBT-Jinja RD 24h'!E65,'03.8.Mukwano-Jinja RD 24h'!E65)</f>
        <v>10</v>
      </c>
      <c r="F65" s="48">
        <f>AVERAGE('01.08. Mukwano RBT-Jinja RD 24h'!F65,'03.8.Mukwano-Jinja RD 24h'!F65)</f>
        <v>16</v>
      </c>
      <c r="G65" s="48">
        <f>AVERAGE('01.08. Mukwano RBT-Jinja RD 24h'!G65,'03.8.Mukwano-Jinja RD 24h'!G65)</f>
        <v>0</v>
      </c>
      <c r="H65" s="48">
        <f>AVERAGE('01.08. Mukwano RBT-Jinja RD 24h'!H65,'03.8.Mukwano-Jinja RD 24h'!H65)</f>
        <v>0</v>
      </c>
      <c r="I65" s="48">
        <f>AVERAGE('01.08. Mukwano RBT-Jinja RD 24h'!I65,'03.8.Mukwano-Jinja RD 24h'!I65)</f>
        <v>2</v>
      </c>
      <c r="J65" s="48">
        <f>AVERAGE('01.08. Mukwano RBT-Jinja RD 24h'!J65,'03.8.Mukwano-Jinja RD 24h'!J65)</f>
        <v>1</v>
      </c>
      <c r="K65" s="48">
        <f>AVERAGE('01.08. Mukwano RBT-Jinja RD 24h'!K65,'03.8.Mukwano-Jinja RD 24h'!K65)</f>
        <v>0</v>
      </c>
      <c r="L65" s="48">
        <f>AVERAGE('01.08. Mukwano RBT-Jinja RD 24h'!L65,'03.8.Mukwano-Jinja RD 24h'!L65)</f>
        <v>1.5</v>
      </c>
      <c r="M65" s="48">
        <f>AVERAGE('01.08. Mukwano RBT-Jinja RD 24h'!M65,'03.8.Mukwano-Jinja RD 24h'!M65)</f>
        <v>187.5</v>
      </c>
      <c r="N65" s="48">
        <f>AVERAGE('01.08. Mukwano RBT-Jinja RD 24h'!N65,'03.8.Mukwano-Jinja RD 24h'!N65)</f>
        <v>0</v>
      </c>
      <c r="O65" s="15">
        <f t="shared" si="0"/>
        <v>150</v>
      </c>
      <c r="P65" s="15">
        <f t="shared" si="1"/>
        <v>337.5</v>
      </c>
      <c r="R65" s="8"/>
      <c r="T65"/>
    </row>
    <row r="66" spans="2:20" ht="23.1" customHeight="1" x14ac:dyDescent="0.25">
      <c r="B66" s="22" t="s">
        <v>103</v>
      </c>
      <c r="C66" s="48">
        <f>AVERAGE('01.08. Mukwano RBT-Jinja RD 24h'!C66,'03.8.Mukwano-Jinja RD 24h'!C66)</f>
        <v>100</v>
      </c>
      <c r="D66" s="48">
        <f>AVERAGE('01.08. Mukwano RBT-Jinja RD 24h'!D66,'03.8.Mukwano-Jinja RD 24h'!D66)</f>
        <v>12</v>
      </c>
      <c r="E66" s="48">
        <f>AVERAGE('01.08. Mukwano RBT-Jinja RD 24h'!E66,'03.8.Mukwano-Jinja RD 24h'!E66)</f>
        <v>7.5</v>
      </c>
      <c r="F66" s="48">
        <f>AVERAGE('01.08. Mukwano RBT-Jinja RD 24h'!F66,'03.8.Mukwano-Jinja RD 24h'!F66)</f>
        <v>11.5</v>
      </c>
      <c r="G66" s="48">
        <f>AVERAGE('01.08. Mukwano RBT-Jinja RD 24h'!G66,'03.8.Mukwano-Jinja RD 24h'!G66)</f>
        <v>0</v>
      </c>
      <c r="H66" s="48">
        <f>AVERAGE('01.08. Mukwano RBT-Jinja RD 24h'!H66,'03.8.Mukwano-Jinja RD 24h'!H66)</f>
        <v>0</v>
      </c>
      <c r="I66" s="48">
        <f>AVERAGE('01.08. Mukwano RBT-Jinja RD 24h'!I66,'03.8.Mukwano-Jinja RD 24h'!I66)</f>
        <v>4</v>
      </c>
      <c r="J66" s="48">
        <f>AVERAGE('01.08. Mukwano RBT-Jinja RD 24h'!J66,'03.8.Mukwano-Jinja RD 24h'!J66)</f>
        <v>1.5</v>
      </c>
      <c r="K66" s="48">
        <f>AVERAGE('01.08. Mukwano RBT-Jinja RD 24h'!K66,'03.8.Mukwano-Jinja RD 24h'!K66)</f>
        <v>0.5</v>
      </c>
      <c r="L66" s="48">
        <f>AVERAGE('01.08. Mukwano RBT-Jinja RD 24h'!L66,'03.8.Mukwano-Jinja RD 24h'!L66)</f>
        <v>0</v>
      </c>
      <c r="M66" s="48">
        <f>AVERAGE('01.08. Mukwano RBT-Jinja RD 24h'!M66,'03.8.Mukwano-Jinja RD 24h'!M66)</f>
        <v>198.5</v>
      </c>
      <c r="N66" s="48">
        <f>AVERAGE('01.08. Mukwano RBT-Jinja RD 24h'!N66,'03.8.Mukwano-Jinja RD 24h'!N66)</f>
        <v>0</v>
      </c>
      <c r="O66" s="15">
        <f t="shared" si="0"/>
        <v>137</v>
      </c>
      <c r="P66" s="15">
        <f t="shared" si="1"/>
        <v>335.5</v>
      </c>
      <c r="R66" s="8"/>
      <c r="T66"/>
    </row>
    <row r="67" spans="2:20" ht="23.1" customHeight="1" x14ac:dyDescent="0.25">
      <c r="B67" s="22" t="s">
        <v>104</v>
      </c>
      <c r="C67" s="48">
        <f>AVERAGE('01.08. Mukwano RBT-Jinja RD 24h'!C67,'03.8.Mukwano-Jinja RD 24h'!C67)</f>
        <v>112</v>
      </c>
      <c r="D67" s="48">
        <f>AVERAGE('01.08. Mukwano RBT-Jinja RD 24h'!D67,'03.8.Mukwano-Jinja RD 24h'!D67)</f>
        <v>14</v>
      </c>
      <c r="E67" s="48">
        <f>AVERAGE('01.08. Mukwano RBT-Jinja RD 24h'!E67,'03.8.Mukwano-Jinja RD 24h'!E67)</f>
        <v>7</v>
      </c>
      <c r="F67" s="48">
        <f>AVERAGE('01.08. Mukwano RBT-Jinja RD 24h'!F67,'03.8.Mukwano-Jinja RD 24h'!F67)</f>
        <v>8.5</v>
      </c>
      <c r="G67" s="48">
        <f>AVERAGE('01.08. Mukwano RBT-Jinja RD 24h'!G67,'03.8.Mukwano-Jinja RD 24h'!G67)</f>
        <v>0.5</v>
      </c>
      <c r="H67" s="48">
        <f>AVERAGE('01.08. Mukwano RBT-Jinja RD 24h'!H67,'03.8.Mukwano-Jinja RD 24h'!H67)</f>
        <v>0</v>
      </c>
      <c r="I67" s="48">
        <f>AVERAGE('01.08. Mukwano RBT-Jinja RD 24h'!I67,'03.8.Mukwano-Jinja RD 24h'!I67)</f>
        <v>1</v>
      </c>
      <c r="J67" s="48">
        <f>AVERAGE('01.08. Mukwano RBT-Jinja RD 24h'!J67,'03.8.Mukwano-Jinja RD 24h'!J67)</f>
        <v>2</v>
      </c>
      <c r="K67" s="48">
        <f>AVERAGE('01.08. Mukwano RBT-Jinja RD 24h'!K67,'03.8.Mukwano-Jinja RD 24h'!K67)</f>
        <v>1</v>
      </c>
      <c r="L67" s="48">
        <f>AVERAGE('01.08. Mukwano RBT-Jinja RD 24h'!L67,'03.8.Mukwano-Jinja RD 24h'!L67)</f>
        <v>0.5</v>
      </c>
      <c r="M67" s="48">
        <f>AVERAGE('01.08. Mukwano RBT-Jinja RD 24h'!M67,'03.8.Mukwano-Jinja RD 24h'!M67)</f>
        <v>174</v>
      </c>
      <c r="N67" s="48">
        <f>AVERAGE('01.08. Mukwano RBT-Jinja RD 24h'!N67,'03.8.Mukwano-Jinja RD 24h'!N67)</f>
        <v>0</v>
      </c>
      <c r="O67" s="15">
        <f t="shared" si="0"/>
        <v>146.5</v>
      </c>
      <c r="P67" s="15">
        <f t="shared" si="1"/>
        <v>320.5</v>
      </c>
      <c r="R67" s="8"/>
      <c r="T67"/>
    </row>
    <row r="68" spans="2:20" ht="23.1" customHeight="1" x14ac:dyDescent="0.25">
      <c r="B68" s="22" t="s">
        <v>105</v>
      </c>
      <c r="C68" s="48">
        <f>AVERAGE('01.08. Mukwano RBT-Jinja RD 24h'!C68,'03.8.Mukwano-Jinja RD 24h'!C68)</f>
        <v>101</v>
      </c>
      <c r="D68" s="48">
        <f>AVERAGE('01.08. Mukwano RBT-Jinja RD 24h'!D68,'03.8.Mukwano-Jinja RD 24h'!D68)</f>
        <v>22</v>
      </c>
      <c r="E68" s="48">
        <f>AVERAGE('01.08. Mukwano RBT-Jinja RD 24h'!E68,'03.8.Mukwano-Jinja RD 24h'!E68)</f>
        <v>8.5</v>
      </c>
      <c r="F68" s="48">
        <f>AVERAGE('01.08. Mukwano RBT-Jinja RD 24h'!F68,'03.8.Mukwano-Jinja RD 24h'!F68)</f>
        <v>9.5</v>
      </c>
      <c r="G68" s="48">
        <f>AVERAGE('01.08. Mukwano RBT-Jinja RD 24h'!G68,'03.8.Mukwano-Jinja RD 24h'!G68)</f>
        <v>0</v>
      </c>
      <c r="H68" s="48">
        <f>AVERAGE('01.08. Mukwano RBT-Jinja RD 24h'!H68,'03.8.Mukwano-Jinja RD 24h'!H68)</f>
        <v>0</v>
      </c>
      <c r="I68" s="48">
        <f>AVERAGE('01.08. Mukwano RBT-Jinja RD 24h'!I68,'03.8.Mukwano-Jinja RD 24h'!I68)</f>
        <v>3</v>
      </c>
      <c r="J68" s="48">
        <f>AVERAGE('01.08. Mukwano RBT-Jinja RD 24h'!J68,'03.8.Mukwano-Jinja RD 24h'!J68)</f>
        <v>2</v>
      </c>
      <c r="K68" s="48">
        <f>AVERAGE('01.08. Mukwano RBT-Jinja RD 24h'!K68,'03.8.Mukwano-Jinja RD 24h'!K68)</f>
        <v>0</v>
      </c>
      <c r="L68" s="48">
        <f>AVERAGE('01.08. Mukwano RBT-Jinja RD 24h'!L68,'03.8.Mukwano-Jinja RD 24h'!L68)</f>
        <v>2</v>
      </c>
      <c r="M68" s="48">
        <f>AVERAGE('01.08. Mukwano RBT-Jinja RD 24h'!M68,'03.8.Mukwano-Jinja RD 24h'!M68)</f>
        <v>164.5</v>
      </c>
      <c r="N68" s="48">
        <f>AVERAGE('01.08. Mukwano RBT-Jinja RD 24h'!N68,'03.8.Mukwano-Jinja RD 24h'!N68)</f>
        <v>0</v>
      </c>
      <c r="O68" s="15">
        <f t="shared" si="0"/>
        <v>148</v>
      </c>
      <c r="P68" s="15">
        <f t="shared" si="1"/>
        <v>312.5</v>
      </c>
      <c r="R68" s="8"/>
      <c r="T68"/>
    </row>
    <row r="69" spans="2:20" ht="23.1" customHeight="1" x14ac:dyDescent="0.25">
      <c r="B69" s="22" t="s">
        <v>106</v>
      </c>
      <c r="C69" s="48">
        <f>AVERAGE('01.08. Mukwano RBT-Jinja RD 24h'!C69,'03.8.Mukwano-Jinja RD 24h'!C69)</f>
        <v>96</v>
      </c>
      <c r="D69" s="48">
        <f>AVERAGE('01.08. Mukwano RBT-Jinja RD 24h'!D69,'03.8.Mukwano-Jinja RD 24h'!D69)</f>
        <v>18</v>
      </c>
      <c r="E69" s="48">
        <f>AVERAGE('01.08. Mukwano RBT-Jinja RD 24h'!E69,'03.8.Mukwano-Jinja RD 24h'!E69)</f>
        <v>10.5</v>
      </c>
      <c r="F69" s="48">
        <f>AVERAGE('01.08. Mukwano RBT-Jinja RD 24h'!F69,'03.8.Mukwano-Jinja RD 24h'!F69)</f>
        <v>5</v>
      </c>
      <c r="G69" s="48">
        <f>AVERAGE('01.08. Mukwano RBT-Jinja RD 24h'!G69,'03.8.Mukwano-Jinja RD 24h'!G69)</f>
        <v>1</v>
      </c>
      <c r="H69" s="48">
        <f>AVERAGE('01.08. Mukwano RBT-Jinja RD 24h'!H69,'03.8.Mukwano-Jinja RD 24h'!H69)</f>
        <v>0</v>
      </c>
      <c r="I69" s="48">
        <f>AVERAGE('01.08. Mukwano RBT-Jinja RD 24h'!I69,'03.8.Mukwano-Jinja RD 24h'!I69)</f>
        <v>5.5</v>
      </c>
      <c r="J69" s="48">
        <f>AVERAGE('01.08. Mukwano RBT-Jinja RD 24h'!J69,'03.8.Mukwano-Jinja RD 24h'!J69)</f>
        <v>1.5</v>
      </c>
      <c r="K69" s="48">
        <f>AVERAGE('01.08. Mukwano RBT-Jinja RD 24h'!K69,'03.8.Mukwano-Jinja RD 24h'!K69)</f>
        <v>0.5</v>
      </c>
      <c r="L69" s="48">
        <f>AVERAGE('01.08. Mukwano RBT-Jinja RD 24h'!L69,'03.8.Mukwano-Jinja RD 24h'!L69)</f>
        <v>3</v>
      </c>
      <c r="M69" s="48">
        <f>AVERAGE('01.08. Mukwano RBT-Jinja RD 24h'!M69,'03.8.Mukwano-Jinja RD 24h'!M69)</f>
        <v>206</v>
      </c>
      <c r="N69" s="48">
        <f>AVERAGE('01.08. Mukwano RBT-Jinja RD 24h'!N69,'03.8.Mukwano-Jinja RD 24h'!N69)</f>
        <v>0</v>
      </c>
      <c r="O69" s="15">
        <f t="shared" si="0"/>
        <v>141</v>
      </c>
      <c r="P69" s="15">
        <f t="shared" si="1"/>
        <v>347</v>
      </c>
      <c r="R69" s="8"/>
      <c r="T69"/>
    </row>
    <row r="70" spans="2:20" ht="23.1" customHeight="1" x14ac:dyDescent="0.25">
      <c r="B70" s="22" t="s">
        <v>110</v>
      </c>
      <c r="C70" s="48">
        <f>AVERAGE('01.08. Mukwano RBT-Jinja RD 24h'!C70,'03.8.Mukwano-Jinja RD 24h'!C70)</f>
        <v>95.5</v>
      </c>
      <c r="D70" s="48">
        <f>AVERAGE('01.08. Mukwano RBT-Jinja RD 24h'!D70,'03.8.Mukwano-Jinja RD 24h'!D70)</f>
        <v>21.5</v>
      </c>
      <c r="E70" s="48">
        <f>AVERAGE('01.08. Mukwano RBT-Jinja RD 24h'!E70,'03.8.Mukwano-Jinja RD 24h'!E70)</f>
        <v>7</v>
      </c>
      <c r="F70" s="48">
        <f>AVERAGE('01.08. Mukwano RBT-Jinja RD 24h'!F70,'03.8.Mukwano-Jinja RD 24h'!F70)</f>
        <v>5</v>
      </c>
      <c r="G70" s="48">
        <f>AVERAGE('01.08. Mukwano RBT-Jinja RD 24h'!G70,'03.8.Mukwano-Jinja RD 24h'!G70)</f>
        <v>0.5</v>
      </c>
      <c r="H70" s="48">
        <f>AVERAGE('01.08. Mukwano RBT-Jinja RD 24h'!H70,'03.8.Mukwano-Jinja RD 24h'!H70)</f>
        <v>0</v>
      </c>
      <c r="I70" s="48">
        <f>AVERAGE('01.08. Mukwano RBT-Jinja RD 24h'!I70,'03.8.Mukwano-Jinja RD 24h'!I70)</f>
        <v>0.5</v>
      </c>
      <c r="J70" s="48">
        <f>AVERAGE('01.08. Mukwano RBT-Jinja RD 24h'!J70,'03.8.Mukwano-Jinja RD 24h'!J70)</f>
        <v>0.5</v>
      </c>
      <c r="K70" s="48">
        <f>AVERAGE('01.08. Mukwano RBT-Jinja RD 24h'!K70,'03.8.Mukwano-Jinja RD 24h'!K70)</f>
        <v>1</v>
      </c>
      <c r="L70" s="48">
        <f>AVERAGE('01.08. Mukwano RBT-Jinja RD 24h'!L70,'03.8.Mukwano-Jinja RD 24h'!L70)</f>
        <v>1</v>
      </c>
      <c r="M70" s="48">
        <f>AVERAGE('01.08. Mukwano RBT-Jinja RD 24h'!M70,'03.8.Mukwano-Jinja RD 24h'!M70)</f>
        <v>374.5</v>
      </c>
      <c r="N70" s="48">
        <f>AVERAGE('01.08. Mukwano RBT-Jinja RD 24h'!N70,'03.8.Mukwano-Jinja RD 24h'!N70)</f>
        <v>0</v>
      </c>
      <c r="O70" s="15">
        <f t="shared" si="0"/>
        <v>132.5</v>
      </c>
      <c r="P70" s="15">
        <f t="shared" si="1"/>
        <v>507</v>
      </c>
      <c r="R70" s="8"/>
      <c r="T70"/>
    </row>
    <row r="71" spans="2:20" ht="23.1" customHeight="1" x14ac:dyDescent="0.25">
      <c r="B71" s="22" t="s">
        <v>111</v>
      </c>
      <c r="C71" s="48">
        <f>AVERAGE('01.08. Mukwano RBT-Jinja RD 24h'!C71,'03.8.Mukwano-Jinja RD 24h'!C71)</f>
        <v>74.5</v>
      </c>
      <c r="D71" s="48">
        <f>AVERAGE('01.08. Mukwano RBT-Jinja RD 24h'!D71,'03.8.Mukwano-Jinja RD 24h'!D71)</f>
        <v>14.5</v>
      </c>
      <c r="E71" s="48">
        <f>AVERAGE('01.08. Mukwano RBT-Jinja RD 24h'!E71,'03.8.Mukwano-Jinja RD 24h'!E71)</f>
        <v>4</v>
      </c>
      <c r="F71" s="48">
        <f>AVERAGE('01.08. Mukwano RBT-Jinja RD 24h'!F71,'03.8.Mukwano-Jinja RD 24h'!F71)</f>
        <v>7</v>
      </c>
      <c r="G71" s="48">
        <f>AVERAGE('01.08. Mukwano RBT-Jinja RD 24h'!G71,'03.8.Mukwano-Jinja RD 24h'!G71)</f>
        <v>0.5</v>
      </c>
      <c r="H71" s="48">
        <f>AVERAGE('01.08. Mukwano RBT-Jinja RD 24h'!H71,'03.8.Mukwano-Jinja RD 24h'!H71)</f>
        <v>0</v>
      </c>
      <c r="I71" s="48">
        <f>AVERAGE('01.08. Mukwano RBT-Jinja RD 24h'!I71,'03.8.Mukwano-Jinja RD 24h'!I71)</f>
        <v>1.5</v>
      </c>
      <c r="J71" s="48">
        <f>AVERAGE('01.08. Mukwano RBT-Jinja RD 24h'!J71,'03.8.Mukwano-Jinja RD 24h'!J71)</f>
        <v>0.5</v>
      </c>
      <c r="K71" s="48">
        <f>AVERAGE('01.08. Mukwano RBT-Jinja RD 24h'!K71,'03.8.Mukwano-Jinja RD 24h'!K71)</f>
        <v>0.5</v>
      </c>
      <c r="L71" s="48">
        <f>AVERAGE('01.08. Mukwano RBT-Jinja RD 24h'!L71,'03.8.Mukwano-Jinja RD 24h'!L71)</f>
        <v>0.5</v>
      </c>
      <c r="M71" s="48">
        <f>AVERAGE('01.08. Mukwano RBT-Jinja RD 24h'!M71,'03.8.Mukwano-Jinja RD 24h'!M71)</f>
        <v>225</v>
      </c>
      <c r="N71" s="48">
        <f>AVERAGE('01.08. Mukwano RBT-Jinja RD 24h'!N71,'03.8.Mukwano-Jinja RD 24h'!N71)</f>
        <v>0</v>
      </c>
      <c r="O71" s="15">
        <f t="shared" si="0"/>
        <v>103.5</v>
      </c>
      <c r="P71" s="15">
        <f t="shared" si="1"/>
        <v>328.5</v>
      </c>
      <c r="R71" s="8"/>
      <c r="T71"/>
    </row>
    <row r="72" spans="2:20" ht="23.1" customHeight="1" x14ac:dyDescent="0.25">
      <c r="B72" s="22" t="s">
        <v>112</v>
      </c>
      <c r="C72" s="48">
        <f>AVERAGE('01.08. Mukwano RBT-Jinja RD 24h'!C72,'03.8.Mukwano-Jinja RD 24h'!C72)</f>
        <v>82.5</v>
      </c>
      <c r="D72" s="48">
        <f>AVERAGE('01.08. Mukwano RBT-Jinja RD 24h'!D72,'03.8.Mukwano-Jinja RD 24h'!D72)</f>
        <v>26.5</v>
      </c>
      <c r="E72" s="48">
        <f>AVERAGE('01.08. Mukwano RBT-Jinja RD 24h'!E72,'03.8.Mukwano-Jinja RD 24h'!E72)</f>
        <v>4</v>
      </c>
      <c r="F72" s="48">
        <f>AVERAGE('01.08. Mukwano RBT-Jinja RD 24h'!F72,'03.8.Mukwano-Jinja RD 24h'!F72)</f>
        <v>5.5</v>
      </c>
      <c r="G72" s="48">
        <f>AVERAGE('01.08. Mukwano RBT-Jinja RD 24h'!G72,'03.8.Mukwano-Jinja RD 24h'!G72)</f>
        <v>0</v>
      </c>
      <c r="H72" s="48">
        <f>AVERAGE('01.08. Mukwano RBT-Jinja RD 24h'!H72,'03.8.Mukwano-Jinja RD 24h'!H72)</f>
        <v>0</v>
      </c>
      <c r="I72" s="48">
        <f>AVERAGE('01.08. Mukwano RBT-Jinja RD 24h'!I72,'03.8.Mukwano-Jinja RD 24h'!I72)</f>
        <v>1</v>
      </c>
      <c r="J72" s="48">
        <f>AVERAGE('01.08. Mukwano RBT-Jinja RD 24h'!J72,'03.8.Mukwano-Jinja RD 24h'!J72)</f>
        <v>2.5</v>
      </c>
      <c r="K72" s="48">
        <f>AVERAGE('01.08. Mukwano RBT-Jinja RD 24h'!K72,'03.8.Mukwano-Jinja RD 24h'!K72)</f>
        <v>0</v>
      </c>
      <c r="L72" s="48">
        <f>AVERAGE('01.08. Mukwano RBT-Jinja RD 24h'!L72,'03.8.Mukwano-Jinja RD 24h'!L72)</f>
        <v>1</v>
      </c>
      <c r="M72" s="48">
        <f>AVERAGE('01.08. Mukwano RBT-Jinja RD 24h'!M72,'03.8.Mukwano-Jinja RD 24h'!M72)</f>
        <v>138.5</v>
      </c>
      <c r="N72" s="48">
        <f>AVERAGE('01.08. Mukwano RBT-Jinja RD 24h'!N72,'03.8.Mukwano-Jinja RD 24h'!N72)</f>
        <v>0</v>
      </c>
      <c r="O72" s="15">
        <f t="shared" si="0"/>
        <v>123</v>
      </c>
      <c r="P72" s="15">
        <f t="shared" si="1"/>
        <v>261.5</v>
      </c>
      <c r="R72" s="8"/>
      <c r="T72"/>
    </row>
    <row r="73" spans="2:20" ht="23.1" customHeight="1" x14ac:dyDescent="0.25">
      <c r="B73" s="22" t="s">
        <v>113</v>
      </c>
      <c r="C73" s="48">
        <f>AVERAGE('01.08. Mukwano RBT-Jinja RD 24h'!C73,'03.8.Mukwano-Jinja RD 24h'!C73)</f>
        <v>82</v>
      </c>
      <c r="D73" s="48">
        <f>AVERAGE('01.08. Mukwano RBT-Jinja RD 24h'!D73,'03.8.Mukwano-Jinja RD 24h'!D73)</f>
        <v>17</v>
      </c>
      <c r="E73" s="48">
        <f>AVERAGE('01.08. Mukwano RBT-Jinja RD 24h'!E73,'03.8.Mukwano-Jinja RD 24h'!E73)</f>
        <v>2.5</v>
      </c>
      <c r="F73" s="48">
        <f>AVERAGE('01.08. Mukwano RBT-Jinja RD 24h'!F73,'03.8.Mukwano-Jinja RD 24h'!F73)</f>
        <v>3.5</v>
      </c>
      <c r="G73" s="48">
        <f>AVERAGE('01.08. Mukwano RBT-Jinja RD 24h'!G73,'03.8.Mukwano-Jinja RD 24h'!G73)</f>
        <v>0</v>
      </c>
      <c r="H73" s="48">
        <f>AVERAGE('01.08. Mukwano RBT-Jinja RD 24h'!H73,'03.8.Mukwano-Jinja RD 24h'!H73)</f>
        <v>0</v>
      </c>
      <c r="I73" s="48">
        <f>AVERAGE('01.08. Mukwano RBT-Jinja RD 24h'!I73,'03.8.Mukwano-Jinja RD 24h'!I73)</f>
        <v>1</v>
      </c>
      <c r="J73" s="48">
        <f>AVERAGE('01.08. Mukwano RBT-Jinja RD 24h'!J73,'03.8.Mukwano-Jinja RD 24h'!J73)</f>
        <v>2.5</v>
      </c>
      <c r="K73" s="48">
        <f>AVERAGE('01.08. Mukwano RBT-Jinja RD 24h'!K73,'03.8.Mukwano-Jinja RD 24h'!K73)</f>
        <v>0</v>
      </c>
      <c r="L73" s="48">
        <f>AVERAGE('01.08. Mukwano RBT-Jinja RD 24h'!L73,'03.8.Mukwano-Jinja RD 24h'!L73)</f>
        <v>1.5</v>
      </c>
      <c r="M73" s="48">
        <f>AVERAGE('01.08. Mukwano RBT-Jinja RD 24h'!M73,'03.8.Mukwano-Jinja RD 24h'!M73)</f>
        <v>141.5</v>
      </c>
      <c r="N73" s="48">
        <f>AVERAGE('01.08. Mukwano RBT-Jinja RD 24h'!N73,'03.8.Mukwano-Jinja RD 24h'!N73)</f>
        <v>0</v>
      </c>
      <c r="O73" s="15">
        <f t="shared" si="0"/>
        <v>110</v>
      </c>
      <c r="P73" s="15">
        <f t="shared" si="1"/>
        <v>251.5</v>
      </c>
      <c r="R73" s="8"/>
      <c r="T73"/>
    </row>
    <row r="74" spans="2:20" ht="23.1" customHeight="1" x14ac:dyDescent="0.25">
      <c r="B74" s="22" t="s">
        <v>114</v>
      </c>
      <c r="C74" s="48">
        <f>AVERAGE('01.08. Mukwano RBT-Jinja RD 24h'!C74,'03.8.Mukwano-Jinja RD 24h'!C74)</f>
        <v>75.5</v>
      </c>
      <c r="D74" s="48">
        <f>AVERAGE('01.08. Mukwano RBT-Jinja RD 24h'!D74,'03.8.Mukwano-Jinja RD 24h'!D74)</f>
        <v>14.5</v>
      </c>
      <c r="E74" s="48">
        <f>AVERAGE('01.08. Mukwano RBT-Jinja RD 24h'!E74,'03.8.Mukwano-Jinja RD 24h'!E74)</f>
        <v>8</v>
      </c>
      <c r="F74" s="48">
        <f>AVERAGE('01.08. Mukwano RBT-Jinja RD 24h'!F74,'03.8.Mukwano-Jinja RD 24h'!F74)</f>
        <v>3.5</v>
      </c>
      <c r="G74" s="48">
        <f>AVERAGE('01.08. Mukwano RBT-Jinja RD 24h'!G74,'03.8.Mukwano-Jinja RD 24h'!G74)</f>
        <v>0</v>
      </c>
      <c r="H74" s="48">
        <f>AVERAGE('01.08. Mukwano RBT-Jinja RD 24h'!H74,'03.8.Mukwano-Jinja RD 24h'!H74)</f>
        <v>0</v>
      </c>
      <c r="I74" s="48">
        <f>AVERAGE('01.08. Mukwano RBT-Jinja RD 24h'!I74,'03.8.Mukwano-Jinja RD 24h'!I74)</f>
        <v>1.5</v>
      </c>
      <c r="J74" s="48">
        <f>AVERAGE('01.08. Mukwano RBT-Jinja RD 24h'!J74,'03.8.Mukwano-Jinja RD 24h'!J74)</f>
        <v>0.5</v>
      </c>
      <c r="K74" s="48">
        <f>AVERAGE('01.08. Mukwano RBT-Jinja RD 24h'!K74,'03.8.Mukwano-Jinja RD 24h'!K74)</f>
        <v>0.5</v>
      </c>
      <c r="L74" s="48">
        <f>AVERAGE('01.08. Mukwano RBT-Jinja RD 24h'!L74,'03.8.Mukwano-Jinja RD 24h'!L74)</f>
        <v>0.5</v>
      </c>
      <c r="M74" s="48">
        <f>AVERAGE('01.08. Mukwano RBT-Jinja RD 24h'!M74,'03.8.Mukwano-Jinja RD 24h'!M74)</f>
        <v>99</v>
      </c>
      <c r="N74" s="48">
        <f>AVERAGE('01.08. Mukwano RBT-Jinja RD 24h'!N74,'03.8.Mukwano-Jinja RD 24h'!N74)</f>
        <v>0</v>
      </c>
      <c r="O74" s="15">
        <f t="shared" ref="O74:O105" si="35">SUM(C74:L74,N74)</f>
        <v>104.5</v>
      </c>
      <c r="P74" s="15">
        <f t="shared" ref="P74:P105" si="36">SUM(C74:N74)</f>
        <v>203.5</v>
      </c>
      <c r="R74" s="8"/>
      <c r="T74"/>
    </row>
    <row r="75" spans="2:20" ht="23.1" customHeight="1" x14ac:dyDescent="0.25">
      <c r="B75" s="22" t="s">
        <v>115</v>
      </c>
      <c r="C75" s="48">
        <f>AVERAGE('01.08. Mukwano RBT-Jinja RD 24h'!C75,'03.8.Mukwano-Jinja RD 24h'!C75)</f>
        <v>75.5</v>
      </c>
      <c r="D75" s="48">
        <f>AVERAGE('01.08. Mukwano RBT-Jinja RD 24h'!D75,'03.8.Mukwano-Jinja RD 24h'!D75)</f>
        <v>22</v>
      </c>
      <c r="E75" s="48">
        <f>AVERAGE('01.08. Mukwano RBT-Jinja RD 24h'!E75,'03.8.Mukwano-Jinja RD 24h'!E75)</f>
        <v>2.5</v>
      </c>
      <c r="F75" s="48">
        <f>AVERAGE('01.08. Mukwano RBT-Jinja RD 24h'!F75,'03.8.Mukwano-Jinja RD 24h'!F75)</f>
        <v>1.5</v>
      </c>
      <c r="G75" s="48">
        <f>AVERAGE('01.08. Mukwano RBT-Jinja RD 24h'!G75,'03.8.Mukwano-Jinja RD 24h'!G75)</f>
        <v>0</v>
      </c>
      <c r="H75" s="48">
        <f>AVERAGE('01.08. Mukwano RBT-Jinja RD 24h'!H75,'03.8.Mukwano-Jinja RD 24h'!H75)</f>
        <v>0</v>
      </c>
      <c r="I75" s="48">
        <f>AVERAGE('01.08. Mukwano RBT-Jinja RD 24h'!I75,'03.8.Mukwano-Jinja RD 24h'!I75)</f>
        <v>1.5</v>
      </c>
      <c r="J75" s="48">
        <f>AVERAGE('01.08. Mukwano RBT-Jinja RD 24h'!J75,'03.8.Mukwano-Jinja RD 24h'!J75)</f>
        <v>2.5</v>
      </c>
      <c r="K75" s="48">
        <f>AVERAGE('01.08. Mukwano RBT-Jinja RD 24h'!K75,'03.8.Mukwano-Jinja RD 24h'!K75)</f>
        <v>0.5</v>
      </c>
      <c r="L75" s="48">
        <f>AVERAGE('01.08. Mukwano RBT-Jinja RD 24h'!L75,'03.8.Mukwano-Jinja RD 24h'!L75)</f>
        <v>1</v>
      </c>
      <c r="M75" s="48">
        <f>AVERAGE('01.08. Mukwano RBT-Jinja RD 24h'!M75,'03.8.Mukwano-Jinja RD 24h'!M75)</f>
        <v>101.5</v>
      </c>
      <c r="N75" s="48">
        <f>AVERAGE('01.08. Mukwano RBT-Jinja RD 24h'!N75,'03.8.Mukwano-Jinja RD 24h'!N75)</f>
        <v>0</v>
      </c>
      <c r="O75" s="15">
        <f t="shared" si="35"/>
        <v>107</v>
      </c>
      <c r="P75" s="15">
        <f t="shared" si="36"/>
        <v>208.5</v>
      </c>
      <c r="R75" s="8"/>
      <c r="T75"/>
    </row>
    <row r="76" spans="2:20" ht="23.1" customHeight="1" x14ac:dyDescent="0.25">
      <c r="B76" s="22" t="s">
        <v>116</v>
      </c>
      <c r="C76" s="48">
        <f>AVERAGE('01.08. Mukwano RBT-Jinja RD 24h'!C76,'03.8.Mukwano-Jinja RD 24h'!C76)</f>
        <v>62</v>
      </c>
      <c r="D76" s="48">
        <f>AVERAGE('01.08. Mukwano RBT-Jinja RD 24h'!D76,'03.8.Mukwano-Jinja RD 24h'!D76)</f>
        <v>24</v>
      </c>
      <c r="E76" s="48">
        <f>AVERAGE('01.08. Mukwano RBT-Jinja RD 24h'!E76,'03.8.Mukwano-Jinja RD 24h'!E76)</f>
        <v>1.5</v>
      </c>
      <c r="F76" s="48">
        <f>AVERAGE('01.08. Mukwano RBT-Jinja RD 24h'!F76,'03.8.Mukwano-Jinja RD 24h'!F76)</f>
        <v>0.5</v>
      </c>
      <c r="G76" s="48">
        <f>AVERAGE('01.08. Mukwano RBT-Jinja RD 24h'!G76,'03.8.Mukwano-Jinja RD 24h'!G76)</f>
        <v>0</v>
      </c>
      <c r="H76" s="48">
        <f>AVERAGE('01.08. Mukwano RBT-Jinja RD 24h'!H76,'03.8.Mukwano-Jinja RD 24h'!H76)</f>
        <v>0</v>
      </c>
      <c r="I76" s="48">
        <f>AVERAGE('01.08. Mukwano RBT-Jinja RD 24h'!I76,'03.8.Mukwano-Jinja RD 24h'!I76)</f>
        <v>1.5</v>
      </c>
      <c r="J76" s="48">
        <f>AVERAGE('01.08. Mukwano RBT-Jinja RD 24h'!J76,'03.8.Mukwano-Jinja RD 24h'!J76)</f>
        <v>0.5</v>
      </c>
      <c r="K76" s="48">
        <f>AVERAGE('01.08. Mukwano RBT-Jinja RD 24h'!K76,'03.8.Mukwano-Jinja RD 24h'!K76)</f>
        <v>1</v>
      </c>
      <c r="L76" s="48">
        <f>AVERAGE('01.08. Mukwano RBT-Jinja RD 24h'!L76,'03.8.Mukwano-Jinja RD 24h'!L76)</f>
        <v>1</v>
      </c>
      <c r="M76" s="48">
        <f>AVERAGE('01.08. Mukwano RBT-Jinja RD 24h'!M76,'03.8.Mukwano-Jinja RD 24h'!M76)</f>
        <v>90</v>
      </c>
      <c r="N76" s="48">
        <f>AVERAGE('01.08. Mukwano RBT-Jinja RD 24h'!N76,'03.8.Mukwano-Jinja RD 24h'!N76)</f>
        <v>0</v>
      </c>
      <c r="O76" s="15">
        <f t="shared" si="35"/>
        <v>92</v>
      </c>
      <c r="P76" s="15">
        <f t="shared" si="36"/>
        <v>182</v>
      </c>
      <c r="R76" s="8"/>
      <c r="T76"/>
    </row>
    <row r="77" spans="2:20" ht="23.1" customHeight="1" x14ac:dyDescent="0.25">
      <c r="B77" s="22" t="s">
        <v>117</v>
      </c>
      <c r="C77" s="48">
        <f>AVERAGE('01.08. Mukwano RBT-Jinja RD 24h'!C77,'03.8.Mukwano-Jinja RD 24h'!C77)</f>
        <v>57.5</v>
      </c>
      <c r="D77" s="48">
        <f>AVERAGE('01.08. Mukwano RBT-Jinja RD 24h'!D77,'03.8.Mukwano-Jinja RD 24h'!D77)</f>
        <v>9</v>
      </c>
      <c r="E77" s="48">
        <f>AVERAGE('01.08. Mukwano RBT-Jinja RD 24h'!E77,'03.8.Mukwano-Jinja RD 24h'!E77)</f>
        <v>0.5</v>
      </c>
      <c r="F77" s="48">
        <f>AVERAGE('01.08. Mukwano RBT-Jinja RD 24h'!F77,'03.8.Mukwano-Jinja RD 24h'!F77)</f>
        <v>1</v>
      </c>
      <c r="G77" s="48">
        <f>AVERAGE('01.08. Mukwano RBT-Jinja RD 24h'!G77,'03.8.Mukwano-Jinja RD 24h'!G77)</f>
        <v>0.5</v>
      </c>
      <c r="H77" s="48">
        <f>AVERAGE('01.08. Mukwano RBT-Jinja RD 24h'!H77,'03.8.Mukwano-Jinja RD 24h'!H77)</f>
        <v>0</v>
      </c>
      <c r="I77" s="48">
        <f>AVERAGE('01.08. Mukwano RBT-Jinja RD 24h'!I77,'03.8.Mukwano-Jinja RD 24h'!I77)</f>
        <v>0</v>
      </c>
      <c r="J77" s="48">
        <f>AVERAGE('01.08. Mukwano RBT-Jinja RD 24h'!J77,'03.8.Mukwano-Jinja RD 24h'!J77)</f>
        <v>0</v>
      </c>
      <c r="K77" s="48">
        <f>AVERAGE('01.08. Mukwano RBT-Jinja RD 24h'!K77,'03.8.Mukwano-Jinja RD 24h'!K77)</f>
        <v>0.5</v>
      </c>
      <c r="L77" s="48">
        <f>AVERAGE('01.08. Mukwano RBT-Jinja RD 24h'!L77,'03.8.Mukwano-Jinja RD 24h'!L77)</f>
        <v>0</v>
      </c>
      <c r="M77" s="48">
        <f>AVERAGE('01.08. Mukwano RBT-Jinja RD 24h'!M77,'03.8.Mukwano-Jinja RD 24h'!M77)</f>
        <v>74</v>
      </c>
      <c r="N77" s="48">
        <f>AVERAGE('01.08. Mukwano RBT-Jinja RD 24h'!N77,'03.8.Mukwano-Jinja RD 24h'!N77)</f>
        <v>0</v>
      </c>
      <c r="O77" s="15">
        <f t="shared" si="35"/>
        <v>69</v>
      </c>
      <c r="P77" s="15">
        <f t="shared" si="36"/>
        <v>143</v>
      </c>
      <c r="R77" s="8"/>
      <c r="T77"/>
    </row>
    <row r="78" spans="2:20" ht="23.1" customHeight="1" x14ac:dyDescent="0.25">
      <c r="B78" s="23" t="s">
        <v>118</v>
      </c>
      <c r="C78" s="48">
        <f>AVERAGE('01.08. Mukwano RBT-Jinja RD 24h'!C78,'03.8.Mukwano-Jinja RD 24h'!C78)</f>
        <v>49</v>
      </c>
      <c r="D78" s="48">
        <f>AVERAGE('01.08. Mukwano RBT-Jinja RD 24h'!D78,'03.8.Mukwano-Jinja RD 24h'!D78)</f>
        <v>8.5</v>
      </c>
      <c r="E78" s="48">
        <f>AVERAGE('01.08. Mukwano RBT-Jinja RD 24h'!E78,'03.8.Mukwano-Jinja RD 24h'!E78)</f>
        <v>3</v>
      </c>
      <c r="F78" s="48">
        <f>AVERAGE('01.08. Mukwano RBT-Jinja RD 24h'!F78,'03.8.Mukwano-Jinja RD 24h'!F78)</f>
        <v>2.5</v>
      </c>
      <c r="G78" s="48">
        <f>AVERAGE('01.08. Mukwano RBT-Jinja RD 24h'!G78,'03.8.Mukwano-Jinja RD 24h'!G78)</f>
        <v>0</v>
      </c>
      <c r="H78" s="48">
        <f>AVERAGE('01.08. Mukwano RBT-Jinja RD 24h'!H78,'03.8.Mukwano-Jinja RD 24h'!H78)</f>
        <v>0</v>
      </c>
      <c r="I78" s="48">
        <f>AVERAGE('01.08. Mukwano RBT-Jinja RD 24h'!I78,'03.8.Mukwano-Jinja RD 24h'!I78)</f>
        <v>0.5</v>
      </c>
      <c r="J78" s="48">
        <f>AVERAGE('01.08. Mukwano RBT-Jinja RD 24h'!J78,'03.8.Mukwano-Jinja RD 24h'!J78)</f>
        <v>1</v>
      </c>
      <c r="K78" s="48">
        <f>AVERAGE('01.08. Mukwano RBT-Jinja RD 24h'!K78,'03.8.Mukwano-Jinja RD 24h'!K78)</f>
        <v>0</v>
      </c>
      <c r="L78" s="48">
        <f>AVERAGE('01.08. Mukwano RBT-Jinja RD 24h'!L78,'03.8.Mukwano-Jinja RD 24h'!L78)</f>
        <v>2</v>
      </c>
      <c r="M78" s="48">
        <f>AVERAGE('01.08. Mukwano RBT-Jinja RD 24h'!M78,'03.8.Mukwano-Jinja RD 24h'!M78)</f>
        <v>62</v>
      </c>
      <c r="N78" s="48">
        <f>AVERAGE('01.08. Mukwano RBT-Jinja RD 24h'!N78,'03.8.Mukwano-Jinja RD 24h'!N78)</f>
        <v>0</v>
      </c>
      <c r="O78" s="15">
        <f t="shared" si="35"/>
        <v>66.5</v>
      </c>
      <c r="P78" s="15">
        <f t="shared" si="36"/>
        <v>128.5</v>
      </c>
      <c r="R78" s="8"/>
      <c r="T78"/>
    </row>
    <row r="79" spans="2:20" ht="23.1" customHeight="1" x14ac:dyDescent="0.25">
      <c r="B79" s="22" t="s">
        <v>119</v>
      </c>
      <c r="C79" s="48">
        <f>AVERAGE('01.08. Mukwano RBT-Jinja RD 24h'!C79,'03.8.Mukwano-Jinja RD 24h'!C79)</f>
        <v>36</v>
      </c>
      <c r="D79" s="48">
        <f>AVERAGE('01.08. Mukwano RBT-Jinja RD 24h'!D79,'03.8.Mukwano-Jinja RD 24h'!D79)</f>
        <v>13.5</v>
      </c>
      <c r="E79" s="48">
        <f>AVERAGE('01.08. Mukwano RBT-Jinja RD 24h'!E79,'03.8.Mukwano-Jinja RD 24h'!E79)</f>
        <v>3</v>
      </c>
      <c r="F79" s="48">
        <f>AVERAGE('01.08. Mukwano RBT-Jinja RD 24h'!F79,'03.8.Mukwano-Jinja RD 24h'!F79)</f>
        <v>0.5</v>
      </c>
      <c r="G79" s="48">
        <f>AVERAGE('01.08. Mukwano RBT-Jinja RD 24h'!G79,'03.8.Mukwano-Jinja RD 24h'!G79)</f>
        <v>0</v>
      </c>
      <c r="H79" s="48">
        <f>AVERAGE('01.08. Mukwano RBT-Jinja RD 24h'!H79,'03.8.Mukwano-Jinja RD 24h'!H79)</f>
        <v>0</v>
      </c>
      <c r="I79" s="48">
        <f>AVERAGE('01.08. Mukwano RBT-Jinja RD 24h'!I79,'03.8.Mukwano-Jinja RD 24h'!I79)</f>
        <v>1</v>
      </c>
      <c r="J79" s="48">
        <f>AVERAGE('01.08. Mukwano RBT-Jinja RD 24h'!J79,'03.8.Mukwano-Jinja RD 24h'!J79)</f>
        <v>0.5</v>
      </c>
      <c r="K79" s="48">
        <f>AVERAGE('01.08. Mukwano RBT-Jinja RD 24h'!K79,'03.8.Mukwano-Jinja RD 24h'!K79)</f>
        <v>0</v>
      </c>
      <c r="L79" s="48">
        <f>AVERAGE('01.08. Mukwano RBT-Jinja RD 24h'!L79,'03.8.Mukwano-Jinja RD 24h'!L79)</f>
        <v>1</v>
      </c>
      <c r="M79" s="48">
        <f>AVERAGE('01.08. Mukwano RBT-Jinja RD 24h'!M79,'03.8.Mukwano-Jinja RD 24h'!M79)</f>
        <v>49.5</v>
      </c>
      <c r="N79" s="48">
        <f>AVERAGE('01.08. Mukwano RBT-Jinja RD 24h'!N79,'03.8.Mukwano-Jinja RD 24h'!N79)</f>
        <v>0</v>
      </c>
      <c r="O79" s="15">
        <f t="shared" si="35"/>
        <v>55.5</v>
      </c>
      <c r="P79" s="15">
        <f t="shared" si="36"/>
        <v>105</v>
      </c>
      <c r="R79" s="8"/>
      <c r="T79"/>
    </row>
    <row r="80" spans="2:20" ht="23.1" customHeight="1" x14ac:dyDescent="0.25">
      <c r="B80" s="24" t="s">
        <v>120</v>
      </c>
      <c r="C80" s="48">
        <f>AVERAGE('01.08. Mukwano RBT-Jinja RD 24h'!C80,'03.8.Mukwano-Jinja RD 24h'!C80)</f>
        <v>34</v>
      </c>
      <c r="D80" s="48">
        <f>AVERAGE('01.08. Mukwano RBT-Jinja RD 24h'!D80,'03.8.Mukwano-Jinja RD 24h'!D80)</f>
        <v>8.5</v>
      </c>
      <c r="E80" s="48">
        <f>AVERAGE('01.08. Mukwano RBT-Jinja RD 24h'!E80,'03.8.Mukwano-Jinja RD 24h'!E80)</f>
        <v>1.5</v>
      </c>
      <c r="F80" s="48">
        <f>AVERAGE('01.08. Mukwano RBT-Jinja RD 24h'!F80,'03.8.Mukwano-Jinja RD 24h'!F80)</f>
        <v>1.5</v>
      </c>
      <c r="G80" s="48">
        <f>AVERAGE('01.08. Mukwano RBT-Jinja RD 24h'!G80,'03.8.Mukwano-Jinja RD 24h'!G80)</f>
        <v>0</v>
      </c>
      <c r="H80" s="48">
        <f>AVERAGE('01.08. Mukwano RBT-Jinja RD 24h'!H80,'03.8.Mukwano-Jinja RD 24h'!H80)</f>
        <v>0</v>
      </c>
      <c r="I80" s="48">
        <f>AVERAGE('01.08. Mukwano RBT-Jinja RD 24h'!I80,'03.8.Mukwano-Jinja RD 24h'!I80)</f>
        <v>0.5</v>
      </c>
      <c r="J80" s="48">
        <f>AVERAGE('01.08. Mukwano RBT-Jinja RD 24h'!J80,'03.8.Mukwano-Jinja RD 24h'!J80)</f>
        <v>1</v>
      </c>
      <c r="K80" s="48">
        <f>AVERAGE('01.08. Mukwano RBT-Jinja RD 24h'!K80,'03.8.Mukwano-Jinja RD 24h'!K80)</f>
        <v>0</v>
      </c>
      <c r="L80" s="48">
        <f>AVERAGE('01.08. Mukwano RBT-Jinja RD 24h'!L80,'03.8.Mukwano-Jinja RD 24h'!L80)</f>
        <v>1</v>
      </c>
      <c r="M80" s="48">
        <f>AVERAGE('01.08. Mukwano RBT-Jinja RD 24h'!M80,'03.8.Mukwano-Jinja RD 24h'!M80)</f>
        <v>47.5</v>
      </c>
      <c r="N80" s="48">
        <f>AVERAGE('01.08. Mukwano RBT-Jinja RD 24h'!N80,'03.8.Mukwano-Jinja RD 24h'!N80)</f>
        <v>0</v>
      </c>
      <c r="O80" s="15">
        <f t="shared" si="35"/>
        <v>48</v>
      </c>
      <c r="P80" s="15">
        <f t="shared" si="36"/>
        <v>95.5</v>
      </c>
      <c r="R80" s="8"/>
      <c r="T80"/>
    </row>
    <row r="81" spans="2:20" ht="23.1" customHeight="1" x14ac:dyDescent="0.25">
      <c r="B81" s="22" t="s">
        <v>121</v>
      </c>
      <c r="C81" s="48">
        <f>AVERAGE('01.08. Mukwano RBT-Jinja RD 24h'!C81,'03.8.Mukwano-Jinja RD 24h'!C81)</f>
        <v>46</v>
      </c>
      <c r="D81" s="48">
        <f>AVERAGE('01.08. Mukwano RBT-Jinja RD 24h'!D81,'03.8.Mukwano-Jinja RD 24h'!D81)</f>
        <v>6</v>
      </c>
      <c r="E81" s="48">
        <f>AVERAGE('01.08. Mukwano RBT-Jinja RD 24h'!E81,'03.8.Mukwano-Jinja RD 24h'!E81)</f>
        <v>1</v>
      </c>
      <c r="F81" s="48">
        <f>AVERAGE('01.08. Mukwano RBT-Jinja RD 24h'!F81,'03.8.Mukwano-Jinja RD 24h'!F81)</f>
        <v>1</v>
      </c>
      <c r="G81" s="48">
        <f>AVERAGE('01.08. Mukwano RBT-Jinja RD 24h'!G81,'03.8.Mukwano-Jinja RD 24h'!G81)</f>
        <v>0</v>
      </c>
      <c r="H81" s="48">
        <f>AVERAGE('01.08. Mukwano RBT-Jinja RD 24h'!H81,'03.8.Mukwano-Jinja RD 24h'!H81)</f>
        <v>0</v>
      </c>
      <c r="I81" s="48">
        <f>AVERAGE('01.08. Mukwano RBT-Jinja RD 24h'!I81,'03.8.Mukwano-Jinja RD 24h'!I81)</f>
        <v>2</v>
      </c>
      <c r="J81" s="48">
        <f>AVERAGE('01.08. Mukwano RBT-Jinja RD 24h'!J81,'03.8.Mukwano-Jinja RD 24h'!J81)</f>
        <v>0</v>
      </c>
      <c r="K81" s="48">
        <f>AVERAGE('01.08. Mukwano RBT-Jinja RD 24h'!K81,'03.8.Mukwano-Jinja RD 24h'!K81)</f>
        <v>0</v>
      </c>
      <c r="L81" s="48">
        <f>AVERAGE('01.08. Mukwano RBT-Jinja RD 24h'!L81,'03.8.Mukwano-Jinja RD 24h'!L81)</f>
        <v>0</v>
      </c>
      <c r="M81" s="48">
        <f>AVERAGE('01.08. Mukwano RBT-Jinja RD 24h'!M81,'03.8.Mukwano-Jinja RD 24h'!M81)</f>
        <v>35</v>
      </c>
      <c r="N81" s="48">
        <f>AVERAGE('01.08. Mukwano RBT-Jinja RD 24h'!N81,'03.8.Mukwano-Jinja RD 24h'!N81)</f>
        <v>0</v>
      </c>
      <c r="O81" s="15">
        <f t="shared" si="35"/>
        <v>56</v>
      </c>
      <c r="P81" s="15">
        <f t="shared" si="36"/>
        <v>91</v>
      </c>
      <c r="R81" s="8"/>
      <c r="T81"/>
    </row>
    <row r="82" spans="2:20" ht="23.1" customHeight="1" x14ac:dyDescent="0.25">
      <c r="B82" s="23" t="s">
        <v>122</v>
      </c>
      <c r="C82" s="48">
        <f>AVERAGE('01.08. Mukwano RBT-Jinja RD 24h'!C82,'03.8.Mukwano-Jinja RD 24h'!C82)</f>
        <v>49</v>
      </c>
      <c r="D82" s="48">
        <f>AVERAGE('01.08. Mukwano RBT-Jinja RD 24h'!D82,'03.8.Mukwano-Jinja RD 24h'!D82)</f>
        <v>6</v>
      </c>
      <c r="E82" s="48">
        <f>AVERAGE('01.08. Mukwano RBT-Jinja RD 24h'!E82,'03.8.Mukwano-Jinja RD 24h'!E82)</f>
        <v>2.5</v>
      </c>
      <c r="F82" s="48">
        <f>AVERAGE('01.08. Mukwano RBT-Jinja RD 24h'!F82,'03.8.Mukwano-Jinja RD 24h'!F82)</f>
        <v>2.5</v>
      </c>
      <c r="G82" s="48">
        <f>AVERAGE('01.08. Mukwano RBT-Jinja RD 24h'!G82,'03.8.Mukwano-Jinja RD 24h'!G82)</f>
        <v>0</v>
      </c>
      <c r="H82" s="48">
        <f>AVERAGE('01.08. Mukwano RBT-Jinja RD 24h'!H82,'03.8.Mukwano-Jinja RD 24h'!H82)</f>
        <v>0</v>
      </c>
      <c r="I82" s="48">
        <f>AVERAGE('01.08. Mukwano RBT-Jinja RD 24h'!I82,'03.8.Mukwano-Jinja RD 24h'!I82)</f>
        <v>0</v>
      </c>
      <c r="J82" s="48">
        <f>AVERAGE('01.08. Mukwano RBT-Jinja RD 24h'!J82,'03.8.Mukwano-Jinja RD 24h'!J82)</f>
        <v>1</v>
      </c>
      <c r="K82" s="48">
        <f>AVERAGE('01.08. Mukwano RBT-Jinja RD 24h'!K82,'03.8.Mukwano-Jinja RD 24h'!K82)</f>
        <v>0</v>
      </c>
      <c r="L82" s="48">
        <f>AVERAGE('01.08. Mukwano RBT-Jinja RD 24h'!L82,'03.8.Mukwano-Jinja RD 24h'!L82)</f>
        <v>0.5</v>
      </c>
      <c r="M82" s="48">
        <f>AVERAGE('01.08. Mukwano RBT-Jinja RD 24h'!M82,'03.8.Mukwano-Jinja RD 24h'!M82)</f>
        <v>25</v>
      </c>
      <c r="N82" s="48">
        <f>AVERAGE('01.08. Mukwano RBT-Jinja RD 24h'!N82,'03.8.Mukwano-Jinja RD 24h'!N82)</f>
        <v>0</v>
      </c>
      <c r="O82" s="15">
        <f t="shared" si="35"/>
        <v>61.5</v>
      </c>
      <c r="P82" s="15">
        <f t="shared" si="36"/>
        <v>86.5</v>
      </c>
      <c r="R82" s="8"/>
      <c r="T82"/>
    </row>
    <row r="83" spans="2:20" ht="23.1" customHeight="1" x14ac:dyDescent="0.25">
      <c r="B83" s="22" t="s">
        <v>123</v>
      </c>
      <c r="C83" s="48">
        <f>AVERAGE('01.08. Mukwano RBT-Jinja RD 24h'!C83,'03.8.Mukwano-Jinja RD 24h'!C83)</f>
        <v>40.5</v>
      </c>
      <c r="D83" s="48">
        <f>AVERAGE('01.08. Mukwano RBT-Jinja RD 24h'!D83,'03.8.Mukwano-Jinja RD 24h'!D83)</f>
        <v>2</v>
      </c>
      <c r="E83" s="48">
        <f>AVERAGE('01.08. Mukwano RBT-Jinja RD 24h'!E83,'03.8.Mukwano-Jinja RD 24h'!E83)</f>
        <v>0.5</v>
      </c>
      <c r="F83" s="48">
        <f>AVERAGE('01.08. Mukwano RBT-Jinja RD 24h'!F83,'03.8.Mukwano-Jinja RD 24h'!F83)</f>
        <v>2</v>
      </c>
      <c r="G83" s="48">
        <f>AVERAGE('01.08. Mukwano RBT-Jinja RD 24h'!G83,'03.8.Mukwano-Jinja RD 24h'!G83)</f>
        <v>0</v>
      </c>
      <c r="H83" s="48">
        <f>AVERAGE('01.08. Mukwano RBT-Jinja RD 24h'!H83,'03.8.Mukwano-Jinja RD 24h'!H83)</f>
        <v>0</v>
      </c>
      <c r="I83" s="48">
        <f>AVERAGE('01.08. Mukwano RBT-Jinja RD 24h'!I83,'03.8.Mukwano-Jinja RD 24h'!I83)</f>
        <v>0.5</v>
      </c>
      <c r="J83" s="48">
        <f>AVERAGE('01.08. Mukwano RBT-Jinja RD 24h'!J83,'03.8.Mukwano-Jinja RD 24h'!J83)</f>
        <v>0</v>
      </c>
      <c r="K83" s="48">
        <f>AVERAGE('01.08. Mukwano RBT-Jinja RD 24h'!K83,'03.8.Mukwano-Jinja RD 24h'!K83)</f>
        <v>0</v>
      </c>
      <c r="L83" s="48">
        <f>AVERAGE('01.08. Mukwano RBT-Jinja RD 24h'!L83,'03.8.Mukwano-Jinja RD 24h'!L83)</f>
        <v>1</v>
      </c>
      <c r="M83" s="48">
        <f>AVERAGE('01.08. Mukwano RBT-Jinja RD 24h'!M83,'03.8.Mukwano-Jinja RD 24h'!M83)</f>
        <v>38</v>
      </c>
      <c r="N83" s="48">
        <f>AVERAGE('01.08. Mukwano RBT-Jinja RD 24h'!N83,'03.8.Mukwano-Jinja RD 24h'!N83)</f>
        <v>0</v>
      </c>
      <c r="O83" s="15">
        <f t="shared" si="35"/>
        <v>46.5</v>
      </c>
      <c r="P83" s="15">
        <f t="shared" si="36"/>
        <v>84.5</v>
      </c>
      <c r="R83" s="8"/>
      <c r="T83"/>
    </row>
    <row r="84" spans="2:20" ht="23.1" customHeight="1" x14ac:dyDescent="0.25">
      <c r="B84" s="24" t="s">
        <v>124</v>
      </c>
      <c r="C84" s="48">
        <f>AVERAGE('01.08. Mukwano RBT-Jinja RD 24h'!C84,'03.8.Mukwano-Jinja RD 24h'!C84)</f>
        <v>45.5</v>
      </c>
      <c r="D84" s="48">
        <f>AVERAGE('01.08. Mukwano RBT-Jinja RD 24h'!D84,'03.8.Mukwano-Jinja RD 24h'!D84)</f>
        <v>3.5</v>
      </c>
      <c r="E84" s="48">
        <f>AVERAGE('01.08. Mukwano RBT-Jinja RD 24h'!E84,'03.8.Mukwano-Jinja RD 24h'!E84)</f>
        <v>1</v>
      </c>
      <c r="F84" s="48">
        <f>AVERAGE('01.08. Mukwano RBT-Jinja RD 24h'!F84,'03.8.Mukwano-Jinja RD 24h'!F84)</f>
        <v>1.5</v>
      </c>
      <c r="G84" s="48">
        <f>AVERAGE('01.08. Mukwano RBT-Jinja RD 24h'!G84,'03.8.Mukwano-Jinja RD 24h'!G84)</f>
        <v>0</v>
      </c>
      <c r="H84" s="48">
        <f>AVERAGE('01.08. Mukwano RBT-Jinja RD 24h'!H84,'03.8.Mukwano-Jinja RD 24h'!H84)</f>
        <v>0</v>
      </c>
      <c r="I84" s="48">
        <f>AVERAGE('01.08. Mukwano RBT-Jinja RD 24h'!I84,'03.8.Mukwano-Jinja RD 24h'!I84)</f>
        <v>0</v>
      </c>
      <c r="J84" s="48">
        <f>AVERAGE('01.08. Mukwano RBT-Jinja RD 24h'!J84,'03.8.Mukwano-Jinja RD 24h'!J84)</f>
        <v>0</v>
      </c>
      <c r="K84" s="48">
        <f>AVERAGE('01.08. Mukwano RBT-Jinja RD 24h'!K84,'03.8.Mukwano-Jinja RD 24h'!K84)</f>
        <v>0</v>
      </c>
      <c r="L84" s="48">
        <f>AVERAGE('01.08. Mukwano RBT-Jinja RD 24h'!L84,'03.8.Mukwano-Jinja RD 24h'!L84)</f>
        <v>1</v>
      </c>
      <c r="M84" s="48">
        <f>AVERAGE('01.08. Mukwano RBT-Jinja RD 24h'!M84,'03.8.Mukwano-Jinja RD 24h'!M84)</f>
        <v>35</v>
      </c>
      <c r="N84" s="48">
        <f>AVERAGE('01.08. Mukwano RBT-Jinja RD 24h'!N84,'03.8.Mukwano-Jinja RD 24h'!N84)</f>
        <v>0</v>
      </c>
      <c r="O84" s="15">
        <f t="shared" si="35"/>
        <v>52.5</v>
      </c>
      <c r="P84" s="15">
        <f t="shared" si="36"/>
        <v>87.5</v>
      </c>
      <c r="R84" s="8"/>
      <c r="T84"/>
    </row>
    <row r="85" spans="2:20" ht="23.1" customHeight="1" x14ac:dyDescent="0.25">
      <c r="B85" s="22" t="s">
        <v>125</v>
      </c>
      <c r="C85" s="48">
        <f>AVERAGE('01.08. Mukwano RBT-Jinja RD 24h'!C85,'03.8.Mukwano-Jinja RD 24h'!C85)</f>
        <v>31</v>
      </c>
      <c r="D85" s="48">
        <f>AVERAGE('01.08. Mukwano RBT-Jinja RD 24h'!D85,'03.8.Mukwano-Jinja RD 24h'!D85)</f>
        <v>5.5</v>
      </c>
      <c r="E85" s="48">
        <f>AVERAGE('01.08. Mukwano RBT-Jinja RD 24h'!E85,'03.8.Mukwano-Jinja RD 24h'!E85)</f>
        <v>1.5</v>
      </c>
      <c r="F85" s="48">
        <f>AVERAGE('01.08. Mukwano RBT-Jinja RD 24h'!F85,'03.8.Mukwano-Jinja RD 24h'!F85)</f>
        <v>1</v>
      </c>
      <c r="G85" s="48">
        <f>AVERAGE('01.08. Mukwano RBT-Jinja RD 24h'!G85,'03.8.Mukwano-Jinja RD 24h'!G85)</f>
        <v>0</v>
      </c>
      <c r="H85" s="48">
        <f>AVERAGE('01.08. Mukwano RBT-Jinja RD 24h'!H85,'03.8.Mukwano-Jinja RD 24h'!H85)</f>
        <v>0</v>
      </c>
      <c r="I85" s="48">
        <f>AVERAGE('01.08. Mukwano RBT-Jinja RD 24h'!I85,'03.8.Mukwano-Jinja RD 24h'!I85)</f>
        <v>1.5</v>
      </c>
      <c r="J85" s="48">
        <f>AVERAGE('01.08. Mukwano RBT-Jinja RD 24h'!J85,'03.8.Mukwano-Jinja RD 24h'!J85)</f>
        <v>0</v>
      </c>
      <c r="K85" s="48">
        <f>AVERAGE('01.08. Mukwano RBT-Jinja RD 24h'!K85,'03.8.Mukwano-Jinja RD 24h'!K85)</f>
        <v>0.5</v>
      </c>
      <c r="L85" s="48">
        <f>AVERAGE('01.08. Mukwano RBT-Jinja RD 24h'!L85,'03.8.Mukwano-Jinja RD 24h'!L85)</f>
        <v>1.5</v>
      </c>
      <c r="M85" s="48">
        <f>AVERAGE('01.08. Mukwano RBT-Jinja RD 24h'!M85,'03.8.Mukwano-Jinja RD 24h'!M85)</f>
        <v>23</v>
      </c>
      <c r="N85" s="48">
        <f>AVERAGE('01.08. Mukwano RBT-Jinja RD 24h'!N85,'03.8.Mukwano-Jinja RD 24h'!N85)</f>
        <v>0</v>
      </c>
      <c r="O85" s="15">
        <f t="shared" si="35"/>
        <v>42.5</v>
      </c>
      <c r="P85" s="15">
        <f t="shared" si="36"/>
        <v>65.5</v>
      </c>
      <c r="R85" s="8"/>
      <c r="T85"/>
    </row>
    <row r="86" spans="2:20" ht="23.1" customHeight="1" x14ac:dyDescent="0.25">
      <c r="B86" s="23" t="s">
        <v>126</v>
      </c>
      <c r="C86" s="48">
        <f>AVERAGE('01.08. Mukwano RBT-Jinja RD 24h'!C86,'03.8.Mukwano-Jinja RD 24h'!C86)</f>
        <v>19.5</v>
      </c>
      <c r="D86" s="48">
        <f>AVERAGE('01.08. Mukwano RBT-Jinja RD 24h'!D86,'03.8.Mukwano-Jinja RD 24h'!D86)</f>
        <v>3.5</v>
      </c>
      <c r="E86" s="48">
        <f>AVERAGE('01.08. Mukwano RBT-Jinja RD 24h'!E86,'03.8.Mukwano-Jinja RD 24h'!E86)</f>
        <v>1</v>
      </c>
      <c r="F86" s="48">
        <f>AVERAGE('01.08. Mukwano RBT-Jinja RD 24h'!F86,'03.8.Mukwano-Jinja RD 24h'!F86)</f>
        <v>0</v>
      </c>
      <c r="G86" s="48">
        <f>AVERAGE('01.08. Mukwano RBT-Jinja RD 24h'!G86,'03.8.Mukwano-Jinja RD 24h'!G86)</f>
        <v>0</v>
      </c>
      <c r="H86" s="48">
        <f>AVERAGE('01.08. Mukwano RBT-Jinja RD 24h'!H86,'03.8.Mukwano-Jinja RD 24h'!H86)</f>
        <v>0</v>
      </c>
      <c r="I86" s="48">
        <f>AVERAGE('01.08. Mukwano RBT-Jinja RD 24h'!I86,'03.8.Mukwano-Jinja RD 24h'!I86)</f>
        <v>1</v>
      </c>
      <c r="J86" s="48">
        <f>AVERAGE('01.08. Mukwano RBT-Jinja RD 24h'!J86,'03.8.Mukwano-Jinja RD 24h'!J86)</f>
        <v>0</v>
      </c>
      <c r="K86" s="48">
        <f>AVERAGE('01.08. Mukwano RBT-Jinja RD 24h'!K86,'03.8.Mukwano-Jinja RD 24h'!K86)</f>
        <v>0.5</v>
      </c>
      <c r="L86" s="48">
        <f>AVERAGE('01.08. Mukwano RBT-Jinja RD 24h'!L86,'03.8.Mukwano-Jinja RD 24h'!L86)</f>
        <v>1</v>
      </c>
      <c r="M86" s="48">
        <f>AVERAGE('01.08. Mukwano RBT-Jinja RD 24h'!M86,'03.8.Mukwano-Jinja RD 24h'!M86)</f>
        <v>20.5</v>
      </c>
      <c r="N86" s="48">
        <f>AVERAGE('01.08. Mukwano RBT-Jinja RD 24h'!N86,'03.8.Mukwano-Jinja RD 24h'!N86)</f>
        <v>0</v>
      </c>
      <c r="O86" s="15">
        <f t="shared" si="35"/>
        <v>26.5</v>
      </c>
      <c r="P86" s="15">
        <f t="shared" si="36"/>
        <v>47</v>
      </c>
      <c r="R86" s="8"/>
      <c r="T86"/>
    </row>
    <row r="87" spans="2:20" ht="23.1" customHeight="1" x14ac:dyDescent="0.25">
      <c r="B87" s="22" t="s">
        <v>127</v>
      </c>
      <c r="C87" s="48">
        <f>AVERAGE('01.08. Mukwano RBT-Jinja RD 24h'!C87,'03.8.Mukwano-Jinja RD 24h'!C87)</f>
        <v>20</v>
      </c>
      <c r="D87" s="48">
        <f>AVERAGE('01.08. Mukwano RBT-Jinja RD 24h'!D87,'03.8.Mukwano-Jinja RD 24h'!D87)</f>
        <v>1.5</v>
      </c>
      <c r="E87" s="48">
        <f>AVERAGE('01.08. Mukwano RBT-Jinja RD 24h'!E87,'03.8.Mukwano-Jinja RD 24h'!E87)</f>
        <v>1.5</v>
      </c>
      <c r="F87" s="48">
        <f>AVERAGE('01.08. Mukwano RBT-Jinja RD 24h'!F87,'03.8.Mukwano-Jinja RD 24h'!F87)</f>
        <v>0</v>
      </c>
      <c r="G87" s="48">
        <f>AVERAGE('01.08. Mukwano RBT-Jinja RD 24h'!G87,'03.8.Mukwano-Jinja RD 24h'!G87)</f>
        <v>0</v>
      </c>
      <c r="H87" s="48">
        <f>AVERAGE('01.08. Mukwano RBT-Jinja RD 24h'!H87,'03.8.Mukwano-Jinja RD 24h'!H87)</f>
        <v>0</v>
      </c>
      <c r="I87" s="48">
        <f>AVERAGE('01.08. Mukwano RBT-Jinja RD 24h'!I87,'03.8.Mukwano-Jinja RD 24h'!I87)</f>
        <v>0</v>
      </c>
      <c r="J87" s="48">
        <f>AVERAGE('01.08. Mukwano RBT-Jinja RD 24h'!J87,'03.8.Mukwano-Jinja RD 24h'!J87)</f>
        <v>0.5</v>
      </c>
      <c r="K87" s="48">
        <f>AVERAGE('01.08. Mukwano RBT-Jinja RD 24h'!K87,'03.8.Mukwano-Jinja RD 24h'!K87)</f>
        <v>0.5</v>
      </c>
      <c r="L87" s="48">
        <f>AVERAGE('01.08. Mukwano RBT-Jinja RD 24h'!L87,'03.8.Mukwano-Jinja RD 24h'!L87)</f>
        <v>1</v>
      </c>
      <c r="M87" s="48">
        <f>AVERAGE('01.08. Mukwano RBT-Jinja RD 24h'!M87,'03.8.Mukwano-Jinja RD 24h'!M87)</f>
        <v>20.5</v>
      </c>
      <c r="N87" s="48">
        <f>AVERAGE('01.08. Mukwano RBT-Jinja RD 24h'!N87,'03.8.Mukwano-Jinja RD 24h'!N87)</f>
        <v>0</v>
      </c>
      <c r="O87" s="15">
        <f t="shared" si="35"/>
        <v>25</v>
      </c>
      <c r="P87" s="15">
        <f t="shared" si="36"/>
        <v>45.5</v>
      </c>
      <c r="R87" s="8"/>
      <c r="T87"/>
    </row>
    <row r="88" spans="2:20" ht="23.1" customHeight="1" x14ac:dyDescent="0.25">
      <c r="B88" s="24" t="s">
        <v>128</v>
      </c>
      <c r="C88" s="48">
        <f>AVERAGE('01.08. Mukwano RBT-Jinja RD 24h'!C88,'03.8.Mukwano-Jinja RD 24h'!C88)</f>
        <v>13</v>
      </c>
      <c r="D88" s="48">
        <f>AVERAGE('01.08. Mukwano RBT-Jinja RD 24h'!D88,'03.8.Mukwano-Jinja RD 24h'!D88)</f>
        <v>2</v>
      </c>
      <c r="E88" s="48">
        <f>AVERAGE('01.08. Mukwano RBT-Jinja RD 24h'!E88,'03.8.Mukwano-Jinja RD 24h'!E88)</f>
        <v>1</v>
      </c>
      <c r="F88" s="48">
        <f>AVERAGE('01.08. Mukwano RBT-Jinja RD 24h'!F88,'03.8.Mukwano-Jinja RD 24h'!F88)</f>
        <v>0.5</v>
      </c>
      <c r="G88" s="48">
        <f>AVERAGE('01.08. Mukwano RBT-Jinja RD 24h'!G88,'03.8.Mukwano-Jinja RD 24h'!G88)</f>
        <v>0</v>
      </c>
      <c r="H88" s="48">
        <f>AVERAGE('01.08. Mukwano RBT-Jinja RD 24h'!H88,'03.8.Mukwano-Jinja RD 24h'!H88)</f>
        <v>0</v>
      </c>
      <c r="I88" s="48">
        <f>AVERAGE('01.08. Mukwano RBT-Jinja RD 24h'!I88,'03.8.Mukwano-Jinja RD 24h'!I88)</f>
        <v>0</v>
      </c>
      <c r="J88" s="48">
        <f>AVERAGE('01.08. Mukwano RBT-Jinja RD 24h'!J88,'03.8.Mukwano-Jinja RD 24h'!J88)</f>
        <v>0</v>
      </c>
      <c r="K88" s="48">
        <f>AVERAGE('01.08. Mukwano RBT-Jinja RD 24h'!K88,'03.8.Mukwano-Jinja RD 24h'!K88)</f>
        <v>0</v>
      </c>
      <c r="L88" s="48">
        <f>AVERAGE('01.08. Mukwano RBT-Jinja RD 24h'!L88,'03.8.Mukwano-Jinja RD 24h'!L88)</f>
        <v>0.5</v>
      </c>
      <c r="M88" s="48">
        <f>AVERAGE('01.08. Mukwano RBT-Jinja RD 24h'!M88,'03.8.Mukwano-Jinja RD 24h'!M88)</f>
        <v>8.5</v>
      </c>
      <c r="N88" s="48">
        <f>AVERAGE('01.08. Mukwano RBT-Jinja RD 24h'!N88,'03.8.Mukwano-Jinja RD 24h'!N88)</f>
        <v>0</v>
      </c>
      <c r="O88" s="15">
        <f t="shared" si="35"/>
        <v>17</v>
      </c>
      <c r="P88" s="15">
        <f t="shared" si="36"/>
        <v>25.5</v>
      </c>
      <c r="R88" s="8"/>
      <c r="T88"/>
    </row>
    <row r="89" spans="2:20" ht="23.1" customHeight="1" x14ac:dyDescent="0.25">
      <c r="B89" s="22" t="s">
        <v>129</v>
      </c>
      <c r="C89" s="48">
        <f>AVERAGE('01.08. Mukwano RBT-Jinja RD 24h'!C89,'03.8.Mukwano-Jinja RD 24h'!C89)</f>
        <v>15</v>
      </c>
      <c r="D89" s="48">
        <f>AVERAGE('01.08. Mukwano RBT-Jinja RD 24h'!D89,'03.8.Mukwano-Jinja RD 24h'!D89)</f>
        <v>2</v>
      </c>
      <c r="E89" s="48">
        <f>AVERAGE('01.08. Mukwano RBT-Jinja RD 24h'!E89,'03.8.Mukwano-Jinja RD 24h'!E89)</f>
        <v>2</v>
      </c>
      <c r="F89" s="48">
        <f>AVERAGE('01.08. Mukwano RBT-Jinja RD 24h'!F89,'03.8.Mukwano-Jinja RD 24h'!F89)</f>
        <v>0</v>
      </c>
      <c r="G89" s="48">
        <f>AVERAGE('01.08. Mukwano RBT-Jinja RD 24h'!G89,'03.8.Mukwano-Jinja RD 24h'!G89)</f>
        <v>0</v>
      </c>
      <c r="H89" s="48">
        <f>AVERAGE('01.08. Mukwano RBT-Jinja RD 24h'!H89,'03.8.Mukwano-Jinja RD 24h'!H89)</f>
        <v>0</v>
      </c>
      <c r="I89" s="48">
        <f>AVERAGE('01.08. Mukwano RBT-Jinja RD 24h'!I89,'03.8.Mukwano-Jinja RD 24h'!I89)</f>
        <v>0.5</v>
      </c>
      <c r="J89" s="48">
        <f>AVERAGE('01.08. Mukwano RBT-Jinja RD 24h'!J89,'03.8.Mukwano-Jinja RD 24h'!J89)</f>
        <v>0</v>
      </c>
      <c r="K89" s="48">
        <f>AVERAGE('01.08. Mukwano RBT-Jinja RD 24h'!K89,'03.8.Mukwano-Jinja RD 24h'!K89)</f>
        <v>0</v>
      </c>
      <c r="L89" s="48">
        <f>AVERAGE('01.08. Mukwano RBT-Jinja RD 24h'!L89,'03.8.Mukwano-Jinja RD 24h'!L89)</f>
        <v>1</v>
      </c>
      <c r="M89" s="48">
        <f>AVERAGE('01.08. Mukwano RBT-Jinja RD 24h'!M89,'03.8.Mukwano-Jinja RD 24h'!M89)</f>
        <v>27</v>
      </c>
      <c r="N89" s="48">
        <f>AVERAGE('01.08. Mukwano RBT-Jinja RD 24h'!N89,'03.8.Mukwano-Jinja RD 24h'!N89)</f>
        <v>0</v>
      </c>
      <c r="O89" s="15">
        <f t="shared" si="35"/>
        <v>20.5</v>
      </c>
      <c r="P89" s="15">
        <f t="shared" si="36"/>
        <v>47.5</v>
      </c>
      <c r="R89" s="8"/>
      <c r="T89"/>
    </row>
    <row r="90" spans="2:20" ht="23.1" customHeight="1" x14ac:dyDescent="0.25">
      <c r="B90" s="23" t="s">
        <v>130</v>
      </c>
      <c r="C90" s="48">
        <f>AVERAGE('01.08. Mukwano RBT-Jinja RD 24h'!C90,'03.8.Mukwano-Jinja RD 24h'!C90)</f>
        <v>11.5</v>
      </c>
      <c r="D90" s="48">
        <f>AVERAGE('01.08. Mukwano RBT-Jinja RD 24h'!D90,'03.8.Mukwano-Jinja RD 24h'!D90)</f>
        <v>5</v>
      </c>
      <c r="E90" s="48">
        <f>AVERAGE('01.08. Mukwano RBT-Jinja RD 24h'!E90,'03.8.Mukwano-Jinja RD 24h'!E90)</f>
        <v>0.5</v>
      </c>
      <c r="F90" s="48">
        <f>AVERAGE('01.08. Mukwano RBT-Jinja RD 24h'!F90,'03.8.Mukwano-Jinja RD 24h'!F90)</f>
        <v>0.5</v>
      </c>
      <c r="G90" s="48">
        <f>AVERAGE('01.08. Mukwano RBT-Jinja RD 24h'!G90,'03.8.Mukwano-Jinja RD 24h'!G90)</f>
        <v>0</v>
      </c>
      <c r="H90" s="48">
        <f>AVERAGE('01.08. Mukwano RBT-Jinja RD 24h'!H90,'03.8.Mukwano-Jinja RD 24h'!H90)</f>
        <v>0</v>
      </c>
      <c r="I90" s="48">
        <f>AVERAGE('01.08. Mukwano RBT-Jinja RD 24h'!I90,'03.8.Mukwano-Jinja RD 24h'!I90)</f>
        <v>1</v>
      </c>
      <c r="J90" s="48">
        <f>AVERAGE('01.08. Mukwano RBT-Jinja RD 24h'!J90,'03.8.Mukwano-Jinja RD 24h'!J90)</f>
        <v>0.5</v>
      </c>
      <c r="K90" s="48">
        <f>AVERAGE('01.08. Mukwano RBT-Jinja RD 24h'!K90,'03.8.Mukwano-Jinja RD 24h'!K90)</f>
        <v>0.5</v>
      </c>
      <c r="L90" s="48">
        <f>AVERAGE('01.08. Mukwano RBT-Jinja RD 24h'!L90,'03.8.Mukwano-Jinja RD 24h'!L90)</f>
        <v>2</v>
      </c>
      <c r="M90" s="48">
        <f>AVERAGE('01.08. Mukwano RBT-Jinja RD 24h'!M90,'03.8.Mukwano-Jinja RD 24h'!M90)</f>
        <v>10.5</v>
      </c>
      <c r="N90" s="48">
        <f>AVERAGE('01.08. Mukwano RBT-Jinja RD 24h'!N90,'03.8.Mukwano-Jinja RD 24h'!N90)</f>
        <v>0</v>
      </c>
      <c r="O90" s="15">
        <f t="shared" si="35"/>
        <v>21.5</v>
      </c>
      <c r="P90" s="15">
        <f t="shared" si="36"/>
        <v>32</v>
      </c>
      <c r="R90" s="8"/>
      <c r="T90"/>
    </row>
    <row r="91" spans="2:20" ht="23.1" customHeight="1" x14ac:dyDescent="0.25">
      <c r="B91" s="22" t="s">
        <v>131</v>
      </c>
      <c r="C91" s="48">
        <f>AVERAGE('01.08. Mukwano RBT-Jinja RD 24h'!C91,'03.8.Mukwano-Jinja RD 24h'!C91)</f>
        <v>16</v>
      </c>
      <c r="D91" s="48">
        <f>AVERAGE('01.08. Mukwano RBT-Jinja RD 24h'!D91,'03.8.Mukwano-Jinja RD 24h'!D91)</f>
        <v>1</v>
      </c>
      <c r="E91" s="48">
        <f>AVERAGE('01.08. Mukwano RBT-Jinja RD 24h'!E91,'03.8.Mukwano-Jinja RD 24h'!E91)</f>
        <v>0</v>
      </c>
      <c r="F91" s="48">
        <f>AVERAGE('01.08. Mukwano RBT-Jinja RD 24h'!F91,'03.8.Mukwano-Jinja RD 24h'!F91)</f>
        <v>0.5</v>
      </c>
      <c r="G91" s="48">
        <f>AVERAGE('01.08. Mukwano RBT-Jinja RD 24h'!G91,'03.8.Mukwano-Jinja RD 24h'!G91)</f>
        <v>0</v>
      </c>
      <c r="H91" s="48">
        <f>AVERAGE('01.08. Mukwano RBT-Jinja RD 24h'!H91,'03.8.Mukwano-Jinja RD 24h'!H91)</f>
        <v>0</v>
      </c>
      <c r="I91" s="48">
        <f>AVERAGE('01.08. Mukwano RBT-Jinja RD 24h'!I91,'03.8.Mukwano-Jinja RD 24h'!I91)</f>
        <v>0.5</v>
      </c>
      <c r="J91" s="48">
        <f>AVERAGE('01.08. Mukwano RBT-Jinja RD 24h'!J91,'03.8.Mukwano-Jinja RD 24h'!J91)</f>
        <v>0.5</v>
      </c>
      <c r="K91" s="48">
        <f>AVERAGE('01.08. Mukwano RBT-Jinja RD 24h'!K91,'03.8.Mukwano-Jinja RD 24h'!K91)</f>
        <v>0</v>
      </c>
      <c r="L91" s="48">
        <f>AVERAGE('01.08. Mukwano RBT-Jinja RD 24h'!L91,'03.8.Mukwano-Jinja RD 24h'!L91)</f>
        <v>0</v>
      </c>
      <c r="M91" s="48">
        <f>AVERAGE('01.08. Mukwano RBT-Jinja RD 24h'!M91,'03.8.Mukwano-Jinja RD 24h'!M91)</f>
        <v>18</v>
      </c>
      <c r="N91" s="48">
        <f>AVERAGE('01.08. Mukwano RBT-Jinja RD 24h'!N91,'03.8.Mukwano-Jinja RD 24h'!N91)</f>
        <v>0</v>
      </c>
      <c r="O91" s="15">
        <f t="shared" si="35"/>
        <v>18.5</v>
      </c>
      <c r="P91" s="15">
        <f t="shared" si="36"/>
        <v>36.5</v>
      </c>
      <c r="R91" s="8"/>
      <c r="T91"/>
    </row>
    <row r="92" spans="2:20" ht="23.1" customHeight="1" x14ac:dyDescent="0.25">
      <c r="B92" s="24" t="s">
        <v>132</v>
      </c>
      <c r="C92" s="48">
        <f>AVERAGE('01.08. Mukwano RBT-Jinja RD 24h'!C92,'03.8.Mukwano-Jinja RD 24h'!C92)</f>
        <v>10.5</v>
      </c>
      <c r="D92" s="48">
        <f>AVERAGE('01.08. Mukwano RBT-Jinja RD 24h'!D92,'03.8.Mukwano-Jinja RD 24h'!D92)</f>
        <v>4</v>
      </c>
      <c r="E92" s="48">
        <f>AVERAGE('01.08. Mukwano RBT-Jinja RD 24h'!E92,'03.8.Mukwano-Jinja RD 24h'!E92)</f>
        <v>0.5</v>
      </c>
      <c r="F92" s="48">
        <f>AVERAGE('01.08. Mukwano RBT-Jinja RD 24h'!F92,'03.8.Mukwano-Jinja RD 24h'!F92)</f>
        <v>1.5</v>
      </c>
      <c r="G92" s="48">
        <f>AVERAGE('01.08. Mukwano RBT-Jinja RD 24h'!G92,'03.8.Mukwano-Jinja RD 24h'!G92)</f>
        <v>0</v>
      </c>
      <c r="H92" s="48">
        <f>AVERAGE('01.08. Mukwano RBT-Jinja RD 24h'!H92,'03.8.Mukwano-Jinja RD 24h'!H92)</f>
        <v>0</v>
      </c>
      <c r="I92" s="48">
        <f>AVERAGE('01.08. Mukwano RBT-Jinja RD 24h'!I92,'03.8.Mukwano-Jinja RD 24h'!I92)</f>
        <v>1.5</v>
      </c>
      <c r="J92" s="48">
        <f>AVERAGE('01.08. Mukwano RBT-Jinja RD 24h'!J92,'03.8.Mukwano-Jinja RD 24h'!J92)</f>
        <v>1</v>
      </c>
      <c r="K92" s="48">
        <f>AVERAGE('01.08. Mukwano RBT-Jinja RD 24h'!K92,'03.8.Mukwano-Jinja RD 24h'!K92)</f>
        <v>0.5</v>
      </c>
      <c r="L92" s="48">
        <f>AVERAGE('01.08. Mukwano RBT-Jinja RD 24h'!L92,'03.8.Mukwano-Jinja RD 24h'!L92)</f>
        <v>0.5</v>
      </c>
      <c r="M92" s="48">
        <f>AVERAGE('01.08. Mukwano RBT-Jinja RD 24h'!M92,'03.8.Mukwano-Jinja RD 24h'!M92)</f>
        <v>21.5</v>
      </c>
      <c r="N92" s="48">
        <f>AVERAGE('01.08. Mukwano RBT-Jinja RD 24h'!N92,'03.8.Mukwano-Jinja RD 24h'!N92)</f>
        <v>0</v>
      </c>
      <c r="O92" s="15">
        <f t="shared" si="35"/>
        <v>20</v>
      </c>
      <c r="P92" s="15">
        <f t="shared" si="36"/>
        <v>41.5</v>
      </c>
      <c r="R92" s="8"/>
      <c r="T92"/>
    </row>
    <row r="93" spans="2:20" ht="23.1" customHeight="1" x14ac:dyDescent="0.25">
      <c r="B93" s="22" t="s">
        <v>133</v>
      </c>
      <c r="C93" s="48">
        <f>AVERAGE('01.08. Mukwano RBT-Jinja RD 24h'!C93,'03.8.Mukwano-Jinja RD 24h'!C93)</f>
        <v>17.5</v>
      </c>
      <c r="D93" s="48">
        <f>AVERAGE('01.08. Mukwano RBT-Jinja RD 24h'!D93,'03.8.Mukwano-Jinja RD 24h'!D93)</f>
        <v>1.5</v>
      </c>
      <c r="E93" s="48">
        <f>AVERAGE('01.08. Mukwano RBT-Jinja RD 24h'!E93,'03.8.Mukwano-Jinja RD 24h'!E93)</f>
        <v>0.5</v>
      </c>
      <c r="F93" s="48">
        <f>AVERAGE('01.08. Mukwano RBT-Jinja RD 24h'!F93,'03.8.Mukwano-Jinja RD 24h'!F93)</f>
        <v>1</v>
      </c>
      <c r="G93" s="48">
        <f>AVERAGE('01.08. Mukwano RBT-Jinja RD 24h'!G93,'03.8.Mukwano-Jinja RD 24h'!G93)</f>
        <v>0</v>
      </c>
      <c r="H93" s="48">
        <f>AVERAGE('01.08. Mukwano RBT-Jinja RD 24h'!H93,'03.8.Mukwano-Jinja RD 24h'!H93)</f>
        <v>0</v>
      </c>
      <c r="I93" s="48">
        <f>AVERAGE('01.08. Mukwano RBT-Jinja RD 24h'!I93,'03.8.Mukwano-Jinja RD 24h'!I93)</f>
        <v>1.5</v>
      </c>
      <c r="J93" s="48">
        <f>AVERAGE('01.08. Mukwano RBT-Jinja RD 24h'!J93,'03.8.Mukwano-Jinja RD 24h'!J93)</f>
        <v>0</v>
      </c>
      <c r="K93" s="48">
        <f>AVERAGE('01.08. Mukwano RBT-Jinja RD 24h'!K93,'03.8.Mukwano-Jinja RD 24h'!K93)</f>
        <v>0</v>
      </c>
      <c r="L93" s="48">
        <f>AVERAGE('01.08. Mukwano RBT-Jinja RD 24h'!L93,'03.8.Mukwano-Jinja RD 24h'!L93)</f>
        <v>0.5</v>
      </c>
      <c r="M93" s="48">
        <f>AVERAGE('01.08. Mukwano RBT-Jinja RD 24h'!M93,'03.8.Mukwano-Jinja RD 24h'!M93)</f>
        <v>14.5</v>
      </c>
      <c r="N93" s="48">
        <f>AVERAGE('01.08. Mukwano RBT-Jinja RD 24h'!N93,'03.8.Mukwano-Jinja RD 24h'!N93)</f>
        <v>0</v>
      </c>
      <c r="O93" s="15">
        <f t="shared" si="35"/>
        <v>22.5</v>
      </c>
      <c r="P93" s="15">
        <f t="shared" si="36"/>
        <v>37</v>
      </c>
      <c r="R93" s="8"/>
      <c r="T93"/>
    </row>
    <row r="94" spans="2:20" ht="23.1" customHeight="1" x14ac:dyDescent="0.25">
      <c r="B94" s="23" t="s">
        <v>134</v>
      </c>
      <c r="C94" s="48">
        <f>AVERAGE('01.08. Mukwano RBT-Jinja RD 24h'!C94,'03.8.Mukwano-Jinja RD 24h'!C94)</f>
        <v>15.5</v>
      </c>
      <c r="D94" s="48">
        <f>AVERAGE('01.08. Mukwano RBT-Jinja RD 24h'!D94,'03.8.Mukwano-Jinja RD 24h'!D94)</f>
        <v>2.5</v>
      </c>
      <c r="E94" s="48">
        <f>AVERAGE('01.08. Mukwano RBT-Jinja RD 24h'!E94,'03.8.Mukwano-Jinja RD 24h'!E94)</f>
        <v>0</v>
      </c>
      <c r="F94" s="48">
        <f>AVERAGE('01.08. Mukwano RBT-Jinja RD 24h'!F94,'03.8.Mukwano-Jinja RD 24h'!F94)</f>
        <v>0.5</v>
      </c>
      <c r="G94" s="48">
        <f>AVERAGE('01.08. Mukwano RBT-Jinja RD 24h'!G94,'03.8.Mukwano-Jinja RD 24h'!G94)</f>
        <v>0</v>
      </c>
      <c r="H94" s="48">
        <f>AVERAGE('01.08. Mukwano RBT-Jinja RD 24h'!H94,'03.8.Mukwano-Jinja RD 24h'!H94)</f>
        <v>1</v>
      </c>
      <c r="I94" s="48">
        <f>AVERAGE('01.08. Mukwano RBT-Jinja RD 24h'!I94,'03.8.Mukwano-Jinja RD 24h'!I94)</f>
        <v>0</v>
      </c>
      <c r="J94" s="48">
        <f>AVERAGE('01.08. Mukwano RBT-Jinja RD 24h'!J94,'03.8.Mukwano-Jinja RD 24h'!J94)</f>
        <v>0.5</v>
      </c>
      <c r="K94" s="48">
        <f>AVERAGE('01.08. Mukwano RBT-Jinja RD 24h'!K94,'03.8.Mukwano-Jinja RD 24h'!K94)</f>
        <v>0.5</v>
      </c>
      <c r="L94" s="48">
        <f>AVERAGE('01.08. Mukwano RBT-Jinja RD 24h'!L94,'03.8.Mukwano-Jinja RD 24h'!L94)</f>
        <v>0</v>
      </c>
      <c r="M94" s="48">
        <f>AVERAGE('01.08. Mukwano RBT-Jinja RD 24h'!M94,'03.8.Mukwano-Jinja RD 24h'!M94)</f>
        <v>20.5</v>
      </c>
      <c r="N94" s="48">
        <f>AVERAGE('01.08. Mukwano RBT-Jinja RD 24h'!N94,'03.8.Mukwano-Jinja RD 24h'!N94)</f>
        <v>0</v>
      </c>
      <c r="O94" s="15">
        <f t="shared" si="35"/>
        <v>20.5</v>
      </c>
      <c r="P94" s="15">
        <f t="shared" si="36"/>
        <v>41</v>
      </c>
      <c r="R94" s="8"/>
      <c r="T94"/>
    </row>
    <row r="95" spans="2:20" ht="23.1" customHeight="1" x14ac:dyDescent="0.25">
      <c r="B95" s="22" t="s">
        <v>135</v>
      </c>
      <c r="C95" s="48">
        <f>AVERAGE('01.08. Mukwano RBT-Jinja RD 24h'!C95,'03.8.Mukwano-Jinja RD 24h'!C95)</f>
        <v>7.5</v>
      </c>
      <c r="D95" s="48">
        <f>AVERAGE('01.08. Mukwano RBT-Jinja RD 24h'!D95,'03.8.Mukwano-Jinja RD 24h'!D95)</f>
        <v>0</v>
      </c>
      <c r="E95" s="48">
        <f>AVERAGE('01.08. Mukwano RBT-Jinja RD 24h'!E95,'03.8.Mukwano-Jinja RD 24h'!E95)</f>
        <v>0.5</v>
      </c>
      <c r="F95" s="48">
        <f>AVERAGE('01.08. Mukwano RBT-Jinja RD 24h'!F95,'03.8.Mukwano-Jinja RD 24h'!F95)</f>
        <v>0</v>
      </c>
      <c r="G95" s="48">
        <f>AVERAGE('01.08. Mukwano RBT-Jinja RD 24h'!G95,'03.8.Mukwano-Jinja RD 24h'!G95)</f>
        <v>0</v>
      </c>
      <c r="H95" s="48">
        <f>AVERAGE('01.08. Mukwano RBT-Jinja RD 24h'!H95,'03.8.Mukwano-Jinja RD 24h'!H95)</f>
        <v>0.5</v>
      </c>
      <c r="I95" s="48">
        <f>AVERAGE('01.08. Mukwano RBT-Jinja RD 24h'!I95,'03.8.Mukwano-Jinja RD 24h'!I95)</f>
        <v>0.5</v>
      </c>
      <c r="J95" s="48">
        <f>AVERAGE('01.08. Mukwano RBT-Jinja RD 24h'!J95,'03.8.Mukwano-Jinja RD 24h'!J95)</f>
        <v>0</v>
      </c>
      <c r="K95" s="48">
        <f>AVERAGE('01.08. Mukwano RBT-Jinja RD 24h'!K95,'03.8.Mukwano-Jinja RD 24h'!K95)</f>
        <v>0</v>
      </c>
      <c r="L95" s="48">
        <f>AVERAGE('01.08. Mukwano RBT-Jinja RD 24h'!L95,'03.8.Mukwano-Jinja RD 24h'!L95)</f>
        <v>0</v>
      </c>
      <c r="M95" s="48">
        <f>AVERAGE('01.08. Mukwano RBT-Jinja RD 24h'!M95,'03.8.Mukwano-Jinja RD 24h'!M95)</f>
        <v>30.5</v>
      </c>
      <c r="N95" s="48">
        <f>AVERAGE('01.08. Mukwano RBT-Jinja RD 24h'!N95,'03.8.Mukwano-Jinja RD 24h'!N95)</f>
        <v>0</v>
      </c>
      <c r="O95" s="15">
        <f t="shared" si="35"/>
        <v>9</v>
      </c>
      <c r="P95" s="15">
        <f t="shared" si="36"/>
        <v>39.5</v>
      </c>
      <c r="R95" s="8"/>
      <c r="T95"/>
    </row>
    <row r="96" spans="2:20" ht="23.1" customHeight="1" x14ac:dyDescent="0.25">
      <c r="B96" s="24" t="s">
        <v>136</v>
      </c>
      <c r="C96" s="48">
        <f>AVERAGE('01.08. Mukwano RBT-Jinja RD 24h'!C96,'03.8.Mukwano-Jinja RD 24h'!C96)</f>
        <v>4.5</v>
      </c>
      <c r="D96" s="48">
        <f>AVERAGE('01.08. Mukwano RBT-Jinja RD 24h'!D96,'03.8.Mukwano-Jinja RD 24h'!D96)</f>
        <v>1</v>
      </c>
      <c r="E96" s="48">
        <f>AVERAGE('01.08. Mukwano RBT-Jinja RD 24h'!E96,'03.8.Mukwano-Jinja RD 24h'!E96)</f>
        <v>0</v>
      </c>
      <c r="F96" s="48">
        <f>AVERAGE('01.08. Mukwano RBT-Jinja RD 24h'!F96,'03.8.Mukwano-Jinja RD 24h'!F96)</f>
        <v>1.5</v>
      </c>
      <c r="G96" s="48">
        <f>AVERAGE('01.08. Mukwano RBT-Jinja RD 24h'!G96,'03.8.Mukwano-Jinja RD 24h'!G96)</f>
        <v>0</v>
      </c>
      <c r="H96" s="48">
        <f>AVERAGE('01.08. Mukwano RBT-Jinja RD 24h'!H96,'03.8.Mukwano-Jinja RD 24h'!H96)</f>
        <v>0</v>
      </c>
      <c r="I96" s="48">
        <f>AVERAGE('01.08. Mukwano RBT-Jinja RD 24h'!I96,'03.8.Mukwano-Jinja RD 24h'!I96)</f>
        <v>1.5</v>
      </c>
      <c r="J96" s="48">
        <f>AVERAGE('01.08. Mukwano RBT-Jinja RD 24h'!J96,'03.8.Mukwano-Jinja RD 24h'!J96)</f>
        <v>2</v>
      </c>
      <c r="K96" s="48">
        <f>AVERAGE('01.08. Mukwano RBT-Jinja RD 24h'!K96,'03.8.Mukwano-Jinja RD 24h'!K96)</f>
        <v>0.5</v>
      </c>
      <c r="L96" s="48">
        <f>AVERAGE('01.08. Mukwano RBT-Jinja RD 24h'!L96,'03.8.Mukwano-Jinja RD 24h'!L96)</f>
        <v>0</v>
      </c>
      <c r="M96" s="48">
        <f>AVERAGE('01.08. Mukwano RBT-Jinja RD 24h'!M96,'03.8.Mukwano-Jinja RD 24h'!M96)</f>
        <v>28.5</v>
      </c>
      <c r="N96" s="48">
        <f>AVERAGE('01.08. Mukwano RBT-Jinja RD 24h'!N96,'03.8.Mukwano-Jinja RD 24h'!N96)</f>
        <v>0</v>
      </c>
      <c r="O96" s="15">
        <f t="shared" si="35"/>
        <v>11</v>
      </c>
      <c r="P96" s="15">
        <f t="shared" si="36"/>
        <v>39.5</v>
      </c>
      <c r="R96" s="8"/>
      <c r="T96"/>
    </row>
    <row r="97" spans="2:20" ht="23.1" customHeight="1" x14ac:dyDescent="0.25">
      <c r="B97" s="22" t="s">
        <v>137</v>
      </c>
      <c r="C97" s="48">
        <f>AVERAGE('01.08. Mukwano RBT-Jinja RD 24h'!C97,'03.8.Mukwano-Jinja RD 24h'!C97)</f>
        <v>6</v>
      </c>
      <c r="D97" s="48">
        <f>AVERAGE('01.08. Mukwano RBT-Jinja RD 24h'!D97,'03.8.Mukwano-Jinja RD 24h'!D97)</f>
        <v>1</v>
      </c>
      <c r="E97" s="48">
        <f>AVERAGE('01.08. Mukwano RBT-Jinja RD 24h'!E97,'03.8.Mukwano-Jinja RD 24h'!E97)</f>
        <v>0</v>
      </c>
      <c r="F97" s="48">
        <f>AVERAGE('01.08. Mukwano RBT-Jinja RD 24h'!F97,'03.8.Mukwano-Jinja RD 24h'!F97)</f>
        <v>2</v>
      </c>
      <c r="G97" s="48">
        <f>AVERAGE('01.08. Mukwano RBT-Jinja RD 24h'!G97,'03.8.Mukwano-Jinja RD 24h'!G97)</f>
        <v>0</v>
      </c>
      <c r="H97" s="48">
        <f>AVERAGE('01.08. Mukwano RBT-Jinja RD 24h'!H97,'03.8.Mukwano-Jinja RD 24h'!H97)</f>
        <v>0</v>
      </c>
      <c r="I97" s="48">
        <f>AVERAGE('01.08. Mukwano RBT-Jinja RD 24h'!I97,'03.8.Mukwano-Jinja RD 24h'!I97)</f>
        <v>1</v>
      </c>
      <c r="J97" s="48">
        <f>AVERAGE('01.08. Mukwano RBT-Jinja RD 24h'!J97,'03.8.Mukwano-Jinja RD 24h'!J97)</f>
        <v>0</v>
      </c>
      <c r="K97" s="48">
        <f>AVERAGE('01.08. Mukwano RBT-Jinja RD 24h'!K97,'03.8.Mukwano-Jinja RD 24h'!K97)</f>
        <v>0</v>
      </c>
      <c r="L97" s="48">
        <f>AVERAGE('01.08. Mukwano RBT-Jinja RD 24h'!L97,'03.8.Mukwano-Jinja RD 24h'!L97)</f>
        <v>0</v>
      </c>
      <c r="M97" s="48">
        <f>AVERAGE('01.08. Mukwano RBT-Jinja RD 24h'!M97,'03.8.Mukwano-Jinja RD 24h'!M97)</f>
        <v>32.5</v>
      </c>
      <c r="N97" s="48">
        <f>AVERAGE('01.08. Mukwano RBT-Jinja RD 24h'!N97,'03.8.Mukwano-Jinja RD 24h'!N97)</f>
        <v>0</v>
      </c>
      <c r="O97" s="15">
        <f t="shared" si="35"/>
        <v>10</v>
      </c>
      <c r="P97" s="15">
        <f t="shared" si="36"/>
        <v>42.5</v>
      </c>
      <c r="R97" s="8"/>
      <c r="T97"/>
    </row>
    <row r="98" spans="2:20" ht="23.1" customHeight="1" x14ac:dyDescent="0.25">
      <c r="B98" s="23" t="s">
        <v>138</v>
      </c>
      <c r="C98" s="48">
        <f>AVERAGE('01.08. Mukwano RBT-Jinja RD 24h'!C98,'03.8.Mukwano-Jinja RD 24h'!C98)</f>
        <v>14.5</v>
      </c>
      <c r="D98" s="48">
        <f>AVERAGE('01.08. Mukwano RBT-Jinja RD 24h'!D98,'03.8.Mukwano-Jinja RD 24h'!D98)</f>
        <v>0.5</v>
      </c>
      <c r="E98" s="48">
        <f>AVERAGE('01.08. Mukwano RBT-Jinja RD 24h'!E98,'03.8.Mukwano-Jinja RD 24h'!E98)</f>
        <v>1.5</v>
      </c>
      <c r="F98" s="48">
        <f>AVERAGE('01.08. Mukwano RBT-Jinja RD 24h'!F98,'03.8.Mukwano-Jinja RD 24h'!F98)</f>
        <v>2</v>
      </c>
      <c r="G98" s="48">
        <f>AVERAGE('01.08. Mukwano RBT-Jinja RD 24h'!G98,'03.8.Mukwano-Jinja RD 24h'!G98)</f>
        <v>0</v>
      </c>
      <c r="H98" s="48">
        <f>AVERAGE('01.08. Mukwano RBT-Jinja RD 24h'!H98,'03.8.Mukwano-Jinja RD 24h'!H98)</f>
        <v>0</v>
      </c>
      <c r="I98" s="48">
        <f>AVERAGE('01.08. Mukwano RBT-Jinja RD 24h'!I98,'03.8.Mukwano-Jinja RD 24h'!I98)</f>
        <v>0</v>
      </c>
      <c r="J98" s="48">
        <f>AVERAGE('01.08. Mukwano RBT-Jinja RD 24h'!J98,'03.8.Mukwano-Jinja RD 24h'!J98)</f>
        <v>1.5</v>
      </c>
      <c r="K98" s="48">
        <f>AVERAGE('01.08. Mukwano RBT-Jinja RD 24h'!K98,'03.8.Mukwano-Jinja RD 24h'!K98)</f>
        <v>0</v>
      </c>
      <c r="L98" s="48">
        <f>AVERAGE('01.08. Mukwano RBT-Jinja RD 24h'!L98,'03.8.Mukwano-Jinja RD 24h'!L98)</f>
        <v>0</v>
      </c>
      <c r="M98" s="48">
        <f>AVERAGE('01.08. Mukwano RBT-Jinja RD 24h'!M98,'03.8.Mukwano-Jinja RD 24h'!M98)</f>
        <v>31.5</v>
      </c>
      <c r="N98" s="48">
        <f>AVERAGE('01.08. Mukwano RBT-Jinja RD 24h'!N98,'03.8.Mukwano-Jinja RD 24h'!N98)</f>
        <v>0</v>
      </c>
      <c r="O98" s="15">
        <f t="shared" si="35"/>
        <v>20</v>
      </c>
      <c r="P98" s="15">
        <f t="shared" si="36"/>
        <v>51.5</v>
      </c>
      <c r="R98" s="8"/>
      <c r="T98"/>
    </row>
    <row r="99" spans="2:20" ht="23.1" customHeight="1" x14ac:dyDescent="0.25">
      <c r="B99" s="22" t="s">
        <v>139</v>
      </c>
      <c r="C99" s="48">
        <f>AVERAGE('01.08. Mukwano RBT-Jinja RD 24h'!C99,'03.8.Mukwano-Jinja RD 24h'!C99)</f>
        <v>18</v>
      </c>
      <c r="D99" s="48">
        <f>AVERAGE('01.08. Mukwano RBT-Jinja RD 24h'!D99,'03.8.Mukwano-Jinja RD 24h'!D99)</f>
        <v>1.5</v>
      </c>
      <c r="E99" s="48">
        <f>AVERAGE('01.08. Mukwano RBT-Jinja RD 24h'!E99,'03.8.Mukwano-Jinja RD 24h'!E99)</f>
        <v>1.5</v>
      </c>
      <c r="F99" s="48">
        <f>AVERAGE('01.08. Mukwano RBT-Jinja RD 24h'!F99,'03.8.Mukwano-Jinja RD 24h'!F99)</f>
        <v>1</v>
      </c>
      <c r="G99" s="48">
        <f>AVERAGE('01.08. Mukwano RBT-Jinja RD 24h'!G99,'03.8.Mukwano-Jinja RD 24h'!G99)</f>
        <v>0</v>
      </c>
      <c r="H99" s="48">
        <f>AVERAGE('01.08. Mukwano RBT-Jinja RD 24h'!H99,'03.8.Mukwano-Jinja RD 24h'!H99)</f>
        <v>0</v>
      </c>
      <c r="I99" s="48">
        <f>AVERAGE('01.08. Mukwano RBT-Jinja RD 24h'!I99,'03.8.Mukwano-Jinja RD 24h'!I99)</f>
        <v>0.5</v>
      </c>
      <c r="J99" s="48">
        <f>AVERAGE('01.08. Mukwano RBT-Jinja RD 24h'!J99,'03.8.Mukwano-Jinja RD 24h'!J99)</f>
        <v>2</v>
      </c>
      <c r="K99" s="48">
        <f>AVERAGE('01.08. Mukwano RBT-Jinja RD 24h'!K99,'03.8.Mukwano-Jinja RD 24h'!K99)</f>
        <v>0.5</v>
      </c>
      <c r="L99" s="48">
        <f>AVERAGE('01.08. Mukwano RBT-Jinja RD 24h'!L99,'03.8.Mukwano-Jinja RD 24h'!L99)</f>
        <v>1.5</v>
      </c>
      <c r="M99" s="48">
        <f>AVERAGE('01.08. Mukwano RBT-Jinja RD 24h'!M99,'03.8.Mukwano-Jinja RD 24h'!M99)</f>
        <v>30</v>
      </c>
      <c r="N99" s="48">
        <f>AVERAGE('01.08. Mukwano RBT-Jinja RD 24h'!N99,'03.8.Mukwano-Jinja RD 24h'!N99)</f>
        <v>0</v>
      </c>
      <c r="O99" s="15">
        <f t="shared" si="35"/>
        <v>26.5</v>
      </c>
      <c r="P99" s="15">
        <f t="shared" si="36"/>
        <v>56.5</v>
      </c>
      <c r="R99" s="8"/>
      <c r="T99"/>
    </row>
    <row r="100" spans="2:20" ht="23.1" customHeight="1" x14ac:dyDescent="0.25">
      <c r="B100" s="24" t="s">
        <v>140</v>
      </c>
      <c r="C100" s="48">
        <f>AVERAGE('01.08. Mukwano RBT-Jinja RD 24h'!C100,'03.8.Mukwano-Jinja RD 24h'!C100)</f>
        <v>27.5</v>
      </c>
      <c r="D100" s="48">
        <f>AVERAGE('01.08. Mukwano RBT-Jinja RD 24h'!D100,'03.8.Mukwano-Jinja RD 24h'!D100)</f>
        <v>5</v>
      </c>
      <c r="E100" s="48">
        <f>AVERAGE('01.08. Mukwano RBT-Jinja RD 24h'!E100,'03.8.Mukwano-Jinja RD 24h'!E100)</f>
        <v>0.5</v>
      </c>
      <c r="F100" s="48">
        <f>AVERAGE('01.08. Mukwano RBT-Jinja RD 24h'!F100,'03.8.Mukwano-Jinja RD 24h'!F100)</f>
        <v>2</v>
      </c>
      <c r="G100" s="48">
        <f>AVERAGE('01.08. Mukwano RBT-Jinja RD 24h'!G100,'03.8.Mukwano-Jinja RD 24h'!G100)</f>
        <v>0.5</v>
      </c>
      <c r="H100" s="48">
        <f>AVERAGE('01.08. Mukwano RBT-Jinja RD 24h'!H100,'03.8.Mukwano-Jinja RD 24h'!H100)</f>
        <v>0.5</v>
      </c>
      <c r="I100" s="48">
        <f>AVERAGE('01.08. Mukwano RBT-Jinja RD 24h'!I100,'03.8.Mukwano-Jinja RD 24h'!I100)</f>
        <v>1</v>
      </c>
      <c r="J100" s="48">
        <f>AVERAGE('01.08. Mukwano RBT-Jinja RD 24h'!J100,'03.8.Mukwano-Jinja RD 24h'!J100)</f>
        <v>1.5</v>
      </c>
      <c r="K100" s="48">
        <f>AVERAGE('01.08. Mukwano RBT-Jinja RD 24h'!K100,'03.8.Mukwano-Jinja RD 24h'!K100)</f>
        <v>0.5</v>
      </c>
      <c r="L100" s="48">
        <f>AVERAGE('01.08. Mukwano RBT-Jinja RD 24h'!L100,'03.8.Mukwano-Jinja RD 24h'!L100)</f>
        <v>1</v>
      </c>
      <c r="M100" s="48">
        <f>AVERAGE('01.08. Mukwano RBT-Jinja RD 24h'!M100,'03.8.Mukwano-Jinja RD 24h'!M100)</f>
        <v>49.5</v>
      </c>
      <c r="N100" s="48">
        <f>AVERAGE('01.08. Mukwano RBT-Jinja RD 24h'!N100,'03.8.Mukwano-Jinja RD 24h'!N100)</f>
        <v>0</v>
      </c>
      <c r="O100" s="15">
        <f t="shared" si="35"/>
        <v>40</v>
      </c>
      <c r="P100" s="15">
        <f t="shared" si="36"/>
        <v>89.5</v>
      </c>
      <c r="R100" s="8"/>
      <c r="T100"/>
    </row>
    <row r="101" spans="2:20" ht="23.1" customHeight="1" x14ac:dyDescent="0.25">
      <c r="B101" s="22" t="s">
        <v>141</v>
      </c>
      <c r="C101" s="48">
        <f>AVERAGE('01.08. Mukwano RBT-Jinja RD 24h'!C101,'03.8.Mukwano-Jinja RD 24h'!C101)</f>
        <v>25.5</v>
      </c>
      <c r="D101" s="48">
        <f>AVERAGE('01.08. Mukwano RBT-Jinja RD 24h'!D101,'03.8.Mukwano-Jinja RD 24h'!D101)</f>
        <v>7.5</v>
      </c>
      <c r="E101" s="48">
        <f>AVERAGE('01.08. Mukwano RBT-Jinja RD 24h'!E101,'03.8.Mukwano-Jinja RD 24h'!E101)</f>
        <v>4.5</v>
      </c>
      <c r="F101" s="48">
        <f>AVERAGE('01.08. Mukwano RBT-Jinja RD 24h'!F101,'03.8.Mukwano-Jinja RD 24h'!F101)</f>
        <v>6</v>
      </c>
      <c r="G101" s="48">
        <f>AVERAGE('01.08. Mukwano RBT-Jinja RD 24h'!G101,'03.8.Mukwano-Jinja RD 24h'!G101)</f>
        <v>0.5</v>
      </c>
      <c r="H101" s="48">
        <f>AVERAGE('01.08. Mukwano RBT-Jinja RD 24h'!H101,'03.8.Mukwano-Jinja RD 24h'!H101)</f>
        <v>0</v>
      </c>
      <c r="I101" s="48">
        <f>AVERAGE('01.08. Mukwano RBT-Jinja RD 24h'!I101,'03.8.Mukwano-Jinja RD 24h'!I101)</f>
        <v>2</v>
      </c>
      <c r="J101" s="48">
        <f>AVERAGE('01.08. Mukwano RBT-Jinja RD 24h'!J101,'03.8.Mukwano-Jinja RD 24h'!J101)</f>
        <v>0.5</v>
      </c>
      <c r="K101" s="48">
        <f>AVERAGE('01.08. Mukwano RBT-Jinja RD 24h'!K101,'03.8.Mukwano-Jinja RD 24h'!K101)</f>
        <v>0.5</v>
      </c>
      <c r="L101" s="48">
        <f>AVERAGE('01.08. Mukwano RBT-Jinja RD 24h'!L101,'03.8.Mukwano-Jinja RD 24h'!L101)</f>
        <v>1.5</v>
      </c>
      <c r="M101" s="48">
        <f>AVERAGE('01.08. Mukwano RBT-Jinja RD 24h'!M101,'03.8.Mukwano-Jinja RD 24h'!M101)</f>
        <v>60</v>
      </c>
      <c r="N101" s="48">
        <f>AVERAGE('01.08. Mukwano RBT-Jinja RD 24h'!N101,'03.8.Mukwano-Jinja RD 24h'!N101)</f>
        <v>0</v>
      </c>
      <c r="O101" s="15">
        <f t="shared" si="35"/>
        <v>48.5</v>
      </c>
      <c r="P101" s="15">
        <f t="shared" si="36"/>
        <v>108.5</v>
      </c>
      <c r="R101" s="8"/>
      <c r="T101"/>
    </row>
    <row r="102" spans="2:20" ht="23.1" customHeight="1" x14ac:dyDescent="0.25">
      <c r="B102" s="23" t="s">
        <v>142</v>
      </c>
      <c r="C102" s="48">
        <f>AVERAGE('01.08. Mukwano RBT-Jinja RD 24h'!C102,'03.8.Mukwano-Jinja RD 24h'!C102)</f>
        <v>38</v>
      </c>
      <c r="D102" s="48">
        <f>AVERAGE('01.08. Mukwano RBT-Jinja RD 24h'!D102,'03.8.Mukwano-Jinja RD 24h'!D102)</f>
        <v>13.5</v>
      </c>
      <c r="E102" s="48">
        <f>AVERAGE('01.08. Mukwano RBT-Jinja RD 24h'!E102,'03.8.Mukwano-Jinja RD 24h'!E102)</f>
        <v>3.5</v>
      </c>
      <c r="F102" s="48">
        <f>AVERAGE('01.08. Mukwano RBT-Jinja RD 24h'!F102,'03.8.Mukwano-Jinja RD 24h'!F102)</f>
        <v>6</v>
      </c>
      <c r="G102" s="48">
        <f>AVERAGE('01.08. Mukwano RBT-Jinja RD 24h'!G102,'03.8.Mukwano-Jinja RD 24h'!G102)</f>
        <v>0.5</v>
      </c>
      <c r="H102" s="48">
        <f>AVERAGE('01.08. Mukwano RBT-Jinja RD 24h'!H102,'03.8.Mukwano-Jinja RD 24h'!H102)</f>
        <v>0</v>
      </c>
      <c r="I102" s="48">
        <f>AVERAGE('01.08. Mukwano RBT-Jinja RD 24h'!I102,'03.8.Mukwano-Jinja RD 24h'!I102)</f>
        <v>2.5</v>
      </c>
      <c r="J102" s="48">
        <f>AVERAGE('01.08. Mukwano RBT-Jinja RD 24h'!J102,'03.8.Mukwano-Jinja RD 24h'!J102)</f>
        <v>1</v>
      </c>
      <c r="K102" s="48">
        <f>AVERAGE('01.08. Mukwano RBT-Jinja RD 24h'!K102,'03.8.Mukwano-Jinja RD 24h'!K102)</f>
        <v>1</v>
      </c>
      <c r="L102" s="48">
        <f>AVERAGE('01.08. Mukwano RBT-Jinja RD 24h'!L102,'03.8.Mukwano-Jinja RD 24h'!L102)</f>
        <v>0.5</v>
      </c>
      <c r="M102" s="48">
        <f>AVERAGE('01.08. Mukwano RBT-Jinja RD 24h'!M102,'03.8.Mukwano-Jinja RD 24h'!M102)</f>
        <v>79.5</v>
      </c>
      <c r="N102" s="48">
        <f>AVERAGE('01.08. Mukwano RBT-Jinja RD 24h'!N102,'03.8.Mukwano-Jinja RD 24h'!N102)</f>
        <v>0</v>
      </c>
      <c r="O102" s="15">
        <f t="shared" si="35"/>
        <v>66.5</v>
      </c>
      <c r="P102" s="15">
        <f t="shared" si="36"/>
        <v>146</v>
      </c>
      <c r="R102" s="8"/>
      <c r="T102"/>
    </row>
    <row r="103" spans="2:20" ht="23.1" customHeight="1" x14ac:dyDescent="0.25">
      <c r="B103" s="22" t="s">
        <v>143</v>
      </c>
      <c r="C103" s="48">
        <f>AVERAGE('01.08. Mukwano RBT-Jinja RD 24h'!C103,'03.8.Mukwano-Jinja RD 24h'!C103)</f>
        <v>71.5</v>
      </c>
      <c r="D103" s="48">
        <f>AVERAGE('01.08. Mukwano RBT-Jinja RD 24h'!D103,'03.8.Mukwano-Jinja RD 24h'!D103)</f>
        <v>15</v>
      </c>
      <c r="E103" s="48">
        <f>AVERAGE('01.08. Mukwano RBT-Jinja RD 24h'!E103,'03.8.Mukwano-Jinja RD 24h'!E103)</f>
        <v>10</v>
      </c>
      <c r="F103" s="48">
        <f>AVERAGE('01.08. Mukwano RBT-Jinja RD 24h'!F103,'03.8.Mukwano-Jinja RD 24h'!F103)</f>
        <v>9</v>
      </c>
      <c r="G103" s="48">
        <f>AVERAGE('01.08. Mukwano RBT-Jinja RD 24h'!G103,'03.8.Mukwano-Jinja RD 24h'!G103)</f>
        <v>1.5</v>
      </c>
      <c r="H103" s="48">
        <f>AVERAGE('01.08. Mukwano RBT-Jinja RD 24h'!H103,'03.8.Mukwano-Jinja RD 24h'!H103)</f>
        <v>0</v>
      </c>
      <c r="I103" s="48">
        <f>AVERAGE('01.08. Mukwano RBT-Jinja RD 24h'!I103,'03.8.Mukwano-Jinja RD 24h'!I103)</f>
        <v>3.5</v>
      </c>
      <c r="J103" s="48">
        <f>AVERAGE('01.08. Mukwano RBT-Jinja RD 24h'!J103,'03.8.Mukwano-Jinja RD 24h'!J103)</f>
        <v>1.5</v>
      </c>
      <c r="K103" s="48">
        <f>AVERAGE('01.08. Mukwano RBT-Jinja RD 24h'!K103,'03.8.Mukwano-Jinja RD 24h'!K103)</f>
        <v>1.5</v>
      </c>
      <c r="L103" s="48">
        <f>AVERAGE('01.08. Mukwano RBT-Jinja RD 24h'!L103,'03.8.Mukwano-Jinja RD 24h'!L103)</f>
        <v>0.5</v>
      </c>
      <c r="M103" s="48">
        <f>AVERAGE('01.08. Mukwano RBT-Jinja RD 24h'!M103,'03.8.Mukwano-Jinja RD 24h'!M103)</f>
        <v>123</v>
      </c>
      <c r="N103" s="48">
        <f>AVERAGE('01.08. Mukwano RBT-Jinja RD 24h'!N103,'03.8.Mukwano-Jinja RD 24h'!N103)</f>
        <v>0</v>
      </c>
      <c r="O103" s="15">
        <f t="shared" si="35"/>
        <v>114</v>
      </c>
      <c r="P103" s="15">
        <f t="shared" si="36"/>
        <v>237</v>
      </c>
      <c r="R103" s="8"/>
      <c r="T103"/>
    </row>
    <row r="104" spans="2:20" ht="23.1" customHeight="1" x14ac:dyDescent="0.25">
      <c r="B104" s="24" t="s">
        <v>144</v>
      </c>
      <c r="C104" s="48">
        <f>AVERAGE('01.08. Mukwano RBT-Jinja RD 24h'!C104,'03.8.Mukwano-Jinja RD 24h'!C104)</f>
        <v>81.5</v>
      </c>
      <c r="D104" s="48">
        <f>AVERAGE('01.08. Mukwano RBT-Jinja RD 24h'!D104,'03.8.Mukwano-Jinja RD 24h'!D104)</f>
        <v>18.5</v>
      </c>
      <c r="E104" s="48">
        <f>AVERAGE('01.08. Mukwano RBT-Jinja RD 24h'!E104,'03.8.Mukwano-Jinja RD 24h'!E104)</f>
        <v>11.5</v>
      </c>
      <c r="F104" s="48">
        <f>AVERAGE('01.08. Mukwano RBT-Jinja RD 24h'!F104,'03.8.Mukwano-Jinja RD 24h'!F104)</f>
        <v>11.5</v>
      </c>
      <c r="G104" s="48">
        <f>AVERAGE('01.08. Mukwano RBT-Jinja RD 24h'!G104,'03.8.Mukwano-Jinja RD 24h'!G104)</f>
        <v>2.5</v>
      </c>
      <c r="H104" s="48">
        <f>AVERAGE('01.08. Mukwano RBT-Jinja RD 24h'!H104,'03.8.Mukwano-Jinja RD 24h'!H104)</f>
        <v>0</v>
      </c>
      <c r="I104" s="48">
        <f>AVERAGE('01.08. Mukwano RBT-Jinja RD 24h'!I104,'03.8.Mukwano-Jinja RD 24h'!I104)</f>
        <v>1</v>
      </c>
      <c r="J104" s="48">
        <f>AVERAGE('01.08. Mukwano RBT-Jinja RD 24h'!J104,'03.8.Mukwano-Jinja RD 24h'!J104)</f>
        <v>2.5</v>
      </c>
      <c r="K104" s="48">
        <f>AVERAGE('01.08. Mukwano RBT-Jinja RD 24h'!K104,'03.8.Mukwano-Jinja RD 24h'!K104)</f>
        <v>1</v>
      </c>
      <c r="L104" s="48">
        <f>AVERAGE('01.08. Mukwano RBT-Jinja RD 24h'!L104,'03.8.Mukwano-Jinja RD 24h'!L104)</f>
        <v>2.5</v>
      </c>
      <c r="M104" s="48">
        <f>AVERAGE('01.08. Mukwano RBT-Jinja RD 24h'!M104,'03.8.Mukwano-Jinja RD 24h'!M104)</f>
        <v>167.5</v>
      </c>
      <c r="N104" s="48">
        <f>AVERAGE('01.08. Mukwano RBT-Jinja RD 24h'!N104,'03.8.Mukwano-Jinja RD 24h'!N104)</f>
        <v>0</v>
      </c>
      <c r="O104" s="15">
        <f t="shared" si="35"/>
        <v>132.5</v>
      </c>
      <c r="P104" s="15">
        <f t="shared" si="36"/>
        <v>300</v>
      </c>
      <c r="R104" s="8"/>
      <c r="T104"/>
    </row>
    <row r="105" spans="2:20" ht="23.1" customHeight="1" x14ac:dyDescent="0.25">
      <c r="B105" s="22" t="s">
        <v>145</v>
      </c>
      <c r="C105" s="48">
        <f>AVERAGE('01.08. Mukwano RBT-Jinja RD 24h'!C105,'03.8.Mukwano-Jinja RD 24h'!C105)</f>
        <v>84.5</v>
      </c>
      <c r="D105" s="48">
        <f>AVERAGE('01.08. Mukwano RBT-Jinja RD 24h'!D105,'03.8.Mukwano-Jinja RD 24h'!D105)</f>
        <v>41</v>
      </c>
      <c r="E105" s="48">
        <f>AVERAGE('01.08. Mukwano RBT-Jinja RD 24h'!E105,'03.8.Mukwano-Jinja RD 24h'!E105)</f>
        <v>6.5</v>
      </c>
      <c r="F105" s="48">
        <f>AVERAGE('01.08. Mukwano RBT-Jinja RD 24h'!F105,'03.8.Mukwano-Jinja RD 24h'!F105)</f>
        <v>12</v>
      </c>
      <c r="G105" s="48">
        <f>AVERAGE('01.08. Mukwano RBT-Jinja RD 24h'!G105,'03.8.Mukwano-Jinja RD 24h'!G105)</f>
        <v>0.5</v>
      </c>
      <c r="H105" s="48">
        <f>AVERAGE('01.08. Mukwano RBT-Jinja RD 24h'!H105,'03.8.Mukwano-Jinja RD 24h'!H105)</f>
        <v>0</v>
      </c>
      <c r="I105" s="48">
        <f>AVERAGE('01.08. Mukwano RBT-Jinja RD 24h'!I105,'03.8.Mukwano-Jinja RD 24h'!I105)</f>
        <v>2</v>
      </c>
      <c r="J105" s="48">
        <f>AVERAGE('01.08. Mukwano RBT-Jinja RD 24h'!J105,'03.8.Mukwano-Jinja RD 24h'!J105)</f>
        <v>0</v>
      </c>
      <c r="K105" s="48">
        <f>AVERAGE('01.08. Mukwano RBT-Jinja RD 24h'!K105,'03.8.Mukwano-Jinja RD 24h'!K105)</f>
        <v>0.5</v>
      </c>
      <c r="L105" s="48">
        <f>AVERAGE('01.08. Mukwano RBT-Jinja RD 24h'!L105,'03.8.Mukwano-Jinja RD 24h'!L105)</f>
        <v>1</v>
      </c>
      <c r="M105" s="48">
        <f>AVERAGE('01.08. Mukwano RBT-Jinja RD 24h'!M105,'03.8.Mukwano-Jinja RD 24h'!M105)</f>
        <v>216.5</v>
      </c>
      <c r="N105" s="48">
        <f>AVERAGE('01.08. Mukwano RBT-Jinja RD 24h'!N105,'03.8.Mukwano-Jinja RD 24h'!N105)</f>
        <v>0</v>
      </c>
      <c r="O105" s="15">
        <f t="shared" si="35"/>
        <v>148</v>
      </c>
      <c r="P105" s="15">
        <f t="shared" si="36"/>
        <v>364.5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9432.7142857142826</v>
      </c>
      <c r="D106" s="16">
        <f t="shared" ref="D106:P106" si="37">SUM(D10:D105)</f>
        <v>2001.5714285714282</v>
      </c>
      <c r="E106" s="16">
        <f t="shared" si="37"/>
        <v>934.92857142857122</v>
      </c>
      <c r="F106" s="16">
        <f t="shared" si="37"/>
        <v>723.71428571428567</v>
      </c>
      <c r="G106" s="16">
        <f t="shared" si="37"/>
        <v>52.071428571428569</v>
      </c>
      <c r="H106" s="16">
        <f t="shared" si="37"/>
        <v>9.5000000000000018</v>
      </c>
      <c r="I106" s="16">
        <f t="shared" si="37"/>
        <v>374.85714285714278</v>
      </c>
      <c r="J106" s="16">
        <f t="shared" si="37"/>
        <v>219.78571428571425</v>
      </c>
      <c r="K106" s="16">
        <f t="shared" si="37"/>
        <v>72.857142857142875</v>
      </c>
      <c r="L106" s="16">
        <f t="shared" si="37"/>
        <v>150.35714285714283</v>
      </c>
      <c r="M106" s="16">
        <f t="shared" si="37"/>
        <v>21727.428571428572</v>
      </c>
      <c r="N106" s="16">
        <f t="shared" si="37"/>
        <v>3.9999999999999991</v>
      </c>
      <c r="O106" s="16">
        <f t="shared" si="37"/>
        <v>13976.357142857147</v>
      </c>
      <c r="P106" s="16">
        <f t="shared" si="37"/>
        <v>35703.78571428571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0.26419367293984425</v>
      </c>
      <c r="D107" s="42">
        <f t="shared" si="38"/>
        <v>5.6060481781643801E-2</v>
      </c>
      <c r="E107" s="42">
        <f t="shared" si="38"/>
        <v>2.6185698595387042E-2</v>
      </c>
      <c r="F107" s="42">
        <f t="shared" si="38"/>
        <v>2.0269959368054209E-2</v>
      </c>
      <c r="G107" s="42">
        <f t="shared" si="38"/>
        <v>1.4584287780607501E-3</v>
      </c>
      <c r="H107" s="42">
        <f t="shared" si="38"/>
        <v>2.6607822699873773E-4</v>
      </c>
      <c r="I107" s="42">
        <f t="shared" si="38"/>
        <v>1.049908673149906E-2</v>
      </c>
      <c r="J107" s="42">
        <f t="shared" si="38"/>
        <v>6.1558098080835765E-3</v>
      </c>
      <c r="K107" s="42">
        <f t="shared" si="38"/>
        <v>2.0405999363812969E-3</v>
      </c>
      <c r="L107" s="42">
        <f t="shared" si="38"/>
        <v>4.2112381040025765E-3</v>
      </c>
      <c r="M107" s="42">
        <f t="shared" si="38"/>
        <v>0.60854691279236106</v>
      </c>
      <c r="N107" s="42">
        <f t="shared" si="38"/>
        <v>1.1203293768367899E-4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0.67490506927515304</v>
      </c>
      <c r="D108" s="43">
        <f t="shared" ref="D108:N108" si="39">D106/$O$106</f>
        <v>0.14321123938896804</v>
      </c>
      <c r="E108" s="43">
        <f t="shared" si="39"/>
        <v>6.6893580485411552E-2</v>
      </c>
      <c r="F108" s="43">
        <f t="shared" si="39"/>
        <v>5.1781324583863544E-2</v>
      </c>
      <c r="G108" s="43">
        <f t="shared" si="39"/>
        <v>3.7256795915551252E-3</v>
      </c>
      <c r="H108" s="43">
        <f t="shared" si="39"/>
        <v>6.7971932191609292E-4</v>
      </c>
      <c r="I108" s="43">
        <f t="shared" si="39"/>
        <v>2.6820804521922214E-2</v>
      </c>
      <c r="J108" s="43">
        <f t="shared" si="39"/>
        <v>1.5725536492750505E-2</v>
      </c>
      <c r="K108" s="43">
        <f t="shared" si="39"/>
        <v>5.2128850252211641E-3</v>
      </c>
      <c r="L108" s="43">
        <f t="shared" si="39"/>
        <v>1.0757963704010338E-2</v>
      </c>
      <c r="M108" s="43"/>
      <c r="N108" s="43">
        <f t="shared" si="39"/>
        <v>2.8619760922782847E-4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H55" zoomScale="60" workbookViewId="0">
      <selection activeCell="Y78" sqref="Y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'04.08.Jinja RD-Mukwano'!C3:G3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70" t="s">
        <v>163</v>
      </c>
      <c r="E5" s="71"/>
      <c r="F5" s="40" t="s">
        <v>1</v>
      </c>
      <c r="G5" s="58" t="e">
        <f>'04.08.Jinja RD-Mukwano'!G5:H5</f>
        <v>#REF!</v>
      </c>
      <c r="H5" s="59"/>
      <c r="I5" s="14"/>
      <c r="J5" s="2" t="s">
        <v>5</v>
      </c>
      <c r="K5" s="58" t="str">
        <f>'04.08.Jinja RD-Mukwano'!K5:L5</f>
        <v>Nsiimire Joan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'04.08.Jinja RD-Mukwano'!D6:E6</f>
        <v>Jinja RD</v>
      </c>
      <c r="E6" s="59"/>
      <c r="F6" s="2" t="s">
        <v>2</v>
      </c>
      <c r="G6" s="58" t="str">
        <f>'04.08.Jinja RD-Mukwano'!G6:H6</f>
        <v>Mukwano</v>
      </c>
      <c r="H6" s="59"/>
      <c r="J6" s="2" t="s">
        <v>21</v>
      </c>
      <c r="K6" s="58" t="e">
        <f>'04.08.Jinja RD-Mukwano'!K6:L6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AVERAGE('29.07.Jinja RD-Mukwano'!C10,'30.7.Jinja RD-Mukwano RD'!C10,'31.07.Jinja RD-Mukwano RD'!C10,'1.08.Jinja RD-Mukwano RBT 24h'!C10,'02.08.Mukwano-Jinja'!C10,'03.8.Jinja-Mukwano 24h'!C10,'04.08.Jinja RD-Mukwano'!C10)</f>
        <v>100.71428571428571</v>
      </c>
      <c r="D10" s="48">
        <f>AVERAGE('29.07.Jinja RD-Mukwano'!D10,'30.7.Jinja RD-Mukwano RD'!D10,'31.07.Jinja RD-Mukwano RD'!D10,'1.08.Jinja RD-Mukwano RBT 24h'!D10,'02.08.Mukwano-Jinja'!D10,'03.8.Jinja-Mukwano 24h'!D10,'04.08.Jinja RD-Mukwano'!D10)</f>
        <v>19.714285714285715</v>
      </c>
      <c r="E10" s="48">
        <f>AVERAGE('29.07.Jinja RD-Mukwano'!E10,'30.7.Jinja RD-Mukwano RD'!E10,'31.07.Jinja RD-Mukwano RD'!E10,'1.08.Jinja RD-Mukwano RBT 24h'!E10,'02.08.Mukwano-Jinja'!E10,'03.8.Jinja-Mukwano 24h'!E10,'04.08.Jinja RD-Mukwano'!E10)</f>
        <v>5</v>
      </c>
      <c r="F10" s="48">
        <f>AVERAGE('29.07.Jinja RD-Mukwano'!F10,'30.7.Jinja RD-Mukwano RD'!F10,'31.07.Jinja RD-Mukwano RD'!F10,'1.08.Jinja RD-Mukwano RBT 24h'!F10,'02.08.Mukwano-Jinja'!F10,'03.8.Jinja-Mukwano 24h'!F10,'04.08.Jinja RD-Mukwano'!F10)</f>
        <v>5.1428571428571432</v>
      </c>
      <c r="G10" s="48">
        <f>AVERAGE('29.07.Jinja RD-Mukwano'!G10,'30.7.Jinja RD-Mukwano RD'!G10,'31.07.Jinja RD-Mukwano RD'!G10,'1.08.Jinja RD-Mukwano RBT 24h'!G10,'02.08.Mukwano-Jinja'!G10,'03.8.Jinja-Mukwano 24h'!G10,'04.08.Jinja RD-Mukwano'!G10)</f>
        <v>0.2857142857142857</v>
      </c>
      <c r="H10" s="48">
        <f>AVERAGE('29.07.Jinja RD-Mukwano'!H10,'30.7.Jinja RD-Mukwano RD'!H10,'31.07.Jinja RD-Mukwano RD'!H10,'1.08.Jinja RD-Mukwano RBT 24h'!H10,'02.08.Mukwano-Jinja'!H10,'03.8.Jinja-Mukwano 24h'!H10,'04.08.Jinja RD-Mukwano'!H10)</f>
        <v>0.14285714285714285</v>
      </c>
      <c r="I10" s="48">
        <f>AVERAGE('29.07.Jinja RD-Mukwano'!I10,'30.7.Jinja RD-Mukwano RD'!I10,'31.07.Jinja RD-Mukwano RD'!I10,'1.08.Jinja RD-Mukwano RBT 24h'!I10,'02.08.Mukwano-Jinja'!I10,'03.8.Jinja-Mukwano 24h'!I10,'04.08.Jinja RD-Mukwano'!I10)</f>
        <v>2.2857142857142856</v>
      </c>
      <c r="J10" s="48">
        <f>AVERAGE('29.07.Jinja RD-Mukwano'!J10,'30.7.Jinja RD-Mukwano RD'!J10,'31.07.Jinja RD-Mukwano RD'!J10,'1.08.Jinja RD-Mukwano RBT 24h'!J10,'02.08.Mukwano-Jinja'!J10,'03.8.Jinja-Mukwano 24h'!J10,'04.08.Jinja RD-Mukwano'!J10)</f>
        <v>0.42857142857142855</v>
      </c>
      <c r="K10" s="48">
        <f>AVERAGE('29.07.Jinja RD-Mukwano'!K10,'30.7.Jinja RD-Mukwano RD'!K10,'31.07.Jinja RD-Mukwano RD'!K10,'1.08.Jinja RD-Mukwano RBT 24h'!K10,'02.08.Mukwano-Jinja'!K10,'03.8.Jinja-Mukwano 24h'!K10,'04.08.Jinja RD-Mukwano'!K10)</f>
        <v>0.42857142857142855</v>
      </c>
      <c r="L10" s="48">
        <f>AVERAGE('29.07.Jinja RD-Mukwano'!L10,'30.7.Jinja RD-Mukwano RD'!L10,'31.07.Jinja RD-Mukwano RD'!L10,'1.08.Jinja RD-Mukwano RBT 24h'!L10,'02.08.Mukwano-Jinja'!L10,'03.8.Jinja-Mukwano 24h'!L10,'04.08.Jinja RD-Mukwano'!L10)</f>
        <v>0.5714285714285714</v>
      </c>
      <c r="M10" s="48">
        <f>AVERAGE('29.07.Jinja RD-Mukwano'!M10,'30.7.Jinja RD-Mukwano RD'!M10,'31.07.Jinja RD-Mukwano RD'!M10,'1.08.Jinja RD-Mukwano RBT 24h'!M10,'02.08.Mukwano-Jinja'!M10,'03.8.Jinja-Mukwano 24h'!M10,'04.08.Jinja RD-Mukwano'!M10)</f>
        <v>467.71428571428572</v>
      </c>
      <c r="N10" s="48">
        <f>AVERAGE('29.07.Jinja RD-Mukwano'!N10,'30.7.Jinja RD-Mukwano RD'!N10,'31.07.Jinja RD-Mukwano RD'!N10,'1.08.Jinja RD-Mukwano RBT 24h'!N10,'02.08.Mukwano-Jinja'!N10,'03.8.Jinja-Mukwano 24h'!N10,'04.08.Jinja RD-Mukwano'!N10)</f>
        <v>0</v>
      </c>
      <c r="O10" s="15">
        <f t="shared" ref="O10:O73" si="0">SUM(C10:L10,N10)</f>
        <v>134.71428571428567</v>
      </c>
      <c r="P10" s="15">
        <f t="shared" ref="P10:P73" si="1">SUM(C10:N10)</f>
        <v>602.42857142857133</v>
      </c>
      <c r="R10" s="1" t="s">
        <v>6</v>
      </c>
      <c r="S10" s="17">
        <f t="shared" ref="S10:AF10" si="2">SUM(C10:C13)</f>
        <v>485.57142857142856</v>
      </c>
      <c r="T10" s="17">
        <f t="shared" si="2"/>
        <v>81</v>
      </c>
      <c r="U10" s="17">
        <f t="shared" si="2"/>
        <v>30.714285714285715</v>
      </c>
      <c r="V10" s="17">
        <f t="shared" si="2"/>
        <v>20</v>
      </c>
      <c r="W10" s="17">
        <f t="shared" si="2"/>
        <v>2</v>
      </c>
      <c r="X10" s="17">
        <f t="shared" si="2"/>
        <v>0.8571428571428571</v>
      </c>
      <c r="Y10" s="17">
        <f t="shared" si="2"/>
        <v>9.7142857142857135</v>
      </c>
      <c r="Z10" s="17">
        <f t="shared" si="2"/>
        <v>7.4285714285714288</v>
      </c>
      <c r="AA10" s="17">
        <f t="shared" si="2"/>
        <v>3.2857142857142856</v>
      </c>
      <c r="AB10" s="17">
        <f t="shared" si="2"/>
        <v>4.1428571428571432</v>
      </c>
      <c r="AC10" s="17">
        <f t="shared" si="2"/>
        <v>1892.7142857142856</v>
      </c>
      <c r="AD10" s="17">
        <f t="shared" si="2"/>
        <v>0</v>
      </c>
      <c r="AE10" s="30">
        <f t="shared" si="2"/>
        <v>644.71428571428567</v>
      </c>
      <c r="AF10" s="30">
        <f t="shared" si="2"/>
        <v>2537.4285714285716</v>
      </c>
    </row>
    <row r="11" spans="2:32" s="6" customFormat="1" ht="23.1" customHeight="1" x14ac:dyDescent="0.25">
      <c r="B11" s="22" t="s">
        <v>38</v>
      </c>
      <c r="C11" s="48">
        <f>AVERAGE('29.07.Jinja RD-Mukwano'!C11,'30.7.Jinja RD-Mukwano RD'!C11,'31.07.Jinja RD-Mukwano RD'!C11,'1.08.Jinja RD-Mukwano RBT 24h'!C11,'02.08.Mukwano-Jinja'!C11,'03.8.Jinja-Mukwano 24h'!C11,'04.08.Jinja RD-Mukwano'!C11)</f>
        <v>110.71428571428571</v>
      </c>
      <c r="D11" s="48">
        <f>AVERAGE('29.07.Jinja RD-Mukwano'!D11,'30.7.Jinja RD-Mukwano RD'!D11,'31.07.Jinja RD-Mukwano RD'!D11,'1.08.Jinja RD-Mukwano RBT 24h'!D11,'02.08.Mukwano-Jinja'!D11,'03.8.Jinja-Mukwano 24h'!D11,'04.08.Jinja RD-Mukwano'!D11)</f>
        <v>21</v>
      </c>
      <c r="E11" s="48">
        <f>AVERAGE('29.07.Jinja RD-Mukwano'!E11,'30.7.Jinja RD-Mukwano RD'!E11,'31.07.Jinja RD-Mukwano RD'!E11,'1.08.Jinja RD-Mukwano RBT 24h'!E11,'02.08.Mukwano-Jinja'!E11,'03.8.Jinja-Mukwano 24h'!E11,'04.08.Jinja RD-Mukwano'!E11)</f>
        <v>7.7142857142857144</v>
      </c>
      <c r="F11" s="48">
        <f>AVERAGE('29.07.Jinja RD-Mukwano'!F11,'30.7.Jinja RD-Mukwano RD'!F11,'31.07.Jinja RD-Mukwano RD'!F11,'1.08.Jinja RD-Mukwano RBT 24h'!F11,'02.08.Mukwano-Jinja'!F11,'03.8.Jinja-Mukwano 24h'!F11,'04.08.Jinja RD-Mukwano'!F11)</f>
        <v>5</v>
      </c>
      <c r="G11" s="48">
        <f>AVERAGE('29.07.Jinja RD-Mukwano'!G11,'30.7.Jinja RD-Mukwano RD'!G11,'31.07.Jinja RD-Mukwano RD'!G11,'1.08.Jinja RD-Mukwano RBT 24h'!G11,'02.08.Mukwano-Jinja'!G11,'03.8.Jinja-Mukwano 24h'!G11,'04.08.Jinja RD-Mukwano'!G11)</f>
        <v>0.42857142857142855</v>
      </c>
      <c r="H11" s="48">
        <f>AVERAGE('29.07.Jinja RD-Mukwano'!H11,'30.7.Jinja RD-Mukwano RD'!H11,'31.07.Jinja RD-Mukwano RD'!H11,'1.08.Jinja RD-Mukwano RBT 24h'!H11,'02.08.Mukwano-Jinja'!H11,'03.8.Jinja-Mukwano 24h'!H11,'04.08.Jinja RD-Mukwano'!H11)</f>
        <v>0</v>
      </c>
      <c r="I11" s="48">
        <f>AVERAGE('29.07.Jinja RD-Mukwano'!I11,'30.7.Jinja RD-Mukwano RD'!I11,'31.07.Jinja RD-Mukwano RD'!I11,'1.08.Jinja RD-Mukwano RBT 24h'!I11,'02.08.Mukwano-Jinja'!I11,'03.8.Jinja-Mukwano 24h'!I11,'04.08.Jinja RD-Mukwano'!I11)</f>
        <v>1.8571428571428572</v>
      </c>
      <c r="J11" s="48">
        <f>AVERAGE('29.07.Jinja RD-Mukwano'!J11,'30.7.Jinja RD-Mukwano RD'!J11,'31.07.Jinja RD-Mukwano RD'!J11,'1.08.Jinja RD-Mukwano RBT 24h'!J11,'02.08.Mukwano-Jinja'!J11,'03.8.Jinja-Mukwano 24h'!J11,'04.08.Jinja RD-Mukwano'!J11)</f>
        <v>1.4285714285714286</v>
      </c>
      <c r="K11" s="48">
        <f>AVERAGE('29.07.Jinja RD-Mukwano'!K11,'30.7.Jinja RD-Mukwano RD'!K11,'31.07.Jinja RD-Mukwano RD'!K11,'1.08.Jinja RD-Mukwano RBT 24h'!K11,'02.08.Mukwano-Jinja'!K11,'03.8.Jinja-Mukwano 24h'!K11,'04.08.Jinja RD-Mukwano'!K11)</f>
        <v>0.5714285714285714</v>
      </c>
      <c r="L11" s="48">
        <f>AVERAGE('29.07.Jinja RD-Mukwano'!L11,'30.7.Jinja RD-Mukwano RD'!L11,'31.07.Jinja RD-Mukwano RD'!L11,'1.08.Jinja RD-Mukwano RBT 24h'!L11,'02.08.Mukwano-Jinja'!L11,'03.8.Jinja-Mukwano 24h'!L11,'04.08.Jinja RD-Mukwano'!L11)</f>
        <v>1.2857142857142858</v>
      </c>
      <c r="M11" s="48">
        <f>AVERAGE('29.07.Jinja RD-Mukwano'!M11,'30.7.Jinja RD-Mukwano RD'!M11,'31.07.Jinja RD-Mukwano RD'!M11,'1.08.Jinja RD-Mukwano RBT 24h'!M11,'02.08.Mukwano-Jinja'!M11,'03.8.Jinja-Mukwano 24h'!M11,'04.08.Jinja RD-Mukwano'!M11)</f>
        <v>447.85714285714283</v>
      </c>
      <c r="N11" s="48">
        <f>AVERAGE('29.07.Jinja RD-Mukwano'!N11,'30.7.Jinja RD-Mukwano RD'!N11,'31.07.Jinja RD-Mukwano RD'!N11,'1.08.Jinja RD-Mukwano RBT 24h'!N11,'02.08.Mukwano-Jinja'!N11,'03.8.Jinja-Mukwano 24h'!N11,'04.08.Jinja RD-Mukwano'!N11)</f>
        <v>0</v>
      </c>
      <c r="O11" s="15">
        <f t="shared" si="0"/>
        <v>150</v>
      </c>
      <c r="P11" s="15">
        <f t="shared" si="1"/>
        <v>597.85714285714289</v>
      </c>
      <c r="R11" s="1" t="s">
        <v>7</v>
      </c>
      <c r="S11" s="17">
        <f t="shared" ref="S11:AF11" si="3">SUM(C14:C17)</f>
        <v>537.71428571428578</v>
      </c>
      <c r="T11" s="17">
        <f t="shared" si="3"/>
        <v>85.857142857142861</v>
      </c>
      <c r="U11" s="17">
        <f t="shared" si="3"/>
        <v>32.142857142857139</v>
      </c>
      <c r="V11" s="17">
        <f t="shared" si="3"/>
        <v>19.571428571428569</v>
      </c>
      <c r="W11" s="17">
        <f t="shared" si="3"/>
        <v>2.1428571428571428</v>
      </c>
      <c r="X11" s="17">
        <f t="shared" si="3"/>
        <v>0.71428571428571419</v>
      </c>
      <c r="Y11" s="17">
        <f t="shared" si="3"/>
        <v>19</v>
      </c>
      <c r="Z11" s="17">
        <f t="shared" si="3"/>
        <v>11.714285714285715</v>
      </c>
      <c r="AA11" s="17">
        <f t="shared" si="3"/>
        <v>8</v>
      </c>
      <c r="AB11" s="17">
        <f t="shared" si="3"/>
        <v>5</v>
      </c>
      <c r="AC11" s="17">
        <f t="shared" si="3"/>
        <v>1803.8571428571427</v>
      </c>
      <c r="AD11" s="17">
        <f t="shared" si="3"/>
        <v>0</v>
      </c>
      <c r="AE11" s="30">
        <f t="shared" si="3"/>
        <v>721.857142857143</v>
      </c>
      <c r="AF11" s="30">
        <f t="shared" si="3"/>
        <v>2525.7142857142858</v>
      </c>
    </row>
    <row r="12" spans="2:32" ht="23.1" customHeight="1" x14ac:dyDescent="0.25">
      <c r="B12" s="22" t="s">
        <v>39</v>
      </c>
      <c r="C12" s="48">
        <f>AVERAGE('29.07.Jinja RD-Mukwano'!C12,'30.7.Jinja RD-Mukwano RD'!C12,'31.07.Jinja RD-Mukwano RD'!C12,'1.08.Jinja RD-Mukwano RBT 24h'!C12,'02.08.Mukwano-Jinja'!C12,'03.8.Jinja-Mukwano 24h'!C12,'04.08.Jinja RD-Mukwano'!C12)</f>
        <v>129</v>
      </c>
      <c r="D12" s="48">
        <f>AVERAGE('29.07.Jinja RD-Mukwano'!D12,'30.7.Jinja RD-Mukwano RD'!D12,'31.07.Jinja RD-Mukwano RD'!D12,'1.08.Jinja RD-Mukwano RBT 24h'!D12,'02.08.Mukwano-Jinja'!D12,'03.8.Jinja-Mukwano 24h'!D12,'04.08.Jinja RD-Mukwano'!D12)</f>
        <v>18.428571428571427</v>
      </c>
      <c r="E12" s="48">
        <f>AVERAGE('29.07.Jinja RD-Mukwano'!E12,'30.7.Jinja RD-Mukwano RD'!E12,'31.07.Jinja RD-Mukwano RD'!E12,'1.08.Jinja RD-Mukwano RBT 24h'!E12,'02.08.Mukwano-Jinja'!E12,'03.8.Jinja-Mukwano 24h'!E12,'04.08.Jinja RD-Mukwano'!E12)</f>
        <v>7.7142857142857144</v>
      </c>
      <c r="F12" s="48">
        <f>AVERAGE('29.07.Jinja RD-Mukwano'!F12,'30.7.Jinja RD-Mukwano RD'!F12,'31.07.Jinja RD-Mukwano RD'!F12,'1.08.Jinja RD-Mukwano RBT 24h'!F12,'02.08.Mukwano-Jinja'!F12,'03.8.Jinja-Mukwano 24h'!F12,'04.08.Jinja RD-Mukwano'!F12)</f>
        <v>4.7142857142857144</v>
      </c>
      <c r="G12" s="48">
        <f>AVERAGE('29.07.Jinja RD-Mukwano'!G12,'30.7.Jinja RD-Mukwano RD'!G12,'31.07.Jinja RD-Mukwano RD'!G12,'1.08.Jinja RD-Mukwano RBT 24h'!G12,'02.08.Mukwano-Jinja'!G12,'03.8.Jinja-Mukwano 24h'!G12,'04.08.Jinja RD-Mukwano'!G12)</f>
        <v>0.2857142857142857</v>
      </c>
      <c r="H12" s="48">
        <f>AVERAGE('29.07.Jinja RD-Mukwano'!H12,'30.7.Jinja RD-Mukwano RD'!H12,'31.07.Jinja RD-Mukwano RD'!H12,'1.08.Jinja RD-Mukwano RBT 24h'!H12,'02.08.Mukwano-Jinja'!H12,'03.8.Jinja-Mukwano 24h'!H12,'04.08.Jinja RD-Mukwano'!H12)</f>
        <v>0.14285714285714285</v>
      </c>
      <c r="I12" s="48">
        <f>AVERAGE('29.07.Jinja RD-Mukwano'!I12,'30.7.Jinja RD-Mukwano RD'!I12,'31.07.Jinja RD-Mukwano RD'!I12,'1.08.Jinja RD-Mukwano RBT 24h'!I12,'02.08.Mukwano-Jinja'!I12,'03.8.Jinja-Mukwano 24h'!I12,'04.08.Jinja RD-Mukwano'!I12)</f>
        <v>2.7142857142857144</v>
      </c>
      <c r="J12" s="48">
        <f>AVERAGE('29.07.Jinja RD-Mukwano'!J12,'30.7.Jinja RD-Mukwano RD'!J12,'31.07.Jinja RD-Mukwano RD'!J12,'1.08.Jinja RD-Mukwano RBT 24h'!J12,'02.08.Mukwano-Jinja'!J12,'03.8.Jinja-Mukwano 24h'!J12,'04.08.Jinja RD-Mukwano'!J12)</f>
        <v>2.7142857142857144</v>
      </c>
      <c r="K12" s="48">
        <f>AVERAGE('29.07.Jinja RD-Mukwano'!K12,'30.7.Jinja RD-Mukwano RD'!K12,'31.07.Jinja RD-Mukwano RD'!K12,'1.08.Jinja RD-Mukwano RBT 24h'!K12,'02.08.Mukwano-Jinja'!K12,'03.8.Jinja-Mukwano 24h'!K12,'04.08.Jinja RD-Mukwano'!K12)</f>
        <v>1.1428571428571428</v>
      </c>
      <c r="L12" s="48">
        <f>AVERAGE('29.07.Jinja RD-Mukwano'!L12,'30.7.Jinja RD-Mukwano RD'!L12,'31.07.Jinja RD-Mukwano RD'!L12,'1.08.Jinja RD-Mukwano RBT 24h'!L12,'02.08.Mukwano-Jinja'!L12,'03.8.Jinja-Mukwano 24h'!L12,'04.08.Jinja RD-Mukwano'!L12)</f>
        <v>1</v>
      </c>
      <c r="M12" s="48">
        <f>AVERAGE('29.07.Jinja RD-Mukwano'!M12,'30.7.Jinja RD-Mukwano RD'!M12,'31.07.Jinja RD-Mukwano RD'!M12,'1.08.Jinja RD-Mukwano RBT 24h'!M12,'02.08.Mukwano-Jinja'!M12,'03.8.Jinja-Mukwano 24h'!M12,'04.08.Jinja RD-Mukwano'!M12)</f>
        <v>485</v>
      </c>
      <c r="N12" s="48">
        <f>AVERAGE('29.07.Jinja RD-Mukwano'!N12,'30.7.Jinja RD-Mukwano RD'!N12,'31.07.Jinja RD-Mukwano RD'!N12,'1.08.Jinja RD-Mukwano RBT 24h'!N12,'02.08.Mukwano-Jinja'!N12,'03.8.Jinja-Mukwano 24h'!N12,'04.08.Jinja RD-Mukwano'!N12)</f>
        <v>0</v>
      </c>
      <c r="O12" s="15">
        <f t="shared" si="0"/>
        <v>167.85714285714286</v>
      </c>
      <c r="P12" s="15">
        <f t="shared" si="1"/>
        <v>652.85714285714289</v>
      </c>
      <c r="R12" s="1" t="s">
        <v>8</v>
      </c>
      <c r="S12" s="17">
        <f t="shared" ref="S12:AF12" si="4">SUM(C18:C21)</f>
        <v>519.28571428571422</v>
      </c>
      <c r="T12" s="17">
        <f t="shared" si="4"/>
        <v>95.571428571428584</v>
      </c>
      <c r="U12" s="17">
        <f t="shared" si="4"/>
        <v>42.571428571428569</v>
      </c>
      <c r="V12" s="17">
        <f t="shared" si="4"/>
        <v>22.142857142857142</v>
      </c>
      <c r="W12" s="17">
        <f t="shared" si="4"/>
        <v>3.1428571428571428</v>
      </c>
      <c r="X12" s="17">
        <f t="shared" si="4"/>
        <v>0.71428571428571419</v>
      </c>
      <c r="Y12" s="17">
        <f t="shared" si="4"/>
        <v>29.571428571428573</v>
      </c>
      <c r="Z12" s="17">
        <f t="shared" si="4"/>
        <v>17.428571428571431</v>
      </c>
      <c r="AA12" s="17">
        <f t="shared" si="4"/>
        <v>5.5714285714285712</v>
      </c>
      <c r="AB12" s="17">
        <f t="shared" si="4"/>
        <v>5.5714285714285712</v>
      </c>
      <c r="AC12" s="17">
        <f t="shared" si="4"/>
        <v>1926.2857142857142</v>
      </c>
      <c r="AD12" s="17">
        <f t="shared" si="4"/>
        <v>0.5714285714285714</v>
      </c>
      <c r="AE12" s="30">
        <f t="shared" si="4"/>
        <v>742.14285714285711</v>
      </c>
      <c r="AF12" s="30">
        <f t="shared" si="4"/>
        <v>2668.4285714285716</v>
      </c>
    </row>
    <row r="13" spans="2:32" ht="23.1" customHeight="1" x14ac:dyDescent="0.25">
      <c r="B13" s="22" t="s">
        <v>40</v>
      </c>
      <c r="C13" s="48">
        <f>AVERAGE('29.07.Jinja RD-Mukwano'!C13,'30.7.Jinja RD-Mukwano RD'!C13,'31.07.Jinja RD-Mukwano RD'!C13,'1.08.Jinja RD-Mukwano RBT 24h'!C13,'02.08.Mukwano-Jinja'!C13,'03.8.Jinja-Mukwano 24h'!C13,'04.08.Jinja RD-Mukwano'!C13)</f>
        <v>145.14285714285714</v>
      </c>
      <c r="D13" s="48">
        <f>AVERAGE('29.07.Jinja RD-Mukwano'!D13,'30.7.Jinja RD-Mukwano RD'!D13,'31.07.Jinja RD-Mukwano RD'!D13,'1.08.Jinja RD-Mukwano RBT 24h'!D13,'02.08.Mukwano-Jinja'!D13,'03.8.Jinja-Mukwano 24h'!D13,'04.08.Jinja RD-Mukwano'!D13)</f>
        <v>21.857142857142858</v>
      </c>
      <c r="E13" s="48">
        <f>AVERAGE('29.07.Jinja RD-Mukwano'!E13,'30.7.Jinja RD-Mukwano RD'!E13,'31.07.Jinja RD-Mukwano RD'!E13,'1.08.Jinja RD-Mukwano RBT 24h'!E13,'02.08.Mukwano-Jinja'!E13,'03.8.Jinja-Mukwano 24h'!E13,'04.08.Jinja RD-Mukwano'!E13)</f>
        <v>10.285714285714286</v>
      </c>
      <c r="F13" s="48">
        <f>AVERAGE('29.07.Jinja RD-Mukwano'!F13,'30.7.Jinja RD-Mukwano RD'!F13,'31.07.Jinja RD-Mukwano RD'!F13,'1.08.Jinja RD-Mukwano RBT 24h'!F13,'02.08.Mukwano-Jinja'!F13,'03.8.Jinja-Mukwano 24h'!F13,'04.08.Jinja RD-Mukwano'!F13)</f>
        <v>5.1428571428571432</v>
      </c>
      <c r="G13" s="48">
        <f>AVERAGE('29.07.Jinja RD-Mukwano'!G13,'30.7.Jinja RD-Mukwano RD'!G13,'31.07.Jinja RD-Mukwano RD'!G13,'1.08.Jinja RD-Mukwano RBT 24h'!G13,'02.08.Mukwano-Jinja'!G13,'03.8.Jinja-Mukwano 24h'!G13,'04.08.Jinja RD-Mukwano'!G13)</f>
        <v>1</v>
      </c>
      <c r="H13" s="48">
        <f>AVERAGE('29.07.Jinja RD-Mukwano'!H13,'30.7.Jinja RD-Mukwano RD'!H13,'31.07.Jinja RD-Mukwano RD'!H13,'1.08.Jinja RD-Mukwano RBT 24h'!H13,'02.08.Mukwano-Jinja'!H13,'03.8.Jinja-Mukwano 24h'!H13,'04.08.Jinja RD-Mukwano'!H13)</f>
        <v>0.5714285714285714</v>
      </c>
      <c r="I13" s="48">
        <f>AVERAGE('29.07.Jinja RD-Mukwano'!I13,'30.7.Jinja RD-Mukwano RD'!I13,'31.07.Jinja RD-Mukwano RD'!I13,'1.08.Jinja RD-Mukwano RBT 24h'!I13,'02.08.Mukwano-Jinja'!I13,'03.8.Jinja-Mukwano 24h'!I13,'04.08.Jinja RD-Mukwano'!I13)</f>
        <v>2.8571428571428572</v>
      </c>
      <c r="J13" s="48">
        <f>AVERAGE('29.07.Jinja RD-Mukwano'!J13,'30.7.Jinja RD-Mukwano RD'!J13,'31.07.Jinja RD-Mukwano RD'!J13,'1.08.Jinja RD-Mukwano RBT 24h'!J13,'02.08.Mukwano-Jinja'!J13,'03.8.Jinja-Mukwano 24h'!J13,'04.08.Jinja RD-Mukwano'!J13)</f>
        <v>2.8571428571428572</v>
      </c>
      <c r="K13" s="48">
        <f>AVERAGE('29.07.Jinja RD-Mukwano'!K13,'30.7.Jinja RD-Mukwano RD'!K13,'31.07.Jinja RD-Mukwano RD'!K13,'1.08.Jinja RD-Mukwano RBT 24h'!K13,'02.08.Mukwano-Jinja'!K13,'03.8.Jinja-Mukwano 24h'!K13,'04.08.Jinja RD-Mukwano'!K13)</f>
        <v>1.1428571428571428</v>
      </c>
      <c r="L13" s="48">
        <f>AVERAGE('29.07.Jinja RD-Mukwano'!L13,'30.7.Jinja RD-Mukwano RD'!L13,'31.07.Jinja RD-Mukwano RD'!L13,'1.08.Jinja RD-Mukwano RBT 24h'!L13,'02.08.Mukwano-Jinja'!L13,'03.8.Jinja-Mukwano 24h'!L13,'04.08.Jinja RD-Mukwano'!L13)</f>
        <v>1.2857142857142858</v>
      </c>
      <c r="M13" s="48">
        <f>AVERAGE('29.07.Jinja RD-Mukwano'!M13,'30.7.Jinja RD-Mukwano RD'!M13,'31.07.Jinja RD-Mukwano RD'!M13,'1.08.Jinja RD-Mukwano RBT 24h'!M13,'02.08.Mukwano-Jinja'!M13,'03.8.Jinja-Mukwano 24h'!M13,'04.08.Jinja RD-Mukwano'!M13)</f>
        <v>492.14285714285717</v>
      </c>
      <c r="N13" s="48">
        <f>AVERAGE('29.07.Jinja RD-Mukwano'!N13,'30.7.Jinja RD-Mukwano RD'!N13,'31.07.Jinja RD-Mukwano RD'!N13,'1.08.Jinja RD-Mukwano RBT 24h'!N13,'02.08.Mukwano-Jinja'!N13,'03.8.Jinja-Mukwano 24h'!N13,'04.08.Jinja RD-Mukwano'!N13)</f>
        <v>0</v>
      </c>
      <c r="O13" s="15">
        <f t="shared" si="0"/>
        <v>192.14285714285714</v>
      </c>
      <c r="P13" s="15">
        <f t="shared" si="1"/>
        <v>684.28571428571433</v>
      </c>
      <c r="R13" s="1" t="s">
        <v>9</v>
      </c>
      <c r="S13" s="17">
        <f t="shared" ref="S13:AF13" si="5">SUM(C22:C25)</f>
        <v>537.57142857142856</v>
      </c>
      <c r="T13" s="17">
        <f t="shared" si="5"/>
        <v>107</v>
      </c>
      <c r="U13" s="17">
        <f t="shared" si="5"/>
        <v>49.142857142857139</v>
      </c>
      <c r="V13" s="17">
        <f t="shared" si="5"/>
        <v>22.571428571428569</v>
      </c>
      <c r="W13" s="17">
        <f t="shared" si="5"/>
        <v>2.8571428571428572</v>
      </c>
      <c r="X13" s="17">
        <f t="shared" si="5"/>
        <v>0.2857142857142857</v>
      </c>
      <c r="Y13" s="17">
        <f t="shared" si="5"/>
        <v>35.428571428571431</v>
      </c>
      <c r="Z13" s="17">
        <f t="shared" si="5"/>
        <v>17.285714285714288</v>
      </c>
      <c r="AA13" s="17">
        <f t="shared" si="5"/>
        <v>10.285714285714285</v>
      </c>
      <c r="AB13" s="17">
        <f t="shared" si="5"/>
        <v>10</v>
      </c>
      <c r="AC13" s="17">
        <f t="shared" si="5"/>
        <v>1981.1428571428571</v>
      </c>
      <c r="AD13" s="17">
        <f t="shared" si="5"/>
        <v>0.99999999999999989</v>
      </c>
      <c r="AE13" s="30">
        <f t="shared" si="5"/>
        <v>793.42857142857144</v>
      </c>
      <c r="AF13" s="30">
        <f t="shared" si="5"/>
        <v>2774.5714285714284</v>
      </c>
    </row>
    <row r="14" spans="2:32" ht="23.1" customHeight="1" x14ac:dyDescent="0.25">
      <c r="B14" s="22" t="s">
        <v>41</v>
      </c>
      <c r="C14" s="48">
        <f>AVERAGE('29.07.Jinja RD-Mukwano'!C14,'30.7.Jinja RD-Mukwano RD'!C14,'31.07.Jinja RD-Mukwano RD'!C14,'1.08.Jinja RD-Mukwano RBT 24h'!C14,'02.08.Mukwano-Jinja'!C14,'03.8.Jinja-Mukwano 24h'!C14,'04.08.Jinja RD-Mukwano'!C14)</f>
        <v>117.71428571428571</v>
      </c>
      <c r="D14" s="48">
        <f>AVERAGE('29.07.Jinja RD-Mukwano'!D14,'30.7.Jinja RD-Mukwano RD'!D14,'31.07.Jinja RD-Mukwano RD'!D14,'1.08.Jinja RD-Mukwano RBT 24h'!D14,'02.08.Mukwano-Jinja'!D14,'03.8.Jinja-Mukwano 24h'!D14,'04.08.Jinja RD-Mukwano'!D14)</f>
        <v>16.714285714285715</v>
      </c>
      <c r="E14" s="48">
        <f>AVERAGE('29.07.Jinja RD-Mukwano'!E14,'30.7.Jinja RD-Mukwano RD'!E14,'31.07.Jinja RD-Mukwano RD'!E14,'1.08.Jinja RD-Mukwano RBT 24h'!E14,'02.08.Mukwano-Jinja'!E14,'03.8.Jinja-Mukwano 24h'!E14,'04.08.Jinja RD-Mukwano'!E14)</f>
        <v>6.1428571428571432</v>
      </c>
      <c r="F14" s="48">
        <f>AVERAGE('29.07.Jinja RD-Mukwano'!F14,'30.7.Jinja RD-Mukwano RD'!F14,'31.07.Jinja RD-Mukwano RD'!F14,'1.08.Jinja RD-Mukwano RBT 24h'!F14,'02.08.Mukwano-Jinja'!F14,'03.8.Jinja-Mukwano 24h'!F14,'04.08.Jinja RD-Mukwano'!F14)</f>
        <v>5.1428571428571432</v>
      </c>
      <c r="G14" s="48">
        <f>AVERAGE('29.07.Jinja RD-Mukwano'!G14,'30.7.Jinja RD-Mukwano RD'!G14,'31.07.Jinja RD-Mukwano RD'!G14,'1.08.Jinja RD-Mukwano RBT 24h'!G14,'02.08.Mukwano-Jinja'!G14,'03.8.Jinja-Mukwano 24h'!G14,'04.08.Jinja RD-Mukwano'!G14)</f>
        <v>0.14285714285714285</v>
      </c>
      <c r="H14" s="48">
        <f>AVERAGE('29.07.Jinja RD-Mukwano'!H14,'30.7.Jinja RD-Mukwano RD'!H14,'31.07.Jinja RD-Mukwano RD'!H14,'1.08.Jinja RD-Mukwano RBT 24h'!H14,'02.08.Mukwano-Jinja'!H14,'03.8.Jinja-Mukwano 24h'!H14,'04.08.Jinja RD-Mukwano'!H14)</f>
        <v>0.14285714285714285</v>
      </c>
      <c r="I14" s="48">
        <f>AVERAGE('29.07.Jinja RD-Mukwano'!I14,'30.7.Jinja RD-Mukwano RD'!I14,'31.07.Jinja RD-Mukwano RD'!I14,'1.08.Jinja RD-Mukwano RBT 24h'!I14,'02.08.Mukwano-Jinja'!I14,'03.8.Jinja-Mukwano 24h'!I14,'04.08.Jinja RD-Mukwano'!I14)</f>
        <v>4.2857142857142856</v>
      </c>
      <c r="J14" s="48">
        <f>AVERAGE('29.07.Jinja RD-Mukwano'!J14,'30.7.Jinja RD-Mukwano RD'!J14,'31.07.Jinja RD-Mukwano RD'!J14,'1.08.Jinja RD-Mukwano RBT 24h'!J14,'02.08.Mukwano-Jinja'!J14,'03.8.Jinja-Mukwano 24h'!J14,'04.08.Jinja RD-Mukwano'!J14)</f>
        <v>1</v>
      </c>
      <c r="K14" s="48">
        <f>AVERAGE('29.07.Jinja RD-Mukwano'!K14,'30.7.Jinja RD-Mukwano RD'!K14,'31.07.Jinja RD-Mukwano RD'!K14,'1.08.Jinja RD-Mukwano RBT 24h'!K14,'02.08.Mukwano-Jinja'!K14,'03.8.Jinja-Mukwano 24h'!K14,'04.08.Jinja RD-Mukwano'!K14)</f>
        <v>1.2857142857142858</v>
      </c>
      <c r="L14" s="48">
        <f>AVERAGE('29.07.Jinja RD-Mukwano'!L14,'30.7.Jinja RD-Mukwano RD'!L14,'31.07.Jinja RD-Mukwano RD'!L14,'1.08.Jinja RD-Mukwano RBT 24h'!L14,'02.08.Mukwano-Jinja'!L14,'03.8.Jinja-Mukwano 24h'!L14,'04.08.Jinja RD-Mukwano'!L14)</f>
        <v>1.1428571428571428</v>
      </c>
      <c r="M14" s="48">
        <f>AVERAGE('29.07.Jinja RD-Mukwano'!M14,'30.7.Jinja RD-Mukwano RD'!M14,'31.07.Jinja RD-Mukwano RD'!M14,'1.08.Jinja RD-Mukwano RBT 24h'!M14,'02.08.Mukwano-Jinja'!M14,'03.8.Jinja-Mukwano 24h'!M14,'04.08.Jinja RD-Mukwano'!M14)</f>
        <v>393.71428571428572</v>
      </c>
      <c r="N14" s="48">
        <f>AVERAGE('29.07.Jinja RD-Mukwano'!N14,'30.7.Jinja RD-Mukwano RD'!N14,'31.07.Jinja RD-Mukwano RD'!N14,'1.08.Jinja RD-Mukwano RBT 24h'!N14,'02.08.Mukwano-Jinja'!N14,'03.8.Jinja-Mukwano 24h'!N14,'04.08.Jinja RD-Mukwano'!N14)</f>
        <v>0</v>
      </c>
      <c r="O14" s="15">
        <f t="shared" si="0"/>
        <v>153.71428571428567</v>
      </c>
      <c r="P14" s="15">
        <f t="shared" si="1"/>
        <v>547.42857142857133</v>
      </c>
      <c r="R14" s="1" t="s">
        <v>10</v>
      </c>
      <c r="S14" s="17">
        <f t="shared" ref="S14:AF14" si="6">SUM(C26:C29)</f>
        <v>590.14285714285711</v>
      </c>
      <c r="T14" s="17">
        <f t="shared" si="6"/>
        <v>103.14285714285714</v>
      </c>
      <c r="U14" s="17">
        <f t="shared" si="6"/>
        <v>43.142857142857146</v>
      </c>
      <c r="V14" s="17">
        <f t="shared" si="6"/>
        <v>24.142857142857146</v>
      </c>
      <c r="W14" s="17">
        <f t="shared" si="6"/>
        <v>5.1428571428571432</v>
      </c>
      <c r="X14" s="17">
        <f t="shared" si="6"/>
        <v>0.14285714285714285</v>
      </c>
      <c r="Y14" s="17">
        <f t="shared" si="6"/>
        <v>36.857142857142854</v>
      </c>
      <c r="Z14" s="17">
        <f t="shared" si="6"/>
        <v>18.571428571428573</v>
      </c>
      <c r="AA14" s="17">
        <f t="shared" si="6"/>
        <v>6.9999999999999991</v>
      </c>
      <c r="AB14" s="17">
        <f t="shared" si="6"/>
        <v>11</v>
      </c>
      <c r="AC14" s="17">
        <f t="shared" si="6"/>
        <v>1940</v>
      </c>
      <c r="AD14" s="17">
        <f t="shared" si="6"/>
        <v>0.71428571428571419</v>
      </c>
      <c r="AE14" s="30">
        <f t="shared" si="6"/>
        <v>839.99999999999989</v>
      </c>
      <c r="AF14" s="30">
        <f t="shared" si="6"/>
        <v>2780</v>
      </c>
    </row>
    <row r="15" spans="2:32" ht="23.1" customHeight="1" x14ac:dyDescent="0.25">
      <c r="B15" s="22" t="s">
        <v>42</v>
      </c>
      <c r="C15" s="48">
        <f>AVERAGE('29.07.Jinja RD-Mukwano'!C15,'30.7.Jinja RD-Mukwano RD'!C15,'31.07.Jinja RD-Mukwano RD'!C15,'1.08.Jinja RD-Mukwano RBT 24h'!C15,'02.08.Mukwano-Jinja'!C15,'03.8.Jinja-Mukwano 24h'!C15,'04.08.Jinja RD-Mukwano'!C15)</f>
        <v>135.71428571428572</v>
      </c>
      <c r="D15" s="48">
        <f>AVERAGE('29.07.Jinja RD-Mukwano'!D15,'30.7.Jinja RD-Mukwano RD'!D15,'31.07.Jinja RD-Mukwano RD'!D15,'1.08.Jinja RD-Mukwano RBT 24h'!D15,'02.08.Mukwano-Jinja'!D15,'03.8.Jinja-Mukwano 24h'!D15,'04.08.Jinja RD-Mukwano'!D15)</f>
        <v>19.285714285714285</v>
      </c>
      <c r="E15" s="48">
        <f>AVERAGE('29.07.Jinja RD-Mukwano'!E15,'30.7.Jinja RD-Mukwano RD'!E15,'31.07.Jinja RD-Mukwano RD'!E15,'1.08.Jinja RD-Mukwano RBT 24h'!E15,'02.08.Mukwano-Jinja'!E15,'03.8.Jinja-Mukwano 24h'!E15,'04.08.Jinja RD-Mukwano'!E15)</f>
        <v>8.1428571428571423</v>
      </c>
      <c r="F15" s="48">
        <f>AVERAGE('29.07.Jinja RD-Mukwano'!F15,'30.7.Jinja RD-Mukwano RD'!F15,'31.07.Jinja RD-Mukwano RD'!F15,'1.08.Jinja RD-Mukwano RBT 24h'!F15,'02.08.Mukwano-Jinja'!F15,'03.8.Jinja-Mukwano 24h'!F15,'04.08.Jinja RD-Mukwano'!F15)</f>
        <v>5.5714285714285712</v>
      </c>
      <c r="G15" s="48">
        <f>AVERAGE('29.07.Jinja RD-Mukwano'!G15,'30.7.Jinja RD-Mukwano RD'!G15,'31.07.Jinja RD-Mukwano RD'!G15,'1.08.Jinja RD-Mukwano RBT 24h'!G15,'02.08.Mukwano-Jinja'!G15,'03.8.Jinja-Mukwano 24h'!G15,'04.08.Jinja RD-Mukwano'!G15)</f>
        <v>0.5714285714285714</v>
      </c>
      <c r="H15" s="48">
        <f>AVERAGE('29.07.Jinja RD-Mukwano'!H15,'30.7.Jinja RD-Mukwano RD'!H15,'31.07.Jinja RD-Mukwano RD'!H15,'1.08.Jinja RD-Mukwano RBT 24h'!H15,'02.08.Mukwano-Jinja'!H15,'03.8.Jinja-Mukwano 24h'!H15,'04.08.Jinja RD-Mukwano'!H15)</f>
        <v>0</v>
      </c>
      <c r="I15" s="48">
        <f>AVERAGE('29.07.Jinja RD-Mukwano'!I15,'30.7.Jinja RD-Mukwano RD'!I15,'31.07.Jinja RD-Mukwano RD'!I15,'1.08.Jinja RD-Mukwano RBT 24h'!I15,'02.08.Mukwano-Jinja'!I15,'03.8.Jinja-Mukwano 24h'!I15,'04.08.Jinja RD-Mukwano'!I15)</f>
        <v>3.7142857142857144</v>
      </c>
      <c r="J15" s="48">
        <f>AVERAGE('29.07.Jinja RD-Mukwano'!J15,'30.7.Jinja RD-Mukwano RD'!J15,'31.07.Jinja RD-Mukwano RD'!J15,'1.08.Jinja RD-Mukwano RBT 24h'!J15,'02.08.Mukwano-Jinja'!J15,'03.8.Jinja-Mukwano 24h'!J15,'04.08.Jinja RD-Mukwano'!J15)</f>
        <v>2.8571428571428572</v>
      </c>
      <c r="K15" s="48">
        <f>AVERAGE('29.07.Jinja RD-Mukwano'!K15,'30.7.Jinja RD-Mukwano RD'!K15,'31.07.Jinja RD-Mukwano RD'!K15,'1.08.Jinja RD-Mukwano RBT 24h'!K15,'02.08.Mukwano-Jinja'!K15,'03.8.Jinja-Mukwano 24h'!K15,'04.08.Jinja RD-Mukwano'!K15)</f>
        <v>1.7142857142857142</v>
      </c>
      <c r="L15" s="48">
        <f>AVERAGE('29.07.Jinja RD-Mukwano'!L15,'30.7.Jinja RD-Mukwano RD'!L15,'31.07.Jinja RD-Mukwano RD'!L15,'1.08.Jinja RD-Mukwano RBT 24h'!L15,'02.08.Mukwano-Jinja'!L15,'03.8.Jinja-Mukwano 24h'!L15,'04.08.Jinja RD-Mukwano'!L15)</f>
        <v>1.2857142857142858</v>
      </c>
      <c r="M15" s="48">
        <f>AVERAGE('29.07.Jinja RD-Mukwano'!M15,'30.7.Jinja RD-Mukwano RD'!M15,'31.07.Jinja RD-Mukwano RD'!M15,'1.08.Jinja RD-Mukwano RBT 24h'!M15,'02.08.Mukwano-Jinja'!M15,'03.8.Jinja-Mukwano 24h'!M15,'04.08.Jinja RD-Mukwano'!M15)</f>
        <v>443.14285714285717</v>
      </c>
      <c r="N15" s="48">
        <f>AVERAGE('29.07.Jinja RD-Mukwano'!N15,'30.7.Jinja RD-Mukwano RD'!N15,'31.07.Jinja RD-Mukwano RD'!N15,'1.08.Jinja RD-Mukwano RBT 24h'!N15,'02.08.Mukwano-Jinja'!N15,'03.8.Jinja-Mukwano 24h'!N15,'04.08.Jinja RD-Mukwano'!N15)</f>
        <v>0</v>
      </c>
      <c r="O15" s="15">
        <f t="shared" si="0"/>
        <v>178.85714285714289</v>
      </c>
      <c r="P15" s="15">
        <f t="shared" si="1"/>
        <v>622</v>
      </c>
      <c r="R15" s="1" t="s">
        <v>11</v>
      </c>
      <c r="S15" s="17">
        <f t="shared" ref="S15:AF15" si="7">SUM(C30:C33)</f>
        <v>599.71428571428578</v>
      </c>
      <c r="T15" s="17">
        <f t="shared" si="7"/>
        <v>120.85714285714286</v>
      </c>
      <c r="U15" s="17">
        <f t="shared" si="7"/>
        <v>47.428571428571423</v>
      </c>
      <c r="V15" s="17">
        <f t="shared" si="7"/>
        <v>27.428571428571431</v>
      </c>
      <c r="W15" s="17">
        <f t="shared" si="7"/>
        <v>3.1428571428571428</v>
      </c>
      <c r="X15" s="17">
        <f t="shared" si="7"/>
        <v>1</v>
      </c>
      <c r="Y15" s="17">
        <f t="shared" si="7"/>
        <v>39.857142857142861</v>
      </c>
      <c r="Z15" s="17">
        <f t="shared" si="7"/>
        <v>17.571428571428569</v>
      </c>
      <c r="AA15" s="17">
        <f t="shared" si="7"/>
        <v>6.5714285714285712</v>
      </c>
      <c r="AB15" s="17">
        <f t="shared" si="7"/>
        <v>7.1428571428571423</v>
      </c>
      <c r="AC15" s="17">
        <f t="shared" si="7"/>
        <v>1835.8571428571427</v>
      </c>
      <c r="AD15" s="17">
        <f t="shared" si="7"/>
        <v>0.2857142857142857</v>
      </c>
      <c r="AE15" s="30">
        <f t="shared" si="7"/>
        <v>871</v>
      </c>
      <c r="AF15" s="30">
        <f t="shared" si="7"/>
        <v>2706.8571428571431</v>
      </c>
    </row>
    <row r="16" spans="2:32" ht="23.1" customHeight="1" x14ac:dyDescent="0.25">
      <c r="B16" s="22" t="s">
        <v>43</v>
      </c>
      <c r="C16" s="48">
        <f>AVERAGE('29.07.Jinja RD-Mukwano'!C16,'30.7.Jinja RD-Mukwano RD'!C16,'31.07.Jinja RD-Mukwano RD'!C16,'1.08.Jinja RD-Mukwano RBT 24h'!C16,'02.08.Mukwano-Jinja'!C16,'03.8.Jinja-Mukwano 24h'!C16,'04.08.Jinja RD-Mukwano'!C16)</f>
        <v>134.57142857142858</v>
      </c>
      <c r="D16" s="48">
        <f>AVERAGE('29.07.Jinja RD-Mukwano'!D16,'30.7.Jinja RD-Mukwano RD'!D16,'31.07.Jinja RD-Mukwano RD'!D16,'1.08.Jinja RD-Mukwano RBT 24h'!D16,'02.08.Mukwano-Jinja'!D16,'03.8.Jinja-Mukwano 24h'!D16,'04.08.Jinja RD-Mukwano'!D16)</f>
        <v>22.714285714285715</v>
      </c>
      <c r="E16" s="48">
        <f>AVERAGE('29.07.Jinja RD-Mukwano'!E16,'30.7.Jinja RD-Mukwano RD'!E16,'31.07.Jinja RD-Mukwano RD'!E16,'1.08.Jinja RD-Mukwano RBT 24h'!E16,'02.08.Mukwano-Jinja'!E16,'03.8.Jinja-Mukwano 24h'!E16,'04.08.Jinja RD-Mukwano'!E16)</f>
        <v>8.5714285714285712</v>
      </c>
      <c r="F16" s="48">
        <f>AVERAGE('29.07.Jinja RD-Mukwano'!F16,'30.7.Jinja RD-Mukwano RD'!F16,'31.07.Jinja RD-Mukwano RD'!F16,'1.08.Jinja RD-Mukwano RBT 24h'!F16,'02.08.Mukwano-Jinja'!F16,'03.8.Jinja-Mukwano 24h'!F16,'04.08.Jinja RD-Mukwano'!F16)</f>
        <v>4.2857142857142856</v>
      </c>
      <c r="G16" s="48">
        <f>AVERAGE('29.07.Jinja RD-Mukwano'!G16,'30.7.Jinja RD-Mukwano RD'!G16,'31.07.Jinja RD-Mukwano RD'!G16,'1.08.Jinja RD-Mukwano RBT 24h'!G16,'02.08.Mukwano-Jinja'!G16,'03.8.Jinja-Mukwano 24h'!G16,'04.08.Jinja RD-Mukwano'!G16)</f>
        <v>0.7142857142857143</v>
      </c>
      <c r="H16" s="48">
        <f>AVERAGE('29.07.Jinja RD-Mukwano'!H16,'30.7.Jinja RD-Mukwano RD'!H16,'31.07.Jinja RD-Mukwano RD'!H16,'1.08.Jinja RD-Mukwano RBT 24h'!H16,'02.08.Mukwano-Jinja'!H16,'03.8.Jinja-Mukwano 24h'!H16,'04.08.Jinja RD-Mukwano'!H16)</f>
        <v>0.5714285714285714</v>
      </c>
      <c r="I16" s="48">
        <f>AVERAGE('29.07.Jinja RD-Mukwano'!I16,'30.7.Jinja RD-Mukwano RD'!I16,'31.07.Jinja RD-Mukwano RD'!I16,'1.08.Jinja RD-Mukwano RBT 24h'!I16,'02.08.Mukwano-Jinja'!I16,'03.8.Jinja-Mukwano 24h'!I16,'04.08.Jinja RD-Mukwano'!I16)</f>
        <v>5</v>
      </c>
      <c r="J16" s="48">
        <f>AVERAGE('29.07.Jinja RD-Mukwano'!J16,'30.7.Jinja RD-Mukwano RD'!J16,'31.07.Jinja RD-Mukwano RD'!J16,'1.08.Jinja RD-Mukwano RBT 24h'!J16,'02.08.Mukwano-Jinja'!J16,'03.8.Jinja-Mukwano 24h'!J16,'04.08.Jinja RD-Mukwano'!J16)</f>
        <v>3.7142857142857144</v>
      </c>
      <c r="K16" s="48">
        <f>AVERAGE('29.07.Jinja RD-Mukwano'!K16,'30.7.Jinja RD-Mukwano RD'!K16,'31.07.Jinja RD-Mukwano RD'!K16,'1.08.Jinja RD-Mukwano RBT 24h'!K16,'02.08.Mukwano-Jinja'!K16,'03.8.Jinja-Mukwano 24h'!K16,'04.08.Jinja RD-Mukwano'!K16)</f>
        <v>2.2857142857142856</v>
      </c>
      <c r="L16" s="48">
        <f>AVERAGE('29.07.Jinja RD-Mukwano'!L16,'30.7.Jinja RD-Mukwano RD'!L16,'31.07.Jinja RD-Mukwano RD'!L16,'1.08.Jinja RD-Mukwano RBT 24h'!L16,'02.08.Mukwano-Jinja'!L16,'03.8.Jinja-Mukwano 24h'!L16,'04.08.Jinja RD-Mukwano'!L16)</f>
        <v>1.5714285714285714</v>
      </c>
      <c r="M16" s="48">
        <f>AVERAGE('29.07.Jinja RD-Mukwano'!M16,'30.7.Jinja RD-Mukwano RD'!M16,'31.07.Jinja RD-Mukwano RD'!M16,'1.08.Jinja RD-Mukwano RBT 24h'!M16,'02.08.Mukwano-Jinja'!M16,'03.8.Jinja-Mukwano 24h'!M16,'04.08.Jinja RD-Mukwano'!M16)</f>
        <v>475.42857142857144</v>
      </c>
      <c r="N16" s="48">
        <f>AVERAGE('29.07.Jinja RD-Mukwano'!N16,'30.7.Jinja RD-Mukwano RD'!N16,'31.07.Jinja RD-Mukwano RD'!N16,'1.08.Jinja RD-Mukwano RBT 24h'!N16,'02.08.Mukwano-Jinja'!N16,'03.8.Jinja-Mukwano 24h'!N16,'04.08.Jinja RD-Mukwano'!N16)</f>
        <v>0</v>
      </c>
      <c r="O16" s="15">
        <f t="shared" si="0"/>
        <v>184.00000000000006</v>
      </c>
      <c r="P16" s="15">
        <f t="shared" si="1"/>
        <v>659.42857142857156</v>
      </c>
      <c r="R16" s="1" t="s">
        <v>12</v>
      </c>
      <c r="S16" s="17">
        <f t="shared" ref="S16:AF16" si="8">SUM(C34:C37)</f>
        <v>561.85714285714289</v>
      </c>
      <c r="T16" s="17">
        <f t="shared" si="8"/>
        <v>101.14285714285714</v>
      </c>
      <c r="U16" s="17">
        <f t="shared" si="8"/>
        <v>41.857142857142854</v>
      </c>
      <c r="V16" s="17">
        <f t="shared" si="8"/>
        <v>17.142857142857142</v>
      </c>
      <c r="W16" s="17">
        <f t="shared" si="8"/>
        <v>4</v>
      </c>
      <c r="X16" s="17">
        <f t="shared" si="8"/>
        <v>0.14285714285714285</v>
      </c>
      <c r="Y16" s="17">
        <f t="shared" si="8"/>
        <v>35.142857142857139</v>
      </c>
      <c r="Z16" s="17">
        <f t="shared" si="8"/>
        <v>16.571428571428569</v>
      </c>
      <c r="AA16" s="17">
        <f t="shared" si="8"/>
        <v>6.5714285714285712</v>
      </c>
      <c r="AB16" s="17">
        <f t="shared" si="8"/>
        <v>8</v>
      </c>
      <c r="AC16" s="17">
        <f t="shared" si="8"/>
        <v>1916.2857142857142</v>
      </c>
      <c r="AD16" s="17">
        <f t="shared" si="8"/>
        <v>0</v>
      </c>
      <c r="AE16" s="30">
        <f t="shared" si="8"/>
        <v>792.42857142857144</v>
      </c>
      <c r="AF16" s="30">
        <f t="shared" si="8"/>
        <v>2708.7142857142858</v>
      </c>
    </row>
    <row r="17" spans="2:32" ht="23.1" customHeight="1" x14ac:dyDescent="0.25">
      <c r="B17" s="22" t="s">
        <v>44</v>
      </c>
      <c r="C17" s="48">
        <f>AVERAGE('29.07.Jinja RD-Mukwano'!C17,'30.7.Jinja RD-Mukwano RD'!C17,'31.07.Jinja RD-Mukwano RD'!C17,'1.08.Jinja RD-Mukwano RBT 24h'!C17,'02.08.Mukwano-Jinja'!C17,'03.8.Jinja-Mukwano 24h'!C17,'04.08.Jinja RD-Mukwano'!C17)</f>
        <v>149.71428571428572</v>
      </c>
      <c r="D17" s="48">
        <f>AVERAGE('29.07.Jinja RD-Mukwano'!D17,'30.7.Jinja RD-Mukwano RD'!D17,'31.07.Jinja RD-Mukwano RD'!D17,'1.08.Jinja RD-Mukwano RBT 24h'!D17,'02.08.Mukwano-Jinja'!D17,'03.8.Jinja-Mukwano 24h'!D17,'04.08.Jinja RD-Mukwano'!D17)</f>
        <v>27.142857142857142</v>
      </c>
      <c r="E17" s="48">
        <f>AVERAGE('29.07.Jinja RD-Mukwano'!E17,'30.7.Jinja RD-Mukwano RD'!E17,'31.07.Jinja RD-Mukwano RD'!E17,'1.08.Jinja RD-Mukwano RBT 24h'!E17,'02.08.Mukwano-Jinja'!E17,'03.8.Jinja-Mukwano 24h'!E17,'04.08.Jinja RD-Mukwano'!E17)</f>
        <v>9.2857142857142865</v>
      </c>
      <c r="F17" s="48">
        <f>AVERAGE('29.07.Jinja RD-Mukwano'!F17,'30.7.Jinja RD-Mukwano RD'!F17,'31.07.Jinja RD-Mukwano RD'!F17,'1.08.Jinja RD-Mukwano RBT 24h'!F17,'02.08.Mukwano-Jinja'!F17,'03.8.Jinja-Mukwano 24h'!F17,'04.08.Jinja RD-Mukwano'!F17)</f>
        <v>4.5714285714285712</v>
      </c>
      <c r="G17" s="48">
        <f>AVERAGE('29.07.Jinja RD-Mukwano'!G17,'30.7.Jinja RD-Mukwano RD'!G17,'31.07.Jinja RD-Mukwano RD'!G17,'1.08.Jinja RD-Mukwano RBT 24h'!G17,'02.08.Mukwano-Jinja'!G17,'03.8.Jinja-Mukwano 24h'!G17,'04.08.Jinja RD-Mukwano'!G17)</f>
        <v>0.7142857142857143</v>
      </c>
      <c r="H17" s="48">
        <f>AVERAGE('29.07.Jinja RD-Mukwano'!H17,'30.7.Jinja RD-Mukwano RD'!H17,'31.07.Jinja RD-Mukwano RD'!H17,'1.08.Jinja RD-Mukwano RBT 24h'!H17,'02.08.Mukwano-Jinja'!H17,'03.8.Jinja-Mukwano 24h'!H17,'04.08.Jinja RD-Mukwano'!H17)</f>
        <v>0</v>
      </c>
      <c r="I17" s="48">
        <f>AVERAGE('29.07.Jinja RD-Mukwano'!I17,'30.7.Jinja RD-Mukwano RD'!I17,'31.07.Jinja RD-Mukwano RD'!I17,'1.08.Jinja RD-Mukwano RBT 24h'!I17,'02.08.Mukwano-Jinja'!I17,'03.8.Jinja-Mukwano 24h'!I17,'04.08.Jinja RD-Mukwano'!I17)</f>
        <v>6</v>
      </c>
      <c r="J17" s="48">
        <f>AVERAGE('29.07.Jinja RD-Mukwano'!J17,'30.7.Jinja RD-Mukwano RD'!J17,'31.07.Jinja RD-Mukwano RD'!J17,'1.08.Jinja RD-Mukwano RBT 24h'!J17,'02.08.Mukwano-Jinja'!J17,'03.8.Jinja-Mukwano 24h'!J17,'04.08.Jinja RD-Mukwano'!J17)</f>
        <v>4.1428571428571432</v>
      </c>
      <c r="K17" s="48">
        <f>AVERAGE('29.07.Jinja RD-Mukwano'!K17,'30.7.Jinja RD-Mukwano RD'!K17,'31.07.Jinja RD-Mukwano RD'!K17,'1.08.Jinja RD-Mukwano RBT 24h'!K17,'02.08.Mukwano-Jinja'!K17,'03.8.Jinja-Mukwano 24h'!K17,'04.08.Jinja RD-Mukwano'!K17)</f>
        <v>2.7142857142857144</v>
      </c>
      <c r="L17" s="48">
        <f>AVERAGE('29.07.Jinja RD-Mukwano'!L17,'30.7.Jinja RD-Mukwano RD'!L17,'31.07.Jinja RD-Mukwano RD'!L17,'1.08.Jinja RD-Mukwano RBT 24h'!L17,'02.08.Mukwano-Jinja'!L17,'03.8.Jinja-Mukwano 24h'!L17,'04.08.Jinja RD-Mukwano'!L17)</f>
        <v>1</v>
      </c>
      <c r="M17" s="48">
        <f>AVERAGE('29.07.Jinja RD-Mukwano'!M17,'30.7.Jinja RD-Mukwano RD'!M17,'31.07.Jinja RD-Mukwano RD'!M17,'1.08.Jinja RD-Mukwano RBT 24h'!M17,'02.08.Mukwano-Jinja'!M17,'03.8.Jinja-Mukwano 24h'!M17,'04.08.Jinja RD-Mukwano'!M17)</f>
        <v>491.57142857142856</v>
      </c>
      <c r="N17" s="48">
        <f>AVERAGE('29.07.Jinja RD-Mukwano'!N17,'30.7.Jinja RD-Mukwano RD'!N17,'31.07.Jinja RD-Mukwano RD'!N17,'1.08.Jinja RD-Mukwano RBT 24h'!N17,'02.08.Mukwano-Jinja'!N17,'03.8.Jinja-Mukwano 24h'!N17,'04.08.Jinja RD-Mukwano'!N17)</f>
        <v>0</v>
      </c>
      <c r="O17" s="15">
        <f t="shared" si="0"/>
        <v>205.28571428571431</v>
      </c>
      <c r="P17" s="15">
        <f t="shared" si="1"/>
        <v>696.85714285714289</v>
      </c>
      <c r="R17" s="1" t="s">
        <v>13</v>
      </c>
      <c r="S17" s="17">
        <f t="shared" ref="S17:AF17" si="9">SUM(C38:C41)</f>
        <v>598.42857142857144</v>
      </c>
      <c r="T17" s="17">
        <f t="shared" si="9"/>
        <v>92.857142857142861</v>
      </c>
      <c r="U17" s="17">
        <f t="shared" si="9"/>
        <v>42.428571428571431</v>
      </c>
      <c r="V17" s="17">
        <f t="shared" si="9"/>
        <v>23.428571428571427</v>
      </c>
      <c r="W17" s="17">
        <f t="shared" si="9"/>
        <v>2.1428571428571428</v>
      </c>
      <c r="X17" s="17">
        <f t="shared" si="9"/>
        <v>1.1428571428571428</v>
      </c>
      <c r="Y17" s="17">
        <f t="shared" si="9"/>
        <v>37.285714285714285</v>
      </c>
      <c r="Z17" s="17">
        <f t="shared" si="9"/>
        <v>20.428571428571427</v>
      </c>
      <c r="AA17" s="17">
        <f t="shared" si="9"/>
        <v>7.8571428571428577</v>
      </c>
      <c r="AB17" s="17">
        <f t="shared" si="9"/>
        <v>12.285714285714285</v>
      </c>
      <c r="AC17" s="17">
        <f t="shared" si="9"/>
        <v>2041.5714285714284</v>
      </c>
      <c r="AD17" s="17">
        <f t="shared" si="9"/>
        <v>0</v>
      </c>
      <c r="AE17" s="30">
        <f t="shared" si="9"/>
        <v>838.28571428571422</v>
      </c>
      <c r="AF17" s="30">
        <f t="shared" si="9"/>
        <v>2879.8571428571431</v>
      </c>
    </row>
    <row r="18" spans="2:32" ht="23.1" customHeight="1" x14ac:dyDescent="0.25">
      <c r="B18" s="22" t="s">
        <v>45</v>
      </c>
      <c r="C18" s="48">
        <f>AVERAGE('29.07.Jinja RD-Mukwano'!C18,'30.7.Jinja RD-Mukwano RD'!C18,'31.07.Jinja RD-Mukwano RD'!C18,'1.08.Jinja RD-Mukwano RBT 24h'!C18,'02.08.Mukwano-Jinja'!C18,'03.8.Jinja-Mukwano 24h'!C18,'04.08.Jinja RD-Mukwano'!C18)</f>
        <v>150</v>
      </c>
      <c r="D18" s="48">
        <f>AVERAGE('29.07.Jinja RD-Mukwano'!D18,'30.7.Jinja RD-Mukwano RD'!D18,'31.07.Jinja RD-Mukwano RD'!D18,'1.08.Jinja RD-Mukwano RBT 24h'!D18,'02.08.Mukwano-Jinja'!D18,'03.8.Jinja-Mukwano 24h'!D18,'04.08.Jinja RD-Mukwano'!D18)</f>
        <v>22.571428571428573</v>
      </c>
      <c r="E18" s="48">
        <f>AVERAGE('29.07.Jinja RD-Mukwano'!E18,'30.7.Jinja RD-Mukwano RD'!E18,'31.07.Jinja RD-Mukwano RD'!E18,'1.08.Jinja RD-Mukwano RBT 24h'!E18,'02.08.Mukwano-Jinja'!E18,'03.8.Jinja-Mukwano 24h'!E18,'04.08.Jinja RD-Mukwano'!E18)</f>
        <v>10.714285714285714</v>
      </c>
      <c r="F18" s="48">
        <f>AVERAGE('29.07.Jinja RD-Mukwano'!F18,'30.7.Jinja RD-Mukwano RD'!F18,'31.07.Jinja RD-Mukwano RD'!F18,'1.08.Jinja RD-Mukwano RBT 24h'!F18,'02.08.Mukwano-Jinja'!F18,'03.8.Jinja-Mukwano 24h'!F18,'04.08.Jinja RD-Mukwano'!F18)</f>
        <v>4.7142857142857144</v>
      </c>
      <c r="G18" s="48">
        <f>AVERAGE('29.07.Jinja RD-Mukwano'!G18,'30.7.Jinja RD-Mukwano RD'!G18,'31.07.Jinja RD-Mukwano RD'!G18,'1.08.Jinja RD-Mukwano RBT 24h'!G18,'02.08.Mukwano-Jinja'!G18,'03.8.Jinja-Mukwano 24h'!G18,'04.08.Jinja RD-Mukwano'!G18)</f>
        <v>0.42857142857142855</v>
      </c>
      <c r="H18" s="48">
        <f>AVERAGE('29.07.Jinja RD-Mukwano'!H18,'30.7.Jinja RD-Mukwano RD'!H18,'31.07.Jinja RD-Mukwano RD'!H18,'1.08.Jinja RD-Mukwano RBT 24h'!H18,'02.08.Mukwano-Jinja'!H18,'03.8.Jinja-Mukwano 24h'!H18,'04.08.Jinja RD-Mukwano'!H18)</f>
        <v>0</v>
      </c>
      <c r="I18" s="48">
        <f>AVERAGE('29.07.Jinja RD-Mukwano'!I18,'30.7.Jinja RD-Mukwano RD'!I18,'31.07.Jinja RD-Mukwano RD'!I18,'1.08.Jinja RD-Mukwano RBT 24h'!I18,'02.08.Mukwano-Jinja'!I18,'03.8.Jinja-Mukwano 24h'!I18,'04.08.Jinja RD-Mukwano'!I18)</f>
        <v>6.2857142857142856</v>
      </c>
      <c r="J18" s="48">
        <f>AVERAGE('29.07.Jinja RD-Mukwano'!J18,'30.7.Jinja RD-Mukwano RD'!J18,'31.07.Jinja RD-Mukwano RD'!J18,'1.08.Jinja RD-Mukwano RBT 24h'!J18,'02.08.Mukwano-Jinja'!J18,'03.8.Jinja-Mukwano 24h'!J18,'04.08.Jinja RD-Mukwano'!J18)</f>
        <v>5.1428571428571432</v>
      </c>
      <c r="K18" s="48">
        <f>AVERAGE('29.07.Jinja RD-Mukwano'!K18,'30.7.Jinja RD-Mukwano RD'!K18,'31.07.Jinja RD-Mukwano RD'!K18,'1.08.Jinja RD-Mukwano RBT 24h'!K18,'02.08.Mukwano-Jinja'!K18,'03.8.Jinja-Mukwano 24h'!K18,'04.08.Jinja RD-Mukwano'!K18)</f>
        <v>1.1428571428571428</v>
      </c>
      <c r="L18" s="48">
        <f>AVERAGE('29.07.Jinja RD-Mukwano'!L18,'30.7.Jinja RD-Mukwano RD'!L18,'31.07.Jinja RD-Mukwano RD'!L18,'1.08.Jinja RD-Mukwano RBT 24h'!L18,'02.08.Mukwano-Jinja'!L18,'03.8.Jinja-Mukwano 24h'!L18,'04.08.Jinja RD-Mukwano'!L18)</f>
        <v>1.5714285714285714</v>
      </c>
      <c r="M18" s="48">
        <f>AVERAGE('29.07.Jinja RD-Mukwano'!M18,'30.7.Jinja RD-Mukwano RD'!M18,'31.07.Jinja RD-Mukwano RD'!M18,'1.08.Jinja RD-Mukwano RBT 24h'!M18,'02.08.Mukwano-Jinja'!M18,'03.8.Jinja-Mukwano 24h'!M18,'04.08.Jinja RD-Mukwano'!M18)</f>
        <v>545.42857142857144</v>
      </c>
      <c r="N18" s="48">
        <f>AVERAGE('29.07.Jinja RD-Mukwano'!N18,'30.7.Jinja RD-Mukwano RD'!N18,'31.07.Jinja RD-Mukwano RD'!N18,'1.08.Jinja RD-Mukwano RBT 24h'!N18,'02.08.Mukwano-Jinja'!N18,'03.8.Jinja-Mukwano 24h'!N18,'04.08.Jinja RD-Mukwano'!N18)</f>
        <v>0</v>
      </c>
      <c r="O18" s="15">
        <f t="shared" si="0"/>
        <v>202.57142857142858</v>
      </c>
      <c r="P18" s="15">
        <f t="shared" si="1"/>
        <v>748</v>
      </c>
      <c r="R18" s="1" t="s">
        <v>14</v>
      </c>
      <c r="S18" s="17">
        <f t="shared" ref="S18:AF18" si="10">SUM(C42:C45)</f>
        <v>583.57142857142856</v>
      </c>
      <c r="T18" s="17">
        <f t="shared" si="10"/>
        <v>97.714285714285708</v>
      </c>
      <c r="U18" s="17">
        <f t="shared" si="10"/>
        <v>45.142857142857139</v>
      </c>
      <c r="V18" s="17">
        <f t="shared" si="10"/>
        <v>20.857142857142858</v>
      </c>
      <c r="W18" s="17">
        <f t="shared" si="10"/>
        <v>2</v>
      </c>
      <c r="X18" s="17">
        <f t="shared" si="10"/>
        <v>0.71428571428571419</v>
      </c>
      <c r="Y18" s="17">
        <f t="shared" si="10"/>
        <v>38.571428571428569</v>
      </c>
      <c r="Z18" s="17">
        <f t="shared" si="10"/>
        <v>18.714285714285715</v>
      </c>
      <c r="AA18" s="17">
        <f t="shared" si="10"/>
        <v>9.2857142857142865</v>
      </c>
      <c r="AB18" s="17">
        <f t="shared" si="10"/>
        <v>7.7142857142857144</v>
      </c>
      <c r="AC18" s="17">
        <f t="shared" si="10"/>
        <v>2114.2857142857142</v>
      </c>
      <c r="AD18" s="17">
        <f t="shared" si="10"/>
        <v>0.14285714285714285</v>
      </c>
      <c r="AE18" s="30">
        <f t="shared" si="10"/>
        <v>824.42857142857156</v>
      </c>
      <c r="AF18" s="30">
        <f t="shared" si="10"/>
        <v>2938.7142857142853</v>
      </c>
    </row>
    <row r="19" spans="2:32" ht="23.1" customHeight="1" x14ac:dyDescent="0.25">
      <c r="B19" s="22" t="s">
        <v>46</v>
      </c>
      <c r="C19" s="48">
        <f>AVERAGE('29.07.Jinja RD-Mukwano'!C19,'30.7.Jinja RD-Mukwano RD'!C19,'31.07.Jinja RD-Mukwano RD'!C19,'1.08.Jinja RD-Mukwano RBT 24h'!C19,'02.08.Mukwano-Jinja'!C19,'03.8.Jinja-Mukwano 24h'!C19,'04.08.Jinja RD-Mukwano'!C19)</f>
        <v>130.14285714285714</v>
      </c>
      <c r="D19" s="48">
        <f>AVERAGE('29.07.Jinja RD-Mukwano'!D19,'30.7.Jinja RD-Mukwano RD'!D19,'31.07.Jinja RD-Mukwano RD'!D19,'1.08.Jinja RD-Mukwano RBT 24h'!D19,'02.08.Mukwano-Jinja'!D19,'03.8.Jinja-Mukwano 24h'!D19,'04.08.Jinja RD-Mukwano'!D19)</f>
        <v>24</v>
      </c>
      <c r="E19" s="48">
        <f>AVERAGE('29.07.Jinja RD-Mukwano'!E19,'30.7.Jinja RD-Mukwano RD'!E19,'31.07.Jinja RD-Mukwano RD'!E19,'1.08.Jinja RD-Mukwano RBT 24h'!E19,'02.08.Mukwano-Jinja'!E19,'03.8.Jinja-Mukwano 24h'!E19,'04.08.Jinja RD-Mukwano'!E19)</f>
        <v>10</v>
      </c>
      <c r="F19" s="48">
        <f>AVERAGE('29.07.Jinja RD-Mukwano'!F19,'30.7.Jinja RD-Mukwano RD'!F19,'31.07.Jinja RD-Mukwano RD'!F19,'1.08.Jinja RD-Mukwano RBT 24h'!F19,'02.08.Mukwano-Jinja'!F19,'03.8.Jinja-Mukwano 24h'!F19,'04.08.Jinja RD-Mukwano'!F19)</f>
        <v>5.7142857142857144</v>
      </c>
      <c r="G19" s="48">
        <f>AVERAGE('29.07.Jinja RD-Mukwano'!G19,'30.7.Jinja RD-Mukwano RD'!G19,'31.07.Jinja RD-Mukwano RD'!G19,'1.08.Jinja RD-Mukwano RBT 24h'!G19,'02.08.Mukwano-Jinja'!G19,'03.8.Jinja-Mukwano 24h'!G19,'04.08.Jinja RD-Mukwano'!G19)</f>
        <v>0.8571428571428571</v>
      </c>
      <c r="H19" s="48">
        <f>AVERAGE('29.07.Jinja RD-Mukwano'!H19,'30.7.Jinja RD-Mukwano RD'!H19,'31.07.Jinja RD-Mukwano RD'!H19,'1.08.Jinja RD-Mukwano RBT 24h'!H19,'02.08.Mukwano-Jinja'!H19,'03.8.Jinja-Mukwano 24h'!H19,'04.08.Jinja RD-Mukwano'!H19)</f>
        <v>0.2857142857142857</v>
      </c>
      <c r="I19" s="48">
        <f>AVERAGE('29.07.Jinja RD-Mukwano'!I19,'30.7.Jinja RD-Mukwano RD'!I19,'31.07.Jinja RD-Mukwano RD'!I19,'1.08.Jinja RD-Mukwano RBT 24h'!I19,'02.08.Mukwano-Jinja'!I19,'03.8.Jinja-Mukwano 24h'!I19,'04.08.Jinja RD-Mukwano'!I19)</f>
        <v>6.8571428571428568</v>
      </c>
      <c r="J19" s="48">
        <f>AVERAGE('29.07.Jinja RD-Mukwano'!J19,'30.7.Jinja RD-Mukwano RD'!J19,'31.07.Jinja RD-Mukwano RD'!J19,'1.08.Jinja RD-Mukwano RBT 24h'!J19,'02.08.Mukwano-Jinja'!J19,'03.8.Jinja-Mukwano 24h'!J19,'04.08.Jinja RD-Mukwano'!J19)</f>
        <v>3.8571428571428572</v>
      </c>
      <c r="K19" s="48">
        <f>AVERAGE('29.07.Jinja RD-Mukwano'!K19,'30.7.Jinja RD-Mukwano RD'!K19,'31.07.Jinja RD-Mukwano RD'!K19,'1.08.Jinja RD-Mukwano RBT 24h'!K19,'02.08.Mukwano-Jinja'!K19,'03.8.Jinja-Mukwano 24h'!K19,'04.08.Jinja RD-Mukwano'!K19)</f>
        <v>0.8571428571428571</v>
      </c>
      <c r="L19" s="48">
        <f>AVERAGE('29.07.Jinja RD-Mukwano'!L19,'30.7.Jinja RD-Mukwano RD'!L19,'31.07.Jinja RD-Mukwano RD'!L19,'1.08.Jinja RD-Mukwano RBT 24h'!L19,'02.08.Mukwano-Jinja'!L19,'03.8.Jinja-Mukwano 24h'!L19,'04.08.Jinja RD-Mukwano'!L19)</f>
        <v>1.5714285714285714</v>
      </c>
      <c r="M19" s="48">
        <f>AVERAGE('29.07.Jinja RD-Mukwano'!M19,'30.7.Jinja RD-Mukwano RD'!M19,'31.07.Jinja RD-Mukwano RD'!M19,'1.08.Jinja RD-Mukwano RBT 24h'!M19,'02.08.Mukwano-Jinja'!M19,'03.8.Jinja-Mukwano 24h'!M19,'04.08.Jinja RD-Mukwano'!M19)</f>
        <v>456.85714285714283</v>
      </c>
      <c r="N19" s="48">
        <f>AVERAGE('29.07.Jinja RD-Mukwano'!N19,'30.7.Jinja RD-Mukwano RD'!N19,'31.07.Jinja RD-Mukwano RD'!N19,'1.08.Jinja RD-Mukwano RBT 24h'!N19,'02.08.Mukwano-Jinja'!N19,'03.8.Jinja-Mukwano 24h'!N19,'04.08.Jinja RD-Mukwano'!N19)</f>
        <v>0.2857142857142857</v>
      </c>
      <c r="O19" s="15">
        <f t="shared" si="0"/>
        <v>184.42857142857144</v>
      </c>
      <c r="P19" s="15">
        <f t="shared" si="1"/>
        <v>641.28571428571433</v>
      </c>
      <c r="R19" s="1" t="s">
        <v>15</v>
      </c>
      <c r="S19" s="17">
        <f t="shared" ref="S19:AF19" si="11">SUM(C46:C49)</f>
        <v>642.28571428571422</v>
      </c>
      <c r="T19" s="17">
        <f t="shared" si="11"/>
        <v>129.57142857142856</v>
      </c>
      <c r="U19" s="17">
        <f t="shared" si="11"/>
        <v>57</v>
      </c>
      <c r="V19" s="17">
        <f t="shared" si="11"/>
        <v>23.857142857142858</v>
      </c>
      <c r="W19" s="17">
        <f t="shared" si="11"/>
        <v>3</v>
      </c>
      <c r="X19" s="17">
        <f t="shared" si="11"/>
        <v>0.5714285714285714</v>
      </c>
      <c r="Y19" s="17">
        <f t="shared" si="11"/>
        <v>39.285714285714292</v>
      </c>
      <c r="Z19" s="17">
        <f t="shared" si="11"/>
        <v>19.142857142857142</v>
      </c>
      <c r="AA19" s="17">
        <f t="shared" si="11"/>
        <v>7</v>
      </c>
      <c r="AB19" s="17">
        <f t="shared" si="11"/>
        <v>12.285714285714285</v>
      </c>
      <c r="AC19" s="17">
        <f t="shared" si="11"/>
        <v>1950.8571428571427</v>
      </c>
      <c r="AD19" s="17">
        <f t="shared" si="11"/>
        <v>0.14285714285714285</v>
      </c>
      <c r="AE19" s="30">
        <f t="shared" si="11"/>
        <v>934.14285714285711</v>
      </c>
      <c r="AF19" s="30">
        <f t="shared" si="11"/>
        <v>2885</v>
      </c>
    </row>
    <row r="20" spans="2:32" ht="23.1" customHeight="1" x14ac:dyDescent="0.25">
      <c r="B20" s="22" t="s">
        <v>47</v>
      </c>
      <c r="C20" s="48">
        <f>AVERAGE('29.07.Jinja RD-Mukwano'!C20,'30.7.Jinja RD-Mukwano RD'!C20,'31.07.Jinja RD-Mukwano RD'!C20,'1.08.Jinja RD-Mukwano RBT 24h'!C20,'02.08.Mukwano-Jinja'!C20,'03.8.Jinja-Mukwano 24h'!C20,'04.08.Jinja RD-Mukwano'!C20)</f>
        <v>101.57142857142857</v>
      </c>
      <c r="D20" s="48">
        <f>AVERAGE('29.07.Jinja RD-Mukwano'!D20,'30.7.Jinja RD-Mukwano RD'!D20,'31.07.Jinja RD-Mukwano RD'!D20,'1.08.Jinja RD-Mukwano RBT 24h'!D20,'02.08.Mukwano-Jinja'!D20,'03.8.Jinja-Mukwano 24h'!D20,'04.08.Jinja RD-Mukwano'!D20)</f>
        <v>20.285714285714285</v>
      </c>
      <c r="E20" s="48">
        <f>AVERAGE('29.07.Jinja RD-Mukwano'!E20,'30.7.Jinja RD-Mukwano RD'!E20,'31.07.Jinja RD-Mukwano RD'!E20,'1.08.Jinja RD-Mukwano RBT 24h'!E20,'02.08.Mukwano-Jinja'!E20,'03.8.Jinja-Mukwano 24h'!E20,'04.08.Jinja RD-Mukwano'!E20)</f>
        <v>11</v>
      </c>
      <c r="F20" s="48">
        <f>AVERAGE('29.07.Jinja RD-Mukwano'!F20,'30.7.Jinja RD-Mukwano RD'!F20,'31.07.Jinja RD-Mukwano RD'!F20,'1.08.Jinja RD-Mukwano RBT 24h'!F20,'02.08.Mukwano-Jinja'!F20,'03.8.Jinja-Mukwano 24h'!F20,'04.08.Jinja RD-Mukwano'!F20)</f>
        <v>5.8571428571428568</v>
      </c>
      <c r="G20" s="48">
        <f>AVERAGE('29.07.Jinja RD-Mukwano'!G20,'30.7.Jinja RD-Mukwano RD'!G20,'31.07.Jinja RD-Mukwano RD'!G20,'1.08.Jinja RD-Mukwano RBT 24h'!G20,'02.08.Mukwano-Jinja'!G20,'03.8.Jinja-Mukwano 24h'!G20,'04.08.Jinja RD-Mukwano'!G20)</f>
        <v>0.7142857142857143</v>
      </c>
      <c r="H20" s="48">
        <f>AVERAGE('29.07.Jinja RD-Mukwano'!H20,'30.7.Jinja RD-Mukwano RD'!H20,'31.07.Jinja RD-Mukwano RD'!H20,'1.08.Jinja RD-Mukwano RBT 24h'!H20,'02.08.Mukwano-Jinja'!H20,'03.8.Jinja-Mukwano 24h'!H20,'04.08.Jinja RD-Mukwano'!H20)</f>
        <v>0</v>
      </c>
      <c r="I20" s="48">
        <f>AVERAGE('29.07.Jinja RD-Mukwano'!I20,'30.7.Jinja RD-Mukwano RD'!I20,'31.07.Jinja RD-Mukwano RD'!I20,'1.08.Jinja RD-Mukwano RBT 24h'!I20,'02.08.Mukwano-Jinja'!I20,'03.8.Jinja-Mukwano 24h'!I20,'04.08.Jinja RD-Mukwano'!I20)</f>
        <v>6.5714285714285712</v>
      </c>
      <c r="J20" s="48">
        <f>AVERAGE('29.07.Jinja RD-Mukwano'!J20,'30.7.Jinja RD-Mukwano RD'!J20,'31.07.Jinja RD-Mukwano RD'!J20,'1.08.Jinja RD-Mukwano RBT 24h'!J20,'02.08.Mukwano-Jinja'!J20,'03.8.Jinja-Mukwano 24h'!J20,'04.08.Jinja RD-Mukwano'!J20)</f>
        <v>3.7142857142857144</v>
      </c>
      <c r="K20" s="48">
        <f>AVERAGE('29.07.Jinja RD-Mukwano'!K20,'30.7.Jinja RD-Mukwano RD'!K20,'31.07.Jinja RD-Mukwano RD'!K20,'1.08.Jinja RD-Mukwano RBT 24h'!K20,'02.08.Mukwano-Jinja'!K20,'03.8.Jinja-Mukwano 24h'!K20,'04.08.Jinja RD-Mukwano'!K20)</f>
        <v>2</v>
      </c>
      <c r="L20" s="48">
        <f>AVERAGE('29.07.Jinja RD-Mukwano'!L20,'30.7.Jinja RD-Mukwano RD'!L20,'31.07.Jinja RD-Mukwano RD'!L20,'1.08.Jinja RD-Mukwano RBT 24h'!L20,'02.08.Mukwano-Jinja'!L20,'03.8.Jinja-Mukwano 24h'!L20,'04.08.Jinja RD-Mukwano'!L20)</f>
        <v>1.4285714285714286</v>
      </c>
      <c r="M20" s="48">
        <f>AVERAGE('29.07.Jinja RD-Mukwano'!M20,'30.7.Jinja RD-Mukwano RD'!M20,'31.07.Jinja RD-Mukwano RD'!M20,'1.08.Jinja RD-Mukwano RBT 24h'!M20,'02.08.Mukwano-Jinja'!M20,'03.8.Jinja-Mukwano 24h'!M20,'04.08.Jinja RD-Mukwano'!M20)</f>
        <v>483.28571428571428</v>
      </c>
      <c r="N20" s="48">
        <f>AVERAGE('29.07.Jinja RD-Mukwano'!N20,'30.7.Jinja RD-Mukwano RD'!N20,'31.07.Jinja RD-Mukwano RD'!N20,'1.08.Jinja RD-Mukwano RBT 24h'!N20,'02.08.Mukwano-Jinja'!N20,'03.8.Jinja-Mukwano 24h'!N20,'04.08.Jinja RD-Mukwano'!N20)</f>
        <v>0</v>
      </c>
      <c r="O20" s="15">
        <f t="shared" si="0"/>
        <v>153.14285714285717</v>
      </c>
      <c r="P20" s="15">
        <f t="shared" si="1"/>
        <v>636.42857142857144</v>
      </c>
      <c r="R20" s="1" t="s">
        <v>16</v>
      </c>
      <c r="S20" s="17">
        <f t="shared" ref="S20:AF20" si="12">SUM(C50:C53)</f>
        <v>600.85714285714289</v>
      </c>
      <c r="T20" s="17">
        <f t="shared" si="12"/>
        <v>122.85714285714286</v>
      </c>
      <c r="U20" s="17">
        <f t="shared" si="12"/>
        <v>50.571428571428569</v>
      </c>
      <c r="V20" s="17">
        <f t="shared" si="12"/>
        <v>26.714285714285715</v>
      </c>
      <c r="W20" s="17">
        <f t="shared" si="12"/>
        <v>3.1428571428571432</v>
      </c>
      <c r="X20" s="17">
        <f t="shared" si="12"/>
        <v>0.14285714285714285</v>
      </c>
      <c r="Y20" s="17">
        <f t="shared" si="12"/>
        <v>35.714285714285708</v>
      </c>
      <c r="Z20" s="17">
        <f t="shared" si="12"/>
        <v>16</v>
      </c>
      <c r="AA20" s="17">
        <f t="shared" si="12"/>
        <v>7.1428571428571423</v>
      </c>
      <c r="AB20" s="17">
        <f t="shared" si="12"/>
        <v>9.7142857142857135</v>
      </c>
      <c r="AC20" s="17">
        <f t="shared" si="12"/>
        <v>2044</v>
      </c>
      <c r="AD20" s="17">
        <f t="shared" si="12"/>
        <v>0.14285714285714285</v>
      </c>
      <c r="AE20" s="30">
        <f t="shared" si="12"/>
        <v>873</v>
      </c>
      <c r="AF20" s="30">
        <f t="shared" si="12"/>
        <v>2917</v>
      </c>
    </row>
    <row r="21" spans="2:32" ht="23.1" customHeight="1" x14ac:dyDescent="0.25">
      <c r="B21" s="22" t="s">
        <v>48</v>
      </c>
      <c r="C21" s="48">
        <f>AVERAGE('29.07.Jinja RD-Mukwano'!C21,'30.7.Jinja RD-Mukwano RD'!C21,'31.07.Jinja RD-Mukwano RD'!C21,'1.08.Jinja RD-Mukwano RBT 24h'!C21,'02.08.Mukwano-Jinja'!C21,'03.8.Jinja-Mukwano 24h'!C21,'04.08.Jinja RD-Mukwano'!C21)</f>
        <v>137.57142857142858</v>
      </c>
      <c r="D21" s="48">
        <f>AVERAGE('29.07.Jinja RD-Mukwano'!D21,'30.7.Jinja RD-Mukwano RD'!D21,'31.07.Jinja RD-Mukwano RD'!D21,'1.08.Jinja RD-Mukwano RBT 24h'!D21,'02.08.Mukwano-Jinja'!D21,'03.8.Jinja-Mukwano 24h'!D21,'04.08.Jinja RD-Mukwano'!D21)</f>
        <v>28.714285714285715</v>
      </c>
      <c r="E21" s="48">
        <f>AVERAGE('29.07.Jinja RD-Mukwano'!E21,'30.7.Jinja RD-Mukwano RD'!E21,'31.07.Jinja RD-Mukwano RD'!E21,'1.08.Jinja RD-Mukwano RBT 24h'!E21,'02.08.Mukwano-Jinja'!E21,'03.8.Jinja-Mukwano 24h'!E21,'04.08.Jinja RD-Mukwano'!E21)</f>
        <v>10.857142857142858</v>
      </c>
      <c r="F21" s="48">
        <f>AVERAGE('29.07.Jinja RD-Mukwano'!F21,'30.7.Jinja RD-Mukwano RD'!F21,'31.07.Jinja RD-Mukwano RD'!F21,'1.08.Jinja RD-Mukwano RBT 24h'!F21,'02.08.Mukwano-Jinja'!F21,'03.8.Jinja-Mukwano 24h'!F21,'04.08.Jinja RD-Mukwano'!F21)</f>
        <v>5.8571428571428568</v>
      </c>
      <c r="G21" s="48">
        <f>AVERAGE('29.07.Jinja RD-Mukwano'!G21,'30.7.Jinja RD-Mukwano RD'!G21,'31.07.Jinja RD-Mukwano RD'!G21,'1.08.Jinja RD-Mukwano RBT 24h'!G21,'02.08.Mukwano-Jinja'!G21,'03.8.Jinja-Mukwano 24h'!G21,'04.08.Jinja RD-Mukwano'!G21)</f>
        <v>1.1428571428571428</v>
      </c>
      <c r="H21" s="48">
        <f>AVERAGE('29.07.Jinja RD-Mukwano'!H21,'30.7.Jinja RD-Mukwano RD'!H21,'31.07.Jinja RD-Mukwano RD'!H21,'1.08.Jinja RD-Mukwano RBT 24h'!H21,'02.08.Mukwano-Jinja'!H21,'03.8.Jinja-Mukwano 24h'!H21,'04.08.Jinja RD-Mukwano'!H21)</f>
        <v>0.42857142857142855</v>
      </c>
      <c r="I21" s="48">
        <f>AVERAGE('29.07.Jinja RD-Mukwano'!I21,'30.7.Jinja RD-Mukwano RD'!I21,'31.07.Jinja RD-Mukwano RD'!I21,'1.08.Jinja RD-Mukwano RBT 24h'!I21,'02.08.Mukwano-Jinja'!I21,'03.8.Jinja-Mukwano 24h'!I21,'04.08.Jinja RD-Mukwano'!I21)</f>
        <v>9.8571428571428577</v>
      </c>
      <c r="J21" s="48">
        <f>AVERAGE('29.07.Jinja RD-Mukwano'!J21,'30.7.Jinja RD-Mukwano RD'!J21,'31.07.Jinja RD-Mukwano RD'!J21,'1.08.Jinja RD-Mukwano RBT 24h'!J21,'02.08.Mukwano-Jinja'!J21,'03.8.Jinja-Mukwano 24h'!J21,'04.08.Jinja RD-Mukwano'!J21)</f>
        <v>4.7142857142857144</v>
      </c>
      <c r="K21" s="48">
        <f>AVERAGE('29.07.Jinja RD-Mukwano'!K21,'30.7.Jinja RD-Mukwano RD'!K21,'31.07.Jinja RD-Mukwano RD'!K21,'1.08.Jinja RD-Mukwano RBT 24h'!K21,'02.08.Mukwano-Jinja'!K21,'03.8.Jinja-Mukwano 24h'!K21,'04.08.Jinja RD-Mukwano'!K21)</f>
        <v>1.5714285714285714</v>
      </c>
      <c r="L21" s="48">
        <f>AVERAGE('29.07.Jinja RD-Mukwano'!L21,'30.7.Jinja RD-Mukwano RD'!L21,'31.07.Jinja RD-Mukwano RD'!L21,'1.08.Jinja RD-Mukwano RBT 24h'!L21,'02.08.Mukwano-Jinja'!L21,'03.8.Jinja-Mukwano 24h'!L21,'04.08.Jinja RD-Mukwano'!L21)</f>
        <v>1</v>
      </c>
      <c r="M21" s="48">
        <f>AVERAGE('29.07.Jinja RD-Mukwano'!M21,'30.7.Jinja RD-Mukwano RD'!M21,'31.07.Jinja RD-Mukwano RD'!M21,'1.08.Jinja RD-Mukwano RBT 24h'!M21,'02.08.Mukwano-Jinja'!M21,'03.8.Jinja-Mukwano 24h'!M21,'04.08.Jinja RD-Mukwano'!M21)</f>
        <v>440.71428571428572</v>
      </c>
      <c r="N21" s="48">
        <f>AVERAGE('29.07.Jinja RD-Mukwano'!N21,'30.7.Jinja RD-Mukwano RD'!N21,'31.07.Jinja RD-Mukwano RD'!N21,'1.08.Jinja RD-Mukwano RBT 24h'!N21,'02.08.Mukwano-Jinja'!N21,'03.8.Jinja-Mukwano 24h'!N21,'04.08.Jinja RD-Mukwano'!N21)</f>
        <v>0.2857142857142857</v>
      </c>
      <c r="O21" s="15">
        <f t="shared" si="0"/>
        <v>202.00000000000003</v>
      </c>
      <c r="P21" s="15">
        <f t="shared" si="1"/>
        <v>642.71428571428578</v>
      </c>
      <c r="R21" s="35" t="s">
        <v>20</v>
      </c>
      <c r="S21" s="33">
        <f t="shared" ref="S21:AF21" si="13">SUM(C54:C57)</f>
        <v>606.42857142857133</v>
      </c>
      <c r="T21" s="17">
        <f t="shared" si="13"/>
        <v>106</v>
      </c>
      <c r="U21" s="17">
        <f t="shared" si="13"/>
        <v>38.857142857142861</v>
      </c>
      <c r="V21" s="17">
        <f t="shared" si="13"/>
        <v>25.714285714285715</v>
      </c>
      <c r="W21" s="17">
        <f t="shared" si="13"/>
        <v>5</v>
      </c>
      <c r="X21" s="17">
        <f t="shared" si="13"/>
        <v>1.2857142857142856</v>
      </c>
      <c r="Y21" s="17">
        <f t="shared" si="13"/>
        <v>32.714285714285715</v>
      </c>
      <c r="Z21" s="17">
        <f t="shared" si="13"/>
        <v>15.142857142857142</v>
      </c>
      <c r="AA21" s="17">
        <f t="shared" si="13"/>
        <v>6.7142857142857144</v>
      </c>
      <c r="AB21" s="17">
        <f t="shared" si="13"/>
        <v>6.8571428571428577</v>
      </c>
      <c r="AC21" s="17">
        <f t="shared" si="13"/>
        <v>1682.4285714285713</v>
      </c>
      <c r="AD21" s="17">
        <f t="shared" si="13"/>
        <v>0.14285714285714285</v>
      </c>
      <c r="AE21" s="30">
        <f t="shared" si="13"/>
        <v>844.85714285714278</v>
      </c>
      <c r="AF21" s="30">
        <f t="shared" si="13"/>
        <v>2527.2857142857142</v>
      </c>
    </row>
    <row r="22" spans="2:32" ht="23.1" customHeight="1" x14ac:dyDescent="0.25">
      <c r="B22" s="22" t="s">
        <v>49</v>
      </c>
      <c r="C22" s="48">
        <f>AVERAGE('29.07.Jinja RD-Mukwano'!C22,'30.7.Jinja RD-Mukwano RD'!C22,'31.07.Jinja RD-Mukwano RD'!C22,'1.08.Jinja RD-Mukwano RBT 24h'!C22,'02.08.Mukwano-Jinja'!C22,'03.8.Jinja-Mukwano 24h'!C22,'04.08.Jinja RD-Mukwano'!C22)</f>
        <v>129</v>
      </c>
      <c r="D22" s="48">
        <f>AVERAGE('29.07.Jinja RD-Mukwano'!D22,'30.7.Jinja RD-Mukwano RD'!D22,'31.07.Jinja RD-Mukwano RD'!D22,'1.08.Jinja RD-Mukwano RBT 24h'!D22,'02.08.Mukwano-Jinja'!D22,'03.8.Jinja-Mukwano 24h'!D22,'04.08.Jinja RD-Mukwano'!D22)</f>
        <v>30.285714285714285</v>
      </c>
      <c r="E22" s="48">
        <f>AVERAGE('29.07.Jinja RD-Mukwano'!E22,'30.7.Jinja RD-Mukwano RD'!E22,'31.07.Jinja RD-Mukwano RD'!E22,'1.08.Jinja RD-Mukwano RBT 24h'!E22,'02.08.Mukwano-Jinja'!E22,'03.8.Jinja-Mukwano 24h'!E22,'04.08.Jinja RD-Mukwano'!E22)</f>
        <v>16.142857142857142</v>
      </c>
      <c r="F22" s="48">
        <f>AVERAGE('29.07.Jinja RD-Mukwano'!F22,'30.7.Jinja RD-Mukwano RD'!F22,'31.07.Jinja RD-Mukwano RD'!F22,'1.08.Jinja RD-Mukwano RBT 24h'!F22,'02.08.Mukwano-Jinja'!F22,'03.8.Jinja-Mukwano 24h'!F22,'04.08.Jinja RD-Mukwano'!F22)</f>
        <v>6.5714285714285712</v>
      </c>
      <c r="G22" s="48">
        <f>AVERAGE('29.07.Jinja RD-Mukwano'!G22,'30.7.Jinja RD-Mukwano RD'!G22,'31.07.Jinja RD-Mukwano RD'!G22,'1.08.Jinja RD-Mukwano RBT 24h'!G22,'02.08.Mukwano-Jinja'!G22,'03.8.Jinja-Mukwano 24h'!G22,'04.08.Jinja RD-Mukwano'!G22)</f>
        <v>0.8571428571428571</v>
      </c>
      <c r="H22" s="48">
        <f>AVERAGE('29.07.Jinja RD-Mukwano'!H22,'30.7.Jinja RD-Mukwano RD'!H22,'31.07.Jinja RD-Mukwano RD'!H22,'1.08.Jinja RD-Mukwano RBT 24h'!H22,'02.08.Mukwano-Jinja'!H22,'03.8.Jinja-Mukwano 24h'!H22,'04.08.Jinja RD-Mukwano'!H22)</f>
        <v>0</v>
      </c>
      <c r="I22" s="48">
        <f>AVERAGE('29.07.Jinja RD-Mukwano'!I22,'30.7.Jinja RD-Mukwano RD'!I22,'31.07.Jinja RD-Mukwano RD'!I22,'1.08.Jinja RD-Mukwano RBT 24h'!I22,'02.08.Mukwano-Jinja'!I22,'03.8.Jinja-Mukwano 24h'!I22,'04.08.Jinja RD-Mukwano'!I22)</f>
        <v>9.4285714285714288</v>
      </c>
      <c r="J22" s="48">
        <f>AVERAGE('29.07.Jinja RD-Mukwano'!J22,'30.7.Jinja RD-Mukwano RD'!J22,'31.07.Jinja RD-Mukwano RD'!J22,'1.08.Jinja RD-Mukwano RBT 24h'!J22,'02.08.Mukwano-Jinja'!J22,'03.8.Jinja-Mukwano 24h'!J22,'04.08.Jinja RD-Mukwano'!J22)</f>
        <v>3.7142857142857144</v>
      </c>
      <c r="K22" s="48">
        <f>AVERAGE('29.07.Jinja RD-Mukwano'!K22,'30.7.Jinja RD-Mukwano RD'!K22,'31.07.Jinja RD-Mukwano RD'!K22,'1.08.Jinja RD-Mukwano RBT 24h'!K22,'02.08.Mukwano-Jinja'!K22,'03.8.Jinja-Mukwano 24h'!K22,'04.08.Jinja RD-Mukwano'!K22)</f>
        <v>1.7142857142857142</v>
      </c>
      <c r="L22" s="48">
        <f>AVERAGE('29.07.Jinja RD-Mukwano'!L22,'30.7.Jinja RD-Mukwano RD'!L22,'31.07.Jinja RD-Mukwano RD'!L22,'1.08.Jinja RD-Mukwano RBT 24h'!L22,'02.08.Mukwano-Jinja'!L22,'03.8.Jinja-Mukwano 24h'!L22,'04.08.Jinja RD-Mukwano'!L22)</f>
        <v>3.2857142857142856</v>
      </c>
      <c r="M22" s="48">
        <f>AVERAGE('29.07.Jinja RD-Mukwano'!M22,'30.7.Jinja RD-Mukwano RD'!M22,'31.07.Jinja RD-Mukwano RD'!M22,'1.08.Jinja RD-Mukwano RBT 24h'!M22,'02.08.Mukwano-Jinja'!M22,'03.8.Jinja-Mukwano 24h'!M22,'04.08.Jinja RD-Mukwano'!M22)</f>
        <v>548.14285714285711</v>
      </c>
      <c r="N22" s="48">
        <f>AVERAGE('29.07.Jinja RD-Mukwano'!N22,'30.7.Jinja RD-Mukwano RD'!N22,'31.07.Jinja RD-Mukwano RD'!N22,'1.08.Jinja RD-Mukwano RBT 24h'!N22,'02.08.Mukwano-Jinja'!N22,'03.8.Jinja-Mukwano 24h'!N22,'04.08.Jinja RD-Mukwano'!N22)</f>
        <v>0.14285714285714285</v>
      </c>
      <c r="O22" s="15">
        <f t="shared" si="0"/>
        <v>201.14285714285714</v>
      </c>
      <c r="P22" s="15">
        <f t="shared" si="1"/>
        <v>749.28571428571422</v>
      </c>
      <c r="R22" s="1" t="s">
        <v>146</v>
      </c>
      <c r="S22" s="33">
        <f>SUM(C58:C61)</f>
        <v>740</v>
      </c>
      <c r="T22" s="33">
        <f t="shared" ref="T22:AF22" si="14">SUM(D58:D61)</f>
        <v>342.5</v>
      </c>
      <c r="U22" s="33">
        <f t="shared" si="14"/>
        <v>47.5</v>
      </c>
      <c r="V22" s="33">
        <f t="shared" si="14"/>
        <v>19.5</v>
      </c>
      <c r="W22" s="33">
        <f t="shared" si="14"/>
        <v>2</v>
      </c>
      <c r="X22" s="33">
        <f t="shared" si="14"/>
        <v>1</v>
      </c>
      <c r="Y22" s="33">
        <f t="shared" si="14"/>
        <v>17</v>
      </c>
      <c r="Z22" s="33">
        <f t="shared" si="14"/>
        <v>8.5</v>
      </c>
      <c r="AA22" s="33">
        <f t="shared" si="14"/>
        <v>5</v>
      </c>
      <c r="AB22" s="33">
        <f t="shared" si="14"/>
        <v>3</v>
      </c>
      <c r="AC22" s="33">
        <f t="shared" si="14"/>
        <v>1244</v>
      </c>
      <c r="AD22" s="33">
        <f t="shared" si="14"/>
        <v>0</v>
      </c>
      <c r="AE22" s="30">
        <f t="shared" si="14"/>
        <v>1186</v>
      </c>
      <c r="AF22" s="30">
        <f t="shared" si="14"/>
        <v>2430</v>
      </c>
    </row>
    <row r="23" spans="2:32" ht="23.1" customHeight="1" x14ac:dyDescent="0.25">
      <c r="B23" s="22" t="s">
        <v>50</v>
      </c>
      <c r="C23" s="48">
        <f>AVERAGE('29.07.Jinja RD-Mukwano'!C23,'30.7.Jinja RD-Mukwano RD'!C23,'31.07.Jinja RD-Mukwano RD'!C23,'1.08.Jinja RD-Mukwano RBT 24h'!C23,'02.08.Mukwano-Jinja'!C23,'03.8.Jinja-Mukwano 24h'!C23,'04.08.Jinja RD-Mukwano'!C23)</f>
        <v>138</v>
      </c>
      <c r="D23" s="48">
        <f>AVERAGE('29.07.Jinja RD-Mukwano'!D23,'30.7.Jinja RD-Mukwano RD'!D23,'31.07.Jinja RD-Mukwano RD'!D23,'1.08.Jinja RD-Mukwano RBT 24h'!D23,'02.08.Mukwano-Jinja'!D23,'03.8.Jinja-Mukwano 24h'!D23,'04.08.Jinja RD-Mukwano'!D23)</f>
        <v>26</v>
      </c>
      <c r="E23" s="48">
        <f>AVERAGE('29.07.Jinja RD-Mukwano'!E23,'30.7.Jinja RD-Mukwano RD'!E23,'31.07.Jinja RD-Mukwano RD'!E23,'1.08.Jinja RD-Mukwano RBT 24h'!E23,'02.08.Mukwano-Jinja'!E23,'03.8.Jinja-Mukwano 24h'!E23,'04.08.Jinja RD-Mukwano'!E23)</f>
        <v>10.285714285714286</v>
      </c>
      <c r="F23" s="48">
        <f>AVERAGE('29.07.Jinja RD-Mukwano'!F23,'30.7.Jinja RD-Mukwano RD'!F23,'31.07.Jinja RD-Mukwano RD'!F23,'1.08.Jinja RD-Mukwano RBT 24h'!F23,'02.08.Mukwano-Jinja'!F23,'03.8.Jinja-Mukwano 24h'!F23,'04.08.Jinja RD-Mukwano'!F23)</f>
        <v>4.2857142857142856</v>
      </c>
      <c r="G23" s="48">
        <f>AVERAGE('29.07.Jinja RD-Mukwano'!G23,'30.7.Jinja RD-Mukwano RD'!G23,'31.07.Jinja RD-Mukwano RD'!G23,'1.08.Jinja RD-Mukwano RBT 24h'!G23,'02.08.Mukwano-Jinja'!G23,'03.8.Jinja-Mukwano 24h'!G23,'04.08.Jinja RD-Mukwano'!G23)</f>
        <v>0.2857142857142857</v>
      </c>
      <c r="H23" s="48">
        <f>AVERAGE('29.07.Jinja RD-Mukwano'!H23,'30.7.Jinja RD-Mukwano RD'!H23,'31.07.Jinja RD-Mukwano RD'!H23,'1.08.Jinja RD-Mukwano RBT 24h'!H23,'02.08.Mukwano-Jinja'!H23,'03.8.Jinja-Mukwano 24h'!H23,'04.08.Jinja RD-Mukwano'!H23)</f>
        <v>0.14285714285714285</v>
      </c>
      <c r="I23" s="48">
        <f>AVERAGE('29.07.Jinja RD-Mukwano'!I23,'30.7.Jinja RD-Mukwano RD'!I23,'31.07.Jinja RD-Mukwano RD'!I23,'1.08.Jinja RD-Mukwano RBT 24h'!I23,'02.08.Mukwano-Jinja'!I23,'03.8.Jinja-Mukwano 24h'!I23,'04.08.Jinja RD-Mukwano'!I23)</f>
        <v>10.142857142857142</v>
      </c>
      <c r="J23" s="48">
        <f>AVERAGE('29.07.Jinja RD-Mukwano'!J23,'30.7.Jinja RD-Mukwano RD'!J23,'31.07.Jinja RD-Mukwano RD'!J23,'1.08.Jinja RD-Mukwano RBT 24h'!J23,'02.08.Mukwano-Jinja'!J23,'03.8.Jinja-Mukwano 24h'!J23,'04.08.Jinja RD-Mukwano'!J23)</f>
        <v>5.1428571428571432</v>
      </c>
      <c r="K23" s="48">
        <f>AVERAGE('29.07.Jinja RD-Mukwano'!K23,'30.7.Jinja RD-Mukwano RD'!K23,'31.07.Jinja RD-Mukwano RD'!K23,'1.08.Jinja RD-Mukwano RBT 24h'!K23,'02.08.Mukwano-Jinja'!K23,'03.8.Jinja-Mukwano 24h'!K23,'04.08.Jinja RD-Mukwano'!K23)</f>
        <v>2.5714285714285716</v>
      </c>
      <c r="L23" s="48">
        <f>AVERAGE('29.07.Jinja RD-Mukwano'!L23,'30.7.Jinja RD-Mukwano RD'!L23,'31.07.Jinja RD-Mukwano RD'!L23,'1.08.Jinja RD-Mukwano RBT 24h'!L23,'02.08.Mukwano-Jinja'!L23,'03.8.Jinja-Mukwano 24h'!L23,'04.08.Jinja RD-Mukwano'!L23)</f>
        <v>1.5714285714285714</v>
      </c>
      <c r="M23" s="48">
        <f>AVERAGE('29.07.Jinja RD-Mukwano'!M23,'30.7.Jinja RD-Mukwano RD'!M23,'31.07.Jinja RD-Mukwano RD'!M23,'1.08.Jinja RD-Mukwano RBT 24h'!M23,'02.08.Mukwano-Jinja'!M23,'03.8.Jinja-Mukwano 24h'!M23,'04.08.Jinja RD-Mukwano'!M23)</f>
        <v>466</v>
      </c>
      <c r="N23" s="48">
        <f>AVERAGE('29.07.Jinja RD-Mukwano'!N23,'30.7.Jinja RD-Mukwano RD'!N23,'31.07.Jinja RD-Mukwano RD'!N23,'1.08.Jinja RD-Mukwano RBT 24h'!N23,'02.08.Mukwano-Jinja'!N23,'03.8.Jinja-Mukwano 24h'!N23,'04.08.Jinja RD-Mukwano'!N23)</f>
        <v>0.42857142857142855</v>
      </c>
      <c r="O23" s="15">
        <f t="shared" si="0"/>
        <v>198.85714285714283</v>
      </c>
      <c r="P23" s="15">
        <f t="shared" si="1"/>
        <v>664.85714285714289</v>
      </c>
      <c r="R23" s="1" t="s">
        <v>147</v>
      </c>
      <c r="S23" s="33">
        <f>SUM(C62:C65)</f>
        <v>807.5</v>
      </c>
      <c r="T23" s="33">
        <f t="shared" ref="T23:AF23" si="15">SUM(D62:D65)</f>
        <v>206</v>
      </c>
      <c r="U23" s="33">
        <f t="shared" si="15"/>
        <v>42</v>
      </c>
      <c r="V23" s="33">
        <f t="shared" si="15"/>
        <v>26.5</v>
      </c>
      <c r="W23" s="33">
        <f t="shared" si="15"/>
        <v>1</v>
      </c>
      <c r="X23" s="33">
        <f t="shared" si="15"/>
        <v>0.5</v>
      </c>
      <c r="Y23" s="33">
        <f t="shared" si="15"/>
        <v>14</v>
      </c>
      <c r="Z23" s="33">
        <f t="shared" si="15"/>
        <v>3.5</v>
      </c>
      <c r="AA23" s="33">
        <f t="shared" si="15"/>
        <v>4.5</v>
      </c>
      <c r="AB23" s="33">
        <f t="shared" si="15"/>
        <v>2</v>
      </c>
      <c r="AC23" s="33">
        <f t="shared" si="15"/>
        <v>1206</v>
      </c>
      <c r="AD23" s="33">
        <f t="shared" si="15"/>
        <v>0</v>
      </c>
      <c r="AE23" s="30">
        <f t="shared" si="15"/>
        <v>1107.5</v>
      </c>
      <c r="AF23" s="30">
        <f t="shared" si="15"/>
        <v>2313.5</v>
      </c>
    </row>
    <row r="24" spans="2:32" ht="23.1" customHeight="1" x14ac:dyDescent="0.25">
      <c r="B24" s="22" t="s">
        <v>51</v>
      </c>
      <c r="C24" s="48">
        <f>AVERAGE('29.07.Jinja RD-Mukwano'!C24,'30.7.Jinja RD-Mukwano RD'!C24,'31.07.Jinja RD-Mukwano RD'!C24,'1.08.Jinja RD-Mukwano RBT 24h'!C24,'02.08.Mukwano-Jinja'!C24,'03.8.Jinja-Mukwano 24h'!C24,'04.08.Jinja RD-Mukwano'!C24)</f>
        <v>134.14285714285714</v>
      </c>
      <c r="D24" s="48">
        <f>AVERAGE('29.07.Jinja RD-Mukwano'!D24,'30.7.Jinja RD-Mukwano RD'!D24,'31.07.Jinja RD-Mukwano RD'!D24,'1.08.Jinja RD-Mukwano RBT 24h'!D24,'02.08.Mukwano-Jinja'!D24,'03.8.Jinja-Mukwano 24h'!D24,'04.08.Jinja RD-Mukwano'!D24)</f>
        <v>25.714285714285715</v>
      </c>
      <c r="E24" s="48">
        <f>AVERAGE('29.07.Jinja RD-Mukwano'!E24,'30.7.Jinja RD-Mukwano RD'!E24,'31.07.Jinja RD-Mukwano RD'!E24,'1.08.Jinja RD-Mukwano RBT 24h'!E24,'02.08.Mukwano-Jinja'!E24,'03.8.Jinja-Mukwano 24h'!E24,'04.08.Jinja RD-Mukwano'!E24)</f>
        <v>13.142857142857142</v>
      </c>
      <c r="F24" s="48">
        <f>AVERAGE('29.07.Jinja RD-Mukwano'!F24,'30.7.Jinja RD-Mukwano RD'!F24,'31.07.Jinja RD-Mukwano RD'!F24,'1.08.Jinja RD-Mukwano RBT 24h'!F24,'02.08.Mukwano-Jinja'!F24,'03.8.Jinja-Mukwano 24h'!F24,'04.08.Jinja RD-Mukwano'!F24)</f>
        <v>6.1428571428571432</v>
      </c>
      <c r="G24" s="48">
        <f>AVERAGE('29.07.Jinja RD-Mukwano'!G24,'30.7.Jinja RD-Mukwano RD'!G24,'31.07.Jinja RD-Mukwano RD'!G24,'1.08.Jinja RD-Mukwano RBT 24h'!G24,'02.08.Mukwano-Jinja'!G24,'03.8.Jinja-Mukwano 24h'!G24,'04.08.Jinja RD-Mukwano'!G24)</f>
        <v>0.42857142857142855</v>
      </c>
      <c r="H24" s="48">
        <f>AVERAGE('29.07.Jinja RD-Mukwano'!H24,'30.7.Jinja RD-Mukwano RD'!H24,'31.07.Jinja RD-Mukwano RD'!H24,'1.08.Jinja RD-Mukwano RBT 24h'!H24,'02.08.Mukwano-Jinja'!H24,'03.8.Jinja-Mukwano 24h'!H24,'04.08.Jinja RD-Mukwano'!H24)</f>
        <v>0</v>
      </c>
      <c r="I24" s="48">
        <f>AVERAGE('29.07.Jinja RD-Mukwano'!I24,'30.7.Jinja RD-Mukwano RD'!I24,'31.07.Jinja RD-Mukwano RD'!I24,'1.08.Jinja RD-Mukwano RBT 24h'!I24,'02.08.Mukwano-Jinja'!I24,'03.8.Jinja-Mukwano 24h'!I24,'04.08.Jinja RD-Mukwano'!I24)</f>
        <v>8.4285714285714288</v>
      </c>
      <c r="J24" s="48">
        <f>AVERAGE('29.07.Jinja RD-Mukwano'!J24,'30.7.Jinja RD-Mukwano RD'!J24,'31.07.Jinja RD-Mukwano RD'!J24,'1.08.Jinja RD-Mukwano RBT 24h'!J24,'02.08.Mukwano-Jinja'!J24,'03.8.Jinja-Mukwano 24h'!J24,'04.08.Jinja RD-Mukwano'!J24)</f>
        <v>4.7142857142857144</v>
      </c>
      <c r="K24" s="48">
        <f>AVERAGE('29.07.Jinja RD-Mukwano'!K24,'30.7.Jinja RD-Mukwano RD'!K24,'31.07.Jinja RD-Mukwano RD'!K24,'1.08.Jinja RD-Mukwano RBT 24h'!K24,'02.08.Mukwano-Jinja'!K24,'03.8.Jinja-Mukwano 24h'!K24,'04.08.Jinja RD-Mukwano'!K24)</f>
        <v>3.2857142857142856</v>
      </c>
      <c r="L24" s="48">
        <f>AVERAGE('29.07.Jinja RD-Mukwano'!L24,'30.7.Jinja RD-Mukwano RD'!L24,'31.07.Jinja RD-Mukwano RD'!L24,'1.08.Jinja RD-Mukwano RBT 24h'!L24,'02.08.Mukwano-Jinja'!L24,'03.8.Jinja-Mukwano 24h'!L24,'04.08.Jinja RD-Mukwano'!L24)</f>
        <v>2.7142857142857144</v>
      </c>
      <c r="M24" s="48">
        <f>AVERAGE('29.07.Jinja RD-Mukwano'!M24,'30.7.Jinja RD-Mukwano RD'!M24,'31.07.Jinja RD-Mukwano RD'!M24,'1.08.Jinja RD-Mukwano RBT 24h'!M24,'02.08.Mukwano-Jinja'!M24,'03.8.Jinja-Mukwano 24h'!M24,'04.08.Jinja RD-Mukwano'!M24)</f>
        <v>505</v>
      </c>
      <c r="N24" s="48">
        <f>AVERAGE('29.07.Jinja RD-Mukwano'!N24,'30.7.Jinja RD-Mukwano RD'!N24,'31.07.Jinja RD-Mukwano RD'!N24,'1.08.Jinja RD-Mukwano RBT 24h'!N24,'02.08.Mukwano-Jinja'!N24,'03.8.Jinja-Mukwano 24h'!N24,'04.08.Jinja RD-Mukwano'!N24)</f>
        <v>0.14285714285714285</v>
      </c>
      <c r="O24" s="15">
        <f t="shared" si="0"/>
        <v>198.85714285714283</v>
      </c>
      <c r="P24" s="15">
        <f t="shared" si="1"/>
        <v>703.85714285714278</v>
      </c>
      <c r="R24" s="1" t="s">
        <v>148</v>
      </c>
      <c r="S24" s="33">
        <f>SUM(C66:C69)</f>
        <v>653</v>
      </c>
      <c r="T24" s="33">
        <f t="shared" ref="T24:AF24" si="16">SUM(D66:D69)</f>
        <v>245</v>
      </c>
      <c r="U24" s="33">
        <f t="shared" si="16"/>
        <v>37</v>
      </c>
      <c r="V24" s="33">
        <f t="shared" si="16"/>
        <v>12.5</v>
      </c>
      <c r="W24" s="33">
        <f t="shared" si="16"/>
        <v>3</v>
      </c>
      <c r="X24" s="33">
        <f t="shared" si="16"/>
        <v>0</v>
      </c>
      <c r="Y24" s="33">
        <f t="shared" si="16"/>
        <v>17</v>
      </c>
      <c r="Z24" s="33">
        <f t="shared" si="16"/>
        <v>10</v>
      </c>
      <c r="AA24" s="33">
        <f t="shared" si="16"/>
        <v>2.5</v>
      </c>
      <c r="AB24" s="33">
        <f t="shared" si="16"/>
        <v>10</v>
      </c>
      <c r="AC24" s="33">
        <f t="shared" si="16"/>
        <v>1252</v>
      </c>
      <c r="AD24" s="33">
        <f t="shared" si="16"/>
        <v>0</v>
      </c>
      <c r="AE24" s="30">
        <f t="shared" si="16"/>
        <v>990</v>
      </c>
      <c r="AF24" s="30">
        <f t="shared" si="16"/>
        <v>2242</v>
      </c>
    </row>
    <row r="25" spans="2:32" ht="23.1" customHeight="1" x14ac:dyDescent="0.25">
      <c r="B25" s="22" t="s">
        <v>52</v>
      </c>
      <c r="C25" s="48">
        <f>AVERAGE('29.07.Jinja RD-Mukwano'!C25,'30.7.Jinja RD-Mukwano RD'!C25,'31.07.Jinja RD-Mukwano RD'!C25,'1.08.Jinja RD-Mukwano RBT 24h'!C25,'02.08.Mukwano-Jinja'!C25,'03.8.Jinja-Mukwano 24h'!C25,'04.08.Jinja RD-Mukwano'!C25)</f>
        <v>136.42857142857142</v>
      </c>
      <c r="D25" s="48">
        <f>AVERAGE('29.07.Jinja RD-Mukwano'!D25,'30.7.Jinja RD-Mukwano RD'!D25,'31.07.Jinja RD-Mukwano RD'!D25,'1.08.Jinja RD-Mukwano RBT 24h'!D25,'02.08.Mukwano-Jinja'!D25,'03.8.Jinja-Mukwano 24h'!D25,'04.08.Jinja RD-Mukwano'!D25)</f>
        <v>25</v>
      </c>
      <c r="E25" s="48">
        <f>AVERAGE('29.07.Jinja RD-Mukwano'!E25,'30.7.Jinja RD-Mukwano RD'!E25,'31.07.Jinja RD-Mukwano RD'!E25,'1.08.Jinja RD-Mukwano RBT 24h'!E25,'02.08.Mukwano-Jinja'!E25,'03.8.Jinja-Mukwano 24h'!E25,'04.08.Jinja RD-Mukwano'!E25)</f>
        <v>9.5714285714285712</v>
      </c>
      <c r="F25" s="48">
        <f>AVERAGE('29.07.Jinja RD-Mukwano'!F25,'30.7.Jinja RD-Mukwano RD'!F25,'31.07.Jinja RD-Mukwano RD'!F25,'1.08.Jinja RD-Mukwano RBT 24h'!F25,'02.08.Mukwano-Jinja'!F25,'03.8.Jinja-Mukwano 24h'!F25,'04.08.Jinja RD-Mukwano'!F25)</f>
        <v>5.5714285714285712</v>
      </c>
      <c r="G25" s="48">
        <f>AVERAGE('29.07.Jinja RD-Mukwano'!G25,'30.7.Jinja RD-Mukwano RD'!G25,'31.07.Jinja RD-Mukwano RD'!G25,'1.08.Jinja RD-Mukwano RBT 24h'!G25,'02.08.Mukwano-Jinja'!G25,'03.8.Jinja-Mukwano 24h'!G25,'04.08.Jinja RD-Mukwano'!G25)</f>
        <v>1.2857142857142858</v>
      </c>
      <c r="H25" s="48">
        <f>AVERAGE('29.07.Jinja RD-Mukwano'!H25,'30.7.Jinja RD-Mukwano RD'!H25,'31.07.Jinja RD-Mukwano RD'!H25,'1.08.Jinja RD-Mukwano RBT 24h'!H25,'02.08.Mukwano-Jinja'!H25,'03.8.Jinja-Mukwano 24h'!H25,'04.08.Jinja RD-Mukwano'!H25)</f>
        <v>0.14285714285714285</v>
      </c>
      <c r="I25" s="48">
        <f>AVERAGE('29.07.Jinja RD-Mukwano'!I25,'30.7.Jinja RD-Mukwano RD'!I25,'31.07.Jinja RD-Mukwano RD'!I25,'1.08.Jinja RD-Mukwano RBT 24h'!I25,'02.08.Mukwano-Jinja'!I25,'03.8.Jinja-Mukwano 24h'!I25,'04.08.Jinja RD-Mukwano'!I25)</f>
        <v>7.4285714285714288</v>
      </c>
      <c r="J25" s="48">
        <f>AVERAGE('29.07.Jinja RD-Mukwano'!J25,'30.7.Jinja RD-Mukwano RD'!J25,'31.07.Jinja RD-Mukwano RD'!J25,'1.08.Jinja RD-Mukwano RBT 24h'!J25,'02.08.Mukwano-Jinja'!J25,'03.8.Jinja-Mukwano 24h'!J25,'04.08.Jinja RD-Mukwano'!J25)</f>
        <v>3.7142857142857144</v>
      </c>
      <c r="K25" s="48">
        <f>AVERAGE('29.07.Jinja RD-Mukwano'!K25,'30.7.Jinja RD-Mukwano RD'!K25,'31.07.Jinja RD-Mukwano RD'!K25,'1.08.Jinja RD-Mukwano RBT 24h'!K25,'02.08.Mukwano-Jinja'!K25,'03.8.Jinja-Mukwano 24h'!K25,'04.08.Jinja RD-Mukwano'!K25)</f>
        <v>2.7142857142857144</v>
      </c>
      <c r="L25" s="48">
        <f>AVERAGE('29.07.Jinja RD-Mukwano'!L25,'30.7.Jinja RD-Mukwano RD'!L25,'31.07.Jinja RD-Mukwano RD'!L25,'1.08.Jinja RD-Mukwano RBT 24h'!L25,'02.08.Mukwano-Jinja'!L25,'03.8.Jinja-Mukwano 24h'!L25,'04.08.Jinja RD-Mukwano'!L25)</f>
        <v>2.4285714285714284</v>
      </c>
      <c r="M25" s="48">
        <f>AVERAGE('29.07.Jinja RD-Mukwano'!M25,'30.7.Jinja RD-Mukwano RD'!M25,'31.07.Jinja RD-Mukwano RD'!M25,'1.08.Jinja RD-Mukwano RBT 24h'!M25,'02.08.Mukwano-Jinja'!M25,'03.8.Jinja-Mukwano 24h'!M25,'04.08.Jinja RD-Mukwano'!M25)</f>
        <v>462</v>
      </c>
      <c r="N25" s="48">
        <f>AVERAGE('29.07.Jinja RD-Mukwano'!N25,'30.7.Jinja RD-Mukwano RD'!N25,'31.07.Jinja RD-Mukwano RD'!N25,'1.08.Jinja RD-Mukwano RBT 24h'!N25,'02.08.Mukwano-Jinja'!N25,'03.8.Jinja-Mukwano 24h'!N25,'04.08.Jinja RD-Mukwano'!N25)</f>
        <v>0.2857142857142857</v>
      </c>
      <c r="O25" s="15">
        <f t="shared" si="0"/>
        <v>194.57142857142856</v>
      </c>
      <c r="P25" s="15">
        <f t="shared" si="1"/>
        <v>656.57142857142856</v>
      </c>
      <c r="R25" s="1" t="s">
        <v>149</v>
      </c>
      <c r="S25" s="33">
        <f>SUM(C70:C73)</f>
        <v>468</v>
      </c>
      <c r="T25" s="33">
        <f t="shared" ref="T25:AF25" si="17">SUM(D70:D73)</f>
        <v>104</v>
      </c>
      <c r="U25" s="33">
        <f t="shared" si="17"/>
        <v>33</v>
      </c>
      <c r="V25" s="33">
        <f t="shared" si="17"/>
        <v>11.5</v>
      </c>
      <c r="W25" s="33">
        <f t="shared" si="17"/>
        <v>0.5</v>
      </c>
      <c r="X25" s="33">
        <f t="shared" si="17"/>
        <v>4.5</v>
      </c>
      <c r="Y25" s="33">
        <f t="shared" si="17"/>
        <v>19.5</v>
      </c>
      <c r="Z25" s="33">
        <f t="shared" si="17"/>
        <v>2.5</v>
      </c>
      <c r="AA25" s="33">
        <f t="shared" si="17"/>
        <v>4.5</v>
      </c>
      <c r="AB25" s="33">
        <f t="shared" si="17"/>
        <v>3</v>
      </c>
      <c r="AC25" s="33">
        <f t="shared" si="17"/>
        <v>1025</v>
      </c>
      <c r="AD25" s="33">
        <f t="shared" si="17"/>
        <v>0</v>
      </c>
      <c r="AE25" s="30">
        <f t="shared" si="17"/>
        <v>651</v>
      </c>
      <c r="AF25" s="30">
        <f t="shared" si="17"/>
        <v>1676</v>
      </c>
    </row>
    <row r="26" spans="2:32" ht="23.1" customHeight="1" x14ac:dyDescent="0.25">
      <c r="B26" s="22" t="s">
        <v>53</v>
      </c>
      <c r="C26" s="48">
        <f>AVERAGE('29.07.Jinja RD-Mukwano'!C26,'30.7.Jinja RD-Mukwano RD'!C26,'31.07.Jinja RD-Mukwano RD'!C26,'1.08.Jinja RD-Mukwano RBT 24h'!C26,'02.08.Mukwano-Jinja'!C26,'03.8.Jinja-Mukwano 24h'!C26,'04.08.Jinja RD-Mukwano'!C26)</f>
        <v>143.28571428571428</v>
      </c>
      <c r="D26" s="48">
        <f>AVERAGE('29.07.Jinja RD-Mukwano'!D26,'30.7.Jinja RD-Mukwano RD'!D26,'31.07.Jinja RD-Mukwano RD'!D26,'1.08.Jinja RD-Mukwano RBT 24h'!D26,'02.08.Mukwano-Jinja'!D26,'03.8.Jinja-Mukwano 24h'!D26,'04.08.Jinja RD-Mukwano'!D26)</f>
        <v>21.285714285714285</v>
      </c>
      <c r="E26" s="48">
        <f>AVERAGE('29.07.Jinja RD-Mukwano'!E26,'30.7.Jinja RD-Mukwano RD'!E26,'31.07.Jinja RD-Mukwano RD'!E26,'1.08.Jinja RD-Mukwano RBT 24h'!E26,'02.08.Mukwano-Jinja'!E26,'03.8.Jinja-Mukwano 24h'!E26,'04.08.Jinja RD-Mukwano'!E26)</f>
        <v>11.857142857142858</v>
      </c>
      <c r="F26" s="48">
        <f>AVERAGE('29.07.Jinja RD-Mukwano'!F26,'30.7.Jinja RD-Mukwano RD'!F26,'31.07.Jinja RD-Mukwano RD'!F26,'1.08.Jinja RD-Mukwano RBT 24h'!F26,'02.08.Mukwano-Jinja'!F26,'03.8.Jinja-Mukwano 24h'!F26,'04.08.Jinja RD-Mukwano'!F26)</f>
        <v>5.4285714285714288</v>
      </c>
      <c r="G26" s="48">
        <f>AVERAGE('29.07.Jinja RD-Mukwano'!G26,'30.7.Jinja RD-Mukwano RD'!G26,'31.07.Jinja RD-Mukwano RD'!G26,'1.08.Jinja RD-Mukwano RBT 24h'!G26,'02.08.Mukwano-Jinja'!G26,'03.8.Jinja-Mukwano 24h'!G26,'04.08.Jinja RD-Mukwano'!G26)</f>
        <v>2.8571428571428572</v>
      </c>
      <c r="H26" s="48">
        <f>AVERAGE('29.07.Jinja RD-Mukwano'!H26,'30.7.Jinja RD-Mukwano RD'!H26,'31.07.Jinja RD-Mukwano RD'!H26,'1.08.Jinja RD-Mukwano RBT 24h'!H26,'02.08.Mukwano-Jinja'!H26,'03.8.Jinja-Mukwano 24h'!H26,'04.08.Jinja RD-Mukwano'!H26)</f>
        <v>0.14285714285714285</v>
      </c>
      <c r="I26" s="48">
        <f>AVERAGE('29.07.Jinja RD-Mukwano'!I26,'30.7.Jinja RD-Mukwano RD'!I26,'31.07.Jinja RD-Mukwano RD'!I26,'1.08.Jinja RD-Mukwano RBT 24h'!I26,'02.08.Mukwano-Jinja'!I26,'03.8.Jinja-Mukwano 24h'!I26,'04.08.Jinja RD-Mukwano'!I26)</f>
        <v>10.142857142857142</v>
      </c>
      <c r="J26" s="48">
        <f>AVERAGE('29.07.Jinja RD-Mukwano'!J26,'30.7.Jinja RD-Mukwano RD'!J26,'31.07.Jinja RD-Mukwano RD'!J26,'1.08.Jinja RD-Mukwano RBT 24h'!J26,'02.08.Mukwano-Jinja'!J26,'03.8.Jinja-Mukwano 24h'!J26,'04.08.Jinja RD-Mukwano'!J26)</f>
        <v>6.4285714285714288</v>
      </c>
      <c r="K26" s="48">
        <f>AVERAGE('29.07.Jinja RD-Mukwano'!K26,'30.7.Jinja RD-Mukwano RD'!K26,'31.07.Jinja RD-Mukwano RD'!K26,'1.08.Jinja RD-Mukwano RBT 24h'!K26,'02.08.Mukwano-Jinja'!K26,'03.8.Jinja-Mukwano 24h'!K26,'04.08.Jinja RD-Mukwano'!K26)</f>
        <v>2.2857142857142856</v>
      </c>
      <c r="L26" s="48">
        <f>AVERAGE('29.07.Jinja RD-Mukwano'!L26,'30.7.Jinja RD-Mukwano RD'!L26,'31.07.Jinja RD-Mukwano RD'!L26,'1.08.Jinja RD-Mukwano RBT 24h'!L26,'02.08.Mukwano-Jinja'!L26,'03.8.Jinja-Mukwano 24h'!L26,'04.08.Jinja RD-Mukwano'!L26)</f>
        <v>3.4285714285714284</v>
      </c>
      <c r="M26" s="48">
        <f>AVERAGE('29.07.Jinja RD-Mukwano'!M26,'30.7.Jinja RD-Mukwano RD'!M26,'31.07.Jinja RD-Mukwano RD'!M26,'1.08.Jinja RD-Mukwano RBT 24h'!M26,'02.08.Mukwano-Jinja'!M26,'03.8.Jinja-Mukwano 24h'!M26,'04.08.Jinja RD-Mukwano'!M26)</f>
        <v>493.71428571428572</v>
      </c>
      <c r="N26" s="48">
        <f>AVERAGE('29.07.Jinja RD-Mukwano'!N26,'30.7.Jinja RD-Mukwano RD'!N26,'31.07.Jinja RD-Mukwano RD'!N26,'1.08.Jinja RD-Mukwano RBT 24h'!N26,'02.08.Mukwano-Jinja'!N26,'03.8.Jinja-Mukwano 24h'!N26,'04.08.Jinja RD-Mukwano'!N26)</f>
        <v>0.2857142857142857</v>
      </c>
      <c r="O26" s="15">
        <f t="shared" si="0"/>
        <v>207.42857142857136</v>
      </c>
      <c r="P26" s="15">
        <f t="shared" si="1"/>
        <v>701.14285714285711</v>
      </c>
      <c r="R26" s="1" t="s">
        <v>150</v>
      </c>
      <c r="S26" s="33">
        <f>SUM(C74:C77)</f>
        <v>314.5</v>
      </c>
      <c r="T26" s="33">
        <f t="shared" ref="T26:AF26" si="18">SUM(D74:D77)</f>
        <v>59</v>
      </c>
      <c r="U26" s="33">
        <f t="shared" si="18"/>
        <v>17.5</v>
      </c>
      <c r="V26" s="33">
        <f t="shared" si="18"/>
        <v>8</v>
      </c>
      <c r="W26" s="33">
        <f t="shared" si="18"/>
        <v>0</v>
      </c>
      <c r="X26" s="33">
        <f t="shared" si="18"/>
        <v>0.5</v>
      </c>
      <c r="Y26" s="33">
        <f t="shared" si="18"/>
        <v>15</v>
      </c>
      <c r="Z26" s="33">
        <f t="shared" si="18"/>
        <v>1</v>
      </c>
      <c r="AA26" s="33">
        <f t="shared" si="18"/>
        <v>1.5</v>
      </c>
      <c r="AB26" s="33">
        <f t="shared" si="18"/>
        <v>2.5</v>
      </c>
      <c r="AC26" s="33">
        <f t="shared" si="18"/>
        <v>281.5</v>
      </c>
      <c r="AD26" s="33">
        <f t="shared" si="18"/>
        <v>0</v>
      </c>
      <c r="AE26" s="30">
        <f t="shared" si="18"/>
        <v>419.5</v>
      </c>
      <c r="AF26" s="30">
        <f t="shared" si="18"/>
        <v>701</v>
      </c>
    </row>
    <row r="27" spans="2:32" ht="23.1" customHeight="1" x14ac:dyDescent="0.25">
      <c r="B27" s="22" t="s">
        <v>54</v>
      </c>
      <c r="C27" s="48">
        <f>AVERAGE('29.07.Jinja RD-Mukwano'!C27,'30.7.Jinja RD-Mukwano RD'!C27,'31.07.Jinja RD-Mukwano RD'!C27,'1.08.Jinja RD-Mukwano RBT 24h'!C27,'02.08.Mukwano-Jinja'!C27,'03.8.Jinja-Mukwano 24h'!C27,'04.08.Jinja RD-Mukwano'!C27)</f>
        <v>147.85714285714286</v>
      </c>
      <c r="D27" s="48">
        <f>AVERAGE('29.07.Jinja RD-Mukwano'!D27,'30.7.Jinja RD-Mukwano RD'!D27,'31.07.Jinja RD-Mukwano RD'!D27,'1.08.Jinja RD-Mukwano RBT 24h'!D27,'02.08.Mukwano-Jinja'!D27,'03.8.Jinja-Mukwano 24h'!D27,'04.08.Jinja RD-Mukwano'!D27)</f>
        <v>24.714285714285715</v>
      </c>
      <c r="E27" s="48">
        <f>AVERAGE('29.07.Jinja RD-Mukwano'!E27,'30.7.Jinja RD-Mukwano RD'!E27,'31.07.Jinja RD-Mukwano RD'!E27,'1.08.Jinja RD-Mukwano RBT 24h'!E27,'02.08.Mukwano-Jinja'!E27,'03.8.Jinja-Mukwano 24h'!E27,'04.08.Jinja RD-Mukwano'!E27)</f>
        <v>9.5714285714285712</v>
      </c>
      <c r="F27" s="48">
        <f>AVERAGE('29.07.Jinja RD-Mukwano'!F27,'30.7.Jinja RD-Mukwano RD'!F27,'31.07.Jinja RD-Mukwano RD'!F27,'1.08.Jinja RD-Mukwano RBT 24h'!F27,'02.08.Mukwano-Jinja'!F27,'03.8.Jinja-Mukwano 24h'!F27,'04.08.Jinja RD-Mukwano'!F27)</f>
        <v>5.1428571428571432</v>
      </c>
      <c r="G27" s="48">
        <f>AVERAGE('29.07.Jinja RD-Mukwano'!G27,'30.7.Jinja RD-Mukwano RD'!G27,'31.07.Jinja RD-Mukwano RD'!G27,'1.08.Jinja RD-Mukwano RBT 24h'!G27,'02.08.Mukwano-Jinja'!G27,'03.8.Jinja-Mukwano 24h'!G27,'04.08.Jinja RD-Mukwano'!G27)</f>
        <v>1.2857142857142858</v>
      </c>
      <c r="H27" s="48">
        <f>AVERAGE('29.07.Jinja RD-Mukwano'!H27,'30.7.Jinja RD-Mukwano RD'!H27,'31.07.Jinja RD-Mukwano RD'!H27,'1.08.Jinja RD-Mukwano RBT 24h'!H27,'02.08.Mukwano-Jinja'!H27,'03.8.Jinja-Mukwano 24h'!H27,'04.08.Jinja RD-Mukwano'!H27)</f>
        <v>0</v>
      </c>
      <c r="I27" s="48">
        <f>AVERAGE('29.07.Jinja RD-Mukwano'!I27,'30.7.Jinja RD-Mukwano RD'!I27,'31.07.Jinja RD-Mukwano RD'!I27,'1.08.Jinja RD-Mukwano RBT 24h'!I27,'02.08.Mukwano-Jinja'!I27,'03.8.Jinja-Mukwano 24h'!I27,'04.08.Jinja RD-Mukwano'!I27)</f>
        <v>9.4285714285714288</v>
      </c>
      <c r="J27" s="48">
        <f>AVERAGE('29.07.Jinja RD-Mukwano'!J27,'30.7.Jinja RD-Mukwano RD'!J27,'31.07.Jinja RD-Mukwano RD'!J27,'1.08.Jinja RD-Mukwano RBT 24h'!J27,'02.08.Mukwano-Jinja'!J27,'03.8.Jinja-Mukwano 24h'!J27,'04.08.Jinja RD-Mukwano'!J27)</f>
        <v>4.2857142857142856</v>
      </c>
      <c r="K27" s="48">
        <f>AVERAGE('29.07.Jinja RD-Mukwano'!K27,'30.7.Jinja RD-Mukwano RD'!K27,'31.07.Jinja RD-Mukwano RD'!K27,'1.08.Jinja RD-Mukwano RBT 24h'!K27,'02.08.Mukwano-Jinja'!K27,'03.8.Jinja-Mukwano 24h'!K27,'04.08.Jinja RD-Mukwano'!K27)</f>
        <v>1.8571428571428572</v>
      </c>
      <c r="L27" s="48">
        <f>AVERAGE('29.07.Jinja RD-Mukwano'!L27,'30.7.Jinja RD-Mukwano RD'!L27,'31.07.Jinja RD-Mukwano RD'!L27,'1.08.Jinja RD-Mukwano RBT 24h'!L27,'02.08.Mukwano-Jinja'!L27,'03.8.Jinja-Mukwano 24h'!L27,'04.08.Jinja RD-Mukwano'!L27)</f>
        <v>3.5714285714285716</v>
      </c>
      <c r="M27" s="48">
        <f>AVERAGE('29.07.Jinja RD-Mukwano'!M27,'30.7.Jinja RD-Mukwano RD'!M27,'31.07.Jinja RD-Mukwano RD'!M27,'1.08.Jinja RD-Mukwano RBT 24h'!M27,'02.08.Mukwano-Jinja'!M27,'03.8.Jinja-Mukwano 24h'!M27,'04.08.Jinja RD-Mukwano'!M27)</f>
        <v>491</v>
      </c>
      <c r="N27" s="48">
        <f>AVERAGE('29.07.Jinja RD-Mukwano'!N27,'30.7.Jinja RD-Mukwano RD'!N27,'31.07.Jinja RD-Mukwano RD'!N27,'1.08.Jinja RD-Mukwano RBT 24h'!N27,'02.08.Mukwano-Jinja'!N27,'03.8.Jinja-Mukwano 24h'!N27,'04.08.Jinja RD-Mukwano'!N27)</f>
        <v>0</v>
      </c>
      <c r="O27" s="15">
        <f t="shared" si="0"/>
        <v>207.71428571428572</v>
      </c>
      <c r="P27" s="15">
        <f t="shared" si="1"/>
        <v>698.71428571428578</v>
      </c>
      <c r="R27" s="1" t="s">
        <v>151</v>
      </c>
      <c r="S27" s="33">
        <f>SUM(C78:C81)</f>
        <v>130</v>
      </c>
      <c r="T27" s="33">
        <f t="shared" ref="T27:AF27" si="19">SUM(D78:D81)</f>
        <v>33</v>
      </c>
      <c r="U27" s="33">
        <f t="shared" si="19"/>
        <v>13</v>
      </c>
      <c r="V27" s="33">
        <f t="shared" si="19"/>
        <v>9.5</v>
      </c>
      <c r="W27" s="33">
        <f t="shared" si="19"/>
        <v>1</v>
      </c>
      <c r="X27" s="33">
        <f t="shared" si="19"/>
        <v>0</v>
      </c>
      <c r="Y27" s="33">
        <f t="shared" si="19"/>
        <v>8</v>
      </c>
      <c r="Z27" s="33">
        <f t="shared" si="19"/>
        <v>0.5</v>
      </c>
      <c r="AA27" s="33">
        <f t="shared" si="19"/>
        <v>2.5</v>
      </c>
      <c r="AB27" s="33">
        <f t="shared" si="19"/>
        <v>4</v>
      </c>
      <c r="AC27" s="33">
        <f t="shared" si="19"/>
        <v>132</v>
      </c>
      <c r="AD27" s="33">
        <f t="shared" si="19"/>
        <v>0</v>
      </c>
      <c r="AE27" s="30">
        <f t="shared" si="19"/>
        <v>201.5</v>
      </c>
      <c r="AF27" s="30">
        <f t="shared" si="19"/>
        <v>333.5</v>
      </c>
    </row>
    <row r="28" spans="2:32" ht="23.1" customHeight="1" x14ac:dyDescent="0.25">
      <c r="B28" s="22" t="s">
        <v>55</v>
      </c>
      <c r="C28" s="48">
        <f>AVERAGE('29.07.Jinja RD-Mukwano'!C28,'30.7.Jinja RD-Mukwano RD'!C28,'31.07.Jinja RD-Mukwano RD'!C28,'1.08.Jinja RD-Mukwano RBT 24h'!C28,'02.08.Mukwano-Jinja'!C28,'03.8.Jinja-Mukwano 24h'!C28,'04.08.Jinja RD-Mukwano'!C28)</f>
        <v>150.14285714285714</v>
      </c>
      <c r="D28" s="48">
        <f>AVERAGE('29.07.Jinja RD-Mukwano'!D28,'30.7.Jinja RD-Mukwano RD'!D28,'31.07.Jinja RD-Mukwano RD'!D28,'1.08.Jinja RD-Mukwano RBT 24h'!D28,'02.08.Mukwano-Jinja'!D28,'03.8.Jinja-Mukwano 24h'!D28,'04.08.Jinja RD-Mukwano'!D28)</f>
        <v>29.857142857142858</v>
      </c>
      <c r="E28" s="48">
        <f>AVERAGE('29.07.Jinja RD-Mukwano'!E28,'30.7.Jinja RD-Mukwano RD'!E28,'31.07.Jinja RD-Mukwano RD'!E28,'1.08.Jinja RD-Mukwano RBT 24h'!E28,'02.08.Mukwano-Jinja'!E28,'03.8.Jinja-Mukwano 24h'!E28,'04.08.Jinja RD-Mukwano'!E28)</f>
        <v>11.714285714285714</v>
      </c>
      <c r="F28" s="48">
        <f>AVERAGE('29.07.Jinja RD-Mukwano'!F28,'30.7.Jinja RD-Mukwano RD'!F28,'31.07.Jinja RD-Mukwano RD'!F28,'1.08.Jinja RD-Mukwano RBT 24h'!F28,'02.08.Mukwano-Jinja'!F28,'03.8.Jinja-Mukwano 24h'!F28,'04.08.Jinja RD-Mukwano'!F28)</f>
        <v>8</v>
      </c>
      <c r="G28" s="48">
        <f>AVERAGE('29.07.Jinja RD-Mukwano'!G28,'30.7.Jinja RD-Mukwano RD'!G28,'31.07.Jinja RD-Mukwano RD'!G28,'1.08.Jinja RD-Mukwano RBT 24h'!G28,'02.08.Mukwano-Jinja'!G28,'03.8.Jinja-Mukwano 24h'!G28,'04.08.Jinja RD-Mukwano'!G28)</f>
        <v>0.14285714285714285</v>
      </c>
      <c r="H28" s="48">
        <f>AVERAGE('29.07.Jinja RD-Mukwano'!H28,'30.7.Jinja RD-Mukwano RD'!H28,'31.07.Jinja RD-Mukwano RD'!H28,'1.08.Jinja RD-Mukwano RBT 24h'!H28,'02.08.Mukwano-Jinja'!H28,'03.8.Jinja-Mukwano 24h'!H28,'04.08.Jinja RD-Mukwano'!H28)</f>
        <v>0</v>
      </c>
      <c r="I28" s="48">
        <f>AVERAGE('29.07.Jinja RD-Mukwano'!I28,'30.7.Jinja RD-Mukwano RD'!I28,'31.07.Jinja RD-Mukwano RD'!I28,'1.08.Jinja RD-Mukwano RBT 24h'!I28,'02.08.Mukwano-Jinja'!I28,'03.8.Jinja-Mukwano 24h'!I28,'04.08.Jinja RD-Mukwano'!I28)</f>
        <v>8.1428571428571423</v>
      </c>
      <c r="J28" s="48">
        <f>AVERAGE('29.07.Jinja RD-Mukwano'!J28,'30.7.Jinja RD-Mukwano RD'!J28,'31.07.Jinja RD-Mukwano RD'!J28,'1.08.Jinja RD-Mukwano RBT 24h'!J28,'02.08.Mukwano-Jinja'!J28,'03.8.Jinja-Mukwano 24h'!J28,'04.08.Jinja RD-Mukwano'!J28)</f>
        <v>3.4285714285714284</v>
      </c>
      <c r="K28" s="48">
        <f>AVERAGE('29.07.Jinja RD-Mukwano'!K28,'30.7.Jinja RD-Mukwano RD'!K28,'31.07.Jinja RD-Mukwano RD'!K28,'1.08.Jinja RD-Mukwano RBT 24h'!K28,'02.08.Mukwano-Jinja'!K28,'03.8.Jinja-Mukwano 24h'!K28,'04.08.Jinja RD-Mukwano'!K28)</f>
        <v>1.5714285714285714</v>
      </c>
      <c r="L28" s="48">
        <f>AVERAGE('29.07.Jinja RD-Mukwano'!L28,'30.7.Jinja RD-Mukwano RD'!L28,'31.07.Jinja RD-Mukwano RD'!L28,'1.08.Jinja RD-Mukwano RBT 24h'!L28,'02.08.Mukwano-Jinja'!L28,'03.8.Jinja-Mukwano 24h'!L28,'04.08.Jinja RD-Mukwano'!L28)</f>
        <v>1.5714285714285714</v>
      </c>
      <c r="M28" s="48">
        <f>AVERAGE('29.07.Jinja RD-Mukwano'!M28,'30.7.Jinja RD-Mukwano RD'!M28,'31.07.Jinja RD-Mukwano RD'!M28,'1.08.Jinja RD-Mukwano RBT 24h'!M28,'02.08.Mukwano-Jinja'!M28,'03.8.Jinja-Mukwano 24h'!M28,'04.08.Jinja RD-Mukwano'!M28)</f>
        <v>483.85714285714283</v>
      </c>
      <c r="N28" s="48">
        <f>AVERAGE('29.07.Jinja RD-Mukwano'!N28,'30.7.Jinja RD-Mukwano RD'!N28,'31.07.Jinja RD-Mukwano RD'!N28,'1.08.Jinja RD-Mukwano RBT 24h'!N28,'02.08.Mukwano-Jinja'!N28,'03.8.Jinja-Mukwano 24h'!N28,'04.08.Jinja RD-Mukwano'!N28)</f>
        <v>0</v>
      </c>
      <c r="O28" s="15">
        <f t="shared" si="0"/>
        <v>214.57142857142858</v>
      </c>
      <c r="P28" s="15">
        <f t="shared" si="1"/>
        <v>698.42857142857144</v>
      </c>
      <c r="R28" s="1" t="s">
        <v>152</v>
      </c>
      <c r="S28" s="33">
        <f>SUM(C82:C85)</f>
        <v>64</v>
      </c>
      <c r="T28" s="33">
        <f t="shared" ref="T28:AF28" si="20">SUM(D82:D85)</f>
        <v>19.5</v>
      </c>
      <c r="U28" s="33">
        <f t="shared" si="20"/>
        <v>5.5</v>
      </c>
      <c r="V28" s="33">
        <f t="shared" si="20"/>
        <v>1.5</v>
      </c>
      <c r="W28" s="33">
        <f t="shared" si="20"/>
        <v>0.5</v>
      </c>
      <c r="X28" s="33">
        <f t="shared" si="20"/>
        <v>0</v>
      </c>
      <c r="Y28" s="33">
        <f t="shared" si="20"/>
        <v>13.5</v>
      </c>
      <c r="Z28" s="33">
        <f t="shared" si="20"/>
        <v>0.5</v>
      </c>
      <c r="AA28" s="33">
        <f t="shared" si="20"/>
        <v>2</v>
      </c>
      <c r="AB28" s="33">
        <f t="shared" si="20"/>
        <v>4</v>
      </c>
      <c r="AC28" s="33">
        <f t="shared" si="20"/>
        <v>81.5</v>
      </c>
      <c r="AD28" s="33">
        <f t="shared" si="20"/>
        <v>0</v>
      </c>
      <c r="AE28" s="30">
        <f t="shared" si="20"/>
        <v>111</v>
      </c>
      <c r="AF28" s="30">
        <f t="shared" si="20"/>
        <v>192.5</v>
      </c>
    </row>
    <row r="29" spans="2:32" ht="23.1" customHeight="1" x14ac:dyDescent="0.25">
      <c r="B29" s="22" t="s">
        <v>56</v>
      </c>
      <c r="C29" s="48">
        <f>AVERAGE('29.07.Jinja RD-Mukwano'!C29,'30.7.Jinja RD-Mukwano RD'!C29,'31.07.Jinja RD-Mukwano RD'!C29,'1.08.Jinja RD-Mukwano RBT 24h'!C29,'02.08.Mukwano-Jinja'!C29,'03.8.Jinja-Mukwano 24h'!C29,'04.08.Jinja RD-Mukwano'!C29)</f>
        <v>148.85714285714286</v>
      </c>
      <c r="D29" s="48">
        <f>AVERAGE('29.07.Jinja RD-Mukwano'!D29,'30.7.Jinja RD-Mukwano RD'!D29,'31.07.Jinja RD-Mukwano RD'!D29,'1.08.Jinja RD-Mukwano RBT 24h'!D29,'02.08.Mukwano-Jinja'!D29,'03.8.Jinja-Mukwano 24h'!D29,'04.08.Jinja RD-Mukwano'!D29)</f>
        <v>27.285714285714285</v>
      </c>
      <c r="E29" s="48">
        <f>AVERAGE('29.07.Jinja RD-Mukwano'!E29,'30.7.Jinja RD-Mukwano RD'!E29,'31.07.Jinja RD-Mukwano RD'!E29,'1.08.Jinja RD-Mukwano RBT 24h'!E29,'02.08.Mukwano-Jinja'!E29,'03.8.Jinja-Mukwano 24h'!E29,'04.08.Jinja RD-Mukwano'!E29)</f>
        <v>10</v>
      </c>
      <c r="F29" s="48">
        <f>AVERAGE('29.07.Jinja RD-Mukwano'!F29,'30.7.Jinja RD-Mukwano RD'!F29,'31.07.Jinja RD-Mukwano RD'!F29,'1.08.Jinja RD-Mukwano RBT 24h'!F29,'02.08.Mukwano-Jinja'!F29,'03.8.Jinja-Mukwano 24h'!F29,'04.08.Jinja RD-Mukwano'!F29)</f>
        <v>5.5714285714285712</v>
      </c>
      <c r="G29" s="48">
        <f>AVERAGE('29.07.Jinja RD-Mukwano'!G29,'30.7.Jinja RD-Mukwano RD'!G29,'31.07.Jinja RD-Mukwano RD'!G29,'1.08.Jinja RD-Mukwano RBT 24h'!G29,'02.08.Mukwano-Jinja'!G29,'03.8.Jinja-Mukwano 24h'!G29,'04.08.Jinja RD-Mukwano'!G29)</f>
        <v>0.8571428571428571</v>
      </c>
      <c r="H29" s="48">
        <f>AVERAGE('29.07.Jinja RD-Mukwano'!H29,'30.7.Jinja RD-Mukwano RD'!H29,'31.07.Jinja RD-Mukwano RD'!H29,'1.08.Jinja RD-Mukwano RBT 24h'!H29,'02.08.Mukwano-Jinja'!H29,'03.8.Jinja-Mukwano 24h'!H29,'04.08.Jinja RD-Mukwano'!H29)</f>
        <v>0</v>
      </c>
      <c r="I29" s="48">
        <f>AVERAGE('29.07.Jinja RD-Mukwano'!I29,'30.7.Jinja RD-Mukwano RD'!I29,'31.07.Jinja RD-Mukwano RD'!I29,'1.08.Jinja RD-Mukwano RBT 24h'!I29,'02.08.Mukwano-Jinja'!I29,'03.8.Jinja-Mukwano 24h'!I29,'04.08.Jinja RD-Mukwano'!I29)</f>
        <v>9.1428571428571423</v>
      </c>
      <c r="J29" s="48">
        <f>AVERAGE('29.07.Jinja RD-Mukwano'!J29,'30.7.Jinja RD-Mukwano RD'!J29,'31.07.Jinja RD-Mukwano RD'!J29,'1.08.Jinja RD-Mukwano RBT 24h'!J29,'02.08.Mukwano-Jinja'!J29,'03.8.Jinja-Mukwano 24h'!J29,'04.08.Jinja RD-Mukwano'!J29)</f>
        <v>4.4285714285714288</v>
      </c>
      <c r="K29" s="48">
        <f>AVERAGE('29.07.Jinja RD-Mukwano'!K29,'30.7.Jinja RD-Mukwano RD'!K29,'31.07.Jinja RD-Mukwano RD'!K29,'1.08.Jinja RD-Mukwano RBT 24h'!K29,'02.08.Mukwano-Jinja'!K29,'03.8.Jinja-Mukwano 24h'!K29,'04.08.Jinja RD-Mukwano'!K29)</f>
        <v>1.2857142857142858</v>
      </c>
      <c r="L29" s="48">
        <f>AVERAGE('29.07.Jinja RD-Mukwano'!L29,'30.7.Jinja RD-Mukwano RD'!L29,'31.07.Jinja RD-Mukwano RD'!L29,'1.08.Jinja RD-Mukwano RBT 24h'!L29,'02.08.Mukwano-Jinja'!L29,'03.8.Jinja-Mukwano 24h'!L29,'04.08.Jinja RD-Mukwano'!L29)</f>
        <v>2.4285714285714284</v>
      </c>
      <c r="M29" s="48">
        <f>AVERAGE('29.07.Jinja RD-Mukwano'!M29,'30.7.Jinja RD-Mukwano RD'!M29,'31.07.Jinja RD-Mukwano RD'!M29,'1.08.Jinja RD-Mukwano RBT 24h'!M29,'02.08.Mukwano-Jinja'!M29,'03.8.Jinja-Mukwano 24h'!M29,'04.08.Jinja RD-Mukwano'!M29)</f>
        <v>471.42857142857144</v>
      </c>
      <c r="N29" s="48">
        <f>AVERAGE('29.07.Jinja RD-Mukwano'!N29,'30.7.Jinja RD-Mukwano RD'!N29,'31.07.Jinja RD-Mukwano RD'!N29,'1.08.Jinja RD-Mukwano RBT 24h'!N29,'02.08.Mukwano-Jinja'!N29,'03.8.Jinja-Mukwano 24h'!N29,'04.08.Jinja RD-Mukwano'!N29)</f>
        <v>0.42857142857142855</v>
      </c>
      <c r="O29" s="15">
        <f t="shared" si="0"/>
        <v>210.28571428571425</v>
      </c>
      <c r="P29" s="15">
        <f t="shared" si="1"/>
        <v>681.71428571428567</v>
      </c>
      <c r="R29" s="1" t="s">
        <v>153</v>
      </c>
      <c r="S29" s="33">
        <f>SUM(C86:C89)</f>
        <v>45</v>
      </c>
      <c r="T29" s="33">
        <f t="shared" ref="T29:AF29" si="21">SUM(D86:D89)</f>
        <v>8</v>
      </c>
      <c r="U29" s="33">
        <f t="shared" si="21"/>
        <v>4.5</v>
      </c>
      <c r="V29" s="33">
        <f t="shared" si="21"/>
        <v>1</v>
      </c>
      <c r="W29" s="33">
        <f t="shared" si="21"/>
        <v>0</v>
      </c>
      <c r="X29" s="33">
        <f t="shared" si="21"/>
        <v>0</v>
      </c>
      <c r="Y29" s="33">
        <f t="shared" si="21"/>
        <v>7</v>
      </c>
      <c r="Z29" s="33">
        <f t="shared" si="21"/>
        <v>1.5</v>
      </c>
      <c r="AA29" s="33">
        <f t="shared" si="21"/>
        <v>0.5</v>
      </c>
      <c r="AB29" s="33">
        <f t="shared" si="21"/>
        <v>0.5</v>
      </c>
      <c r="AC29" s="33">
        <f t="shared" si="21"/>
        <v>85</v>
      </c>
      <c r="AD29" s="33">
        <f t="shared" si="21"/>
        <v>0</v>
      </c>
      <c r="AE29" s="30">
        <f t="shared" si="21"/>
        <v>68</v>
      </c>
      <c r="AF29" s="30">
        <f t="shared" si="21"/>
        <v>153</v>
      </c>
    </row>
    <row r="30" spans="2:32" ht="23.1" customHeight="1" x14ac:dyDescent="0.25">
      <c r="B30" s="22" t="s">
        <v>57</v>
      </c>
      <c r="C30" s="48">
        <f>AVERAGE('29.07.Jinja RD-Mukwano'!C30,'30.7.Jinja RD-Mukwano RD'!C30,'31.07.Jinja RD-Mukwano RD'!C30,'1.08.Jinja RD-Mukwano RBT 24h'!C30,'02.08.Mukwano-Jinja'!C30,'03.8.Jinja-Mukwano 24h'!C30,'04.08.Jinja RD-Mukwano'!C30)</f>
        <v>142.14285714285714</v>
      </c>
      <c r="D30" s="48">
        <f>AVERAGE('29.07.Jinja RD-Mukwano'!D30,'30.7.Jinja RD-Mukwano RD'!D30,'31.07.Jinja RD-Mukwano RD'!D30,'1.08.Jinja RD-Mukwano RBT 24h'!D30,'02.08.Mukwano-Jinja'!D30,'03.8.Jinja-Mukwano 24h'!D30,'04.08.Jinja RD-Mukwano'!D30)</f>
        <v>31.571428571428573</v>
      </c>
      <c r="E30" s="48">
        <f>AVERAGE('29.07.Jinja RD-Mukwano'!E30,'30.7.Jinja RD-Mukwano RD'!E30,'31.07.Jinja RD-Mukwano RD'!E30,'1.08.Jinja RD-Mukwano RBT 24h'!E30,'02.08.Mukwano-Jinja'!E30,'03.8.Jinja-Mukwano 24h'!E30,'04.08.Jinja RD-Mukwano'!E30)</f>
        <v>12.571428571428571</v>
      </c>
      <c r="F30" s="48">
        <f>AVERAGE('29.07.Jinja RD-Mukwano'!F30,'30.7.Jinja RD-Mukwano RD'!F30,'31.07.Jinja RD-Mukwano RD'!F30,'1.08.Jinja RD-Mukwano RBT 24h'!F30,'02.08.Mukwano-Jinja'!F30,'03.8.Jinja-Mukwano 24h'!F30,'04.08.Jinja RD-Mukwano'!F30)</f>
        <v>5.5714285714285712</v>
      </c>
      <c r="G30" s="48">
        <f>AVERAGE('29.07.Jinja RD-Mukwano'!G30,'30.7.Jinja RD-Mukwano RD'!G30,'31.07.Jinja RD-Mukwano RD'!G30,'1.08.Jinja RD-Mukwano RBT 24h'!G30,'02.08.Mukwano-Jinja'!G30,'03.8.Jinja-Mukwano 24h'!G30,'04.08.Jinja RD-Mukwano'!G30)</f>
        <v>0.5714285714285714</v>
      </c>
      <c r="H30" s="48">
        <f>AVERAGE('29.07.Jinja RD-Mukwano'!H30,'30.7.Jinja RD-Mukwano RD'!H30,'31.07.Jinja RD-Mukwano RD'!H30,'1.08.Jinja RD-Mukwano RBT 24h'!H30,'02.08.Mukwano-Jinja'!H30,'03.8.Jinja-Mukwano 24h'!H30,'04.08.Jinja RD-Mukwano'!H30)</f>
        <v>0</v>
      </c>
      <c r="I30" s="48">
        <f>AVERAGE('29.07.Jinja RD-Mukwano'!I30,'30.7.Jinja RD-Mukwano RD'!I30,'31.07.Jinja RD-Mukwano RD'!I30,'1.08.Jinja RD-Mukwano RBT 24h'!I30,'02.08.Mukwano-Jinja'!I30,'03.8.Jinja-Mukwano 24h'!I30,'04.08.Jinja RD-Mukwano'!I30)</f>
        <v>7.8571428571428568</v>
      </c>
      <c r="J30" s="48">
        <f>AVERAGE('29.07.Jinja RD-Mukwano'!J30,'30.7.Jinja RD-Mukwano RD'!J30,'31.07.Jinja RD-Mukwano RD'!J30,'1.08.Jinja RD-Mukwano RBT 24h'!J30,'02.08.Mukwano-Jinja'!J30,'03.8.Jinja-Mukwano 24h'!J30,'04.08.Jinja RD-Mukwano'!J30)</f>
        <v>5.4285714285714288</v>
      </c>
      <c r="K30" s="48">
        <f>AVERAGE('29.07.Jinja RD-Mukwano'!K30,'30.7.Jinja RD-Mukwano RD'!K30,'31.07.Jinja RD-Mukwano RD'!K30,'1.08.Jinja RD-Mukwano RBT 24h'!K30,'02.08.Mukwano-Jinja'!K30,'03.8.Jinja-Mukwano 24h'!K30,'04.08.Jinja RD-Mukwano'!K30)</f>
        <v>1.5714285714285714</v>
      </c>
      <c r="L30" s="48">
        <f>AVERAGE('29.07.Jinja RD-Mukwano'!L30,'30.7.Jinja RD-Mukwano RD'!L30,'31.07.Jinja RD-Mukwano RD'!L30,'1.08.Jinja RD-Mukwano RBT 24h'!L30,'02.08.Mukwano-Jinja'!L30,'03.8.Jinja-Mukwano 24h'!L30,'04.08.Jinja RD-Mukwano'!L30)</f>
        <v>1.7142857142857142</v>
      </c>
      <c r="M30" s="48">
        <f>AVERAGE('29.07.Jinja RD-Mukwano'!M30,'30.7.Jinja RD-Mukwano RD'!M30,'31.07.Jinja RD-Mukwano RD'!M30,'1.08.Jinja RD-Mukwano RBT 24h'!M30,'02.08.Mukwano-Jinja'!M30,'03.8.Jinja-Mukwano 24h'!M30,'04.08.Jinja RD-Mukwano'!M30)</f>
        <v>487.42857142857144</v>
      </c>
      <c r="N30" s="48">
        <f>AVERAGE('29.07.Jinja RD-Mukwano'!N30,'30.7.Jinja RD-Mukwano RD'!N30,'31.07.Jinja RD-Mukwano RD'!N30,'1.08.Jinja RD-Mukwano RBT 24h'!N30,'02.08.Mukwano-Jinja'!N30,'03.8.Jinja-Mukwano 24h'!N30,'04.08.Jinja RD-Mukwano'!N30)</f>
        <v>0.14285714285714285</v>
      </c>
      <c r="O30" s="15">
        <f t="shared" si="0"/>
        <v>209.1428571428572</v>
      </c>
      <c r="P30" s="15">
        <f t="shared" si="1"/>
        <v>696.57142857142867</v>
      </c>
      <c r="R30" s="1" t="s">
        <v>154</v>
      </c>
      <c r="S30" s="33">
        <f>SUM(C90:C93)</f>
        <v>60</v>
      </c>
      <c r="T30" s="33">
        <f t="shared" ref="T30:AF30" si="22">SUM(D90:D93)</f>
        <v>11.5</v>
      </c>
      <c r="U30" s="33">
        <f t="shared" si="22"/>
        <v>3.5</v>
      </c>
      <c r="V30" s="33">
        <f t="shared" si="22"/>
        <v>2</v>
      </c>
      <c r="W30" s="33">
        <f t="shared" si="22"/>
        <v>0</v>
      </c>
      <c r="X30" s="33">
        <f t="shared" si="22"/>
        <v>0.5</v>
      </c>
      <c r="Y30" s="33">
        <f t="shared" si="22"/>
        <v>7</v>
      </c>
      <c r="Z30" s="33">
        <f t="shared" si="22"/>
        <v>1</v>
      </c>
      <c r="AA30" s="33">
        <f t="shared" si="22"/>
        <v>0</v>
      </c>
      <c r="AB30" s="33">
        <f t="shared" si="22"/>
        <v>2</v>
      </c>
      <c r="AC30" s="33">
        <f t="shared" si="22"/>
        <v>68</v>
      </c>
      <c r="AD30" s="33">
        <f t="shared" si="22"/>
        <v>0</v>
      </c>
      <c r="AE30" s="30">
        <f t="shared" si="22"/>
        <v>87.5</v>
      </c>
      <c r="AF30" s="30">
        <f t="shared" si="22"/>
        <v>155.5</v>
      </c>
    </row>
    <row r="31" spans="2:32" ht="23.1" customHeight="1" x14ac:dyDescent="0.25">
      <c r="B31" s="23" t="s">
        <v>58</v>
      </c>
      <c r="C31" s="48">
        <f>AVERAGE('29.07.Jinja RD-Mukwano'!C31,'30.7.Jinja RD-Mukwano RD'!C31,'31.07.Jinja RD-Mukwano RD'!C31,'1.08.Jinja RD-Mukwano RBT 24h'!C31,'02.08.Mukwano-Jinja'!C31,'03.8.Jinja-Mukwano 24h'!C31,'04.08.Jinja RD-Mukwano'!C31)</f>
        <v>158.28571428571428</v>
      </c>
      <c r="D31" s="48">
        <f>AVERAGE('29.07.Jinja RD-Mukwano'!D31,'30.7.Jinja RD-Mukwano RD'!D31,'31.07.Jinja RD-Mukwano RD'!D31,'1.08.Jinja RD-Mukwano RBT 24h'!D31,'02.08.Mukwano-Jinja'!D31,'03.8.Jinja-Mukwano 24h'!D31,'04.08.Jinja RD-Mukwano'!D31)</f>
        <v>35.428571428571431</v>
      </c>
      <c r="E31" s="48">
        <f>AVERAGE('29.07.Jinja RD-Mukwano'!E31,'30.7.Jinja RD-Mukwano RD'!E31,'31.07.Jinja RD-Mukwano RD'!E31,'1.08.Jinja RD-Mukwano RBT 24h'!E31,'02.08.Mukwano-Jinja'!E31,'03.8.Jinja-Mukwano 24h'!E31,'04.08.Jinja RD-Mukwano'!E31)</f>
        <v>14</v>
      </c>
      <c r="F31" s="48">
        <f>AVERAGE('29.07.Jinja RD-Mukwano'!F31,'30.7.Jinja RD-Mukwano RD'!F31,'31.07.Jinja RD-Mukwano RD'!F31,'1.08.Jinja RD-Mukwano RBT 24h'!F31,'02.08.Mukwano-Jinja'!F31,'03.8.Jinja-Mukwano 24h'!F31,'04.08.Jinja RD-Mukwano'!F31)</f>
        <v>6</v>
      </c>
      <c r="G31" s="48">
        <f>AVERAGE('29.07.Jinja RD-Mukwano'!G31,'30.7.Jinja RD-Mukwano RD'!G31,'31.07.Jinja RD-Mukwano RD'!G31,'1.08.Jinja RD-Mukwano RBT 24h'!G31,'02.08.Mukwano-Jinja'!G31,'03.8.Jinja-Mukwano 24h'!G31,'04.08.Jinja RD-Mukwano'!G31)</f>
        <v>1.5714285714285714</v>
      </c>
      <c r="H31" s="48">
        <f>AVERAGE('29.07.Jinja RD-Mukwano'!H31,'30.7.Jinja RD-Mukwano RD'!H31,'31.07.Jinja RD-Mukwano RD'!H31,'1.08.Jinja RD-Mukwano RBT 24h'!H31,'02.08.Mukwano-Jinja'!H31,'03.8.Jinja-Mukwano 24h'!H31,'04.08.Jinja RD-Mukwano'!H31)</f>
        <v>0.14285714285714285</v>
      </c>
      <c r="I31" s="48">
        <f>AVERAGE('29.07.Jinja RD-Mukwano'!I31,'30.7.Jinja RD-Mukwano RD'!I31,'31.07.Jinja RD-Mukwano RD'!I31,'1.08.Jinja RD-Mukwano RBT 24h'!I31,'02.08.Mukwano-Jinja'!I31,'03.8.Jinja-Mukwano 24h'!I31,'04.08.Jinja RD-Mukwano'!I31)</f>
        <v>9.8571428571428577</v>
      </c>
      <c r="J31" s="48">
        <f>AVERAGE('29.07.Jinja RD-Mukwano'!J31,'30.7.Jinja RD-Mukwano RD'!J31,'31.07.Jinja RD-Mukwano RD'!J31,'1.08.Jinja RD-Mukwano RBT 24h'!J31,'02.08.Mukwano-Jinja'!J31,'03.8.Jinja-Mukwano 24h'!J31,'04.08.Jinja RD-Mukwano'!J31)</f>
        <v>3.4285714285714284</v>
      </c>
      <c r="K31" s="48">
        <f>AVERAGE('29.07.Jinja RD-Mukwano'!K31,'30.7.Jinja RD-Mukwano RD'!K31,'31.07.Jinja RD-Mukwano RD'!K31,'1.08.Jinja RD-Mukwano RBT 24h'!K31,'02.08.Mukwano-Jinja'!K31,'03.8.Jinja-Mukwano 24h'!K31,'04.08.Jinja RD-Mukwano'!K31)</f>
        <v>1.7142857142857142</v>
      </c>
      <c r="L31" s="48">
        <f>AVERAGE('29.07.Jinja RD-Mukwano'!L31,'30.7.Jinja RD-Mukwano RD'!L31,'31.07.Jinja RD-Mukwano RD'!L31,'1.08.Jinja RD-Mukwano RBT 24h'!L31,'02.08.Mukwano-Jinja'!L31,'03.8.Jinja-Mukwano 24h'!L31,'04.08.Jinja RD-Mukwano'!L31)</f>
        <v>2.2857142857142856</v>
      </c>
      <c r="M31" s="48">
        <f>AVERAGE('29.07.Jinja RD-Mukwano'!M31,'30.7.Jinja RD-Mukwano RD'!M31,'31.07.Jinja RD-Mukwano RD'!M31,'1.08.Jinja RD-Mukwano RBT 24h'!M31,'02.08.Mukwano-Jinja'!M31,'03.8.Jinja-Mukwano 24h'!M31,'04.08.Jinja RD-Mukwano'!M31)</f>
        <v>441.42857142857144</v>
      </c>
      <c r="N31" s="48">
        <f>AVERAGE('29.07.Jinja RD-Mukwano'!N31,'30.7.Jinja RD-Mukwano RD'!N31,'31.07.Jinja RD-Mukwano RD'!N31,'1.08.Jinja RD-Mukwano RBT 24h'!N31,'02.08.Mukwano-Jinja'!N31,'03.8.Jinja-Mukwano 24h'!N31,'04.08.Jinja RD-Mukwano'!N31)</f>
        <v>0</v>
      </c>
      <c r="O31" s="15">
        <f t="shared" si="0"/>
        <v>232.71428571428572</v>
      </c>
      <c r="P31" s="15">
        <f t="shared" si="1"/>
        <v>674.14285714285711</v>
      </c>
      <c r="R31" s="1" t="s">
        <v>155</v>
      </c>
      <c r="S31" s="33">
        <f>SUM(C94:C97)</f>
        <v>79.5</v>
      </c>
      <c r="T31" s="33">
        <f t="shared" ref="T31:AF31" si="23">SUM(D94:D97)</f>
        <v>17.5</v>
      </c>
      <c r="U31" s="33">
        <f t="shared" si="23"/>
        <v>2.5</v>
      </c>
      <c r="V31" s="33">
        <f t="shared" si="23"/>
        <v>1</v>
      </c>
      <c r="W31" s="33">
        <f t="shared" si="23"/>
        <v>0.5</v>
      </c>
      <c r="X31" s="33">
        <f t="shared" si="23"/>
        <v>0</v>
      </c>
      <c r="Y31" s="33">
        <f t="shared" si="23"/>
        <v>3</v>
      </c>
      <c r="Z31" s="33">
        <f t="shared" si="23"/>
        <v>1</v>
      </c>
      <c r="AA31" s="33">
        <f t="shared" si="23"/>
        <v>0.5</v>
      </c>
      <c r="AB31" s="33">
        <f t="shared" si="23"/>
        <v>4</v>
      </c>
      <c r="AC31" s="33">
        <f t="shared" si="23"/>
        <v>63</v>
      </c>
      <c r="AD31" s="33">
        <f t="shared" si="23"/>
        <v>0</v>
      </c>
      <c r="AE31" s="30">
        <f t="shared" si="23"/>
        <v>109.5</v>
      </c>
      <c r="AF31" s="30">
        <f t="shared" si="23"/>
        <v>172.5</v>
      </c>
    </row>
    <row r="32" spans="2:32" ht="23.1" customHeight="1" x14ac:dyDescent="0.25">
      <c r="B32" s="23" t="s">
        <v>59</v>
      </c>
      <c r="C32" s="48">
        <f>AVERAGE('29.07.Jinja RD-Mukwano'!C32,'30.7.Jinja RD-Mukwano RD'!C32,'31.07.Jinja RD-Mukwano RD'!C32,'1.08.Jinja RD-Mukwano RBT 24h'!C32,'02.08.Mukwano-Jinja'!C32,'03.8.Jinja-Mukwano 24h'!C32,'04.08.Jinja RD-Mukwano'!C32)</f>
        <v>169.57142857142858</v>
      </c>
      <c r="D32" s="48">
        <f>AVERAGE('29.07.Jinja RD-Mukwano'!D32,'30.7.Jinja RD-Mukwano RD'!D32,'31.07.Jinja RD-Mukwano RD'!D32,'1.08.Jinja RD-Mukwano RBT 24h'!D32,'02.08.Mukwano-Jinja'!D32,'03.8.Jinja-Mukwano 24h'!D32,'04.08.Jinja RD-Mukwano'!D32)</f>
        <v>27.142857142857142</v>
      </c>
      <c r="E32" s="48">
        <f>AVERAGE('29.07.Jinja RD-Mukwano'!E32,'30.7.Jinja RD-Mukwano RD'!E32,'31.07.Jinja RD-Mukwano RD'!E32,'1.08.Jinja RD-Mukwano RBT 24h'!E32,'02.08.Mukwano-Jinja'!E32,'03.8.Jinja-Mukwano 24h'!E32,'04.08.Jinja RD-Mukwano'!E32)</f>
        <v>7.2857142857142856</v>
      </c>
      <c r="F32" s="48">
        <f>AVERAGE('29.07.Jinja RD-Mukwano'!F32,'30.7.Jinja RD-Mukwano RD'!F32,'31.07.Jinja RD-Mukwano RD'!F32,'1.08.Jinja RD-Mukwano RBT 24h'!F32,'02.08.Mukwano-Jinja'!F32,'03.8.Jinja-Mukwano 24h'!F32,'04.08.Jinja RD-Mukwano'!F32)</f>
        <v>6.1428571428571432</v>
      </c>
      <c r="G32" s="48">
        <f>AVERAGE('29.07.Jinja RD-Mukwano'!G32,'30.7.Jinja RD-Mukwano RD'!G32,'31.07.Jinja RD-Mukwano RD'!G32,'1.08.Jinja RD-Mukwano RBT 24h'!G32,'02.08.Mukwano-Jinja'!G32,'03.8.Jinja-Mukwano 24h'!G32,'04.08.Jinja RD-Mukwano'!G32)</f>
        <v>0.5714285714285714</v>
      </c>
      <c r="H32" s="48">
        <f>AVERAGE('29.07.Jinja RD-Mukwano'!H32,'30.7.Jinja RD-Mukwano RD'!H32,'31.07.Jinja RD-Mukwano RD'!H32,'1.08.Jinja RD-Mukwano RBT 24h'!H32,'02.08.Mukwano-Jinja'!H32,'03.8.Jinja-Mukwano 24h'!H32,'04.08.Jinja RD-Mukwano'!H32)</f>
        <v>0.42857142857142855</v>
      </c>
      <c r="I32" s="48">
        <f>AVERAGE('29.07.Jinja RD-Mukwano'!I32,'30.7.Jinja RD-Mukwano RD'!I32,'31.07.Jinja RD-Mukwano RD'!I32,'1.08.Jinja RD-Mukwano RBT 24h'!I32,'02.08.Mukwano-Jinja'!I32,'03.8.Jinja-Mukwano 24h'!I32,'04.08.Jinja RD-Mukwano'!I32)</f>
        <v>10.142857142857142</v>
      </c>
      <c r="J32" s="48">
        <f>AVERAGE('29.07.Jinja RD-Mukwano'!J32,'30.7.Jinja RD-Mukwano RD'!J32,'31.07.Jinja RD-Mukwano RD'!J32,'1.08.Jinja RD-Mukwano RBT 24h'!J32,'02.08.Mukwano-Jinja'!J32,'03.8.Jinja-Mukwano 24h'!J32,'04.08.Jinja RD-Mukwano'!J32)</f>
        <v>3.1428571428571428</v>
      </c>
      <c r="K32" s="48">
        <f>AVERAGE('29.07.Jinja RD-Mukwano'!K32,'30.7.Jinja RD-Mukwano RD'!K32,'31.07.Jinja RD-Mukwano RD'!K32,'1.08.Jinja RD-Mukwano RBT 24h'!K32,'02.08.Mukwano-Jinja'!K32,'03.8.Jinja-Mukwano 24h'!K32,'04.08.Jinja RD-Mukwano'!K32)</f>
        <v>1.4285714285714286</v>
      </c>
      <c r="L32" s="48">
        <f>AVERAGE('29.07.Jinja RD-Mukwano'!L32,'30.7.Jinja RD-Mukwano RD'!L32,'31.07.Jinja RD-Mukwano RD'!L32,'1.08.Jinja RD-Mukwano RBT 24h'!L32,'02.08.Mukwano-Jinja'!L32,'03.8.Jinja-Mukwano 24h'!L32,'04.08.Jinja RD-Mukwano'!L32)</f>
        <v>0.8571428571428571</v>
      </c>
      <c r="M32" s="48">
        <f>AVERAGE('29.07.Jinja RD-Mukwano'!M32,'30.7.Jinja RD-Mukwano RD'!M32,'31.07.Jinja RD-Mukwano RD'!M32,'1.08.Jinja RD-Mukwano RBT 24h'!M32,'02.08.Mukwano-Jinja'!M32,'03.8.Jinja-Mukwano 24h'!M32,'04.08.Jinja RD-Mukwano'!M32)</f>
        <v>451.42857142857144</v>
      </c>
      <c r="N32" s="48">
        <f>AVERAGE('29.07.Jinja RD-Mukwano'!N32,'30.7.Jinja RD-Mukwano RD'!N32,'31.07.Jinja RD-Mukwano RD'!N32,'1.08.Jinja RD-Mukwano RBT 24h'!N32,'02.08.Mukwano-Jinja'!N32,'03.8.Jinja-Mukwano 24h'!N32,'04.08.Jinja RD-Mukwano'!N32)</f>
        <v>0</v>
      </c>
      <c r="O32" s="15">
        <f t="shared" si="0"/>
        <v>226.71428571428569</v>
      </c>
      <c r="P32" s="15">
        <f t="shared" si="1"/>
        <v>678.14285714285711</v>
      </c>
      <c r="R32" s="1" t="s">
        <v>156</v>
      </c>
      <c r="S32" s="33">
        <f>SUM(C98:C101)</f>
        <v>60</v>
      </c>
      <c r="T32" s="33">
        <f t="shared" ref="T32:AF32" si="24">SUM(D98:D101)</f>
        <v>11.5</v>
      </c>
      <c r="U32" s="33">
        <f t="shared" si="24"/>
        <v>4.5</v>
      </c>
      <c r="V32" s="33">
        <f t="shared" si="24"/>
        <v>1.5</v>
      </c>
      <c r="W32" s="33">
        <f t="shared" si="24"/>
        <v>0</v>
      </c>
      <c r="X32" s="33">
        <f t="shared" si="24"/>
        <v>0</v>
      </c>
      <c r="Y32" s="33">
        <f t="shared" si="24"/>
        <v>3</v>
      </c>
      <c r="Z32" s="33">
        <f t="shared" si="24"/>
        <v>1</v>
      </c>
      <c r="AA32" s="33">
        <f t="shared" si="24"/>
        <v>1</v>
      </c>
      <c r="AB32" s="33">
        <f t="shared" si="24"/>
        <v>0.5</v>
      </c>
      <c r="AC32" s="33">
        <f t="shared" si="24"/>
        <v>165</v>
      </c>
      <c r="AD32" s="33">
        <f t="shared" si="24"/>
        <v>0</v>
      </c>
      <c r="AE32" s="30">
        <f t="shared" si="24"/>
        <v>83</v>
      </c>
      <c r="AF32" s="30">
        <f t="shared" si="24"/>
        <v>248</v>
      </c>
    </row>
    <row r="33" spans="2:32" ht="23.1" customHeight="1" x14ac:dyDescent="0.25">
      <c r="B33" s="22" t="s">
        <v>60</v>
      </c>
      <c r="C33" s="48">
        <f>AVERAGE('29.07.Jinja RD-Mukwano'!C33,'30.7.Jinja RD-Mukwano RD'!C33,'31.07.Jinja RD-Mukwano RD'!C33,'1.08.Jinja RD-Mukwano RBT 24h'!C33,'02.08.Mukwano-Jinja'!C33,'03.8.Jinja-Mukwano 24h'!C33,'04.08.Jinja RD-Mukwano'!C33)</f>
        <v>129.71428571428572</v>
      </c>
      <c r="D33" s="48">
        <f>AVERAGE('29.07.Jinja RD-Mukwano'!D33,'30.7.Jinja RD-Mukwano RD'!D33,'31.07.Jinja RD-Mukwano RD'!D33,'1.08.Jinja RD-Mukwano RBT 24h'!D33,'02.08.Mukwano-Jinja'!D33,'03.8.Jinja-Mukwano 24h'!D33,'04.08.Jinja RD-Mukwano'!D33)</f>
        <v>26.714285714285715</v>
      </c>
      <c r="E33" s="48">
        <f>AVERAGE('29.07.Jinja RD-Mukwano'!E33,'30.7.Jinja RD-Mukwano RD'!E33,'31.07.Jinja RD-Mukwano RD'!E33,'1.08.Jinja RD-Mukwano RBT 24h'!E33,'02.08.Mukwano-Jinja'!E33,'03.8.Jinja-Mukwano 24h'!E33,'04.08.Jinja RD-Mukwano'!E33)</f>
        <v>13.571428571428571</v>
      </c>
      <c r="F33" s="48">
        <f>AVERAGE('29.07.Jinja RD-Mukwano'!F33,'30.7.Jinja RD-Mukwano RD'!F33,'31.07.Jinja RD-Mukwano RD'!F33,'1.08.Jinja RD-Mukwano RBT 24h'!F33,'02.08.Mukwano-Jinja'!F33,'03.8.Jinja-Mukwano 24h'!F33,'04.08.Jinja RD-Mukwano'!F33)</f>
        <v>9.7142857142857135</v>
      </c>
      <c r="G33" s="48">
        <f>AVERAGE('29.07.Jinja RD-Mukwano'!G33,'30.7.Jinja RD-Mukwano RD'!G33,'31.07.Jinja RD-Mukwano RD'!G33,'1.08.Jinja RD-Mukwano RBT 24h'!G33,'02.08.Mukwano-Jinja'!G33,'03.8.Jinja-Mukwano 24h'!G33,'04.08.Jinja RD-Mukwano'!G33)</f>
        <v>0.42857142857142855</v>
      </c>
      <c r="H33" s="48">
        <f>AVERAGE('29.07.Jinja RD-Mukwano'!H33,'30.7.Jinja RD-Mukwano RD'!H33,'31.07.Jinja RD-Mukwano RD'!H33,'1.08.Jinja RD-Mukwano RBT 24h'!H33,'02.08.Mukwano-Jinja'!H33,'03.8.Jinja-Mukwano 24h'!H33,'04.08.Jinja RD-Mukwano'!H33)</f>
        <v>0.42857142857142855</v>
      </c>
      <c r="I33" s="48">
        <f>AVERAGE('29.07.Jinja RD-Mukwano'!I33,'30.7.Jinja RD-Mukwano RD'!I33,'31.07.Jinja RD-Mukwano RD'!I33,'1.08.Jinja RD-Mukwano RBT 24h'!I33,'02.08.Mukwano-Jinja'!I33,'03.8.Jinja-Mukwano 24h'!I33,'04.08.Jinja RD-Mukwano'!I33)</f>
        <v>12</v>
      </c>
      <c r="J33" s="48">
        <f>AVERAGE('29.07.Jinja RD-Mukwano'!J33,'30.7.Jinja RD-Mukwano RD'!J33,'31.07.Jinja RD-Mukwano RD'!J33,'1.08.Jinja RD-Mukwano RBT 24h'!J33,'02.08.Mukwano-Jinja'!J33,'03.8.Jinja-Mukwano 24h'!J33,'04.08.Jinja RD-Mukwano'!J33)</f>
        <v>5.5714285714285712</v>
      </c>
      <c r="K33" s="48">
        <f>AVERAGE('29.07.Jinja RD-Mukwano'!K33,'30.7.Jinja RD-Mukwano RD'!K33,'31.07.Jinja RD-Mukwano RD'!K33,'1.08.Jinja RD-Mukwano RBT 24h'!K33,'02.08.Mukwano-Jinja'!K33,'03.8.Jinja-Mukwano 24h'!K33,'04.08.Jinja RD-Mukwano'!K33)</f>
        <v>1.8571428571428572</v>
      </c>
      <c r="L33" s="48">
        <f>AVERAGE('29.07.Jinja RD-Mukwano'!L33,'30.7.Jinja RD-Mukwano RD'!L33,'31.07.Jinja RD-Mukwano RD'!L33,'1.08.Jinja RD-Mukwano RBT 24h'!L33,'02.08.Mukwano-Jinja'!L33,'03.8.Jinja-Mukwano 24h'!L33,'04.08.Jinja RD-Mukwano'!L33)</f>
        <v>2.2857142857142856</v>
      </c>
      <c r="M33" s="48">
        <f>AVERAGE('29.07.Jinja RD-Mukwano'!M33,'30.7.Jinja RD-Mukwano RD'!M33,'31.07.Jinja RD-Mukwano RD'!M33,'1.08.Jinja RD-Mukwano RBT 24h'!M33,'02.08.Mukwano-Jinja'!M33,'03.8.Jinja-Mukwano 24h'!M33,'04.08.Jinja RD-Mukwano'!M33)</f>
        <v>455.57142857142856</v>
      </c>
      <c r="N33" s="48">
        <f>AVERAGE('29.07.Jinja RD-Mukwano'!N33,'30.7.Jinja RD-Mukwano RD'!N33,'31.07.Jinja RD-Mukwano RD'!N33,'1.08.Jinja RD-Mukwano RBT 24h'!N33,'02.08.Mukwano-Jinja'!N33,'03.8.Jinja-Mukwano 24h'!N33,'04.08.Jinja RD-Mukwano'!N33)</f>
        <v>0.14285714285714285</v>
      </c>
      <c r="O33" s="15">
        <f t="shared" si="0"/>
        <v>202.42857142857144</v>
      </c>
      <c r="P33" s="15">
        <f t="shared" si="1"/>
        <v>658</v>
      </c>
      <c r="R33" s="1" t="s">
        <v>157</v>
      </c>
      <c r="S33" s="33">
        <f>SUM(C102:C105)</f>
        <v>128</v>
      </c>
      <c r="T33" s="33">
        <f t="shared" ref="T33:AF33" si="25">SUM(D102:D105)</f>
        <v>35.5</v>
      </c>
      <c r="U33" s="33">
        <f t="shared" si="25"/>
        <v>21</v>
      </c>
      <c r="V33" s="33">
        <f t="shared" si="25"/>
        <v>1.5</v>
      </c>
      <c r="W33" s="33">
        <f t="shared" si="25"/>
        <v>0</v>
      </c>
      <c r="X33" s="33">
        <f t="shared" si="25"/>
        <v>0</v>
      </c>
      <c r="Y33" s="33">
        <f t="shared" si="25"/>
        <v>24</v>
      </c>
      <c r="Z33" s="33">
        <f t="shared" si="25"/>
        <v>2</v>
      </c>
      <c r="AA33" s="33">
        <f t="shared" si="25"/>
        <v>18</v>
      </c>
      <c r="AB33" s="33">
        <f t="shared" si="25"/>
        <v>1.5</v>
      </c>
      <c r="AC33" s="33">
        <f t="shared" si="25"/>
        <v>279.5</v>
      </c>
      <c r="AD33" s="33">
        <f t="shared" si="25"/>
        <v>0</v>
      </c>
      <c r="AE33" s="30">
        <f t="shared" si="25"/>
        <v>231.5</v>
      </c>
      <c r="AF33" s="30">
        <f t="shared" si="25"/>
        <v>511</v>
      </c>
    </row>
    <row r="34" spans="2:32" ht="23.1" customHeight="1" x14ac:dyDescent="0.25">
      <c r="B34" s="23" t="s">
        <v>61</v>
      </c>
      <c r="C34" s="48">
        <f>AVERAGE('29.07.Jinja RD-Mukwano'!C34,'30.7.Jinja RD-Mukwano RD'!C34,'31.07.Jinja RD-Mukwano RD'!C34,'1.08.Jinja RD-Mukwano RBT 24h'!C34,'02.08.Mukwano-Jinja'!C34,'03.8.Jinja-Mukwano 24h'!C34,'04.08.Jinja RD-Mukwano'!C34)</f>
        <v>120.14285714285714</v>
      </c>
      <c r="D34" s="48">
        <f>AVERAGE('29.07.Jinja RD-Mukwano'!D34,'30.7.Jinja RD-Mukwano RD'!D34,'31.07.Jinja RD-Mukwano RD'!D34,'1.08.Jinja RD-Mukwano RBT 24h'!D34,'02.08.Mukwano-Jinja'!D34,'03.8.Jinja-Mukwano 24h'!D34,'04.08.Jinja RD-Mukwano'!D34)</f>
        <v>22.857142857142858</v>
      </c>
      <c r="E34" s="48">
        <f>AVERAGE('29.07.Jinja RD-Mukwano'!E34,'30.7.Jinja RD-Mukwano RD'!E34,'31.07.Jinja RD-Mukwano RD'!E34,'1.08.Jinja RD-Mukwano RBT 24h'!E34,'02.08.Mukwano-Jinja'!E34,'03.8.Jinja-Mukwano 24h'!E34,'04.08.Jinja RD-Mukwano'!E34)</f>
        <v>13.857142857142858</v>
      </c>
      <c r="F34" s="48">
        <f>AVERAGE('29.07.Jinja RD-Mukwano'!F34,'30.7.Jinja RD-Mukwano RD'!F34,'31.07.Jinja RD-Mukwano RD'!F34,'1.08.Jinja RD-Mukwano RBT 24h'!F34,'02.08.Mukwano-Jinja'!F34,'03.8.Jinja-Mukwano 24h'!F34,'04.08.Jinja RD-Mukwano'!F34)</f>
        <v>4.7142857142857144</v>
      </c>
      <c r="G34" s="48">
        <f>AVERAGE('29.07.Jinja RD-Mukwano'!G34,'30.7.Jinja RD-Mukwano RD'!G34,'31.07.Jinja RD-Mukwano RD'!G34,'1.08.Jinja RD-Mukwano RBT 24h'!G34,'02.08.Mukwano-Jinja'!G34,'03.8.Jinja-Mukwano 24h'!G34,'04.08.Jinja RD-Mukwano'!G34)</f>
        <v>1.5714285714285714</v>
      </c>
      <c r="H34" s="48">
        <f>AVERAGE('29.07.Jinja RD-Mukwano'!H34,'30.7.Jinja RD-Mukwano RD'!H34,'31.07.Jinja RD-Mukwano RD'!H34,'1.08.Jinja RD-Mukwano RBT 24h'!H34,'02.08.Mukwano-Jinja'!H34,'03.8.Jinja-Mukwano 24h'!H34,'04.08.Jinja RD-Mukwano'!H34)</f>
        <v>0.14285714285714285</v>
      </c>
      <c r="I34" s="48">
        <f>AVERAGE('29.07.Jinja RD-Mukwano'!I34,'30.7.Jinja RD-Mukwano RD'!I34,'31.07.Jinja RD-Mukwano RD'!I34,'1.08.Jinja RD-Mukwano RBT 24h'!I34,'02.08.Mukwano-Jinja'!I34,'03.8.Jinja-Mukwano 24h'!I34,'04.08.Jinja RD-Mukwano'!I34)</f>
        <v>10.857142857142858</v>
      </c>
      <c r="J34" s="48">
        <f>AVERAGE('29.07.Jinja RD-Mukwano'!J34,'30.7.Jinja RD-Mukwano RD'!J34,'31.07.Jinja RD-Mukwano RD'!J34,'1.08.Jinja RD-Mukwano RBT 24h'!J34,'02.08.Mukwano-Jinja'!J34,'03.8.Jinja-Mukwano 24h'!J34,'04.08.Jinja RD-Mukwano'!J34)</f>
        <v>5</v>
      </c>
      <c r="K34" s="48">
        <f>AVERAGE('29.07.Jinja RD-Mukwano'!K34,'30.7.Jinja RD-Mukwano RD'!K34,'31.07.Jinja RD-Mukwano RD'!K34,'1.08.Jinja RD-Mukwano RBT 24h'!K34,'02.08.Mukwano-Jinja'!K34,'03.8.Jinja-Mukwano 24h'!K34,'04.08.Jinja RD-Mukwano'!K34)</f>
        <v>1.1428571428571428</v>
      </c>
      <c r="L34" s="48">
        <f>AVERAGE('29.07.Jinja RD-Mukwano'!L34,'30.7.Jinja RD-Mukwano RD'!L34,'31.07.Jinja RD-Mukwano RD'!L34,'1.08.Jinja RD-Mukwano RBT 24h'!L34,'02.08.Mukwano-Jinja'!L34,'03.8.Jinja-Mukwano 24h'!L34,'04.08.Jinja RD-Mukwano'!L34)</f>
        <v>2.7142857142857144</v>
      </c>
      <c r="M34" s="48">
        <f>AVERAGE('29.07.Jinja RD-Mukwano'!M34,'30.7.Jinja RD-Mukwano RD'!M34,'31.07.Jinja RD-Mukwano RD'!M34,'1.08.Jinja RD-Mukwano RBT 24h'!M34,'02.08.Mukwano-Jinja'!M34,'03.8.Jinja-Mukwano 24h'!M34,'04.08.Jinja RD-Mukwano'!M34)</f>
        <v>452.71428571428572</v>
      </c>
      <c r="N34" s="48">
        <f>AVERAGE('29.07.Jinja RD-Mukwano'!N34,'30.7.Jinja RD-Mukwano RD'!N34,'31.07.Jinja RD-Mukwano RD'!N34,'1.08.Jinja RD-Mukwano RBT 24h'!N34,'02.08.Mukwano-Jinja'!N34,'03.8.Jinja-Mukwano 24h'!N34,'04.08.Jinja RD-Mukwano'!N34)</f>
        <v>0</v>
      </c>
      <c r="O34" s="15">
        <f t="shared" si="0"/>
        <v>183.00000000000003</v>
      </c>
      <c r="P34" s="15">
        <f t="shared" si="1"/>
        <v>635.71428571428578</v>
      </c>
      <c r="R34" s="37" t="s">
        <v>90</v>
      </c>
      <c r="S34" s="38">
        <f t="shared" ref="S34:AF34" si="26">MAX(S10:S12)</f>
        <v>537.71428571428578</v>
      </c>
      <c r="T34" s="38">
        <f t="shared" si="26"/>
        <v>95.571428571428584</v>
      </c>
      <c r="U34" s="38">
        <f t="shared" si="26"/>
        <v>42.571428571428569</v>
      </c>
      <c r="V34" s="38">
        <f t="shared" si="26"/>
        <v>22.142857142857142</v>
      </c>
      <c r="W34" s="38">
        <f t="shared" si="26"/>
        <v>3.1428571428571428</v>
      </c>
      <c r="X34" s="38">
        <f t="shared" si="26"/>
        <v>0.8571428571428571</v>
      </c>
      <c r="Y34" s="38">
        <f t="shared" si="26"/>
        <v>29.571428571428573</v>
      </c>
      <c r="Z34" s="38">
        <f t="shared" si="26"/>
        <v>17.428571428571431</v>
      </c>
      <c r="AA34" s="38">
        <f t="shared" si="26"/>
        <v>8</v>
      </c>
      <c r="AB34" s="38">
        <f t="shared" si="26"/>
        <v>5.5714285714285712</v>
      </c>
      <c r="AC34" s="38">
        <f t="shared" si="26"/>
        <v>1926.2857142857142</v>
      </c>
      <c r="AD34" s="38">
        <f t="shared" si="26"/>
        <v>0.5714285714285714</v>
      </c>
      <c r="AE34" s="39">
        <f t="shared" si="26"/>
        <v>742.14285714285711</v>
      </c>
      <c r="AF34" s="39">
        <f t="shared" si="26"/>
        <v>2668.4285714285716</v>
      </c>
    </row>
    <row r="35" spans="2:32" ht="23.1" customHeight="1" x14ac:dyDescent="0.25">
      <c r="B35" s="23" t="s">
        <v>62</v>
      </c>
      <c r="C35" s="48">
        <f>AVERAGE('29.07.Jinja RD-Mukwano'!C35,'30.7.Jinja RD-Mukwano RD'!C35,'31.07.Jinja RD-Mukwano RD'!C35,'1.08.Jinja RD-Mukwano RBT 24h'!C35,'02.08.Mukwano-Jinja'!C35,'03.8.Jinja-Mukwano 24h'!C35,'04.08.Jinja RD-Mukwano'!C35)</f>
        <v>144.14285714285714</v>
      </c>
      <c r="D35" s="48">
        <f>AVERAGE('29.07.Jinja RD-Mukwano'!D35,'30.7.Jinja RD-Mukwano RD'!D35,'31.07.Jinja RD-Mukwano RD'!D35,'1.08.Jinja RD-Mukwano RBT 24h'!D35,'02.08.Mukwano-Jinja'!D35,'03.8.Jinja-Mukwano 24h'!D35,'04.08.Jinja RD-Mukwano'!D35)</f>
        <v>32.571428571428569</v>
      </c>
      <c r="E35" s="48">
        <f>AVERAGE('29.07.Jinja RD-Mukwano'!E35,'30.7.Jinja RD-Mukwano RD'!E35,'31.07.Jinja RD-Mukwano RD'!E35,'1.08.Jinja RD-Mukwano RBT 24h'!E35,'02.08.Mukwano-Jinja'!E35,'03.8.Jinja-Mukwano 24h'!E35,'04.08.Jinja RD-Mukwano'!E35)</f>
        <v>9.1428571428571423</v>
      </c>
      <c r="F35" s="48">
        <f>AVERAGE('29.07.Jinja RD-Mukwano'!F35,'30.7.Jinja RD-Mukwano RD'!F35,'31.07.Jinja RD-Mukwano RD'!F35,'1.08.Jinja RD-Mukwano RBT 24h'!F35,'02.08.Mukwano-Jinja'!F35,'03.8.Jinja-Mukwano 24h'!F35,'04.08.Jinja RD-Mukwano'!F35)</f>
        <v>4.4285714285714288</v>
      </c>
      <c r="G35" s="48">
        <f>AVERAGE('29.07.Jinja RD-Mukwano'!G35,'30.7.Jinja RD-Mukwano RD'!G35,'31.07.Jinja RD-Mukwano RD'!G35,'1.08.Jinja RD-Mukwano RBT 24h'!G35,'02.08.Mukwano-Jinja'!G35,'03.8.Jinja-Mukwano 24h'!G35,'04.08.Jinja RD-Mukwano'!G35)</f>
        <v>0.7142857142857143</v>
      </c>
      <c r="H35" s="48">
        <f>AVERAGE('29.07.Jinja RD-Mukwano'!H35,'30.7.Jinja RD-Mukwano RD'!H35,'31.07.Jinja RD-Mukwano RD'!H35,'1.08.Jinja RD-Mukwano RBT 24h'!H35,'02.08.Mukwano-Jinja'!H35,'03.8.Jinja-Mukwano 24h'!H35,'04.08.Jinja RD-Mukwano'!H35)</f>
        <v>0</v>
      </c>
      <c r="I35" s="48">
        <f>AVERAGE('29.07.Jinja RD-Mukwano'!I35,'30.7.Jinja RD-Mukwano RD'!I35,'31.07.Jinja RD-Mukwano RD'!I35,'1.08.Jinja RD-Mukwano RBT 24h'!I35,'02.08.Mukwano-Jinja'!I35,'03.8.Jinja-Mukwano 24h'!I35,'04.08.Jinja RD-Mukwano'!I35)</f>
        <v>8.4285714285714288</v>
      </c>
      <c r="J35" s="48">
        <f>AVERAGE('29.07.Jinja RD-Mukwano'!J35,'30.7.Jinja RD-Mukwano RD'!J35,'31.07.Jinja RD-Mukwano RD'!J35,'1.08.Jinja RD-Mukwano RBT 24h'!J35,'02.08.Mukwano-Jinja'!J35,'03.8.Jinja-Mukwano 24h'!J35,'04.08.Jinja RD-Mukwano'!J35)</f>
        <v>4.2857142857142856</v>
      </c>
      <c r="K35" s="48">
        <f>AVERAGE('29.07.Jinja RD-Mukwano'!K35,'30.7.Jinja RD-Mukwano RD'!K35,'31.07.Jinja RD-Mukwano RD'!K35,'1.08.Jinja RD-Mukwano RBT 24h'!K35,'02.08.Mukwano-Jinja'!K35,'03.8.Jinja-Mukwano 24h'!K35,'04.08.Jinja RD-Mukwano'!K35)</f>
        <v>1.7142857142857142</v>
      </c>
      <c r="L35" s="48">
        <f>AVERAGE('29.07.Jinja RD-Mukwano'!L35,'30.7.Jinja RD-Mukwano RD'!L35,'31.07.Jinja RD-Mukwano RD'!L35,'1.08.Jinja RD-Mukwano RBT 24h'!L35,'02.08.Mukwano-Jinja'!L35,'03.8.Jinja-Mukwano 24h'!L35,'04.08.Jinja RD-Mukwano'!L35)</f>
        <v>1.4285714285714286</v>
      </c>
      <c r="M35" s="48">
        <f>AVERAGE('29.07.Jinja RD-Mukwano'!M35,'30.7.Jinja RD-Mukwano RD'!M35,'31.07.Jinja RD-Mukwano RD'!M35,'1.08.Jinja RD-Mukwano RBT 24h'!M35,'02.08.Mukwano-Jinja'!M35,'03.8.Jinja-Mukwano 24h'!M35,'04.08.Jinja RD-Mukwano'!M35)</f>
        <v>466.28571428571428</v>
      </c>
      <c r="N35" s="48">
        <f>AVERAGE('29.07.Jinja RD-Mukwano'!N35,'30.7.Jinja RD-Mukwano RD'!N35,'31.07.Jinja RD-Mukwano RD'!N35,'1.08.Jinja RD-Mukwano RBT 24h'!N35,'02.08.Mukwano-Jinja'!N35,'03.8.Jinja-Mukwano 24h'!N35,'04.08.Jinja RD-Mukwano'!N35)</f>
        <v>0</v>
      </c>
      <c r="O35" s="15">
        <f t="shared" si="0"/>
        <v>206.85714285714283</v>
      </c>
      <c r="P35" s="15">
        <f t="shared" si="1"/>
        <v>673.14285714285711</v>
      </c>
      <c r="R35" s="37" t="s">
        <v>91</v>
      </c>
      <c r="S35" s="38">
        <f t="shared" ref="S35:AF35" si="27">MAX(S13:S18)</f>
        <v>599.71428571428578</v>
      </c>
      <c r="T35" s="38">
        <f t="shared" si="27"/>
        <v>120.85714285714286</v>
      </c>
      <c r="U35" s="38">
        <f t="shared" si="27"/>
        <v>49.142857142857139</v>
      </c>
      <c r="V35" s="38">
        <f t="shared" si="27"/>
        <v>27.428571428571431</v>
      </c>
      <c r="W35" s="38">
        <f t="shared" si="27"/>
        <v>5.1428571428571432</v>
      </c>
      <c r="X35" s="38">
        <f t="shared" si="27"/>
        <v>1.1428571428571428</v>
      </c>
      <c r="Y35" s="38">
        <f t="shared" si="27"/>
        <v>39.857142857142861</v>
      </c>
      <c r="Z35" s="38">
        <f t="shared" si="27"/>
        <v>20.428571428571427</v>
      </c>
      <c r="AA35" s="38">
        <f t="shared" si="27"/>
        <v>10.285714285714285</v>
      </c>
      <c r="AB35" s="38">
        <f t="shared" si="27"/>
        <v>12.285714285714285</v>
      </c>
      <c r="AC35" s="38">
        <f t="shared" si="27"/>
        <v>2114.2857142857142</v>
      </c>
      <c r="AD35" s="38">
        <f t="shared" si="27"/>
        <v>0.99999999999999989</v>
      </c>
      <c r="AE35" s="39">
        <f t="shared" si="27"/>
        <v>871</v>
      </c>
      <c r="AF35" s="39">
        <f t="shared" si="27"/>
        <v>2938.7142857142853</v>
      </c>
    </row>
    <row r="36" spans="2:32" ht="23.1" customHeight="1" x14ac:dyDescent="0.25">
      <c r="B36" s="23" t="s">
        <v>63</v>
      </c>
      <c r="C36" s="48">
        <f>AVERAGE('29.07.Jinja RD-Mukwano'!C36,'30.7.Jinja RD-Mukwano RD'!C36,'31.07.Jinja RD-Mukwano RD'!C36,'1.08.Jinja RD-Mukwano RBT 24h'!C36,'02.08.Mukwano-Jinja'!C36,'03.8.Jinja-Mukwano 24h'!C36,'04.08.Jinja RD-Mukwano'!C36)</f>
        <v>148</v>
      </c>
      <c r="D36" s="48">
        <f>AVERAGE('29.07.Jinja RD-Mukwano'!D36,'30.7.Jinja RD-Mukwano RD'!D36,'31.07.Jinja RD-Mukwano RD'!D36,'1.08.Jinja RD-Mukwano RBT 24h'!D36,'02.08.Mukwano-Jinja'!D36,'03.8.Jinja-Mukwano 24h'!D36,'04.08.Jinja RD-Mukwano'!D36)</f>
        <v>24.571428571428573</v>
      </c>
      <c r="E36" s="48">
        <f>AVERAGE('29.07.Jinja RD-Mukwano'!E36,'30.7.Jinja RD-Mukwano RD'!E36,'31.07.Jinja RD-Mukwano RD'!E36,'1.08.Jinja RD-Mukwano RBT 24h'!E36,'02.08.Mukwano-Jinja'!E36,'03.8.Jinja-Mukwano 24h'!E36,'04.08.Jinja RD-Mukwano'!E36)</f>
        <v>8.1428571428571423</v>
      </c>
      <c r="F36" s="48">
        <f>AVERAGE('29.07.Jinja RD-Mukwano'!F36,'30.7.Jinja RD-Mukwano RD'!F36,'31.07.Jinja RD-Mukwano RD'!F36,'1.08.Jinja RD-Mukwano RBT 24h'!F36,'02.08.Mukwano-Jinja'!F36,'03.8.Jinja-Mukwano 24h'!F36,'04.08.Jinja RD-Mukwano'!F36)</f>
        <v>2.8571428571428572</v>
      </c>
      <c r="G36" s="48">
        <f>AVERAGE('29.07.Jinja RD-Mukwano'!G36,'30.7.Jinja RD-Mukwano RD'!G36,'31.07.Jinja RD-Mukwano RD'!G36,'1.08.Jinja RD-Mukwano RBT 24h'!G36,'02.08.Mukwano-Jinja'!G36,'03.8.Jinja-Mukwano 24h'!G36,'04.08.Jinja RD-Mukwano'!G36)</f>
        <v>0.8571428571428571</v>
      </c>
      <c r="H36" s="48">
        <f>AVERAGE('29.07.Jinja RD-Mukwano'!H36,'30.7.Jinja RD-Mukwano RD'!H36,'31.07.Jinja RD-Mukwano RD'!H36,'1.08.Jinja RD-Mukwano RBT 24h'!H36,'02.08.Mukwano-Jinja'!H36,'03.8.Jinja-Mukwano 24h'!H36,'04.08.Jinja RD-Mukwano'!H36)</f>
        <v>0</v>
      </c>
      <c r="I36" s="48">
        <f>AVERAGE('29.07.Jinja RD-Mukwano'!I36,'30.7.Jinja RD-Mukwano RD'!I36,'31.07.Jinja RD-Mukwano RD'!I36,'1.08.Jinja RD-Mukwano RBT 24h'!I36,'02.08.Mukwano-Jinja'!I36,'03.8.Jinja-Mukwano 24h'!I36,'04.08.Jinja RD-Mukwano'!I36)</f>
        <v>6</v>
      </c>
      <c r="J36" s="48">
        <f>AVERAGE('29.07.Jinja RD-Mukwano'!J36,'30.7.Jinja RD-Mukwano RD'!J36,'31.07.Jinja RD-Mukwano RD'!J36,'1.08.Jinja RD-Mukwano RBT 24h'!J36,'02.08.Mukwano-Jinja'!J36,'03.8.Jinja-Mukwano 24h'!J36,'04.08.Jinja RD-Mukwano'!J36)</f>
        <v>2.1428571428571428</v>
      </c>
      <c r="K36" s="48">
        <f>AVERAGE('29.07.Jinja RD-Mukwano'!K36,'30.7.Jinja RD-Mukwano RD'!K36,'31.07.Jinja RD-Mukwano RD'!K36,'1.08.Jinja RD-Mukwano RBT 24h'!K36,'02.08.Mukwano-Jinja'!K36,'03.8.Jinja-Mukwano 24h'!K36,'04.08.Jinja RD-Mukwano'!K36)</f>
        <v>1.8571428571428572</v>
      </c>
      <c r="L36" s="48">
        <f>AVERAGE('29.07.Jinja RD-Mukwano'!L36,'30.7.Jinja RD-Mukwano RD'!L36,'31.07.Jinja RD-Mukwano RD'!L36,'1.08.Jinja RD-Mukwano RBT 24h'!L36,'02.08.Mukwano-Jinja'!L36,'03.8.Jinja-Mukwano 24h'!L36,'04.08.Jinja RD-Mukwano'!L36)</f>
        <v>1.1428571428571428</v>
      </c>
      <c r="M36" s="48">
        <f>AVERAGE('29.07.Jinja RD-Mukwano'!M36,'30.7.Jinja RD-Mukwano RD'!M36,'31.07.Jinja RD-Mukwano RD'!M36,'1.08.Jinja RD-Mukwano RBT 24h'!M36,'02.08.Mukwano-Jinja'!M36,'03.8.Jinja-Mukwano 24h'!M36,'04.08.Jinja RD-Mukwano'!M36)</f>
        <v>506.28571428571428</v>
      </c>
      <c r="N36" s="48">
        <f>AVERAGE('29.07.Jinja RD-Mukwano'!N36,'30.7.Jinja RD-Mukwano RD'!N36,'31.07.Jinja RD-Mukwano RD'!N36,'1.08.Jinja RD-Mukwano RBT 24h'!N36,'02.08.Mukwano-Jinja'!N36,'03.8.Jinja-Mukwano 24h'!N36,'04.08.Jinja RD-Mukwano'!N36)</f>
        <v>0</v>
      </c>
      <c r="O36" s="15">
        <f t="shared" si="0"/>
        <v>195.57142857142858</v>
      </c>
      <c r="P36" s="15">
        <f t="shared" si="1"/>
        <v>701.85714285714289</v>
      </c>
      <c r="R36" s="37" t="s">
        <v>92</v>
      </c>
      <c r="S36" s="38">
        <f t="shared" ref="S36:AF36" si="28">MAX(S19:S21)</f>
        <v>642.28571428571422</v>
      </c>
      <c r="T36" s="38">
        <f t="shared" si="28"/>
        <v>129.57142857142856</v>
      </c>
      <c r="U36" s="38">
        <f t="shared" si="28"/>
        <v>57</v>
      </c>
      <c r="V36" s="38">
        <f t="shared" si="28"/>
        <v>26.714285714285715</v>
      </c>
      <c r="W36" s="38">
        <f t="shared" si="28"/>
        <v>5</v>
      </c>
      <c r="X36" s="38">
        <f t="shared" si="28"/>
        <v>1.2857142857142856</v>
      </c>
      <c r="Y36" s="38">
        <f t="shared" si="28"/>
        <v>39.285714285714292</v>
      </c>
      <c r="Z36" s="38">
        <f t="shared" si="28"/>
        <v>19.142857142857142</v>
      </c>
      <c r="AA36" s="38">
        <f t="shared" si="28"/>
        <v>7.1428571428571423</v>
      </c>
      <c r="AB36" s="38">
        <f t="shared" si="28"/>
        <v>12.285714285714285</v>
      </c>
      <c r="AC36" s="38">
        <f t="shared" si="28"/>
        <v>2044</v>
      </c>
      <c r="AD36" s="38">
        <f t="shared" si="28"/>
        <v>0.14285714285714285</v>
      </c>
      <c r="AE36" s="39">
        <f t="shared" si="28"/>
        <v>934.14285714285711</v>
      </c>
      <c r="AF36" s="39">
        <f t="shared" si="28"/>
        <v>2917</v>
      </c>
    </row>
    <row r="37" spans="2:32" ht="23.1" customHeight="1" x14ac:dyDescent="0.25">
      <c r="B37" s="22" t="s">
        <v>64</v>
      </c>
      <c r="C37" s="48">
        <f>AVERAGE('29.07.Jinja RD-Mukwano'!C37,'30.7.Jinja RD-Mukwano RD'!C37,'31.07.Jinja RD-Mukwano RD'!C37,'1.08.Jinja RD-Mukwano RBT 24h'!C37,'02.08.Mukwano-Jinja'!C37,'03.8.Jinja-Mukwano 24h'!C37,'04.08.Jinja RD-Mukwano'!C37)</f>
        <v>149.57142857142858</v>
      </c>
      <c r="D37" s="48">
        <f>AVERAGE('29.07.Jinja RD-Mukwano'!D37,'30.7.Jinja RD-Mukwano RD'!D37,'31.07.Jinja RD-Mukwano RD'!D37,'1.08.Jinja RD-Mukwano RBT 24h'!D37,'02.08.Mukwano-Jinja'!D37,'03.8.Jinja-Mukwano 24h'!D37,'04.08.Jinja RD-Mukwano'!D37)</f>
        <v>21.142857142857142</v>
      </c>
      <c r="E37" s="48">
        <f>AVERAGE('29.07.Jinja RD-Mukwano'!E37,'30.7.Jinja RD-Mukwano RD'!E37,'31.07.Jinja RD-Mukwano RD'!E37,'1.08.Jinja RD-Mukwano RBT 24h'!E37,'02.08.Mukwano-Jinja'!E37,'03.8.Jinja-Mukwano 24h'!E37,'04.08.Jinja RD-Mukwano'!E37)</f>
        <v>10.714285714285714</v>
      </c>
      <c r="F37" s="48">
        <f>AVERAGE('29.07.Jinja RD-Mukwano'!F37,'30.7.Jinja RD-Mukwano RD'!F37,'31.07.Jinja RD-Mukwano RD'!F37,'1.08.Jinja RD-Mukwano RBT 24h'!F37,'02.08.Mukwano-Jinja'!F37,'03.8.Jinja-Mukwano 24h'!F37,'04.08.Jinja RD-Mukwano'!F37)</f>
        <v>5.1428571428571432</v>
      </c>
      <c r="G37" s="48">
        <f>AVERAGE('29.07.Jinja RD-Mukwano'!G37,'30.7.Jinja RD-Mukwano RD'!G37,'31.07.Jinja RD-Mukwano RD'!G37,'1.08.Jinja RD-Mukwano RBT 24h'!G37,'02.08.Mukwano-Jinja'!G37,'03.8.Jinja-Mukwano 24h'!G37,'04.08.Jinja RD-Mukwano'!G37)</f>
        <v>0.8571428571428571</v>
      </c>
      <c r="H37" s="48">
        <f>AVERAGE('29.07.Jinja RD-Mukwano'!H37,'30.7.Jinja RD-Mukwano RD'!H37,'31.07.Jinja RD-Mukwano RD'!H37,'1.08.Jinja RD-Mukwano RBT 24h'!H37,'02.08.Mukwano-Jinja'!H37,'03.8.Jinja-Mukwano 24h'!H37,'04.08.Jinja RD-Mukwano'!H37)</f>
        <v>0</v>
      </c>
      <c r="I37" s="48">
        <f>AVERAGE('29.07.Jinja RD-Mukwano'!I37,'30.7.Jinja RD-Mukwano RD'!I37,'31.07.Jinja RD-Mukwano RD'!I37,'1.08.Jinja RD-Mukwano RBT 24h'!I37,'02.08.Mukwano-Jinja'!I37,'03.8.Jinja-Mukwano 24h'!I37,'04.08.Jinja RD-Mukwano'!I37)</f>
        <v>9.8571428571428577</v>
      </c>
      <c r="J37" s="48">
        <f>AVERAGE('29.07.Jinja RD-Mukwano'!J37,'30.7.Jinja RD-Mukwano RD'!J37,'31.07.Jinja RD-Mukwano RD'!J37,'1.08.Jinja RD-Mukwano RBT 24h'!J37,'02.08.Mukwano-Jinja'!J37,'03.8.Jinja-Mukwano 24h'!J37,'04.08.Jinja RD-Mukwano'!J37)</f>
        <v>5.1428571428571432</v>
      </c>
      <c r="K37" s="48">
        <f>AVERAGE('29.07.Jinja RD-Mukwano'!K37,'30.7.Jinja RD-Mukwano RD'!K37,'31.07.Jinja RD-Mukwano RD'!K37,'1.08.Jinja RD-Mukwano RBT 24h'!K37,'02.08.Mukwano-Jinja'!K37,'03.8.Jinja-Mukwano 24h'!K37,'04.08.Jinja RD-Mukwano'!K37)</f>
        <v>1.8571428571428572</v>
      </c>
      <c r="L37" s="48">
        <f>AVERAGE('29.07.Jinja RD-Mukwano'!L37,'30.7.Jinja RD-Mukwano RD'!L37,'31.07.Jinja RD-Mukwano RD'!L37,'1.08.Jinja RD-Mukwano RBT 24h'!L37,'02.08.Mukwano-Jinja'!L37,'03.8.Jinja-Mukwano 24h'!L37,'04.08.Jinja RD-Mukwano'!L37)</f>
        <v>2.7142857142857144</v>
      </c>
      <c r="M37" s="48">
        <f>AVERAGE('29.07.Jinja RD-Mukwano'!M37,'30.7.Jinja RD-Mukwano RD'!M37,'31.07.Jinja RD-Mukwano RD'!M37,'1.08.Jinja RD-Mukwano RBT 24h'!M37,'02.08.Mukwano-Jinja'!M37,'03.8.Jinja-Mukwano 24h'!M37,'04.08.Jinja RD-Mukwano'!M37)</f>
        <v>491</v>
      </c>
      <c r="N37" s="48">
        <f>AVERAGE('29.07.Jinja RD-Mukwano'!N37,'30.7.Jinja RD-Mukwano RD'!N37,'31.07.Jinja RD-Mukwano RD'!N37,'1.08.Jinja RD-Mukwano RBT 24h'!N37,'02.08.Mukwano-Jinja'!N37,'03.8.Jinja-Mukwano 24h'!N37,'04.08.Jinja RD-Mukwano'!N37)</f>
        <v>0</v>
      </c>
      <c r="O37" s="15">
        <f t="shared" si="0"/>
        <v>207.00000000000003</v>
      </c>
      <c r="P37" s="15">
        <f t="shared" si="1"/>
        <v>698</v>
      </c>
      <c r="R37" s="36" t="s">
        <v>85</v>
      </c>
      <c r="S37" s="34">
        <f t="shared" ref="S37:AF37" si="29">SUM(S10:S12)</f>
        <v>1542.5714285714284</v>
      </c>
      <c r="T37" s="16">
        <f t="shared" si="29"/>
        <v>262.42857142857144</v>
      </c>
      <c r="U37" s="16">
        <f t="shared" si="29"/>
        <v>105.42857142857142</v>
      </c>
      <c r="V37" s="16">
        <f t="shared" si="29"/>
        <v>61.714285714285708</v>
      </c>
      <c r="W37" s="16">
        <f t="shared" si="29"/>
        <v>7.2857142857142847</v>
      </c>
      <c r="X37" s="16">
        <f t="shared" si="29"/>
        <v>2.2857142857142856</v>
      </c>
      <c r="Y37" s="16">
        <f t="shared" si="29"/>
        <v>58.285714285714292</v>
      </c>
      <c r="Z37" s="16">
        <f t="shared" si="29"/>
        <v>36.571428571428577</v>
      </c>
      <c r="AA37" s="16">
        <f t="shared" si="29"/>
        <v>16.857142857142854</v>
      </c>
      <c r="AB37" s="16">
        <f t="shared" si="29"/>
        <v>14.714285714285714</v>
      </c>
      <c r="AC37" s="16">
        <f t="shared" si="29"/>
        <v>5622.8571428571431</v>
      </c>
      <c r="AD37" s="16">
        <f t="shared" si="29"/>
        <v>0.5714285714285714</v>
      </c>
      <c r="AE37" s="31">
        <f t="shared" si="29"/>
        <v>2108.7142857142858</v>
      </c>
      <c r="AF37" s="31">
        <f t="shared" si="29"/>
        <v>7731.5714285714284</v>
      </c>
    </row>
    <row r="38" spans="2:32" ht="23.1" customHeight="1" x14ac:dyDescent="0.25">
      <c r="B38" s="23" t="s">
        <v>65</v>
      </c>
      <c r="C38" s="48">
        <f>AVERAGE('29.07.Jinja RD-Mukwano'!C38,'30.7.Jinja RD-Mukwano RD'!C38,'31.07.Jinja RD-Mukwano RD'!C38,'1.08.Jinja RD-Mukwano RBT 24h'!C38,'02.08.Mukwano-Jinja'!C38,'03.8.Jinja-Mukwano 24h'!C38,'04.08.Jinja RD-Mukwano'!C38)</f>
        <v>146.14285714285714</v>
      </c>
      <c r="D38" s="48">
        <f>AVERAGE('29.07.Jinja RD-Mukwano'!D38,'30.7.Jinja RD-Mukwano RD'!D38,'31.07.Jinja RD-Mukwano RD'!D38,'1.08.Jinja RD-Mukwano RBT 24h'!D38,'02.08.Mukwano-Jinja'!D38,'03.8.Jinja-Mukwano 24h'!D38,'04.08.Jinja RD-Mukwano'!D38)</f>
        <v>26.142857142857142</v>
      </c>
      <c r="E38" s="48">
        <f>AVERAGE('29.07.Jinja RD-Mukwano'!E38,'30.7.Jinja RD-Mukwano RD'!E38,'31.07.Jinja RD-Mukwano RD'!E38,'1.08.Jinja RD-Mukwano RBT 24h'!E38,'02.08.Mukwano-Jinja'!E38,'03.8.Jinja-Mukwano 24h'!E38,'04.08.Jinja RD-Mukwano'!E38)</f>
        <v>8.1428571428571423</v>
      </c>
      <c r="F38" s="48">
        <f>AVERAGE('29.07.Jinja RD-Mukwano'!F38,'30.7.Jinja RD-Mukwano RD'!F38,'31.07.Jinja RD-Mukwano RD'!F38,'1.08.Jinja RD-Mukwano RBT 24h'!F38,'02.08.Mukwano-Jinja'!F38,'03.8.Jinja-Mukwano 24h'!F38,'04.08.Jinja RD-Mukwano'!F38)</f>
        <v>4.8571428571428568</v>
      </c>
      <c r="G38" s="48">
        <f>AVERAGE('29.07.Jinja RD-Mukwano'!G38,'30.7.Jinja RD-Mukwano RD'!G38,'31.07.Jinja RD-Mukwano RD'!G38,'1.08.Jinja RD-Mukwano RBT 24h'!G38,'02.08.Mukwano-Jinja'!G38,'03.8.Jinja-Mukwano 24h'!G38,'04.08.Jinja RD-Mukwano'!G38)</f>
        <v>0.5714285714285714</v>
      </c>
      <c r="H38" s="48">
        <f>AVERAGE('29.07.Jinja RD-Mukwano'!H38,'30.7.Jinja RD-Mukwano RD'!H38,'31.07.Jinja RD-Mukwano RD'!H38,'1.08.Jinja RD-Mukwano RBT 24h'!H38,'02.08.Mukwano-Jinja'!H38,'03.8.Jinja-Mukwano 24h'!H38,'04.08.Jinja RD-Mukwano'!H38)</f>
        <v>0.42857142857142855</v>
      </c>
      <c r="I38" s="48">
        <f>AVERAGE('29.07.Jinja RD-Mukwano'!I38,'30.7.Jinja RD-Mukwano RD'!I38,'31.07.Jinja RD-Mukwano RD'!I38,'1.08.Jinja RD-Mukwano RBT 24h'!I38,'02.08.Mukwano-Jinja'!I38,'03.8.Jinja-Mukwano 24h'!I38,'04.08.Jinja RD-Mukwano'!I38)</f>
        <v>5.8571428571428568</v>
      </c>
      <c r="J38" s="48">
        <f>AVERAGE('29.07.Jinja RD-Mukwano'!J38,'30.7.Jinja RD-Mukwano RD'!J38,'31.07.Jinja RD-Mukwano RD'!J38,'1.08.Jinja RD-Mukwano RBT 24h'!J38,'02.08.Mukwano-Jinja'!J38,'03.8.Jinja-Mukwano 24h'!J38,'04.08.Jinja RD-Mukwano'!J38)</f>
        <v>4.2857142857142856</v>
      </c>
      <c r="K38" s="48">
        <f>AVERAGE('29.07.Jinja RD-Mukwano'!K38,'30.7.Jinja RD-Mukwano RD'!K38,'31.07.Jinja RD-Mukwano RD'!K38,'1.08.Jinja RD-Mukwano RBT 24h'!K38,'02.08.Mukwano-Jinja'!K38,'03.8.Jinja-Mukwano 24h'!K38,'04.08.Jinja RD-Mukwano'!K38)</f>
        <v>2.1428571428571428</v>
      </c>
      <c r="L38" s="48">
        <f>AVERAGE('29.07.Jinja RD-Mukwano'!L38,'30.7.Jinja RD-Mukwano RD'!L38,'31.07.Jinja RD-Mukwano RD'!L38,'1.08.Jinja RD-Mukwano RBT 24h'!L38,'02.08.Mukwano-Jinja'!L38,'03.8.Jinja-Mukwano 24h'!L38,'04.08.Jinja RD-Mukwano'!L38)</f>
        <v>2.7142857142857144</v>
      </c>
      <c r="M38" s="48">
        <f>AVERAGE('29.07.Jinja RD-Mukwano'!M38,'30.7.Jinja RD-Mukwano RD'!M38,'31.07.Jinja RD-Mukwano RD'!M38,'1.08.Jinja RD-Mukwano RBT 24h'!M38,'02.08.Mukwano-Jinja'!M38,'03.8.Jinja-Mukwano 24h'!M38,'04.08.Jinja RD-Mukwano'!M38)</f>
        <v>486.71428571428572</v>
      </c>
      <c r="N38" s="48">
        <f>AVERAGE('29.07.Jinja RD-Mukwano'!N38,'30.7.Jinja RD-Mukwano RD'!N38,'31.07.Jinja RD-Mukwano RD'!N38,'1.08.Jinja RD-Mukwano RBT 24h'!N38,'02.08.Mukwano-Jinja'!N38,'03.8.Jinja-Mukwano 24h'!N38,'04.08.Jinja RD-Mukwano'!N38)</f>
        <v>0</v>
      </c>
      <c r="O38" s="15">
        <f t="shared" si="0"/>
        <v>201.28571428571428</v>
      </c>
      <c r="P38" s="15">
        <f t="shared" si="1"/>
        <v>688</v>
      </c>
      <c r="R38" s="27" t="s">
        <v>86</v>
      </c>
      <c r="S38" s="16">
        <f t="shared" ref="S38:AF38" si="30">SUM(S13:S18)</f>
        <v>3471.2857142857147</v>
      </c>
      <c r="T38" s="16">
        <f t="shared" si="30"/>
        <v>622.71428571428567</v>
      </c>
      <c r="U38" s="16">
        <f t="shared" si="30"/>
        <v>269.14285714285711</v>
      </c>
      <c r="V38" s="16">
        <f t="shared" si="30"/>
        <v>135.57142857142856</v>
      </c>
      <c r="W38" s="16">
        <f t="shared" si="30"/>
        <v>19.285714285714285</v>
      </c>
      <c r="X38" s="16">
        <f t="shared" si="30"/>
        <v>3.4285714285714288</v>
      </c>
      <c r="Y38" s="16">
        <f t="shared" si="30"/>
        <v>223.14285714285711</v>
      </c>
      <c r="Z38" s="16">
        <f t="shared" si="30"/>
        <v>109.14285714285714</v>
      </c>
      <c r="AA38" s="16">
        <f t="shared" si="30"/>
        <v>47.571428571428562</v>
      </c>
      <c r="AB38" s="16">
        <f t="shared" si="30"/>
        <v>56.142857142857139</v>
      </c>
      <c r="AC38" s="16">
        <f t="shared" si="30"/>
        <v>11829.142857142855</v>
      </c>
      <c r="AD38" s="16">
        <f t="shared" si="30"/>
        <v>2.1428571428571423</v>
      </c>
      <c r="AE38" s="31">
        <f t="shared" si="30"/>
        <v>4959.5714285714284</v>
      </c>
      <c r="AF38" s="31">
        <f t="shared" si="30"/>
        <v>16788.714285714286</v>
      </c>
    </row>
    <row r="39" spans="2:32" ht="23.1" customHeight="1" x14ac:dyDescent="0.25">
      <c r="B39" s="23" t="s">
        <v>66</v>
      </c>
      <c r="C39" s="48">
        <f>AVERAGE('29.07.Jinja RD-Mukwano'!C39,'30.7.Jinja RD-Mukwano RD'!C39,'31.07.Jinja RD-Mukwano RD'!C39,'1.08.Jinja RD-Mukwano RBT 24h'!C39,'02.08.Mukwano-Jinja'!C39,'03.8.Jinja-Mukwano 24h'!C39,'04.08.Jinja RD-Mukwano'!C39)</f>
        <v>144</v>
      </c>
      <c r="D39" s="48">
        <f>AVERAGE('29.07.Jinja RD-Mukwano'!D39,'30.7.Jinja RD-Mukwano RD'!D39,'31.07.Jinja RD-Mukwano RD'!D39,'1.08.Jinja RD-Mukwano RBT 24h'!D39,'02.08.Mukwano-Jinja'!D39,'03.8.Jinja-Mukwano 24h'!D39,'04.08.Jinja RD-Mukwano'!D39)</f>
        <v>23.285714285714285</v>
      </c>
      <c r="E39" s="48">
        <f>AVERAGE('29.07.Jinja RD-Mukwano'!E39,'30.7.Jinja RD-Mukwano RD'!E39,'31.07.Jinja RD-Mukwano RD'!E39,'1.08.Jinja RD-Mukwano RBT 24h'!E39,'02.08.Mukwano-Jinja'!E39,'03.8.Jinja-Mukwano 24h'!E39,'04.08.Jinja RD-Mukwano'!E39)</f>
        <v>10.714285714285714</v>
      </c>
      <c r="F39" s="48">
        <f>AVERAGE('29.07.Jinja RD-Mukwano'!F39,'30.7.Jinja RD-Mukwano RD'!F39,'31.07.Jinja RD-Mukwano RD'!F39,'1.08.Jinja RD-Mukwano RBT 24h'!F39,'02.08.Mukwano-Jinja'!F39,'03.8.Jinja-Mukwano 24h'!F39,'04.08.Jinja RD-Mukwano'!F39)</f>
        <v>7</v>
      </c>
      <c r="G39" s="48">
        <f>AVERAGE('29.07.Jinja RD-Mukwano'!G39,'30.7.Jinja RD-Mukwano RD'!G39,'31.07.Jinja RD-Mukwano RD'!G39,'1.08.Jinja RD-Mukwano RBT 24h'!G39,'02.08.Mukwano-Jinja'!G39,'03.8.Jinja-Mukwano 24h'!G39,'04.08.Jinja RD-Mukwano'!G39)</f>
        <v>0.7142857142857143</v>
      </c>
      <c r="H39" s="48">
        <f>AVERAGE('29.07.Jinja RD-Mukwano'!H39,'30.7.Jinja RD-Mukwano RD'!H39,'31.07.Jinja RD-Mukwano RD'!H39,'1.08.Jinja RD-Mukwano RBT 24h'!H39,'02.08.Mukwano-Jinja'!H39,'03.8.Jinja-Mukwano 24h'!H39,'04.08.Jinja RD-Mukwano'!H39)</f>
        <v>0.5714285714285714</v>
      </c>
      <c r="I39" s="48">
        <f>AVERAGE('29.07.Jinja RD-Mukwano'!I39,'30.7.Jinja RD-Mukwano RD'!I39,'31.07.Jinja RD-Mukwano RD'!I39,'1.08.Jinja RD-Mukwano RBT 24h'!I39,'02.08.Mukwano-Jinja'!I39,'03.8.Jinja-Mukwano 24h'!I39,'04.08.Jinja RD-Mukwano'!I39)</f>
        <v>7.1428571428571432</v>
      </c>
      <c r="J39" s="48">
        <f>AVERAGE('29.07.Jinja RD-Mukwano'!J39,'30.7.Jinja RD-Mukwano RD'!J39,'31.07.Jinja RD-Mukwano RD'!J39,'1.08.Jinja RD-Mukwano RBT 24h'!J39,'02.08.Mukwano-Jinja'!J39,'03.8.Jinja-Mukwano 24h'!J39,'04.08.Jinja RD-Mukwano'!J39)</f>
        <v>5.2857142857142856</v>
      </c>
      <c r="K39" s="48">
        <f>AVERAGE('29.07.Jinja RD-Mukwano'!K39,'30.7.Jinja RD-Mukwano RD'!K39,'31.07.Jinja RD-Mukwano RD'!K39,'1.08.Jinja RD-Mukwano RBT 24h'!K39,'02.08.Mukwano-Jinja'!K39,'03.8.Jinja-Mukwano 24h'!K39,'04.08.Jinja RD-Mukwano'!K39)</f>
        <v>2.2857142857142856</v>
      </c>
      <c r="L39" s="48">
        <f>AVERAGE('29.07.Jinja RD-Mukwano'!L39,'30.7.Jinja RD-Mukwano RD'!L39,'31.07.Jinja RD-Mukwano RD'!L39,'1.08.Jinja RD-Mukwano RBT 24h'!L39,'02.08.Mukwano-Jinja'!L39,'03.8.Jinja-Mukwano 24h'!L39,'04.08.Jinja RD-Mukwano'!L39)</f>
        <v>3.8571428571428572</v>
      </c>
      <c r="M39" s="48">
        <f>AVERAGE('29.07.Jinja RD-Mukwano'!M39,'30.7.Jinja RD-Mukwano RD'!M39,'31.07.Jinja RD-Mukwano RD'!M39,'1.08.Jinja RD-Mukwano RBT 24h'!M39,'02.08.Mukwano-Jinja'!M39,'03.8.Jinja-Mukwano 24h'!M39,'04.08.Jinja RD-Mukwano'!M39)</f>
        <v>515.57142857142856</v>
      </c>
      <c r="N39" s="48">
        <f>AVERAGE('29.07.Jinja RD-Mukwano'!N39,'30.7.Jinja RD-Mukwano RD'!N39,'31.07.Jinja RD-Mukwano RD'!N39,'1.08.Jinja RD-Mukwano RBT 24h'!N39,'02.08.Mukwano-Jinja'!N39,'03.8.Jinja-Mukwano 24h'!N39,'04.08.Jinja RD-Mukwano'!N39)</f>
        <v>0</v>
      </c>
      <c r="O39" s="15">
        <f t="shared" si="0"/>
        <v>204.85714285714286</v>
      </c>
      <c r="P39" s="15">
        <f t="shared" si="1"/>
        <v>720.42857142857144</v>
      </c>
      <c r="R39" s="28" t="s">
        <v>87</v>
      </c>
      <c r="S39" s="16">
        <f t="shared" ref="S39:AF39" si="31">SUM(S19:S21)</f>
        <v>1849.5714285714284</v>
      </c>
      <c r="T39" s="16">
        <f t="shared" si="31"/>
        <v>358.42857142857144</v>
      </c>
      <c r="U39" s="16">
        <f t="shared" si="31"/>
        <v>146.42857142857144</v>
      </c>
      <c r="V39" s="16">
        <f t="shared" si="31"/>
        <v>76.285714285714278</v>
      </c>
      <c r="W39" s="16">
        <f t="shared" si="31"/>
        <v>11.142857142857142</v>
      </c>
      <c r="X39" s="16">
        <f t="shared" si="31"/>
        <v>1.9999999999999998</v>
      </c>
      <c r="Y39" s="16">
        <f t="shared" si="31"/>
        <v>107.71428571428572</v>
      </c>
      <c r="Z39" s="16">
        <f t="shared" si="31"/>
        <v>50.285714285714278</v>
      </c>
      <c r="AA39" s="16">
        <f t="shared" si="31"/>
        <v>20.857142857142858</v>
      </c>
      <c r="AB39" s="16">
        <f t="shared" si="31"/>
        <v>28.857142857142858</v>
      </c>
      <c r="AC39" s="16">
        <f t="shared" si="31"/>
        <v>5677.2857142857138</v>
      </c>
      <c r="AD39" s="16">
        <f t="shared" si="31"/>
        <v>0.42857142857142855</v>
      </c>
      <c r="AE39" s="31">
        <f t="shared" si="31"/>
        <v>2652</v>
      </c>
      <c r="AF39" s="31">
        <f t="shared" si="31"/>
        <v>8329.2857142857138</v>
      </c>
    </row>
    <row r="40" spans="2:32" ht="23.1" customHeight="1" x14ac:dyDescent="0.25">
      <c r="B40" s="23" t="s">
        <v>67</v>
      </c>
      <c r="C40" s="48">
        <f>AVERAGE('29.07.Jinja RD-Mukwano'!C40,'30.7.Jinja RD-Mukwano RD'!C40,'31.07.Jinja RD-Mukwano RD'!C40,'1.08.Jinja RD-Mukwano RBT 24h'!C40,'02.08.Mukwano-Jinja'!C40,'03.8.Jinja-Mukwano 24h'!C40,'04.08.Jinja RD-Mukwano'!C40)</f>
        <v>156.71428571428572</v>
      </c>
      <c r="D40" s="48">
        <f>AVERAGE('29.07.Jinja RD-Mukwano'!D40,'30.7.Jinja RD-Mukwano RD'!D40,'31.07.Jinja RD-Mukwano RD'!D40,'1.08.Jinja RD-Mukwano RBT 24h'!D40,'02.08.Mukwano-Jinja'!D40,'03.8.Jinja-Mukwano 24h'!D40,'04.08.Jinja RD-Mukwano'!D40)</f>
        <v>24.428571428571427</v>
      </c>
      <c r="E40" s="48">
        <f>AVERAGE('29.07.Jinja RD-Mukwano'!E40,'30.7.Jinja RD-Mukwano RD'!E40,'31.07.Jinja RD-Mukwano RD'!E40,'1.08.Jinja RD-Mukwano RBT 24h'!E40,'02.08.Mukwano-Jinja'!E40,'03.8.Jinja-Mukwano 24h'!E40,'04.08.Jinja RD-Mukwano'!E40)</f>
        <v>11.714285714285714</v>
      </c>
      <c r="F40" s="48">
        <f>AVERAGE('29.07.Jinja RD-Mukwano'!F40,'30.7.Jinja RD-Mukwano RD'!F40,'31.07.Jinja RD-Mukwano RD'!F40,'1.08.Jinja RD-Mukwano RBT 24h'!F40,'02.08.Mukwano-Jinja'!F40,'03.8.Jinja-Mukwano 24h'!F40,'04.08.Jinja RD-Mukwano'!F40)</f>
        <v>5.4285714285714288</v>
      </c>
      <c r="G40" s="48">
        <f>AVERAGE('29.07.Jinja RD-Mukwano'!G40,'30.7.Jinja RD-Mukwano RD'!G40,'31.07.Jinja RD-Mukwano RD'!G40,'1.08.Jinja RD-Mukwano RBT 24h'!G40,'02.08.Mukwano-Jinja'!G40,'03.8.Jinja-Mukwano 24h'!G40,'04.08.Jinja RD-Mukwano'!G40)</f>
        <v>0.42857142857142855</v>
      </c>
      <c r="H40" s="48">
        <f>AVERAGE('29.07.Jinja RD-Mukwano'!H40,'30.7.Jinja RD-Mukwano RD'!H40,'31.07.Jinja RD-Mukwano RD'!H40,'1.08.Jinja RD-Mukwano RBT 24h'!H40,'02.08.Mukwano-Jinja'!H40,'03.8.Jinja-Mukwano 24h'!H40,'04.08.Jinja RD-Mukwano'!H40)</f>
        <v>0.14285714285714285</v>
      </c>
      <c r="I40" s="48">
        <f>AVERAGE('29.07.Jinja RD-Mukwano'!I40,'30.7.Jinja RD-Mukwano RD'!I40,'31.07.Jinja RD-Mukwano RD'!I40,'1.08.Jinja RD-Mukwano RBT 24h'!I40,'02.08.Mukwano-Jinja'!I40,'03.8.Jinja-Mukwano 24h'!I40,'04.08.Jinja RD-Mukwano'!I40)</f>
        <v>12.142857142857142</v>
      </c>
      <c r="J40" s="48">
        <f>AVERAGE('29.07.Jinja RD-Mukwano'!J40,'30.7.Jinja RD-Mukwano RD'!J40,'31.07.Jinja RD-Mukwano RD'!J40,'1.08.Jinja RD-Mukwano RBT 24h'!J40,'02.08.Mukwano-Jinja'!J40,'03.8.Jinja-Mukwano 24h'!J40,'04.08.Jinja RD-Mukwano'!J40)</f>
        <v>4.8571428571428568</v>
      </c>
      <c r="K40" s="48">
        <f>AVERAGE('29.07.Jinja RD-Mukwano'!K40,'30.7.Jinja RD-Mukwano RD'!K40,'31.07.Jinja RD-Mukwano RD'!K40,'1.08.Jinja RD-Mukwano RBT 24h'!K40,'02.08.Mukwano-Jinja'!K40,'03.8.Jinja-Mukwano 24h'!K40,'04.08.Jinja RD-Mukwano'!K40)</f>
        <v>2</v>
      </c>
      <c r="L40" s="48">
        <f>AVERAGE('29.07.Jinja RD-Mukwano'!L40,'30.7.Jinja RD-Mukwano RD'!L40,'31.07.Jinja RD-Mukwano RD'!L40,'1.08.Jinja RD-Mukwano RBT 24h'!L40,'02.08.Mukwano-Jinja'!L40,'03.8.Jinja-Mukwano 24h'!L40,'04.08.Jinja RD-Mukwano'!L40)</f>
        <v>3.1428571428571428</v>
      </c>
      <c r="M40" s="48">
        <f>AVERAGE('29.07.Jinja RD-Mukwano'!M40,'30.7.Jinja RD-Mukwano RD'!M40,'31.07.Jinja RD-Mukwano RD'!M40,'1.08.Jinja RD-Mukwano RBT 24h'!M40,'02.08.Mukwano-Jinja'!M40,'03.8.Jinja-Mukwano 24h'!M40,'04.08.Jinja RD-Mukwano'!M40)</f>
        <v>536.57142857142856</v>
      </c>
      <c r="N40" s="48">
        <f>AVERAGE('29.07.Jinja RD-Mukwano'!N40,'30.7.Jinja RD-Mukwano RD'!N40,'31.07.Jinja RD-Mukwano RD'!N40,'1.08.Jinja RD-Mukwano RBT 24h'!N40,'02.08.Mukwano-Jinja'!N40,'03.8.Jinja-Mukwano 24h'!N40,'04.08.Jinja RD-Mukwano'!N40)</f>
        <v>0</v>
      </c>
      <c r="O40" s="15">
        <f t="shared" si="0"/>
        <v>220.99999999999997</v>
      </c>
      <c r="P40" s="15">
        <f t="shared" si="1"/>
        <v>757.57142857142856</v>
      </c>
      <c r="R40" s="5" t="s">
        <v>17</v>
      </c>
      <c r="S40" s="16">
        <f t="shared" ref="S40:AF40" si="32">SUM(S10:S21)</f>
        <v>6863.4285714285716</v>
      </c>
      <c r="T40" s="16">
        <f t="shared" si="32"/>
        <v>1243.5714285714284</v>
      </c>
      <c r="U40" s="16">
        <f t="shared" si="32"/>
        <v>521</v>
      </c>
      <c r="V40" s="16">
        <f t="shared" si="32"/>
        <v>273.57142857142856</v>
      </c>
      <c r="W40" s="16">
        <f t="shared" si="32"/>
        <v>37.714285714285715</v>
      </c>
      <c r="X40" s="16">
        <f t="shared" si="32"/>
        <v>7.7142857142857144</v>
      </c>
      <c r="Y40" s="16">
        <f t="shared" si="32"/>
        <v>389.14285714285717</v>
      </c>
      <c r="Z40" s="16">
        <f t="shared" si="32"/>
        <v>196</v>
      </c>
      <c r="AA40" s="16">
        <f t="shared" si="32"/>
        <v>85.285714285714278</v>
      </c>
      <c r="AB40" s="16">
        <f t="shared" si="32"/>
        <v>99.714285714285708</v>
      </c>
      <c r="AC40" s="16">
        <f t="shared" si="32"/>
        <v>23129.285714285714</v>
      </c>
      <c r="AD40" s="16">
        <f t="shared" si="32"/>
        <v>3.1428571428571423</v>
      </c>
      <c r="AE40" s="31">
        <f t="shared" si="32"/>
        <v>9720.2857142857156</v>
      </c>
      <c r="AF40" s="31">
        <f t="shared" si="32"/>
        <v>32849.571428571428</v>
      </c>
    </row>
    <row r="41" spans="2:32" ht="23.1" customHeight="1" x14ac:dyDescent="0.25">
      <c r="B41" s="22" t="s">
        <v>68</v>
      </c>
      <c r="C41" s="48">
        <f>AVERAGE('29.07.Jinja RD-Mukwano'!C41,'30.7.Jinja RD-Mukwano RD'!C41,'31.07.Jinja RD-Mukwano RD'!C41,'1.08.Jinja RD-Mukwano RBT 24h'!C41,'02.08.Mukwano-Jinja'!C41,'03.8.Jinja-Mukwano 24h'!C41,'04.08.Jinja RD-Mukwano'!C41)</f>
        <v>151.57142857142858</v>
      </c>
      <c r="D41" s="48">
        <f>AVERAGE('29.07.Jinja RD-Mukwano'!D41,'30.7.Jinja RD-Mukwano RD'!D41,'31.07.Jinja RD-Mukwano RD'!D41,'1.08.Jinja RD-Mukwano RBT 24h'!D41,'02.08.Mukwano-Jinja'!D41,'03.8.Jinja-Mukwano 24h'!D41,'04.08.Jinja RD-Mukwano'!D41)</f>
        <v>19</v>
      </c>
      <c r="E41" s="48">
        <f>AVERAGE('29.07.Jinja RD-Mukwano'!E41,'30.7.Jinja RD-Mukwano RD'!E41,'31.07.Jinja RD-Mukwano RD'!E41,'1.08.Jinja RD-Mukwano RBT 24h'!E41,'02.08.Mukwano-Jinja'!E41,'03.8.Jinja-Mukwano 24h'!E41,'04.08.Jinja RD-Mukwano'!E41)</f>
        <v>11.857142857142858</v>
      </c>
      <c r="F41" s="48">
        <f>AVERAGE('29.07.Jinja RD-Mukwano'!F41,'30.7.Jinja RD-Mukwano RD'!F41,'31.07.Jinja RD-Mukwano RD'!F41,'1.08.Jinja RD-Mukwano RBT 24h'!F41,'02.08.Mukwano-Jinja'!F41,'03.8.Jinja-Mukwano 24h'!F41,'04.08.Jinja RD-Mukwano'!F41)</f>
        <v>6.1428571428571432</v>
      </c>
      <c r="G41" s="48">
        <f>AVERAGE('29.07.Jinja RD-Mukwano'!G41,'30.7.Jinja RD-Mukwano RD'!G41,'31.07.Jinja RD-Mukwano RD'!G41,'1.08.Jinja RD-Mukwano RBT 24h'!G41,'02.08.Mukwano-Jinja'!G41,'03.8.Jinja-Mukwano 24h'!G41,'04.08.Jinja RD-Mukwano'!G41)</f>
        <v>0.42857142857142855</v>
      </c>
      <c r="H41" s="48">
        <f>AVERAGE('29.07.Jinja RD-Mukwano'!H41,'30.7.Jinja RD-Mukwano RD'!H41,'31.07.Jinja RD-Mukwano RD'!H41,'1.08.Jinja RD-Mukwano RBT 24h'!H41,'02.08.Mukwano-Jinja'!H41,'03.8.Jinja-Mukwano 24h'!H41,'04.08.Jinja RD-Mukwano'!H41)</f>
        <v>0</v>
      </c>
      <c r="I41" s="48">
        <f>AVERAGE('29.07.Jinja RD-Mukwano'!I41,'30.7.Jinja RD-Mukwano RD'!I41,'31.07.Jinja RD-Mukwano RD'!I41,'1.08.Jinja RD-Mukwano RBT 24h'!I41,'02.08.Mukwano-Jinja'!I41,'03.8.Jinja-Mukwano 24h'!I41,'04.08.Jinja RD-Mukwano'!I41)</f>
        <v>12.142857142857142</v>
      </c>
      <c r="J41" s="48">
        <f>AVERAGE('29.07.Jinja RD-Mukwano'!J41,'30.7.Jinja RD-Mukwano RD'!J41,'31.07.Jinja RD-Mukwano RD'!J41,'1.08.Jinja RD-Mukwano RBT 24h'!J41,'02.08.Mukwano-Jinja'!J41,'03.8.Jinja-Mukwano 24h'!J41,'04.08.Jinja RD-Mukwano'!J41)</f>
        <v>6</v>
      </c>
      <c r="K41" s="48">
        <f>AVERAGE('29.07.Jinja RD-Mukwano'!K41,'30.7.Jinja RD-Mukwano RD'!K41,'31.07.Jinja RD-Mukwano RD'!K41,'1.08.Jinja RD-Mukwano RBT 24h'!K41,'02.08.Mukwano-Jinja'!K41,'03.8.Jinja-Mukwano 24h'!K41,'04.08.Jinja RD-Mukwano'!K41)</f>
        <v>1.4285714285714286</v>
      </c>
      <c r="L41" s="48">
        <f>AVERAGE('29.07.Jinja RD-Mukwano'!L41,'30.7.Jinja RD-Mukwano RD'!L41,'31.07.Jinja RD-Mukwano RD'!L41,'1.08.Jinja RD-Mukwano RBT 24h'!L41,'02.08.Mukwano-Jinja'!L41,'03.8.Jinja-Mukwano 24h'!L41,'04.08.Jinja RD-Mukwano'!L41)</f>
        <v>2.5714285714285716</v>
      </c>
      <c r="M41" s="48">
        <f>AVERAGE('29.07.Jinja RD-Mukwano'!M41,'30.7.Jinja RD-Mukwano RD'!M41,'31.07.Jinja RD-Mukwano RD'!M41,'1.08.Jinja RD-Mukwano RBT 24h'!M41,'02.08.Mukwano-Jinja'!M41,'03.8.Jinja-Mukwano 24h'!M41,'04.08.Jinja RD-Mukwano'!M41)</f>
        <v>502.71428571428572</v>
      </c>
      <c r="N41" s="48">
        <f>AVERAGE('29.07.Jinja RD-Mukwano'!N41,'30.7.Jinja RD-Mukwano RD'!N41,'31.07.Jinja RD-Mukwano RD'!N41,'1.08.Jinja RD-Mukwano RBT 24h'!N41,'02.08.Mukwano-Jinja'!N41,'03.8.Jinja-Mukwano 24h'!N41,'04.08.Jinja RD-Mukwano'!N41)</f>
        <v>0</v>
      </c>
      <c r="O41" s="15">
        <f t="shared" si="0"/>
        <v>211.14285714285714</v>
      </c>
      <c r="P41" s="15">
        <f t="shared" si="1"/>
        <v>713.85714285714289</v>
      </c>
      <c r="R41" s="5" t="s">
        <v>191</v>
      </c>
      <c r="S41" s="52">
        <f>SUM(S10:S33)</f>
        <v>10412.928571428572</v>
      </c>
      <c r="T41" s="52">
        <f t="shared" ref="T41:AD41" si="33">SUM(T10:T33)</f>
        <v>2336.5714285714284</v>
      </c>
      <c r="U41" s="52">
        <f t="shared" si="33"/>
        <v>752.5</v>
      </c>
      <c r="V41" s="52">
        <f t="shared" si="33"/>
        <v>369.57142857142856</v>
      </c>
      <c r="W41" s="52">
        <f t="shared" si="33"/>
        <v>46.214285714285715</v>
      </c>
      <c r="X41" s="52">
        <f t="shared" si="33"/>
        <v>14.714285714285715</v>
      </c>
      <c r="Y41" s="52">
        <f t="shared" si="33"/>
        <v>537.14285714285711</v>
      </c>
      <c r="Z41" s="52">
        <f t="shared" si="33"/>
        <v>229</v>
      </c>
      <c r="AA41" s="52">
        <f t="shared" si="33"/>
        <v>127.78571428571428</v>
      </c>
      <c r="AB41" s="52">
        <f t="shared" si="33"/>
        <v>136.71428571428572</v>
      </c>
      <c r="AC41" s="52">
        <f t="shared" si="33"/>
        <v>29011.785714285714</v>
      </c>
      <c r="AD41" s="52">
        <f t="shared" si="33"/>
        <v>3.1428571428571423</v>
      </c>
      <c r="AE41" s="53">
        <f>SUM(AE10:AE33)</f>
        <v>14966.285714285716</v>
      </c>
      <c r="AF41" s="53">
        <f>SUM(AF10:AF33)</f>
        <v>43978.071428571428</v>
      </c>
    </row>
    <row r="42" spans="2:32" ht="23.1" customHeight="1" x14ac:dyDescent="0.25">
      <c r="B42" s="23" t="s">
        <v>69</v>
      </c>
      <c r="C42" s="48">
        <f>AVERAGE('29.07.Jinja RD-Mukwano'!C42,'30.7.Jinja RD-Mukwano RD'!C42,'31.07.Jinja RD-Mukwano RD'!C42,'1.08.Jinja RD-Mukwano RBT 24h'!C42,'02.08.Mukwano-Jinja'!C42,'03.8.Jinja-Mukwano 24h'!C42,'04.08.Jinja RD-Mukwano'!C42)</f>
        <v>149.71428571428572</v>
      </c>
      <c r="D42" s="48">
        <f>AVERAGE('29.07.Jinja RD-Mukwano'!D42,'30.7.Jinja RD-Mukwano RD'!D42,'31.07.Jinja RD-Mukwano RD'!D42,'1.08.Jinja RD-Mukwano RBT 24h'!D42,'02.08.Mukwano-Jinja'!D42,'03.8.Jinja-Mukwano 24h'!D42,'04.08.Jinja RD-Mukwano'!D42)</f>
        <v>24.285714285714285</v>
      </c>
      <c r="E42" s="48">
        <f>AVERAGE('29.07.Jinja RD-Mukwano'!E42,'30.7.Jinja RD-Mukwano RD'!E42,'31.07.Jinja RD-Mukwano RD'!E42,'1.08.Jinja RD-Mukwano RBT 24h'!E42,'02.08.Mukwano-Jinja'!E42,'03.8.Jinja-Mukwano 24h'!E42,'04.08.Jinja RD-Mukwano'!E42)</f>
        <v>12.857142857142858</v>
      </c>
      <c r="F42" s="48">
        <f>AVERAGE('29.07.Jinja RD-Mukwano'!F42,'30.7.Jinja RD-Mukwano RD'!F42,'31.07.Jinja RD-Mukwano RD'!F42,'1.08.Jinja RD-Mukwano RBT 24h'!F42,'02.08.Mukwano-Jinja'!F42,'03.8.Jinja-Mukwano 24h'!F42,'04.08.Jinja RD-Mukwano'!F42)</f>
        <v>3.5714285714285716</v>
      </c>
      <c r="G42" s="48">
        <f>AVERAGE('29.07.Jinja RD-Mukwano'!G42,'30.7.Jinja RD-Mukwano RD'!G42,'31.07.Jinja RD-Mukwano RD'!G42,'1.08.Jinja RD-Mukwano RBT 24h'!G42,'02.08.Mukwano-Jinja'!G42,'03.8.Jinja-Mukwano 24h'!G42,'04.08.Jinja RD-Mukwano'!G42)</f>
        <v>0.14285714285714285</v>
      </c>
      <c r="H42" s="48">
        <f>AVERAGE('29.07.Jinja RD-Mukwano'!H42,'30.7.Jinja RD-Mukwano RD'!H42,'31.07.Jinja RD-Mukwano RD'!H42,'1.08.Jinja RD-Mukwano RBT 24h'!H42,'02.08.Mukwano-Jinja'!H42,'03.8.Jinja-Mukwano 24h'!H42,'04.08.Jinja RD-Mukwano'!H42)</f>
        <v>0.14285714285714285</v>
      </c>
      <c r="I42" s="48">
        <f>AVERAGE('29.07.Jinja RD-Mukwano'!I42,'30.7.Jinja RD-Mukwano RD'!I42,'31.07.Jinja RD-Mukwano RD'!I42,'1.08.Jinja RD-Mukwano RBT 24h'!I42,'02.08.Mukwano-Jinja'!I42,'03.8.Jinja-Mukwano 24h'!I42,'04.08.Jinja RD-Mukwano'!I42)</f>
        <v>9.4285714285714288</v>
      </c>
      <c r="J42" s="48">
        <f>AVERAGE('29.07.Jinja RD-Mukwano'!J42,'30.7.Jinja RD-Mukwano RD'!J42,'31.07.Jinja RD-Mukwano RD'!J42,'1.08.Jinja RD-Mukwano RBT 24h'!J42,'02.08.Mukwano-Jinja'!J42,'03.8.Jinja-Mukwano 24h'!J42,'04.08.Jinja RD-Mukwano'!J42)</f>
        <v>5</v>
      </c>
      <c r="K42" s="48">
        <f>AVERAGE('29.07.Jinja RD-Mukwano'!K42,'30.7.Jinja RD-Mukwano RD'!K42,'31.07.Jinja RD-Mukwano RD'!K42,'1.08.Jinja RD-Mukwano RBT 24h'!K42,'02.08.Mukwano-Jinja'!K42,'03.8.Jinja-Mukwano 24h'!K42,'04.08.Jinja RD-Mukwano'!K42)</f>
        <v>1.2857142857142858</v>
      </c>
      <c r="L42" s="48">
        <f>AVERAGE('29.07.Jinja RD-Mukwano'!L42,'30.7.Jinja RD-Mukwano RD'!L42,'31.07.Jinja RD-Mukwano RD'!L42,'1.08.Jinja RD-Mukwano RBT 24h'!L42,'02.08.Mukwano-Jinja'!L42,'03.8.Jinja-Mukwano 24h'!L42,'04.08.Jinja RD-Mukwano'!L42)</f>
        <v>1.4285714285714286</v>
      </c>
      <c r="M42" s="48">
        <f>AVERAGE('29.07.Jinja RD-Mukwano'!M42,'30.7.Jinja RD-Mukwano RD'!M42,'31.07.Jinja RD-Mukwano RD'!M42,'1.08.Jinja RD-Mukwano RBT 24h'!M42,'02.08.Mukwano-Jinja'!M42,'03.8.Jinja-Mukwano 24h'!M42,'04.08.Jinja RD-Mukwano'!M42)</f>
        <v>557.57142857142856</v>
      </c>
      <c r="N42" s="48">
        <f>AVERAGE('29.07.Jinja RD-Mukwano'!N42,'30.7.Jinja RD-Mukwano RD'!N42,'31.07.Jinja RD-Mukwano RD'!N42,'1.08.Jinja RD-Mukwano RBT 24h'!N42,'02.08.Mukwano-Jinja'!N42,'03.8.Jinja-Mukwano 24h'!N42,'04.08.Jinja RD-Mukwano'!N42)</f>
        <v>0</v>
      </c>
      <c r="O42" s="15">
        <f t="shared" si="0"/>
        <v>207.85714285714283</v>
      </c>
      <c r="P42" s="15">
        <f t="shared" si="1"/>
        <v>765.42857142857133</v>
      </c>
      <c r="R42" s="5" t="s">
        <v>160</v>
      </c>
      <c r="S42" s="47">
        <f>S41/S40</f>
        <v>1.517161352093914</v>
      </c>
      <c r="T42" s="47">
        <f t="shared" ref="T42:AF42" si="34">T41/T40</f>
        <v>1.8789201608271109</v>
      </c>
      <c r="U42" s="47">
        <f t="shared" si="34"/>
        <v>1.4443378119001919</v>
      </c>
      <c r="V42" s="47">
        <f t="shared" si="34"/>
        <v>1.3509138381201045</v>
      </c>
      <c r="W42" s="47">
        <f t="shared" si="34"/>
        <v>1.2253787878787878</v>
      </c>
      <c r="X42" s="47">
        <f t="shared" si="34"/>
        <v>1.9074074074074074</v>
      </c>
      <c r="Y42" s="47">
        <f t="shared" si="34"/>
        <v>1.3803230543318648</v>
      </c>
      <c r="Z42" s="47">
        <f t="shared" si="34"/>
        <v>1.1683673469387754</v>
      </c>
      <c r="AA42" s="47">
        <f t="shared" si="34"/>
        <v>1.4983249581239531</v>
      </c>
      <c r="AB42" s="47">
        <f t="shared" si="34"/>
        <v>1.371060171919771</v>
      </c>
      <c r="AC42" s="47">
        <f t="shared" si="34"/>
        <v>1.2543312436305241</v>
      </c>
      <c r="AD42" s="47">
        <f t="shared" si="34"/>
        <v>1</v>
      </c>
      <c r="AE42" s="51">
        <f t="shared" si="34"/>
        <v>1.5396960700743658</v>
      </c>
      <c r="AF42" s="51">
        <f t="shared" si="34"/>
        <v>1.3387715430077365</v>
      </c>
    </row>
    <row r="43" spans="2:32" ht="23.1" customHeight="1" x14ac:dyDescent="0.25">
      <c r="B43" s="22" t="s">
        <v>70</v>
      </c>
      <c r="C43" s="48">
        <f>AVERAGE('29.07.Jinja RD-Mukwano'!C43,'30.7.Jinja RD-Mukwano RD'!C43,'31.07.Jinja RD-Mukwano RD'!C43,'1.08.Jinja RD-Mukwano RBT 24h'!C43,'02.08.Mukwano-Jinja'!C43,'03.8.Jinja-Mukwano 24h'!C43,'04.08.Jinja RD-Mukwano'!C43)</f>
        <v>145.71428571428572</v>
      </c>
      <c r="D43" s="48">
        <f>AVERAGE('29.07.Jinja RD-Mukwano'!D43,'30.7.Jinja RD-Mukwano RD'!D43,'31.07.Jinja RD-Mukwano RD'!D43,'1.08.Jinja RD-Mukwano RBT 24h'!D43,'02.08.Mukwano-Jinja'!D43,'03.8.Jinja-Mukwano 24h'!D43,'04.08.Jinja RD-Mukwano'!D43)</f>
        <v>24.857142857142858</v>
      </c>
      <c r="E43" s="48">
        <f>AVERAGE('29.07.Jinja RD-Mukwano'!E43,'30.7.Jinja RD-Mukwano RD'!E43,'31.07.Jinja RD-Mukwano RD'!E43,'1.08.Jinja RD-Mukwano RBT 24h'!E43,'02.08.Mukwano-Jinja'!E43,'03.8.Jinja-Mukwano 24h'!E43,'04.08.Jinja RD-Mukwano'!E43)</f>
        <v>12.142857142857142</v>
      </c>
      <c r="F43" s="48">
        <f>AVERAGE('29.07.Jinja RD-Mukwano'!F43,'30.7.Jinja RD-Mukwano RD'!F43,'31.07.Jinja RD-Mukwano RD'!F43,'1.08.Jinja RD-Mukwano RBT 24h'!F43,'02.08.Mukwano-Jinja'!F43,'03.8.Jinja-Mukwano 24h'!F43,'04.08.Jinja RD-Mukwano'!F43)</f>
        <v>5.5714285714285712</v>
      </c>
      <c r="G43" s="48">
        <f>AVERAGE('29.07.Jinja RD-Mukwano'!G43,'30.7.Jinja RD-Mukwano RD'!G43,'31.07.Jinja RD-Mukwano RD'!G43,'1.08.Jinja RD-Mukwano RBT 24h'!G43,'02.08.Mukwano-Jinja'!G43,'03.8.Jinja-Mukwano 24h'!G43,'04.08.Jinja RD-Mukwano'!G43)</f>
        <v>0.42857142857142855</v>
      </c>
      <c r="H43" s="48">
        <f>AVERAGE('29.07.Jinja RD-Mukwano'!H43,'30.7.Jinja RD-Mukwano RD'!H43,'31.07.Jinja RD-Mukwano RD'!H43,'1.08.Jinja RD-Mukwano RBT 24h'!H43,'02.08.Mukwano-Jinja'!H43,'03.8.Jinja-Mukwano 24h'!H43,'04.08.Jinja RD-Mukwano'!H43)</f>
        <v>0</v>
      </c>
      <c r="I43" s="48">
        <f>AVERAGE('29.07.Jinja RD-Mukwano'!I43,'30.7.Jinja RD-Mukwano RD'!I43,'31.07.Jinja RD-Mukwano RD'!I43,'1.08.Jinja RD-Mukwano RBT 24h'!I43,'02.08.Mukwano-Jinja'!I43,'03.8.Jinja-Mukwano 24h'!I43,'04.08.Jinja RD-Mukwano'!I43)</f>
        <v>10.714285714285714</v>
      </c>
      <c r="J43" s="48">
        <f>AVERAGE('29.07.Jinja RD-Mukwano'!J43,'30.7.Jinja RD-Mukwano RD'!J43,'31.07.Jinja RD-Mukwano RD'!J43,'1.08.Jinja RD-Mukwano RBT 24h'!J43,'02.08.Mukwano-Jinja'!J43,'03.8.Jinja-Mukwano 24h'!J43,'04.08.Jinja RD-Mukwano'!J43)</f>
        <v>4.1428571428571432</v>
      </c>
      <c r="K43" s="48">
        <f>AVERAGE('29.07.Jinja RD-Mukwano'!K43,'30.7.Jinja RD-Mukwano RD'!K43,'31.07.Jinja RD-Mukwano RD'!K43,'1.08.Jinja RD-Mukwano RBT 24h'!K43,'02.08.Mukwano-Jinja'!K43,'03.8.Jinja-Mukwano 24h'!K43,'04.08.Jinja RD-Mukwano'!K43)</f>
        <v>2.5714285714285716</v>
      </c>
      <c r="L43" s="48">
        <f>AVERAGE('29.07.Jinja RD-Mukwano'!L43,'30.7.Jinja RD-Mukwano RD'!L43,'31.07.Jinja RD-Mukwano RD'!L43,'1.08.Jinja RD-Mukwano RBT 24h'!L43,'02.08.Mukwano-Jinja'!L43,'03.8.Jinja-Mukwano 24h'!L43,'04.08.Jinja RD-Mukwano'!L43)</f>
        <v>1.8571428571428572</v>
      </c>
      <c r="M43" s="48">
        <f>AVERAGE('29.07.Jinja RD-Mukwano'!M43,'30.7.Jinja RD-Mukwano RD'!M43,'31.07.Jinja RD-Mukwano RD'!M43,'1.08.Jinja RD-Mukwano RBT 24h'!M43,'02.08.Mukwano-Jinja'!M43,'03.8.Jinja-Mukwano 24h'!M43,'04.08.Jinja RD-Mukwano'!M43)</f>
        <v>487.71428571428572</v>
      </c>
      <c r="N43" s="48">
        <f>AVERAGE('29.07.Jinja RD-Mukwano'!N43,'30.7.Jinja RD-Mukwano RD'!N43,'31.07.Jinja RD-Mukwano RD'!N43,'1.08.Jinja RD-Mukwano RBT 24h'!N43,'02.08.Mukwano-Jinja'!N43,'03.8.Jinja-Mukwano 24h'!N43,'04.08.Jinja RD-Mukwano'!N43)</f>
        <v>0.14285714285714285</v>
      </c>
      <c r="O43" s="15">
        <f t="shared" si="0"/>
        <v>208.14285714285717</v>
      </c>
      <c r="P43" s="15">
        <f t="shared" si="1"/>
        <v>695.85714285714289</v>
      </c>
    </row>
    <row r="44" spans="2:32" ht="23.1" customHeight="1" x14ac:dyDescent="0.25">
      <c r="B44" s="24" t="s">
        <v>71</v>
      </c>
      <c r="C44" s="48">
        <f>AVERAGE('29.07.Jinja RD-Mukwano'!C44,'30.7.Jinja RD-Mukwano RD'!C44,'31.07.Jinja RD-Mukwano RD'!C44,'1.08.Jinja RD-Mukwano RBT 24h'!C44,'02.08.Mukwano-Jinja'!C44,'03.8.Jinja-Mukwano 24h'!C44,'04.08.Jinja RD-Mukwano'!C44)</f>
        <v>150</v>
      </c>
      <c r="D44" s="48">
        <f>AVERAGE('29.07.Jinja RD-Mukwano'!D44,'30.7.Jinja RD-Mukwano RD'!D44,'31.07.Jinja RD-Mukwano RD'!D44,'1.08.Jinja RD-Mukwano RBT 24h'!D44,'02.08.Mukwano-Jinja'!D44,'03.8.Jinja-Mukwano 24h'!D44,'04.08.Jinja RD-Mukwano'!D44)</f>
        <v>21.142857142857142</v>
      </c>
      <c r="E44" s="48">
        <f>AVERAGE('29.07.Jinja RD-Mukwano'!E44,'30.7.Jinja RD-Mukwano RD'!E44,'31.07.Jinja RD-Mukwano RD'!E44,'1.08.Jinja RD-Mukwano RBT 24h'!E44,'02.08.Mukwano-Jinja'!E44,'03.8.Jinja-Mukwano 24h'!E44,'04.08.Jinja RD-Mukwano'!E44)</f>
        <v>12.142857142857142</v>
      </c>
      <c r="F44" s="48">
        <f>AVERAGE('29.07.Jinja RD-Mukwano'!F44,'30.7.Jinja RD-Mukwano RD'!F44,'31.07.Jinja RD-Mukwano RD'!F44,'1.08.Jinja RD-Mukwano RBT 24h'!F44,'02.08.Mukwano-Jinja'!F44,'03.8.Jinja-Mukwano 24h'!F44,'04.08.Jinja RD-Mukwano'!F44)</f>
        <v>4.5714285714285712</v>
      </c>
      <c r="G44" s="48">
        <f>AVERAGE('29.07.Jinja RD-Mukwano'!G44,'30.7.Jinja RD-Mukwano RD'!G44,'31.07.Jinja RD-Mukwano RD'!G44,'1.08.Jinja RD-Mukwano RBT 24h'!G44,'02.08.Mukwano-Jinja'!G44,'03.8.Jinja-Mukwano 24h'!G44,'04.08.Jinja RD-Mukwano'!G44)</f>
        <v>0.42857142857142855</v>
      </c>
      <c r="H44" s="48">
        <f>AVERAGE('29.07.Jinja RD-Mukwano'!H44,'30.7.Jinja RD-Mukwano RD'!H44,'31.07.Jinja RD-Mukwano RD'!H44,'1.08.Jinja RD-Mukwano RBT 24h'!H44,'02.08.Mukwano-Jinja'!H44,'03.8.Jinja-Mukwano 24h'!H44,'04.08.Jinja RD-Mukwano'!H44)</f>
        <v>0.42857142857142855</v>
      </c>
      <c r="I44" s="48">
        <f>AVERAGE('29.07.Jinja RD-Mukwano'!I44,'30.7.Jinja RD-Mukwano RD'!I44,'31.07.Jinja RD-Mukwano RD'!I44,'1.08.Jinja RD-Mukwano RBT 24h'!I44,'02.08.Mukwano-Jinja'!I44,'03.8.Jinja-Mukwano 24h'!I44,'04.08.Jinja RD-Mukwano'!I44)</f>
        <v>10.714285714285714</v>
      </c>
      <c r="J44" s="48">
        <f>AVERAGE('29.07.Jinja RD-Mukwano'!J44,'30.7.Jinja RD-Mukwano RD'!J44,'31.07.Jinja RD-Mukwano RD'!J44,'1.08.Jinja RD-Mukwano RBT 24h'!J44,'02.08.Mukwano-Jinja'!J44,'03.8.Jinja-Mukwano 24h'!J44,'04.08.Jinja RD-Mukwano'!J44)</f>
        <v>3.7142857142857144</v>
      </c>
      <c r="K44" s="48">
        <f>AVERAGE('29.07.Jinja RD-Mukwano'!K44,'30.7.Jinja RD-Mukwano RD'!K44,'31.07.Jinja RD-Mukwano RD'!K44,'1.08.Jinja RD-Mukwano RBT 24h'!K44,'02.08.Mukwano-Jinja'!K44,'03.8.Jinja-Mukwano 24h'!K44,'04.08.Jinja RD-Mukwano'!K44)</f>
        <v>2.8571428571428572</v>
      </c>
      <c r="L44" s="48">
        <f>AVERAGE('29.07.Jinja RD-Mukwano'!L44,'30.7.Jinja RD-Mukwano RD'!L44,'31.07.Jinja RD-Mukwano RD'!L44,'1.08.Jinja RD-Mukwano RBT 24h'!L44,'02.08.Mukwano-Jinja'!L44,'03.8.Jinja-Mukwano 24h'!L44,'04.08.Jinja RD-Mukwano'!L44)</f>
        <v>1.7142857142857142</v>
      </c>
      <c r="M44" s="48">
        <f>AVERAGE('29.07.Jinja RD-Mukwano'!M44,'30.7.Jinja RD-Mukwano RD'!M44,'31.07.Jinja RD-Mukwano RD'!M44,'1.08.Jinja RD-Mukwano RBT 24h'!M44,'02.08.Mukwano-Jinja'!M44,'03.8.Jinja-Mukwano 24h'!M44,'04.08.Jinja RD-Mukwano'!M44)</f>
        <v>552.14285714285711</v>
      </c>
      <c r="N44" s="48">
        <f>AVERAGE('29.07.Jinja RD-Mukwano'!N44,'30.7.Jinja RD-Mukwano RD'!N44,'31.07.Jinja RD-Mukwano RD'!N44,'1.08.Jinja RD-Mukwano RBT 24h'!N44,'02.08.Mukwano-Jinja'!N44,'03.8.Jinja-Mukwano 24h'!N44,'04.08.Jinja RD-Mukwano'!N44)</f>
        <v>0</v>
      </c>
      <c r="O44" s="15">
        <f t="shared" si="0"/>
        <v>207.71428571428572</v>
      </c>
      <c r="P44" s="15">
        <f t="shared" si="1"/>
        <v>759.85714285714289</v>
      </c>
    </row>
    <row r="45" spans="2:32" ht="23.1" customHeight="1" x14ac:dyDescent="0.25">
      <c r="B45" s="22" t="s">
        <v>72</v>
      </c>
      <c r="C45" s="48">
        <f>AVERAGE('29.07.Jinja RD-Mukwano'!C45,'30.7.Jinja RD-Mukwano RD'!C45,'31.07.Jinja RD-Mukwano RD'!C45,'1.08.Jinja RD-Mukwano RBT 24h'!C45,'02.08.Mukwano-Jinja'!C45,'03.8.Jinja-Mukwano 24h'!C45,'04.08.Jinja RD-Mukwano'!C45)</f>
        <v>138.14285714285714</v>
      </c>
      <c r="D45" s="48">
        <f>AVERAGE('29.07.Jinja RD-Mukwano'!D45,'30.7.Jinja RD-Mukwano RD'!D45,'31.07.Jinja RD-Mukwano RD'!D45,'1.08.Jinja RD-Mukwano RBT 24h'!D45,'02.08.Mukwano-Jinja'!D45,'03.8.Jinja-Mukwano 24h'!D45,'04.08.Jinja RD-Mukwano'!D45)</f>
        <v>27.428571428571427</v>
      </c>
      <c r="E45" s="48">
        <f>AVERAGE('29.07.Jinja RD-Mukwano'!E45,'30.7.Jinja RD-Mukwano RD'!E45,'31.07.Jinja RD-Mukwano RD'!E45,'1.08.Jinja RD-Mukwano RBT 24h'!E45,'02.08.Mukwano-Jinja'!E45,'03.8.Jinja-Mukwano 24h'!E45,'04.08.Jinja RD-Mukwano'!E45)</f>
        <v>8</v>
      </c>
      <c r="F45" s="48">
        <f>AVERAGE('29.07.Jinja RD-Mukwano'!F45,'30.7.Jinja RD-Mukwano RD'!F45,'31.07.Jinja RD-Mukwano RD'!F45,'1.08.Jinja RD-Mukwano RBT 24h'!F45,'02.08.Mukwano-Jinja'!F45,'03.8.Jinja-Mukwano 24h'!F45,'04.08.Jinja RD-Mukwano'!F45)</f>
        <v>7.1428571428571432</v>
      </c>
      <c r="G45" s="48">
        <f>AVERAGE('29.07.Jinja RD-Mukwano'!G45,'30.7.Jinja RD-Mukwano RD'!G45,'31.07.Jinja RD-Mukwano RD'!G45,'1.08.Jinja RD-Mukwano RBT 24h'!G45,'02.08.Mukwano-Jinja'!G45,'03.8.Jinja-Mukwano 24h'!G45,'04.08.Jinja RD-Mukwano'!G45)</f>
        <v>1</v>
      </c>
      <c r="H45" s="48">
        <f>AVERAGE('29.07.Jinja RD-Mukwano'!H45,'30.7.Jinja RD-Mukwano RD'!H45,'31.07.Jinja RD-Mukwano RD'!H45,'1.08.Jinja RD-Mukwano RBT 24h'!H45,'02.08.Mukwano-Jinja'!H45,'03.8.Jinja-Mukwano 24h'!H45,'04.08.Jinja RD-Mukwano'!H45)</f>
        <v>0.14285714285714285</v>
      </c>
      <c r="I45" s="48">
        <f>AVERAGE('29.07.Jinja RD-Mukwano'!I45,'30.7.Jinja RD-Mukwano RD'!I45,'31.07.Jinja RD-Mukwano RD'!I45,'1.08.Jinja RD-Mukwano RBT 24h'!I45,'02.08.Mukwano-Jinja'!I45,'03.8.Jinja-Mukwano 24h'!I45,'04.08.Jinja RD-Mukwano'!I45)</f>
        <v>7.7142857142857144</v>
      </c>
      <c r="J45" s="48">
        <f>AVERAGE('29.07.Jinja RD-Mukwano'!J45,'30.7.Jinja RD-Mukwano RD'!J45,'31.07.Jinja RD-Mukwano RD'!J45,'1.08.Jinja RD-Mukwano RBT 24h'!J45,'02.08.Mukwano-Jinja'!J45,'03.8.Jinja-Mukwano 24h'!J45,'04.08.Jinja RD-Mukwano'!J45)</f>
        <v>5.8571428571428568</v>
      </c>
      <c r="K45" s="48">
        <f>AVERAGE('29.07.Jinja RD-Mukwano'!K45,'30.7.Jinja RD-Mukwano RD'!K45,'31.07.Jinja RD-Mukwano RD'!K45,'1.08.Jinja RD-Mukwano RBT 24h'!K45,'02.08.Mukwano-Jinja'!K45,'03.8.Jinja-Mukwano 24h'!K45,'04.08.Jinja RD-Mukwano'!K45)</f>
        <v>2.5714285714285716</v>
      </c>
      <c r="L45" s="48">
        <f>AVERAGE('29.07.Jinja RD-Mukwano'!L45,'30.7.Jinja RD-Mukwano RD'!L45,'31.07.Jinja RD-Mukwano RD'!L45,'1.08.Jinja RD-Mukwano RBT 24h'!L45,'02.08.Mukwano-Jinja'!L45,'03.8.Jinja-Mukwano 24h'!L45,'04.08.Jinja RD-Mukwano'!L45)</f>
        <v>2.7142857142857144</v>
      </c>
      <c r="M45" s="48">
        <f>AVERAGE('29.07.Jinja RD-Mukwano'!M45,'30.7.Jinja RD-Mukwano RD'!M45,'31.07.Jinja RD-Mukwano RD'!M45,'1.08.Jinja RD-Mukwano RBT 24h'!M45,'02.08.Mukwano-Jinja'!M45,'03.8.Jinja-Mukwano 24h'!M45,'04.08.Jinja RD-Mukwano'!M45)</f>
        <v>516.85714285714289</v>
      </c>
      <c r="N45" s="48">
        <f>AVERAGE('29.07.Jinja RD-Mukwano'!N45,'30.7.Jinja RD-Mukwano RD'!N45,'31.07.Jinja RD-Mukwano RD'!N45,'1.08.Jinja RD-Mukwano RBT 24h'!N45,'02.08.Mukwano-Jinja'!N45,'03.8.Jinja-Mukwano 24h'!N45,'04.08.Jinja RD-Mukwano'!N45)</f>
        <v>0</v>
      </c>
      <c r="O45" s="15">
        <f t="shared" si="0"/>
        <v>200.71428571428572</v>
      </c>
      <c r="P45" s="15">
        <f t="shared" si="1"/>
        <v>717.57142857142867</v>
      </c>
    </row>
    <row r="46" spans="2:32" ht="23.1" customHeight="1" x14ac:dyDescent="0.25">
      <c r="B46" s="23" t="s">
        <v>73</v>
      </c>
      <c r="C46" s="48">
        <f>AVERAGE('29.07.Jinja RD-Mukwano'!C46,'30.7.Jinja RD-Mukwano RD'!C46,'31.07.Jinja RD-Mukwano RD'!C46,'1.08.Jinja RD-Mukwano RBT 24h'!C46,'02.08.Mukwano-Jinja'!C46,'03.8.Jinja-Mukwano 24h'!C46,'04.08.Jinja RD-Mukwano'!C46)</f>
        <v>158.28571428571428</v>
      </c>
      <c r="D46" s="48">
        <f>AVERAGE('29.07.Jinja RD-Mukwano'!D46,'30.7.Jinja RD-Mukwano RD'!D46,'31.07.Jinja RD-Mukwano RD'!D46,'1.08.Jinja RD-Mukwano RBT 24h'!D46,'02.08.Mukwano-Jinja'!D46,'03.8.Jinja-Mukwano 24h'!D46,'04.08.Jinja RD-Mukwano'!D46)</f>
        <v>25.714285714285715</v>
      </c>
      <c r="E46" s="48">
        <f>AVERAGE('29.07.Jinja RD-Mukwano'!E46,'30.7.Jinja RD-Mukwano RD'!E46,'31.07.Jinja RD-Mukwano RD'!E46,'1.08.Jinja RD-Mukwano RBT 24h'!E46,'02.08.Mukwano-Jinja'!E46,'03.8.Jinja-Mukwano 24h'!E46,'04.08.Jinja RD-Mukwano'!E46)</f>
        <v>14</v>
      </c>
      <c r="F46" s="48">
        <f>AVERAGE('29.07.Jinja RD-Mukwano'!F46,'30.7.Jinja RD-Mukwano RD'!F46,'31.07.Jinja RD-Mukwano RD'!F46,'1.08.Jinja RD-Mukwano RBT 24h'!F46,'02.08.Mukwano-Jinja'!F46,'03.8.Jinja-Mukwano 24h'!F46,'04.08.Jinja RD-Mukwano'!F46)</f>
        <v>5.4285714285714288</v>
      </c>
      <c r="G46" s="48">
        <f>AVERAGE('29.07.Jinja RD-Mukwano'!G46,'30.7.Jinja RD-Mukwano RD'!G46,'31.07.Jinja RD-Mukwano RD'!G46,'1.08.Jinja RD-Mukwano RBT 24h'!G46,'02.08.Mukwano-Jinja'!G46,'03.8.Jinja-Mukwano 24h'!G46,'04.08.Jinja RD-Mukwano'!G46)</f>
        <v>0.2857142857142857</v>
      </c>
      <c r="H46" s="48">
        <f>AVERAGE('29.07.Jinja RD-Mukwano'!H46,'30.7.Jinja RD-Mukwano RD'!H46,'31.07.Jinja RD-Mukwano RD'!H46,'1.08.Jinja RD-Mukwano RBT 24h'!H46,'02.08.Mukwano-Jinja'!H46,'03.8.Jinja-Mukwano 24h'!H46,'04.08.Jinja RD-Mukwano'!H46)</f>
        <v>0</v>
      </c>
      <c r="I46" s="48">
        <f>AVERAGE('29.07.Jinja RD-Mukwano'!I46,'30.7.Jinja RD-Mukwano RD'!I46,'31.07.Jinja RD-Mukwano RD'!I46,'1.08.Jinja RD-Mukwano RBT 24h'!I46,'02.08.Mukwano-Jinja'!I46,'03.8.Jinja-Mukwano 24h'!I46,'04.08.Jinja RD-Mukwano'!I46)</f>
        <v>10.285714285714286</v>
      </c>
      <c r="J46" s="48">
        <f>AVERAGE('29.07.Jinja RD-Mukwano'!J46,'30.7.Jinja RD-Mukwano RD'!J46,'31.07.Jinja RD-Mukwano RD'!J46,'1.08.Jinja RD-Mukwano RBT 24h'!J46,'02.08.Mukwano-Jinja'!J46,'03.8.Jinja-Mukwano 24h'!J46,'04.08.Jinja RD-Mukwano'!J46)</f>
        <v>5.4285714285714288</v>
      </c>
      <c r="K46" s="48">
        <f>AVERAGE('29.07.Jinja RD-Mukwano'!K46,'30.7.Jinja RD-Mukwano RD'!K46,'31.07.Jinja RD-Mukwano RD'!K46,'1.08.Jinja RD-Mukwano RBT 24h'!K46,'02.08.Mukwano-Jinja'!K46,'03.8.Jinja-Mukwano 24h'!K46,'04.08.Jinja RD-Mukwano'!K46)</f>
        <v>0.8571428571428571</v>
      </c>
      <c r="L46" s="48">
        <f>AVERAGE('29.07.Jinja RD-Mukwano'!L46,'30.7.Jinja RD-Mukwano RD'!L46,'31.07.Jinja RD-Mukwano RD'!L46,'1.08.Jinja RD-Mukwano RBT 24h'!L46,'02.08.Mukwano-Jinja'!L46,'03.8.Jinja-Mukwano 24h'!L46,'04.08.Jinja RD-Mukwano'!L46)</f>
        <v>3.7142857142857144</v>
      </c>
      <c r="M46" s="48">
        <f>AVERAGE('29.07.Jinja RD-Mukwano'!M46,'30.7.Jinja RD-Mukwano RD'!M46,'31.07.Jinja RD-Mukwano RD'!M46,'1.08.Jinja RD-Mukwano RBT 24h'!M46,'02.08.Mukwano-Jinja'!M46,'03.8.Jinja-Mukwano 24h'!M46,'04.08.Jinja RD-Mukwano'!M46)</f>
        <v>457.85714285714283</v>
      </c>
      <c r="N46" s="48">
        <f>AVERAGE('29.07.Jinja RD-Mukwano'!N46,'30.7.Jinja RD-Mukwano RD'!N46,'31.07.Jinja RD-Mukwano RD'!N46,'1.08.Jinja RD-Mukwano RBT 24h'!N46,'02.08.Mukwano-Jinja'!N46,'03.8.Jinja-Mukwano 24h'!N46,'04.08.Jinja RD-Mukwano'!N46)</f>
        <v>0.14285714285714285</v>
      </c>
      <c r="O46" s="15">
        <f t="shared" si="0"/>
        <v>224.14285714285711</v>
      </c>
      <c r="P46" s="15">
        <f t="shared" si="1"/>
        <v>681.99999999999989</v>
      </c>
      <c r="R46" s="8"/>
      <c r="T46"/>
    </row>
    <row r="47" spans="2:32" ht="23.1" customHeight="1" x14ac:dyDescent="0.25">
      <c r="B47" s="23" t="s">
        <v>74</v>
      </c>
      <c r="C47" s="48">
        <f>AVERAGE('29.07.Jinja RD-Mukwano'!C47,'30.7.Jinja RD-Mukwano RD'!C47,'31.07.Jinja RD-Mukwano RD'!C47,'1.08.Jinja RD-Mukwano RBT 24h'!C47,'02.08.Mukwano-Jinja'!C47,'03.8.Jinja-Mukwano 24h'!C47,'04.08.Jinja RD-Mukwano'!C47)</f>
        <v>153.85714285714286</v>
      </c>
      <c r="D47" s="48">
        <f>AVERAGE('29.07.Jinja RD-Mukwano'!D47,'30.7.Jinja RD-Mukwano RD'!D47,'31.07.Jinja RD-Mukwano RD'!D47,'1.08.Jinja RD-Mukwano RBT 24h'!D47,'02.08.Mukwano-Jinja'!D47,'03.8.Jinja-Mukwano 24h'!D47,'04.08.Jinja RD-Mukwano'!D47)</f>
        <v>40.571428571428569</v>
      </c>
      <c r="E47" s="48">
        <f>AVERAGE('29.07.Jinja RD-Mukwano'!E47,'30.7.Jinja RD-Mukwano RD'!E47,'31.07.Jinja RD-Mukwano RD'!E47,'1.08.Jinja RD-Mukwano RBT 24h'!E47,'02.08.Mukwano-Jinja'!E47,'03.8.Jinja-Mukwano 24h'!E47,'04.08.Jinja RD-Mukwano'!E47)</f>
        <v>18.857142857142858</v>
      </c>
      <c r="F47" s="48">
        <f>AVERAGE('29.07.Jinja RD-Mukwano'!F47,'30.7.Jinja RD-Mukwano RD'!F47,'31.07.Jinja RD-Mukwano RD'!F47,'1.08.Jinja RD-Mukwano RBT 24h'!F47,'02.08.Mukwano-Jinja'!F47,'03.8.Jinja-Mukwano 24h'!F47,'04.08.Jinja RD-Mukwano'!F47)</f>
        <v>6.2857142857142856</v>
      </c>
      <c r="G47" s="48">
        <f>AVERAGE('29.07.Jinja RD-Mukwano'!G47,'30.7.Jinja RD-Mukwano RD'!G47,'31.07.Jinja RD-Mukwano RD'!G47,'1.08.Jinja RD-Mukwano RBT 24h'!G47,'02.08.Mukwano-Jinja'!G47,'03.8.Jinja-Mukwano 24h'!G47,'04.08.Jinja RD-Mukwano'!G47)</f>
        <v>0.8571428571428571</v>
      </c>
      <c r="H47" s="48">
        <f>AVERAGE('29.07.Jinja RD-Mukwano'!H47,'30.7.Jinja RD-Mukwano RD'!H47,'31.07.Jinja RD-Mukwano RD'!H47,'1.08.Jinja RD-Mukwano RBT 24h'!H47,'02.08.Mukwano-Jinja'!H47,'03.8.Jinja-Mukwano 24h'!H47,'04.08.Jinja RD-Mukwano'!H47)</f>
        <v>0.2857142857142857</v>
      </c>
      <c r="I47" s="48">
        <f>AVERAGE('29.07.Jinja RD-Mukwano'!I47,'30.7.Jinja RD-Mukwano RD'!I47,'31.07.Jinja RD-Mukwano RD'!I47,'1.08.Jinja RD-Mukwano RBT 24h'!I47,'02.08.Mukwano-Jinja'!I47,'03.8.Jinja-Mukwano 24h'!I47,'04.08.Jinja RD-Mukwano'!I47)</f>
        <v>9.8571428571428577</v>
      </c>
      <c r="J47" s="48">
        <f>AVERAGE('29.07.Jinja RD-Mukwano'!J47,'30.7.Jinja RD-Mukwano RD'!J47,'31.07.Jinja RD-Mukwano RD'!J47,'1.08.Jinja RD-Mukwano RBT 24h'!J47,'02.08.Mukwano-Jinja'!J47,'03.8.Jinja-Mukwano 24h'!J47,'04.08.Jinja RD-Mukwano'!J47)</f>
        <v>4.5714285714285712</v>
      </c>
      <c r="K47" s="48">
        <f>AVERAGE('29.07.Jinja RD-Mukwano'!K47,'30.7.Jinja RD-Mukwano RD'!K47,'31.07.Jinja RD-Mukwano RD'!K47,'1.08.Jinja RD-Mukwano RBT 24h'!K47,'02.08.Mukwano-Jinja'!K47,'03.8.Jinja-Mukwano 24h'!K47,'04.08.Jinja RD-Mukwano'!K47)</f>
        <v>2.2857142857142856</v>
      </c>
      <c r="L47" s="48">
        <f>AVERAGE('29.07.Jinja RD-Mukwano'!L47,'30.7.Jinja RD-Mukwano RD'!L47,'31.07.Jinja RD-Mukwano RD'!L47,'1.08.Jinja RD-Mukwano RBT 24h'!L47,'02.08.Mukwano-Jinja'!L47,'03.8.Jinja-Mukwano 24h'!L47,'04.08.Jinja RD-Mukwano'!L47)</f>
        <v>2.8571428571428572</v>
      </c>
      <c r="M47" s="48">
        <f>AVERAGE('29.07.Jinja RD-Mukwano'!M47,'30.7.Jinja RD-Mukwano RD'!M47,'31.07.Jinja RD-Mukwano RD'!M47,'1.08.Jinja RD-Mukwano RBT 24h'!M47,'02.08.Mukwano-Jinja'!M47,'03.8.Jinja-Mukwano 24h'!M47,'04.08.Jinja RD-Mukwano'!M47)</f>
        <v>474.71428571428572</v>
      </c>
      <c r="N47" s="48">
        <f>AVERAGE('29.07.Jinja RD-Mukwano'!N47,'30.7.Jinja RD-Mukwano RD'!N47,'31.07.Jinja RD-Mukwano RD'!N47,'1.08.Jinja RD-Mukwano RBT 24h'!N47,'02.08.Mukwano-Jinja'!N47,'03.8.Jinja-Mukwano 24h'!N47,'04.08.Jinja RD-Mukwano'!N47)</f>
        <v>0</v>
      </c>
      <c r="O47" s="15">
        <f t="shared" si="0"/>
        <v>240.28571428571431</v>
      </c>
      <c r="P47" s="15">
        <f t="shared" si="1"/>
        <v>715</v>
      </c>
      <c r="R47" s="8"/>
      <c r="T47"/>
    </row>
    <row r="48" spans="2:32" ht="23.1" customHeight="1" x14ac:dyDescent="0.25">
      <c r="B48" s="23" t="s">
        <v>75</v>
      </c>
      <c r="C48" s="48">
        <f>AVERAGE('29.07.Jinja RD-Mukwano'!C48,'30.7.Jinja RD-Mukwano RD'!C48,'31.07.Jinja RD-Mukwano RD'!C48,'1.08.Jinja RD-Mukwano RBT 24h'!C48,'02.08.Mukwano-Jinja'!C48,'03.8.Jinja-Mukwano 24h'!C48,'04.08.Jinja RD-Mukwano'!C48)</f>
        <v>170</v>
      </c>
      <c r="D48" s="48">
        <f>AVERAGE('29.07.Jinja RD-Mukwano'!D48,'30.7.Jinja RD-Mukwano RD'!D48,'31.07.Jinja RD-Mukwano RD'!D48,'1.08.Jinja RD-Mukwano RBT 24h'!D48,'02.08.Mukwano-Jinja'!D48,'03.8.Jinja-Mukwano 24h'!D48,'04.08.Jinja RD-Mukwano'!D48)</f>
        <v>31.571428571428573</v>
      </c>
      <c r="E48" s="48">
        <f>AVERAGE('29.07.Jinja RD-Mukwano'!E48,'30.7.Jinja RD-Mukwano RD'!E48,'31.07.Jinja RD-Mukwano RD'!E48,'1.08.Jinja RD-Mukwano RBT 24h'!E48,'02.08.Mukwano-Jinja'!E48,'03.8.Jinja-Mukwano 24h'!E48,'04.08.Jinja RD-Mukwano'!E48)</f>
        <v>13.142857142857142</v>
      </c>
      <c r="F48" s="48">
        <f>AVERAGE('29.07.Jinja RD-Mukwano'!F48,'30.7.Jinja RD-Mukwano RD'!F48,'31.07.Jinja RD-Mukwano RD'!F48,'1.08.Jinja RD-Mukwano RBT 24h'!F48,'02.08.Mukwano-Jinja'!F48,'03.8.Jinja-Mukwano 24h'!F48,'04.08.Jinja RD-Mukwano'!F48)</f>
        <v>7.1428571428571432</v>
      </c>
      <c r="G48" s="48">
        <f>AVERAGE('29.07.Jinja RD-Mukwano'!G48,'30.7.Jinja RD-Mukwano RD'!G48,'31.07.Jinja RD-Mukwano RD'!G48,'1.08.Jinja RD-Mukwano RBT 24h'!G48,'02.08.Mukwano-Jinja'!G48,'03.8.Jinja-Mukwano 24h'!G48,'04.08.Jinja RD-Mukwano'!G48)</f>
        <v>1</v>
      </c>
      <c r="H48" s="48">
        <f>AVERAGE('29.07.Jinja RD-Mukwano'!H48,'30.7.Jinja RD-Mukwano RD'!H48,'31.07.Jinja RD-Mukwano RD'!H48,'1.08.Jinja RD-Mukwano RBT 24h'!H48,'02.08.Mukwano-Jinja'!H48,'03.8.Jinja-Mukwano 24h'!H48,'04.08.Jinja RD-Mukwano'!H48)</f>
        <v>0.2857142857142857</v>
      </c>
      <c r="I48" s="48">
        <f>AVERAGE('29.07.Jinja RD-Mukwano'!I48,'30.7.Jinja RD-Mukwano RD'!I48,'31.07.Jinja RD-Mukwano RD'!I48,'1.08.Jinja RD-Mukwano RBT 24h'!I48,'02.08.Mukwano-Jinja'!I48,'03.8.Jinja-Mukwano 24h'!I48,'04.08.Jinja RD-Mukwano'!I48)</f>
        <v>11</v>
      </c>
      <c r="J48" s="48">
        <f>AVERAGE('29.07.Jinja RD-Mukwano'!J48,'30.7.Jinja RD-Mukwano RD'!J48,'31.07.Jinja RD-Mukwano RD'!J48,'1.08.Jinja RD-Mukwano RBT 24h'!J48,'02.08.Mukwano-Jinja'!J48,'03.8.Jinja-Mukwano 24h'!J48,'04.08.Jinja RD-Mukwano'!J48)</f>
        <v>5.7142857142857144</v>
      </c>
      <c r="K48" s="48">
        <f>AVERAGE('29.07.Jinja RD-Mukwano'!K48,'30.7.Jinja RD-Mukwano RD'!K48,'31.07.Jinja RD-Mukwano RD'!K48,'1.08.Jinja RD-Mukwano RBT 24h'!K48,'02.08.Mukwano-Jinja'!K48,'03.8.Jinja-Mukwano 24h'!K48,'04.08.Jinja RD-Mukwano'!K48)</f>
        <v>2.4285714285714284</v>
      </c>
      <c r="L48" s="48">
        <f>AVERAGE('29.07.Jinja RD-Mukwano'!L48,'30.7.Jinja RD-Mukwano RD'!L48,'31.07.Jinja RD-Mukwano RD'!L48,'1.08.Jinja RD-Mukwano RBT 24h'!L48,'02.08.Mukwano-Jinja'!L48,'03.8.Jinja-Mukwano 24h'!L48,'04.08.Jinja RD-Mukwano'!L48)</f>
        <v>3.4285714285714284</v>
      </c>
      <c r="M48" s="48">
        <f>AVERAGE('29.07.Jinja RD-Mukwano'!M48,'30.7.Jinja RD-Mukwano RD'!M48,'31.07.Jinja RD-Mukwano RD'!M48,'1.08.Jinja RD-Mukwano RBT 24h'!M48,'02.08.Mukwano-Jinja'!M48,'03.8.Jinja-Mukwano 24h'!M48,'04.08.Jinja RD-Mukwano'!M48)</f>
        <v>507.85714285714283</v>
      </c>
      <c r="N48" s="48">
        <f>AVERAGE('29.07.Jinja RD-Mukwano'!N48,'30.7.Jinja RD-Mukwano RD'!N48,'31.07.Jinja RD-Mukwano RD'!N48,'1.08.Jinja RD-Mukwano RBT 24h'!N48,'02.08.Mukwano-Jinja'!N48,'03.8.Jinja-Mukwano 24h'!N48,'04.08.Jinja RD-Mukwano'!N48)</f>
        <v>0</v>
      </c>
      <c r="O48" s="15">
        <f t="shared" si="0"/>
        <v>245.71428571428569</v>
      </c>
      <c r="P48" s="15">
        <f t="shared" si="1"/>
        <v>753.57142857142856</v>
      </c>
      <c r="R48" s="8"/>
      <c r="T48"/>
    </row>
    <row r="49" spans="2:20" ht="23.1" customHeight="1" x14ac:dyDescent="0.25">
      <c r="B49" s="22" t="s">
        <v>76</v>
      </c>
      <c r="C49" s="48">
        <f>AVERAGE('29.07.Jinja RD-Mukwano'!C49,'30.7.Jinja RD-Mukwano RD'!C49,'31.07.Jinja RD-Mukwano RD'!C49,'1.08.Jinja RD-Mukwano RBT 24h'!C49,'02.08.Mukwano-Jinja'!C49,'03.8.Jinja-Mukwano 24h'!C49,'04.08.Jinja RD-Mukwano'!C49)</f>
        <v>160.14285714285714</v>
      </c>
      <c r="D49" s="48">
        <f>AVERAGE('29.07.Jinja RD-Mukwano'!D49,'30.7.Jinja RD-Mukwano RD'!D49,'31.07.Jinja RD-Mukwano RD'!D49,'1.08.Jinja RD-Mukwano RBT 24h'!D49,'02.08.Mukwano-Jinja'!D49,'03.8.Jinja-Mukwano 24h'!D49,'04.08.Jinja RD-Mukwano'!D49)</f>
        <v>31.714285714285715</v>
      </c>
      <c r="E49" s="48">
        <f>AVERAGE('29.07.Jinja RD-Mukwano'!E49,'30.7.Jinja RD-Mukwano RD'!E49,'31.07.Jinja RD-Mukwano RD'!E49,'1.08.Jinja RD-Mukwano RBT 24h'!E49,'02.08.Mukwano-Jinja'!E49,'03.8.Jinja-Mukwano 24h'!E49,'04.08.Jinja RD-Mukwano'!E49)</f>
        <v>11</v>
      </c>
      <c r="F49" s="48">
        <f>AVERAGE('29.07.Jinja RD-Mukwano'!F49,'30.7.Jinja RD-Mukwano RD'!F49,'31.07.Jinja RD-Mukwano RD'!F49,'1.08.Jinja RD-Mukwano RBT 24h'!F49,'02.08.Mukwano-Jinja'!F49,'03.8.Jinja-Mukwano 24h'!F49,'04.08.Jinja RD-Mukwano'!F49)</f>
        <v>5</v>
      </c>
      <c r="G49" s="48">
        <f>AVERAGE('29.07.Jinja RD-Mukwano'!G49,'30.7.Jinja RD-Mukwano RD'!G49,'31.07.Jinja RD-Mukwano RD'!G49,'1.08.Jinja RD-Mukwano RBT 24h'!G49,'02.08.Mukwano-Jinja'!G49,'03.8.Jinja-Mukwano 24h'!G49,'04.08.Jinja RD-Mukwano'!G49)</f>
        <v>0.8571428571428571</v>
      </c>
      <c r="H49" s="48">
        <f>AVERAGE('29.07.Jinja RD-Mukwano'!H49,'30.7.Jinja RD-Mukwano RD'!H49,'31.07.Jinja RD-Mukwano RD'!H49,'1.08.Jinja RD-Mukwano RBT 24h'!H49,'02.08.Mukwano-Jinja'!H49,'03.8.Jinja-Mukwano 24h'!H49,'04.08.Jinja RD-Mukwano'!H49)</f>
        <v>0</v>
      </c>
      <c r="I49" s="48">
        <f>AVERAGE('29.07.Jinja RD-Mukwano'!I49,'30.7.Jinja RD-Mukwano RD'!I49,'31.07.Jinja RD-Mukwano RD'!I49,'1.08.Jinja RD-Mukwano RBT 24h'!I49,'02.08.Mukwano-Jinja'!I49,'03.8.Jinja-Mukwano 24h'!I49,'04.08.Jinja RD-Mukwano'!I49)</f>
        <v>8.1428571428571423</v>
      </c>
      <c r="J49" s="48">
        <f>AVERAGE('29.07.Jinja RD-Mukwano'!J49,'30.7.Jinja RD-Mukwano RD'!J49,'31.07.Jinja RD-Mukwano RD'!J49,'1.08.Jinja RD-Mukwano RBT 24h'!J49,'02.08.Mukwano-Jinja'!J49,'03.8.Jinja-Mukwano 24h'!J49,'04.08.Jinja RD-Mukwano'!J49)</f>
        <v>3.4285714285714284</v>
      </c>
      <c r="K49" s="48">
        <f>AVERAGE('29.07.Jinja RD-Mukwano'!K49,'30.7.Jinja RD-Mukwano RD'!K49,'31.07.Jinja RD-Mukwano RD'!K49,'1.08.Jinja RD-Mukwano RBT 24h'!K49,'02.08.Mukwano-Jinja'!K49,'03.8.Jinja-Mukwano 24h'!K49,'04.08.Jinja RD-Mukwano'!K49)</f>
        <v>1.4285714285714286</v>
      </c>
      <c r="L49" s="48">
        <f>AVERAGE('29.07.Jinja RD-Mukwano'!L49,'30.7.Jinja RD-Mukwano RD'!L49,'31.07.Jinja RD-Mukwano RD'!L49,'1.08.Jinja RD-Mukwano RBT 24h'!L49,'02.08.Mukwano-Jinja'!L49,'03.8.Jinja-Mukwano 24h'!L49,'04.08.Jinja RD-Mukwano'!L49)</f>
        <v>2.2857142857142856</v>
      </c>
      <c r="M49" s="48">
        <f>AVERAGE('29.07.Jinja RD-Mukwano'!M49,'30.7.Jinja RD-Mukwano RD'!M49,'31.07.Jinja RD-Mukwano RD'!M49,'1.08.Jinja RD-Mukwano RBT 24h'!M49,'02.08.Mukwano-Jinja'!M49,'03.8.Jinja-Mukwano 24h'!M49,'04.08.Jinja RD-Mukwano'!M49)</f>
        <v>510.42857142857144</v>
      </c>
      <c r="N49" s="48">
        <f>AVERAGE('29.07.Jinja RD-Mukwano'!N49,'30.7.Jinja RD-Mukwano RD'!N49,'31.07.Jinja RD-Mukwano RD'!N49,'1.08.Jinja RD-Mukwano RBT 24h'!N49,'02.08.Mukwano-Jinja'!N49,'03.8.Jinja-Mukwano 24h'!N49,'04.08.Jinja RD-Mukwano'!N49)</f>
        <v>0</v>
      </c>
      <c r="O49" s="15">
        <f t="shared" si="0"/>
        <v>223.99999999999997</v>
      </c>
      <c r="P49" s="15">
        <f t="shared" si="1"/>
        <v>734.42857142857144</v>
      </c>
      <c r="R49" s="8"/>
      <c r="T49"/>
    </row>
    <row r="50" spans="2:20" ht="23.1" customHeight="1" x14ac:dyDescent="0.25">
      <c r="B50" s="23" t="s">
        <v>77</v>
      </c>
      <c r="C50" s="48">
        <f>AVERAGE('29.07.Jinja RD-Mukwano'!C50,'30.7.Jinja RD-Mukwano RD'!C50,'31.07.Jinja RD-Mukwano RD'!C50,'1.08.Jinja RD-Mukwano RBT 24h'!C50,'02.08.Mukwano-Jinja'!C50,'03.8.Jinja-Mukwano 24h'!C50,'04.08.Jinja RD-Mukwano'!C50)</f>
        <v>133.42857142857142</v>
      </c>
      <c r="D50" s="48">
        <f>AVERAGE('29.07.Jinja RD-Mukwano'!D50,'30.7.Jinja RD-Mukwano RD'!D50,'31.07.Jinja RD-Mukwano RD'!D50,'1.08.Jinja RD-Mukwano RBT 24h'!D50,'02.08.Mukwano-Jinja'!D50,'03.8.Jinja-Mukwano 24h'!D50,'04.08.Jinja RD-Mukwano'!D50)</f>
        <v>33.571428571428569</v>
      </c>
      <c r="E50" s="48">
        <f>AVERAGE('29.07.Jinja RD-Mukwano'!E50,'30.7.Jinja RD-Mukwano RD'!E50,'31.07.Jinja RD-Mukwano RD'!E50,'1.08.Jinja RD-Mukwano RBT 24h'!E50,'02.08.Mukwano-Jinja'!E50,'03.8.Jinja-Mukwano 24h'!E50,'04.08.Jinja RD-Mukwano'!E50)</f>
        <v>11.285714285714286</v>
      </c>
      <c r="F50" s="48">
        <f>AVERAGE('29.07.Jinja RD-Mukwano'!F50,'30.7.Jinja RD-Mukwano RD'!F50,'31.07.Jinja RD-Mukwano RD'!F50,'1.08.Jinja RD-Mukwano RBT 24h'!F50,'02.08.Mukwano-Jinja'!F50,'03.8.Jinja-Mukwano 24h'!F50,'04.08.Jinja RD-Mukwano'!F50)</f>
        <v>5.5714285714285712</v>
      </c>
      <c r="G50" s="48">
        <f>AVERAGE('29.07.Jinja RD-Mukwano'!G50,'30.7.Jinja RD-Mukwano RD'!G50,'31.07.Jinja RD-Mukwano RD'!G50,'1.08.Jinja RD-Mukwano RBT 24h'!G50,'02.08.Mukwano-Jinja'!G50,'03.8.Jinja-Mukwano 24h'!G50,'04.08.Jinja RD-Mukwano'!G50)</f>
        <v>0.2857142857142857</v>
      </c>
      <c r="H50" s="48">
        <f>AVERAGE('29.07.Jinja RD-Mukwano'!H50,'30.7.Jinja RD-Mukwano RD'!H50,'31.07.Jinja RD-Mukwano RD'!H50,'1.08.Jinja RD-Mukwano RBT 24h'!H50,'02.08.Mukwano-Jinja'!H50,'03.8.Jinja-Mukwano 24h'!H50,'04.08.Jinja RD-Mukwano'!H50)</f>
        <v>0</v>
      </c>
      <c r="I50" s="48">
        <f>AVERAGE('29.07.Jinja RD-Mukwano'!I50,'30.7.Jinja RD-Mukwano RD'!I50,'31.07.Jinja RD-Mukwano RD'!I50,'1.08.Jinja RD-Mukwano RBT 24h'!I50,'02.08.Mukwano-Jinja'!I50,'03.8.Jinja-Mukwano 24h'!I50,'04.08.Jinja RD-Mukwano'!I50)</f>
        <v>11.285714285714286</v>
      </c>
      <c r="J50" s="48">
        <f>AVERAGE('29.07.Jinja RD-Mukwano'!J50,'30.7.Jinja RD-Mukwano RD'!J50,'31.07.Jinja RD-Mukwano RD'!J50,'1.08.Jinja RD-Mukwano RBT 24h'!J50,'02.08.Mukwano-Jinja'!J50,'03.8.Jinja-Mukwano 24h'!J50,'04.08.Jinja RD-Mukwano'!J50)</f>
        <v>3.8571428571428572</v>
      </c>
      <c r="K50" s="48">
        <f>AVERAGE('29.07.Jinja RD-Mukwano'!K50,'30.7.Jinja RD-Mukwano RD'!K50,'31.07.Jinja RD-Mukwano RD'!K50,'1.08.Jinja RD-Mukwano RBT 24h'!K50,'02.08.Mukwano-Jinja'!K50,'03.8.Jinja-Mukwano 24h'!K50,'04.08.Jinja RD-Mukwano'!K50)</f>
        <v>1.5714285714285714</v>
      </c>
      <c r="L50" s="48">
        <f>AVERAGE('29.07.Jinja RD-Mukwano'!L50,'30.7.Jinja RD-Mukwano RD'!L50,'31.07.Jinja RD-Mukwano RD'!L50,'1.08.Jinja RD-Mukwano RBT 24h'!L50,'02.08.Mukwano-Jinja'!L50,'03.8.Jinja-Mukwano 24h'!L50,'04.08.Jinja RD-Mukwano'!L50)</f>
        <v>2.2857142857142856</v>
      </c>
      <c r="M50" s="48">
        <f>AVERAGE('29.07.Jinja RD-Mukwano'!M50,'30.7.Jinja RD-Mukwano RD'!M50,'31.07.Jinja RD-Mukwano RD'!M50,'1.08.Jinja RD-Mukwano RBT 24h'!M50,'02.08.Mukwano-Jinja'!M50,'03.8.Jinja-Mukwano 24h'!M50,'04.08.Jinja RD-Mukwano'!M50)</f>
        <v>523.14285714285711</v>
      </c>
      <c r="N50" s="48">
        <f>AVERAGE('29.07.Jinja RD-Mukwano'!N50,'30.7.Jinja RD-Mukwano RD'!N50,'31.07.Jinja RD-Mukwano RD'!N50,'1.08.Jinja RD-Mukwano RBT 24h'!N50,'02.08.Mukwano-Jinja'!N50,'03.8.Jinja-Mukwano 24h'!N50,'04.08.Jinja RD-Mukwano'!N50)</f>
        <v>0.14285714285714285</v>
      </c>
      <c r="O50" s="15">
        <f t="shared" si="0"/>
        <v>203.28571428571428</v>
      </c>
      <c r="P50" s="15">
        <f t="shared" si="1"/>
        <v>726.42857142857133</v>
      </c>
      <c r="R50" s="8"/>
      <c r="T50"/>
    </row>
    <row r="51" spans="2:20" ht="23.1" customHeight="1" x14ac:dyDescent="0.25">
      <c r="B51" s="23" t="s">
        <v>78</v>
      </c>
      <c r="C51" s="48">
        <f>AVERAGE('29.07.Jinja RD-Mukwano'!C51,'30.7.Jinja RD-Mukwano RD'!C51,'31.07.Jinja RD-Mukwano RD'!C51,'1.08.Jinja RD-Mukwano RBT 24h'!C51,'02.08.Mukwano-Jinja'!C51,'03.8.Jinja-Mukwano 24h'!C51,'04.08.Jinja RD-Mukwano'!C51)</f>
        <v>157</v>
      </c>
      <c r="D51" s="48">
        <f>AVERAGE('29.07.Jinja RD-Mukwano'!D51,'30.7.Jinja RD-Mukwano RD'!D51,'31.07.Jinja RD-Mukwano RD'!D51,'1.08.Jinja RD-Mukwano RBT 24h'!D51,'02.08.Mukwano-Jinja'!D51,'03.8.Jinja-Mukwano 24h'!D51,'04.08.Jinja RD-Mukwano'!D51)</f>
        <v>29.142857142857142</v>
      </c>
      <c r="E51" s="48">
        <f>AVERAGE('29.07.Jinja RD-Mukwano'!E51,'30.7.Jinja RD-Mukwano RD'!E51,'31.07.Jinja RD-Mukwano RD'!E51,'1.08.Jinja RD-Mukwano RBT 24h'!E51,'02.08.Mukwano-Jinja'!E51,'03.8.Jinja-Mukwano 24h'!E51,'04.08.Jinja RD-Mukwano'!E51)</f>
        <v>14.571428571428571</v>
      </c>
      <c r="F51" s="48">
        <f>AVERAGE('29.07.Jinja RD-Mukwano'!F51,'30.7.Jinja RD-Mukwano RD'!F51,'31.07.Jinja RD-Mukwano RD'!F51,'1.08.Jinja RD-Mukwano RBT 24h'!F51,'02.08.Mukwano-Jinja'!F51,'03.8.Jinja-Mukwano 24h'!F51,'04.08.Jinja RD-Mukwano'!F51)</f>
        <v>7.8571428571428568</v>
      </c>
      <c r="G51" s="48">
        <f>AVERAGE('29.07.Jinja RD-Mukwano'!G51,'30.7.Jinja RD-Mukwano RD'!G51,'31.07.Jinja RD-Mukwano RD'!G51,'1.08.Jinja RD-Mukwano RBT 24h'!G51,'02.08.Mukwano-Jinja'!G51,'03.8.Jinja-Mukwano 24h'!G51,'04.08.Jinja RD-Mukwano'!G51)</f>
        <v>0.7142857142857143</v>
      </c>
      <c r="H51" s="48">
        <f>AVERAGE('29.07.Jinja RD-Mukwano'!H51,'30.7.Jinja RD-Mukwano RD'!H51,'31.07.Jinja RD-Mukwano RD'!H51,'1.08.Jinja RD-Mukwano RBT 24h'!H51,'02.08.Mukwano-Jinja'!H51,'03.8.Jinja-Mukwano 24h'!H51,'04.08.Jinja RD-Mukwano'!H51)</f>
        <v>0</v>
      </c>
      <c r="I51" s="48">
        <f>AVERAGE('29.07.Jinja RD-Mukwano'!I51,'30.7.Jinja RD-Mukwano RD'!I51,'31.07.Jinja RD-Mukwano RD'!I51,'1.08.Jinja RD-Mukwano RBT 24h'!I51,'02.08.Mukwano-Jinja'!I51,'03.8.Jinja-Mukwano 24h'!I51,'04.08.Jinja RD-Mukwano'!I51)</f>
        <v>9.7142857142857135</v>
      </c>
      <c r="J51" s="48">
        <f>AVERAGE('29.07.Jinja RD-Mukwano'!J51,'30.7.Jinja RD-Mukwano RD'!J51,'31.07.Jinja RD-Mukwano RD'!J51,'1.08.Jinja RD-Mukwano RBT 24h'!J51,'02.08.Mukwano-Jinja'!J51,'03.8.Jinja-Mukwano 24h'!J51,'04.08.Jinja RD-Mukwano'!J51)</f>
        <v>4.8571428571428568</v>
      </c>
      <c r="K51" s="48">
        <f>AVERAGE('29.07.Jinja RD-Mukwano'!K51,'30.7.Jinja RD-Mukwano RD'!K51,'31.07.Jinja RD-Mukwano RD'!K51,'1.08.Jinja RD-Mukwano RBT 24h'!K51,'02.08.Mukwano-Jinja'!K51,'03.8.Jinja-Mukwano 24h'!K51,'04.08.Jinja RD-Mukwano'!K51)</f>
        <v>2.8571428571428572</v>
      </c>
      <c r="L51" s="48">
        <f>AVERAGE('29.07.Jinja RD-Mukwano'!L51,'30.7.Jinja RD-Mukwano RD'!L51,'31.07.Jinja RD-Mukwano RD'!L51,'1.08.Jinja RD-Mukwano RBT 24h'!L51,'02.08.Mukwano-Jinja'!L51,'03.8.Jinja-Mukwano 24h'!L51,'04.08.Jinja RD-Mukwano'!L51)</f>
        <v>3.4285714285714284</v>
      </c>
      <c r="M51" s="48">
        <f>AVERAGE('29.07.Jinja RD-Mukwano'!M51,'30.7.Jinja RD-Mukwano RD'!M51,'31.07.Jinja RD-Mukwano RD'!M51,'1.08.Jinja RD-Mukwano RBT 24h'!M51,'02.08.Mukwano-Jinja'!M51,'03.8.Jinja-Mukwano 24h'!M51,'04.08.Jinja RD-Mukwano'!M51)</f>
        <v>518.57142857142856</v>
      </c>
      <c r="N51" s="48">
        <f>AVERAGE('29.07.Jinja RD-Mukwano'!N51,'30.7.Jinja RD-Mukwano RD'!N51,'31.07.Jinja RD-Mukwano RD'!N51,'1.08.Jinja RD-Mukwano RBT 24h'!N51,'02.08.Mukwano-Jinja'!N51,'03.8.Jinja-Mukwano 24h'!N51,'04.08.Jinja RD-Mukwano'!N51)</f>
        <v>0</v>
      </c>
      <c r="O51" s="15">
        <f t="shared" si="0"/>
        <v>230.14285714285717</v>
      </c>
      <c r="P51" s="15">
        <f t="shared" si="1"/>
        <v>748.71428571428578</v>
      </c>
      <c r="R51" s="8"/>
      <c r="T51"/>
    </row>
    <row r="52" spans="2:20" ht="23.1" customHeight="1" x14ac:dyDescent="0.25">
      <c r="B52" s="23" t="s">
        <v>79</v>
      </c>
      <c r="C52" s="48">
        <f>AVERAGE('29.07.Jinja RD-Mukwano'!C52,'30.7.Jinja RD-Mukwano RD'!C52,'31.07.Jinja RD-Mukwano RD'!C52,'1.08.Jinja RD-Mukwano RBT 24h'!C52,'02.08.Mukwano-Jinja'!C52,'03.8.Jinja-Mukwano 24h'!C52,'04.08.Jinja RD-Mukwano'!C52)</f>
        <v>153.14285714285714</v>
      </c>
      <c r="D52" s="48">
        <f>AVERAGE('29.07.Jinja RD-Mukwano'!D52,'30.7.Jinja RD-Mukwano RD'!D52,'31.07.Jinja RD-Mukwano RD'!D52,'1.08.Jinja RD-Mukwano RBT 24h'!D52,'02.08.Mukwano-Jinja'!D52,'03.8.Jinja-Mukwano 24h'!D52,'04.08.Jinja RD-Mukwano'!D52)</f>
        <v>29.428571428571427</v>
      </c>
      <c r="E52" s="48">
        <f>AVERAGE('29.07.Jinja RD-Mukwano'!E52,'30.7.Jinja RD-Mukwano RD'!E52,'31.07.Jinja RD-Mukwano RD'!E52,'1.08.Jinja RD-Mukwano RBT 24h'!E52,'02.08.Mukwano-Jinja'!E52,'03.8.Jinja-Mukwano 24h'!E52,'04.08.Jinja RD-Mukwano'!E52)</f>
        <v>10.428571428571429</v>
      </c>
      <c r="F52" s="48">
        <f>AVERAGE('29.07.Jinja RD-Mukwano'!F52,'30.7.Jinja RD-Mukwano RD'!F52,'31.07.Jinja RD-Mukwano RD'!F52,'1.08.Jinja RD-Mukwano RBT 24h'!F52,'02.08.Mukwano-Jinja'!F52,'03.8.Jinja-Mukwano 24h'!F52,'04.08.Jinja RD-Mukwano'!F52)</f>
        <v>6.8571428571428568</v>
      </c>
      <c r="G52" s="48">
        <f>AVERAGE('29.07.Jinja RD-Mukwano'!G52,'30.7.Jinja RD-Mukwano RD'!G52,'31.07.Jinja RD-Mukwano RD'!G52,'1.08.Jinja RD-Mukwano RBT 24h'!G52,'02.08.Mukwano-Jinja'!G52,'03.8.Jinja-Mukwano 24h'!G52,'04.08.Jinja RD-Mukwano'!G52)</f>
        <v>0.7142857142857143</v>
      </c>
      <c r="H52" s="48">
        <f>AVERAGE('29.07.Jinja RD-Mukwano'!H52,'30.7.Jinja RD-Mukwano RD'!H52,'31.07.Jinja RD-Mukwano RD'!H52,'1.08.Jinja RD-Mukwano RBT 24h'!H52,'02.08.Mukwano-Jinja'!H52,'03.8.Jinja-Mukwano 24h'!H52,'04.08.Jinja RD-Mukwano'!H52)</f>
        <v>0</v>
      </c>
      <c r="I52" s="48">
        <f>AVERAGE('29.07.Jinja RD-Mukwano'!I52,'30.7.Jinja RD-Mukwano RD'!I52,'31.07.Jinja RD-Mukwano RD'!I52,'1.08.Jinja RD-Mukwano RBT 24h'!I52,'02.08.Mukwano-Jinja'!I52,'03.8.Jinja-Mukwano 24h'!I52,'04.08.Jinja RD-Mukwano'!I52)</f>
        <v>5.5714285714285712</v>
      </c>
      <c r="J52" s="48">
        <f>AVERAGE('29.07.Jinja RD-Mukwano'!J52,'30.7.Jinja RD-Mukwano RD'!J52,'31.07.Jinja RD-Mukwano RD'!J52,'1.08.Jinja RD-Mukwano RBT 24h'!J52,'02.08.Mukwano-Jinja'!J52,'03.8.Jinja-Mukwano 24h'!J52,'04.08.Jinja RD-Mukwano'!J52)</f>
        <v>3.2857142857142856</v>
      </c>
      <c r="K52" s="48">
        <f>AVERAGE('29.07.Jinja RD-Mukwano'!K52,'30.7.Jinja RD-Mukwano RD'!K52,'31.07.Jinja RD-Mukwano RD'!K52,'1.08.Jinja RD-Mukwano RBT 24h'!K52,'02.08.Mukwano-Jinja'!K52,'03.8.Jinja-Mukwano 24h'!K52,'04.08.Jinja RD-Mukwano'!K52)</f>
        <v>0.8571428571428571</v>
      </c>
      <c r="L52" s="48">
        <f>AVERAGE('29.07.Jinja RD-Mukwano'!L52,'30.7.Jinja RD-Mukwano RD'!L52,'31.07.Jinja RD-Mukwano RD'!L52,'1.08.Jinja RD-Mukwano RBT 24h'!L52,'02.08.Mukwano-Jinja'!L52,'03.8.Jinja-Mukwano 24h'!L52,'04.08.Jinja RD-Mukwano'!L52)</f>
        <v>1.5714285714285714</v>
      </c>
      <c r="M52" s="48">
        <f>AVERAGE('29.07.Jinja RD-Mukwano'!M52,'30.7.Jinja RD-Mukwano RD'!M52,'31.07.Jinja RD-Mukwano RD'!M52,'1.08.Jinja RD-Mukwano RBT 24h'!M52,'02.08.Mukwano-Jinja'!M52,'03.8.Jinja-Mukwano 24h'!M52,'04.08.Jinja RD-Mukwano'!M52)</f>
        <v>504.14285714285717</v>
      </c>
      <c r="N52" s="48">
        <f>AVERAGE('29.07.Jinja RD-Mukwano'!N52,'30.7.Jinja RD-Mukwano RD'!N52,'31.07.Jinja RD-Mukwano RD'!N52,'1.08.Jinja RD-Mukwano RBT 24h'!N52,'02.08.Mukwano-Jinja'!N52,'03.8.Jinja-Mukwano 24h'!N52,'04.08.Jinja RD-Mukwano'!N52)</f>
        <v>0</v>
      </c>
      <c r="O52" s="15">
        <f t="shared" si="0"/>
        <v>211.85714285714286</v>
      </c>
      <c r="P52" s="15">
        <f t="shared" si="1"/>
        <v>716</v>
      </c>
      <c r="R52" s="8"/>
      <c r="T52"/>
    </row>
    <row r="53" spans="2:20" ht="23.1" customHeight="1" x14ac:dyDescent="0.25">
      <c r="B53" s="22" t="s">
        <v>80</v>
      </c>
      <c r="C53" s="48">
        <f>AVERAGE('29.07.Jinja RD-Mukwano'!C53,'30.7.Jinja RD-Mukwano RD'!C53,'31.07.Jinja RD-Mukwano RD'!C53,'1.08.Jinja RD-Mukwano RBT 24h'!C53,'02.08.Mukwano-Jinja'!C53,'03.8.Jinja-Mukwano 24h'!C53,'04.08.Jinja RD-Mukwano'!C53)</f>
        <v>157.28571428571428</v>
      </c>
      <c r="D53" s="48">
        <f>AVERAGE('29.07.Jinja RD-Mukwano'!D53,'30.7.Jinja RD-Mukwano RD'!D53,'31.07.Jinja RD-Mukwano RD'!D53,'1.08.Jinja RD-Mukwano RBT 24h'!D53,'02.08.Mukwano-Jinja'!D53,'03.8.Jinja-Mukwano 24h'!D53,'04.08.Jinja RD-Mukwano'!D53)</f>
        <v>30.714285714285715</v>
      </c>
      <c r="E53" s="48">
        <f>AVERAGE('29.07.Jinja RD-Mukwano'!E53,'30.7.Jinja RD-Mukwano RD'!E53,'31.07.Jinja RD-Mukwano RD'!E53,'1.08.Jinja RD-Mukwano RBT 24h'!E53,'02.08.Mukwano-Jinja'!E53,'03.8.Jinja-Mukwano 24h'!E53,'04.08.Jinja RD-Mukwano'!E53)</f>
        <v>14.285714285714286</v>
      </c>
      <c r="F53" s="48">
        <f>AVERAGE('29.07.Jinja RD-Mukwano'!F53,'30.7.Jinja RD-Mukwano RD'!F53,'31.07.Jinja RD-Mukwano RD'!F53,'1.08.Jinja RD-Mukwano RBT 24h'!F53,'02.08.Mukwano-Jinja'!F53,'03.8.Jinja-Mukwano 24h'!F53,'04.08.Jinja RD-Mukwano'!F53)</f>
        <v>6.4285714285714288</v>
      </c>
      <c r="G53" s="48">
        <f>AVERAGE('29.07.Jinja RD-Mukwano'!G53,'30.7.Jinja RD-Mukwano RD'!G53,'31.07.Jinja RD-Mukwano RD'!G53,'1.08.Jinja RD-Mukwano RBT 24h'!G53,'02.08.Mukwano-Jinja'!G53,'03.8.Jinja-Mukwano 24h'!G53,'04.08.Jinja RD-Mukwano'!G53)</f>
        <v>1.4285714285714286</v>
      </c>
      <c r="H53" s="48">
        <f>AVERAGE('29.07.Jinja RD-Mukwano'!H53,'30.7.Jinja RD-Mukwano RD'!H53,'31.07.Jinja RD-Mukwano RD'!H53,'1.08.Jinja RD-Mukwano RBT 24h'!H53,'02.08.Mukwano-Jinja'!H53,'03.8.Jinja-Mukwano 24h'!H53,'04.08.Jinja RD-Mukwano'!H53)</f>
        <v>0.14285714285714285</v>
      </c>
      <c r="I53" s="48">
        <f>AVERAGE('29.07.Jinja RD-Mukwano'!I53,'30.7.Jinja RD-Mukwano RD'!I53,'31.07.Jinja RD-Mukwano RD'!I53,'1.08.Jinja RD-Mukwano RBT 24h'!I53,'02.08.Mukwano-Jinja'!I53,'03.8.Jinja-Mukwano 24h'!I53,'04.08.Jinja RD-Mukwano'!I53)</f>
        <v>9.1428571428571423</v>
      </c>
      <c r="J53" s="48">
        <f>AVERAGE('29.07.Jinja RD-Mukwano'!J53,'30.7.Jinja RD-Mukwano RD'!J53,'31.07.Jinja RD-Mukwano RD'!J53,'1.08.Jinja RD-Mukwano RBT 24h'!J53,'02.08.Mukwano-Jinja'!J53,'03.8.Jinja-Mukwano 24h'!J53,'04.08.Jinja RD-Mukwano'!J53)</f>
        <v>4</v>
      </c>
      <c r="K53" s="48">
        <f>AVERAGE('29.07.Jinja RD-Mukwano'!K53,'30.7.Jinja RD-Mukwano RD'!K53,'31.07.Jinja RD-Mukwano RD'!K53,'1.08.Jinja RD-Mukwano RBT 24h'!K53,'02.08.Mukwano-Jinja'!K53,'03.8.Jinja-Mukwano 24h'!K53,'04.08.Jinja RD-Mukwano'!K53)</f>
        <v>1.8571428571428572</v>
      </c>
      <c r="L53" s="48">
        <f>AVERAGE('29.07.Jinja RD-Mukwano'!L53,'30.7.Jinja RD-Mukwano RD'!L53,'31.07.Jinja RD-Mukwano RD'!L53,'1.08.Jinja RD-Mukwano RBT 24h'!L53,'02.08.Mukwano-Jinja'!L53,'03.8.Jinja-Mukwano 24h'!L53,'04.08.Jinja RD-Mukwano'!L53)</f>
        <v>2.4285714285714284</v>
      </c>
      <c r="M53" s="48">
        <f>AVERAGE('29.07.Jinja RD-Mukwano'!M53,'30.7.Jinja RD-Mukwano RD'!M53,'31.07.Jinja RD-Mukwano RD'!M53,'1.08.Jinja RD-Mukwano RBT 24h'!M53,'02.08.Mukwano-Jinja'!M53,'03.8.Jinja-Mukwano 24h'!M53,'04.08.Jinja RD-Mukwano'!M53)</f>
        <v>498.14285714285717</v>
      </c>
      <c r="N53" s="48">
        <f>AVERAGE('29.07.Jinja RD-Mukwano'!N53,'30.7.Jinja RD-Mukwano RD'!N53,'31.07.Jinja RD-Mukwano RD'!N53,'1.08.Jinja RD-Mukwano RBT 24h'!N53,'02.08.Mukwano-Jinja'!N53,'03.8.Jinja-Mukwano 24h'!N53,'04.08.Jinja RD-Mukwano'!N53)</f>
        <v>0</v>
      </c>
      <c r="O53" s="15">
        <f t="shared" si="0"/>
        <v>227.71428571428567</v>
      </c>
      <c r="P53" s="15">
        <f t="shared" si="1"/>
        <v>725.85714285714289</v>
      </c>
      <c r="R53" s="8"/>
      <c r="T53"/>
    </row>
    <row r="54" spans="2:20" ht="23.1" customHeight="1" x14ac:dyDescent="0.25">
      <c r="B54" s="22" t="s">
        <v>81</v>
      </c>
      <c r="C54" s="48">
        <f>AVERAGE('29.07.Jinja RD-Mukwano'!C54,'30.7.Jinja RD-Mukwano RD'!C54,'31.07.Jinja RD-Mukwano RD'!C54,'1.08.Jinja RD-Mukwano RBT 24h'!C54,'02.08.Mukwano-Jinja'!C54,'03.8.Jinja-Mukwano 24h'!C54,'04.08.Jinja RD-Mukwano'!C54)</f>
        <v>162.85714285714286</v>
      </c>
      <c r="D54" s="48">
        <f>AVERAGE('29.07.Jinja RD-Mukwano'!D54,'30.7.Jinja RD-Mukwano RD'!D54,'31.07.Jinja RD-Mukwano RD'!D54,'1.08.Jinja RD-Mukwano RBT 24h'!D54,'02.08.Mukwano-Jinja'!D54,'03.8.Jinja-Mukwano 24h'!D54,'04.08.Jinja RD-Mukwano'!D54)</f>
        <v>36.571428571428569</v>
      </c>
      <c r="E54" s="48">
        <f>AVERAGE('29.07.Jinja RD-Mukwano'!E54,'30.7.Jinja RD-Mukwano RD'!E54,'31.07.Jinja RD-Mukwano RD'!E54,'1.08.Jinja RD-Mukwano RBT 24h'!E54,'02.08.Mukwano-Jinja'!E54,'03.8.Jinja-Mukwano 24h'!E54,'04.08.Jinja RD-Mukwano'!E54)</f>
        <v>11.571428571428571</v>
      </c>
      <c r="F54" s="48">
        <f>AVERAGE('29.07.Jinja RD-Mukwano'!F54,'30.7.Jinja RD-Mukwano RD'!F54,'31.07.Jinja RD-Mukwano RD'!F54,'1.08.Jinja RD-Mukwano RBT 24h'!F54,'02.08.Mukwano-Jinja'!F54,'03.8.Jinja-Mukwano 24h'!F54,'04.08.Jinja RD-Mukwano'!F54)</f>
        <v>5.8571428571428568</v>
      </c>
      <c r="G54" s="48">
        <f>AVERAGE('29.07.Jinja RD-Mukwano'!G54,'30.7.Jinja RD-Mukwano RD'!G54,'31.07.Jinja RD-Mukwano RD'!G54,'1.08.Jinja RD-Mukwano RBT 24h'!G54,'02.08.Mukwano-Jinja'!G54,'03.8.Jinja-Mukwano 24h'!G54,'04.08.Jinja RD-Mukwano'!G54)</f>
        <v>0.8571428571428571</v>
      </c>
      <c r="H54" s="48">
        <f>AVERAGE('29.07.Jinja RD-Mukwano'!H54,'30.7.Jinja RD-Mukwano RD'!H54,'31.07.Jinja RD-Mukwano RD'!H54,'1.08.Jinja RD-Mukwano RBT 24h'!H54,'02.08.Mukwano-Jinja'!H54,'03.8.Jinja-Mukwano 24h'!H54,'04.08.Jinja RD-Mukwano'!H54)</f>
        <v>0.14285714285714285</v>
      </c>
      <c r="I54" s="48">
        <f>AVERAGE('29.07.Jinja RD-Mukwano'!I54,'30.7.Jinja RD-Mukwano RD'!I54,'31.07.Jinja RD-Mukwano RD'!I54,'1.08.Jinja RD-Mukwano RBT 24h'!I54,'02.08.Mukwano-Jinja'!I54,'03.8.Jinja-Mukwano 24h'!I54,'04.08.Jinja RD-Mukwano'!I54)</f>
        <v>9.2857142857142865</v>
      </c>
      <c r="J54" s="48">
        <f>AVERAGE('29.07.Jinja RD-Mukwano'!J54,'30.7.Jinja RD-Mukwano RD'!J54,'31.07.Jinja RD-Mukwano RD'!J54,'1.08.Jinja RD-Mukwano RBT 24h'!J54,'02.08.Mukwano-Jinja'!J54,'03.8.Jinja-Mukwano 24h'!J54,'04.08.Jinja RD-Mukwano'!J54)</f>
        <v>4.2857142857142856</v>
      </c>
      <c r="K54" s="48">
        <f>AVERAGE('29.07.Jinja RD-Mukwano'!K54,'30.7.Jinja RD-Mukwano RD'!K54,'31.07.Jinja RD-Mukwano RD'!K54,'1.08.Jinja RD-Mukwano RBT 24h'!K54,'02.08.Mukwano-Jinja'!K54,'03.8.Jinja-Mukwano 24h'!K54,'04.08.Jinja RD-Mukwano'!K54)</f>
        <v>2.4285714285714284</v>
      </c>
      <c r="L54" s="48">
        <f>AVERAGE('29.07.Jinja RD-Mukwano'!L54,'30.7.Jinja RD-Mukwano RD'!L54,'31.07.Jinja RD-Mukwano RD'!L54,'1.08.Jinja RD-Mukwano RBT 24h'!L54,'02.08.Mukwano-Jinja'!L54,'03.8.Jinja-Mukwano 24h'!L54,'04.08.Jinja RD-Mukwano'!L54)</f>
        <v>2.2857142857142856</v>
      </c>
      <c r="M54" s="48">
        <f>AVERAGE('29.07.Jinja RD-Mukwano'!M54,'30.7.Jinja RD-Mukwano RD'!M54,'31.07.Jinja RD-Mukwano RD'!M54,'1.08.Jinja RD-Mukwano RBT 24h'!M54,'02.08.Mukwano-Jinja'!M54,'03.8.Jinja-Mukwano 24h'!M54,'04.08.Jinja RD-Mukwano'!M54)</f>
        <v>462</v>
      </c>
      <c r="N54" s="48">
        <f>AVERAGE('29.07.Jinja RD-Mukwano'!N54,'30.7.Jinja RD-Mukwano RD'!N54,'31.07.Jinja RD-Mukwano RD'!N54,'1.08.Jinja RD-Mukwano RBT 24h'!N54,'02.08.Mukwano-Jinja'!N54,'03.8.Jinja-Mukwano 24h'!N54,'04.08.Jinja RD-Mukwano'!N54)</f>
        <v>0.14285714285714285</v>
      </c>
      <c r="O54" s="15">
        <f t="shared" si="0"/>
        <v>236.28571428571428</v>
      </c>
      <c r="P54" s="15">
        <f t="shared" si="1"/>
        <v>698.28571428571422</v>
      </c>
      <c r="R54" s="8"/>
      <c r="T54"/>
    </row>
    <row r="55" spans="2:20" ht="23.1" customHeight="1" x14ac:dyDescent="0.25">
      <c r="B55" s="22" t="s">
        <v>82</v>
      </c>
      <c r="C55" s="48">
        <f>AVERAGE('29.07.Jinja RD-Mukwano'!C55,'30.7.Jinja RD-Mukwano RD'!C55,'31.07.Jinja RD-Mukwano RD'!C55,'1.08.Jinja RD-Mukwano RBT 24h'!C55,'02.08.Mukwano-Jinja'!C55,'03.8.Jinja-Mukwano 24h'!C55,'04.08.Jinja RD-Mukwano'!C55)</f>
        <v>153.85714285714286</v>
      </c>
      <c r="D55" s="48">
        <f>AVERAGE('29.07.Jinja RD-Mukwano'!D55,'30.7.Jinja RD-Mukwano RD'!D55,'31.07.Jinja RD-Mukwano RD'!D55,'1.08.Jinja RD-Mukwano RBT 24h'!D55,'02.08.Mukwano-Jinja'!D55,'03.8.Jinja-Mukwano 24h'!D55,'04.08.Jinja RD-Mukwano'!D55)</f>
        <v>27</v>
      </c>
      <c r="E55" s="48">
        <f>AVERAGE('29.07.Jinja RD-Mukwano'!E55,'30.7.Jinja RD-Mukwano RD'!E55,'31.07.Jinja RD-Mukwano RD'!E55,'1.08.Jinja RD-Mukwano RBT 24h'!E55,'02.08.Mukwano-Jinja'!E55,'03.8.Jinja-Mukwano 24h'!E55,'04.08.Jinja RD-Mukwano'!E55)</f>
        <v>8.1428571428571423</v>
      </c>
      <c r="F55" s="48">
        <f>AVERAGE('29.07.Jinja RD-Mukwano'!F55,'30.7.Jinja RD-Mukwano RD'!F55,'31.07.Jinja RD-Mukwano RD'!F55,'1.08.Jinja RD-Mukwano RBT 24h'!F55,'02.08.Mukwano-Jinja'!F55,'03.8.Jinja-Mukwano 24h'!F55,'04.08.Jinja RD-Mukwano'!F55)</f>
        <v>5</v>
      </c>
      <c r="G55" s="48">
        <f>AVERAGE('29.07.Jinja RD-Mukwano'!G55,'30.7.Jinja RD-Mukwano RD'!G55,'31.07.Jinja RD-Mukwano RD'!G55,'1.08.Jinja RD-Mukwano RBT 24h'!G55,'02.08.Mukwano-Jinja'!G55,'03.8.Jinja-Mukwano 24h'!G55,'04.08.Jinja RD-Mukwano'!G55)</f>
        <v>1</v>
      </c>
      <c r="H55" s="48">
        <f>AVERAGE('29.07.Jinja RD-Mukwano'!H55,'30.7.Jinja RD-Mukwano RD'!H55,'31.07.Jinja RD-Mukwano RD'!H55,'1.08.Jinja RD-Mukwano RBT 24h'!H55,'02.08.Mukwano-Jinja'!H55,'03.8.Jinja-Mukwano 24h'!H55,'04.08.Jinja RD-Mukwano'!H55)</f>
        <v>0.14285714285714285</v>
      </c>
      <c r="I55" s="48">
        <f>AVERAGE('29.07.Jinja RD-Mukwano'!I55,'30.7.Jinja RD-Mukwano RD'!I55,'31.07.Jinja RD-Mukwano RD'!I55,'1.08.Jinja RD-Mukwano RBT 24h'!I55,'02.08.Mukwano-Jinja'!I55,'03.8.Jinja-Mukwano 24h'!I55,'04.08.Jinja RD-Mukwano'!I55)</f>
        <v>7.1428571428571432</v>
      </c>
      <c r="J55" s="48">
        <f>AVERAGE('29.07.Jinja RD-Mukwano'!J55,'30.7.Jinja RD-Mukwano RD'!J55,'31.07.Jinja RD-Mukwano RD'!J55,'1.08.Jinja RD-Mukwano RBT 24h'!J55,'02.08.Mukwano-Jinja'!J55,'03.8.Jinja-Mukwano 24h'!J55,'04.08.Jinja RD-Mukwano'!J55)</f>
        <v>3.1428571428571428</v>
      </c>
      <c r="K55" s="48">
        <f>AVERAGE('29.07.Jinja RD-Mukwano'!K55,'30.7.Jinja RD-Mukwano RD'!K55,'31.07.Jinja RD-Mukwano RD'!K55,'1.08.Jinja RD-Mukwano RBT 24h'!K55,'02.08.Mukwano-Jinja'!K55,'03.8.Jinja-Mukwano 24h'!K55,'04.08.Jinja RD-Mukwano'!K55)</f>
        <v>1.2857142857142858</v>
      </c>
      <c r="L55" s="48">
        <f>AVERAGE('29.07.Jinja RD-Mukwano'!L55,'30.7.Jinja RD-Mukwano RD'!L55,'31.07.Jinja RD-Mukwano RD'!L55,'1.08.Jinja RD-Mukwano RBT 24h'!L55,'02.08.Mukwano-Jinja'!L55,'03.8.Jinja-Mukwano 24h'!L55,'04.08.Jinja RD-Mukwano'!L55)</f>
        <v>1.2857142857142858</v>
      </c>
      <c r="M55" s="48">
        <f>AVERAGE('29.07.Jinja RD-Mukwano'!M55,'30.7.Jinja RD-Mukwano RD'!M55,'31.07.Jinja RD-Mukwano RD'!M55,'1.08.Jinja RD-Mukwano RBT 24h'!M55,'02.08.Mukwano-Jinja'!M55,'03.8.Jinja-Mukwano 24h'!M55,'04.08.Jinja RD-Mukwano'!M55)</f>
        <v>413.42857142857144</v>
      </c>
      <c r="N55" s="48">
        <f>AVERAGE('29.07.Jinja RD-Mukwano'!N55,'30.7.Jinja RD-Mukwano RD'!N55,'31.07.Jinja RD-Mukwano RD'!N55,'1.08.Jinja RD-Mukwano RBT 24h'!N55,'02.08.Mukwano-Jinja'!N55,'03.8.Jinja-Mukwano 24h'!N55,'04.08.Jinja RD-Mukwano'!N55)</f>
        <v>0</v>
      </c>
      <c r="O55" s="15">
        <f t="shared" si="0"/>
        <v>207.99999999999997</v>
      </c>
      <c r="P55" s="15">
        <f t="shared" si="1"/>
        <v>621.42857142857144</v>
      </c>
      <c r="R55" s="8"/>
      <c r="T55"/>
    </row>
    <row r="56" spans="2:20" ht="23.1" customHeight="1" x14ac:dyDescent="0.25">
      <c r="B56" s="22" t="s">
        <v>83</v>
      </c>
      <c r="C56" s="48">
        <f>AVERAGE('29.07.Jinja RD-Mukwano'!C56,'30.7.Jinja RD-Mukwano RD'!C56,'31.07.Jinja RD-Mukwano RD'!C56,'1.08.Jinja RD-Mukwano RBT 24h'!C56,'02.08.Mukwano-Jinja'!C56,'03.8.Jinja-Mukwano 24h'!C56,'04.08.Jinja RD-Mukwano'!C56)</f>
        <v>150.42857142857142</v>
      </c>
      <c r="D56" s="48">
        <f>AVERAGE('29.07.Jinja RD-Mukwano'!D56,'30.7.Jinja RD-Mukwano RD'!D56,'31.07.Jinja RD-Mukwano RD'!D56,'1.08.Jinja RD-Mukwano RBT 24h'!D56,'02.08.Mukwano-Jinja'!D56,'03.8.Jinja-Mukwano 24h'!D56,'04.08.Jinja RD-Mukwano'!D56)</f>
        <v>25.142857142857142</v>
      </c>
      <c r="E56" s="48">
        <f>AVERAGE('29.07.Jinja RD-Mukwano'!E56,'30.7.Jinja RD-Mukwano RD'!E56,'31.07.Jinja RD-Mukwano RD'!E56,'1.08.Jinja RD-Mukwano RBT 24h'!E56,'02.08.Mukwano-Jinja'!E56,'03.8.Jinja-Mukwano 24h'!E56,'04.08.Jinja RD-Mukwano'!E56)</f>
        <v>9.1428571428571423</v>
      </c>
      <c r="F56" s="48">
        <f>AVERAGE('29.07.Jinja RD-Mukwano'!F56,'30.7.Jinja RD-Mukwano RD'!F56,'31.07.Jinja RD-Mukwano RD'!F56,'1.08.Jinja RD-Mukwano RBT 24h'!F56,'02.08.Mukwano-Jinja'!F56,'03.8.Jinja-Mukwano 24h'!F56,'04.08.Jinja RD-Mukwano'!F56)</f>
        <v>7.7142857142857144</v>
      </c>
      <c r="G56" s="48">
        <f>AVERAGE('29.07.Jinja RD-Mukwano'!G56,'30.7.Jinja RD-Mukwano RD'!G56,'31.07.Jinja RD-Mukwano RD'!G56,'1.08.Jinja RD-Mukwano RBT 24h'!G56,'02.08.Mukwano-Jinja'!G56,'03.8.Jinja-Mukwano 24h'!G56,'04.08.Jinja RD-Mukwano'!G56)</f>
        <v>1.7142857142857142</v>
      </c>
      <c r="H56" s="48">
        <f>AVERAGE('29.07.Jinja RD-Mukwano'!H56,'30.7.Jinja RD-Mukwano RD'!H56,'31.07.Jinja RD-Mukwano RD'!H56,'1.08.Jinja RD-Mukwano RBT 24h'!H56,'02.08.Mukwano-Jinja'!H56,'03.8.Jinja-Mukwano 24h'!H56,'04.08.Jinja RD-Mukwano'!H56)</f>
        <v>0.8571428571428571</v>
      </c>
      <c r="I56" s="48">
        <f>AVERAGE('29.07.Jinja RD-Mukwano'!I56,'30.7.Jinja RD-Mukwano RD'!I56,'31.07.Jinja RD-Mukwano RD'!I56,'1.08.Jinja RD-Mukwano RBT 24h'!I56,'02.08.Mukwano-Jinja'!I56,'03.8.Jinja-Mukwano 24h'!I56,'04.08.Jinja RD-Mukwano'!I56)</f>
        <v>9.2857142857142865</v>
      </c>
      <c r="J56" s="48">
        <f>AVERAGE('29.07.Jinja RD-Mukwano'!J56,'30.7.Jinja RD-Mukwano RD'!J56,'31.07.Jinja RD-Mukwano RD'!J56,'1.08.Jinja RD-Mukwano RBT 24h'!J56,'02.08.Mukwano-Jinja'!J56,'03.8.Jinja-Mukwano 24h'!J56,'04.08.Jinja RD-Mukwano'!J56)</f>
        <v>4.4285714285714288</v>
      </c>
      <c r="K56" s="48">
        <f>AVERAGE('29.07.Jinja RD-Mukwano'!K56,'30.7.Jinja RD-Mukwano RD'!K56,'31.07.Jinja RD-Mukwano RD'!K56,'1.08.Jinja RD-Mukwano RBT 24h'!K56,'02.08.Mukwano-Jinja'!K56,'03.8.Jinja-Mukwano 24h'!K56,'04.08.Jinja RD-Mukwano'!K56)</f>
        <v>1.4285714285714286</v>
      </c>
      <c r="L56" s="48">
        <f>AVERAGE('29.07.Jinja RD-Mukwano'!L56,'30.7.Jinja RD-Mukwano RD'!L56,'31.07.Jinja RD-Mukwano RD'!L56,'1.08.Jinja RD-Mukwano RBT 24h'!L56,'02.08.Mukwano-Jinja'!L56,'03.8.Jinja-Mukwano 24h'!L56,'04.08.Jinja RD-Mukwano'!L56)</f>
        <v>1.8571428571428572</v>
      </c>
      <c r="M56" s="48">
        <f>AVERAGE('29.07.Jinja RD-Mukwano'!M56,'30.7.Jinja RD-Mukwano RD'!M56,'31.07.Jinja RD-Mukwano RD'!M56,'1.08.Jinja RD-Mukwano RBT 24h'!M56,'02.08.Mukwano-Jinja'!M56,'03.8.Jinja-Mukwano 24h'!M56,'04.08.Jinja RD-Mukwano'!M56)</f>
        <v>402.85714285714283</v>
      </c>
      <c r="N56" s="48">
        <f>AVERAGE('29.07.Jinja RD-Mukwano'!N56,'30.7.Jinja RD-Mukwano RD'!N56,'31.07.Jinja RD-Mukwano RD'!N56,'1.08.Jinja RD-Mukwano RBT 24h'!N56,'02.08.Mukwano-Jinja'!N56,'03.8.Jinja-Mukwano 24h'!N56,'04.08.Jinja RD-Mukwano'!N56)</f>
        <v>0</v>
      </c>
      <c r="O56" s="15">
        <f t="shared" si="0"/>
        <v>211.99999999999997</v>
      </c>
      <c r="P56" s="15">
        <f t="shared" si="1"/>
        <v>614.85714285714278</v>
      </c>
      <c r="R56" s="8"/>
      <c r="T56"/>
    </row>
    <row r="57" spans="2:20" ht="23.1" customHeight="1" x14ac:dyDescent="0.25">
      <c r="B57" s="22" t="s">
        <v>84</v>
      </c>
      <c r="C57" s="48">
        <f>AVERAGE('29.07.Jinja RD-Mukwano'!C57,'30.7.Jinja RD-Mukwano RD'!C57,'31.07.Jinja RD-Mukwano RD'!C57,'1.08.Jinja RD-Mukwano RBT 24h'!C57,'02.08.Mukwano-Jinja'!C57,'03.8.Jinja-Mukwano 24h'!C57,'04.08.Jinja RD-Mukwano'!C57)</f>
        <v>139.28571428571428</v>
      </c>
      <c r="D57" s="48">
        <f>AVERAGE('29.07.Jinja RD-Mukwano'!D57,'30.7.Jinja RD-Mukwano RD'!D57,'31.07.Jinja RD-Mukwano RD'!D57,'1.08.Jinja RD-Mukwano RBT 24h'!D57,'02.08.Mukwano-Jinja'!D57,'03.8.Jinja-Mukwano 24h'!D57,'04.08.Jinja RD-Mukwano'!D57)</f>
        <v>17.285714285714285</v>
      </c>
      <c r="E57" s="48">
        <f>AVERAGE('29.07.Jinja RD-Mukwano'!E57,'30.7.Jinja RD-Mukwano RD'!E57,'31.07.Jinja RD-Mukwano RD'!E57,'1.08.Jinja RD-Mukwano RBT 24h'!E57,'02.08.Mukwano-Jinja'!E57,'03.8.Jinja-Mukwano 24h'!E57,'04.08.Jinja RD-Mukwano'!E57)</f>
        <v>10</v>
      </c>
      <c r="F57" s="48">
        <f>AVERAGE('29.07.Jinja RD-Mukwano'!F57,'30.7.Jinja RD-Mukwano RD'!F57,'31.07.Jinja RD-Mukwano RD'!F57,'1.08.Jinja RD-Mukwano RBT 24h'!F57,'02.08.Mukwano-Jinja'!F57,'03.8.Jinja-Mukwano 24h'!F57,'04.08.Jinja RD-Mukwano'!F57)</f>
        <v>7.1428571428571432</v>
      </c>
      <c r="G57" s="48">
        <f>AVERAGE('29.07.Jinja RD-Mukwano'!G57,'30.7.Jinja RD-Mukwano RD'!G57,'31.07.Jinja RD-Mukwano RD'!G57,'1.08.Jinja RD-Mukwano RBT 24h'!G57,'02.08.Mukwano-Jinja'!G57,'03.8.Jinja-Mukwano 24h'!G57,'04.08.Jinja RD-Mukwano'!G57)</f>
        <v>1.4285714285714286</v>
      </c>
      <c r="H57" s="48">
        <f>AVERAGE('29.07.Jinja RD-Mukwano'!H57,'30.7.Jinja RD-Mukwano RD'!H57,'31.07.Jinja RD-Mukwano RD'!H57,'1.08.Jinja RD-Mukwano RBT 24h'!H57,'02.08.Mukwano-Jinja'!H57,'03.8.Jinja-Mukwano 24h'!H57,'04.08.Jinja RD-Mukwano'!H57)</f>
        <v>0.14285714285714285</v>
      </c>
      <c r="I57" s="48">
        <f>AVERAGE('29.07.Jinja RD-Mukwano'!I57,'30.7.Jinja RD-Mukwano RD'!I57,'31.07.Jinja RD-Mukwano RD'!I57,'1.08.Jinja RD-Mukwano RBT 24h'!I57,'02.08.Mukwano-Jinja'!I57,'03.8.Jinja-Mukwano 24h'!I57,'04.08.Jinja RD-Mukwano'!I57)</f>
        <v>7</v>
      </c>
      <c r="J57" s="48">
        <f>AVERAGE('29.07.Jinja RD-Mukwano'!J57,'30.7.Jinja RD-Mukwano RD'!J57,'31.07.Jinja RD-Mukwano RD'!J57,'1.08.Jinja RD-Mukwano RBT 24h'!J57,'02.08.Mukwano-Jinja'!J57,'03.8.Jinja-Mukwano 24h'!J57,'04.08.Jinja RD-Mukwano'!J57)</f>
        <v>3.2857142857142856</v>
      </c>
      <c r="K57" s="48">
        <f>AVERAGE('29.07.Jinja RD-Mukwano'!K57,'30.7.Jinja RD-Mukwano RD'!K57,'31.07.Jinja RD-Mukwano RD'!K57,'1.08.Jinja RD-Mukwano RBT 24h'!K57,'02.08.Mukwano-Jinja'!K57,'03.8.Jinja-Mukwano 24h'!K57,'04.08.Jinja RD-Mukwano'!K57)</f>
        <v>1.5714285714285714</v>
      </c>
      <c r="L57" s="48">
        <f>AVERAGE('29.07.Jinja RD-Mukwano'!L57,'30.7.Jinja RD-Mukwano RD'!L57,'31.07.Jinja RD-Mukwano RD'!L57,'1.08.Jinja RD-Mukwano RBT 24h'!L57,'02.08.Mukwano-Jinja'!L57,'03.8.Jinja-Mukwano 24h'!L57,'04.08.Jinja RD-Mukwano'!L57)</f>
        <v>1.4285714285714286</v>
      </c>
      <c r="M57" s="48">
        <f>AVERAGE('29.07.Jinja RD-Mukwano'!M57,'30.7.Jinja RD-Mukwano RD'!M57,'31.07.Jinja RD-Mukwano RD'!M57,'1.08.Jinja RD-Mukwano RBT 24h'!M57,'02.08.Mukwano-Jinja'!M57,'03.8.Jinja-Mukwano 24h'!M57,'04.08.Jinja RD-Mukwano'!M57)</f>
        <v>404.14285714285717</v>
      </c>
      <c r="N57" s="48">
        <f>AVERAGE('29.07.Jinja RD-Mukwano'!N57,'30.7.Jinja RD-Mukwano RD'!N57,'31.07.Jinja RD-Mukwano RD'!N57,'1.08.Jinja RD-Mukwano RBT 24h'!N57,'02.08.Mukwano-Jinja'!N57,'03.8.Jinja-Mukwano 24h'!N57,'04.08.Jinja RD-Mukwano'!N57)</f>
        <v>0</v>
      </c>
      <c r="O57" s="15">
        <f t="shared" si="0"/>
        <v>188.57142857142853</v>
      </c>
      <c r="P57" s="15">
        <f t="shared" si="1"/>
        <v>592.71428571428567</v>
      </c>
      <c r="R57" s="8"/>
      <c r="T57"/>
    </row>
    <row r="58" spans="2:20" ht="23.1" customHeight="1" x14ac:dyDescent="0.25">
      <c r="B58" s="22" t="s">
        <v>99</v>
      </c>
      <c r="C58" s="48">
        <f>AVERAGE('1.08.Jinja RD-Mukwano RBT 24h'!C58,'03.8.Jinja-Mukwano 24h'!C58)</f>
        <v>125</v>
      </c>
      <c r="D58" s="48">
        <f>AVERAGE('1.08.Jinja RD-Mukwano RBT 24h'!D58,'03.8.Jinja-Mukwano 24h'!D58)</f>
        <v>40</v>
      </c>
      <c r="E58" s="48">
        <f>AVERAGE('1.08.Jinja RD-Mukwano RBT 24h'!E58,'03.8.Jinja-Mukwano 24h'!E58)</f>
        <v>15.5</v>
      </c>
      <c r="F58" s="48">
        <f>AVERAGE('1.08.Jinja RD-Mukwano RBT 24h'!F58,'03.8.Jinja-Mukwano 24h'!F58)</f>
        <v>5.5</v>
      </c>
      <c r="G58" s="48">
        <f>AVERAGE('1.08.Jinja RD-Mukwano RBT 24h'!G58,'03.8.Jinja-Mukwano 24h'!G58)</f>
        <v>0.5</v>
      </c>
      <c r="H58" s="48">
        <f>AVERAGE('1.08.Jinja RD-Mukwano RBT 24h'!H58,'03.8.Jinja-Mukwano 24h'!H58)</f>
        <v>1</v>
      </c>
      <c r="I58" s="48">
        <f>AVERAGE('1.08.Jinja RD-Mukwano RBT 24h'!I58,'03.8.Jinja-Mukwano 24h'!I58)</f>
        <v>7</v>
      </c>
      <c r="J58" s="48">
        <f>AVERAGE('1.08.Jinja RD-Mukwano RBT 24h'!J58,'03.8.Jinja-Mukwano 24h'!J58)</f>
        <v>2.5</v>
      </c>
      <c r="K58" s="48">
        <f>AVERAGE('1.08.Jinja RD-Mukwano RBT 24h'!K58,'03.8.Jinja-Mukwano 24h'!K58)</f>
        <v>2</v>
      </c>
      <c r="L58" s="48">
        <f>AVERAGE('1.08.Jinja RD-Mukwano RBT 24h'!L58,'03.8.Jinja-Mukwano 24h'!L58)</f>
        <v>1.5</v>
      </c>
      <c r="M58" s="48">
        <f>AVERAGE('1.08.Jinja RD-Mukwano RBT 24h'!M58,'03.8.Jinja-Mukwano 24h'!M58)</f>
        <v>255</v>
      </c>
      <c r="N58" s="48">
        <f>AVERAGE('1.08.Jinja RD-Mukwano RBT 24h'!N58,'03.8.Jinja-Mukwano 24h'!N58)</f>
        <v>0</v>
      </c>
      <c r="O58" s="15">
        <f t="shared" si="0"/>
        <v>200.5</v>
      </c>
      <c r="P58" s="15">
        <f t="shared" si="1"/>
        <v>455.5</v>
      </c>
      <c r="R58" s="8"/>
      <c r="T58"/>
    </row>
    <row r="59" spans="2:20" ht="23.1" customHeight="1" x14ac:dyDescent="0.25">
      <c r="B59" s="22" t="s">
        <v>100</v>
      </c>
      <c r="C59" s="48">
        <f>AVERAGE('1.08.Jinja RD-Mukwano RBT 24h'!C59,'03.8.Jinja-Mukwano 24h'!C59)</f>
        <v>145</v>
      </c>
      <c r="D59" s="48">
        <f>AVERAGE('1.08.Jinja RD-Mukwano RBT 24h'!D59,'03.8.Jinja-Mukwano 24h'!D59)</f>
        <v>57.5</v>
      </c>
      <c r="E59" s="48">
        <f>AVERAGE('1.08.Jinja RD-Mukwano RBT 24h'!E59,'03.8.Jinja-Mukwano 24h'!E59)</f>
        <v>10</v>
      </c>
      <c r="F59" s="48">
        <f>AVERAGE('1.08.Jinja RD-Mukwano RBT 24h'!F59,'03.8.Jinja-Mukwano 24h'!F59)</f>
        <v>4</v>
      </c>
      <c r="G59" s="48">
        <f>AVERAGE('1.08.Jinja RD-Mukwano RBT 24h'!G59,'03.8.Jinja-Mukwano 24h'!G59)</f>
        <v>1</v>
      </c>
      <c r="H59" s="48">
        <f>AVERAGE('1.08.Jinja RD-Mukwano RBT 24h'!H59,'03.8.Jinja-Mukwano 24h'!H59)</f>
        <v>0</v>
      </c>
      <c r="I59" s="48">
        <f>AVERAGE('1.08.Jinja RD-Mukwano RBT 24h'!I59,'03.8.Jinja-Mukwano 24h'!I59)</f>
        <v>5</v>
      </c>
      <c r="J59" s="48">
        <f>AVERAGE('1.08.Jinja RD-Mukwano RBT 24h'!J59,'03.8.Jinja-Mukwano 24h'!J59)</f>
        <v>2.5</v>
      </c>
      <c r="K59" s="48">
        <f>AVERAGE('1.08.Jinja RD-Mukwano RBT 24h'!K59,'03.8.Jinja-Mukwano 24h'!K59)</f>
        <v>1.5</v>
      </c>
      <c r="L59" s="48">
        <f>AVERAGE('1.08.Jinja RD-Mukwano RBT 24h'!L59,'03.8.Jinja-Mukwano 24h'!L59)</f>
        <v>1</v>
      </c>
      <c r="M59" s="48">
        <f>AVERAGE('1.08.Jinja RD-Mukwano RBT 24h'!M59,'03.8.Jinja-Mukwano 24h'!M59)</f>
        <v>369.5</v>
      </c>
      <c r="N59" s="48">
        <f>AVERAGE('1.08.Jinja RD-Mukwano RBT 24h'!N59,'03.8.Jinja-Mukwano 24h'!N59)</f>
        <v>0</v>
      </c>
      <c r="O59" s="15">
        <f t="shared" si="0"/>
        <v>227.5</v>
      </c>
      <c r="P59" s="15">
        <f t="shared" si="1"/>
        <v>597</v>
      </c>
      <c r="R59" s="8"/>
      <c r="T59"/>
    </row>
    <row r="60" spans="2:20" ht="23.1" customHeight="1" x14ac:dyDescent="0.25">
      <c r="B60" s="22" t="s">
        <v>101</v>
      </c>
      <c r="C60" s="48">
        <f>AVERAGE('1.08.Jinja RD-Mukwano RBT 24h'!C60,'03.8.Jinja-Mukwano 24h'!C60)</f>
        <v>215</v>
      </c>
      <c r="D60" s="48">
        <f>AVERAGE('1.08.Jinja RD-Mukwano RBT 24h'!D60,'03.8.Jinja-Mukwano 24h'!D60)</f>
        <v>105</v>
      </c>
      <c r="E60" s="48">
        <f>AVERAGE('1.08.Jinja RD-Mukwano RBT 24h'!E60,'03.8.Jinja-Mukwano 24h'!E60)</f>
        <v>11</v>
      </c>
      <c r="F60" s="48">
        <f>AVERAGE('1.08.Jinja RD-Mukwano RBT 24h'!F60,'03.8.Jinja-Mukwano 24h'!F60)</f>
        <v>2.5</v>
      </c>
      <c r="G60" s="48">
        <f>AVERAGE('1.08.Jinja RD-Mukwano RBT 24h'!G60,'03.8.Jinja-Mukwano 24h'!G60)</f>
        <v>0.5</v>
      </c>
      <c r="H60" s="48">
        <f>AVERAGE('1.08.Jinja RD-Mukwano RBT 24h'!H60,'03.8.Jinja-Mukwano 24h'!H60)</f>
        <v>0</v>
      </c>
      <c r="I60" s="48">
        <f>AVERAGE('1.08.Jinja RD-Mukwano RBT 24h'!I60,'03.8.Jinja-Mukwano 24h'!I60)</f>
        <v>2</v>
      </c>
      <c r="J60" s="48">
        <f>AVERAGE('1.08.Jinja RD-Mukwano RBT 24h'!J60,'03.8.Jinja-Mukwano 24h'!J60)</f>
        <v>3</v>
      </c>
      <c r="K60" s="48">
        <f>AVERAGE('1.08.Jinja RD-Mukwano RBT 24h'!K60,'03.8.Jinja-Mukwano 24h'!K60)</f>
        <v>0.5</v>
      </c>
      <c r="L60" s="48">
        <f>AVERAGE('1.08.Jinja RD-Mukwano RBT 24h'!L60,'03.8.Jinja-Mukwano 24h'!L60)</f>
        <v>0</v>
      </c>
      <c r="M60" s="48">
        <f>AVERAGE('1.08.Jinja RD-Mukwano RBT 24h'!M60,'03.8.Jinja-Mukwano 24h'!M60)</f>
        <v>392</v>
      </c>
      <c r="N60" s="48">
        <f>AVERAGE('1.08.Jinja RD-Mukwano RBT 24h'!N60,'03.8.Jinja-Mukwano 24h'!N60)</f>
        <v>0</v>
      </c>
      <c r="O60" s="15">
        <f t="shared" si="0"/>
        <v>339.5</v>
      </c>
      <c r="P60" s="15">
        <f t="shared" si="1"/>
        <v>731.5</v>
      </c>
      <c r="R60" s="8"/>
      <c r="T60"/>
    </row>
    <row r="61" spans="2:20" ht="23.1" customHeight="1" x14ac:dyDescent="0.25">
      <c r="B61" s="22" t="s">
        <v>102</v>
      </c>
      <c r="C61" s="48">
        <f>AVERAGE('1.08.Jinja RD-Mukwano RBT 24h'!C61,'03.8.Jinja-Mukwano 24h'!C61)</f>
        <v>255</v>
      </c>
      <c r="D61" s="48">
        <f>AVERAGE('1.08.Jinja RD-Mukwano RBT 24h'!D61,'03.8.Jinja-Mukwano 24h'!D61)</f>
        <v>140</v>
      </c>
      <c r="E61" s="48">
        <f>AVERAGE('1.08.Jinja RD-Mukwano RBT 24h'!E61,'03.8.Jinja-Mukwano 24h'!E61)</f>
        <v>11</v>
      </c>
      <c r="F61" s="48">
        <f>AVERAGE('1.08.Jinja RD-Mukwano RBT 24h'!F61,'03.8.Jinja-Mukwano 24h'!F61)</f>
        <v>7.5</v>
      </c>
      <c r="G61" s="48">
        <f>AVERAGE('1.08.Jinja RD-Mukwano RBT 24h'!G61,'03.8.Jinja-Mukwano 24h'!G61)</f>
        <v>0</v>
      </c>
      <c r="H61" s="48">
        <f>AVERAGE('1.08.Jinja RD-Mukwano RBT 24h'!H61,'03.8.Jinja-Mukwano 24h'!H61)</f>
        <v>0</v>
      </c>
      <c r="I61" s="48">
        <f>AVERAGE('1.08.Jinja RD-Mukwano RBT 24h'!I61,'03.8.Jinja-Mukwano 24h'!I61)</f>
        <v>3</v>
      </c>
      <c r="J61" s="48">
        <f>AVERAGE('1.08.Jinja RD-Mukwano RBT 24h'!J61,'03.8.Jinja-Mukwano 24h'!J61)</f>
        <v>0.5</v>
      </c>
      <c r="K61" s="48">
        <f>AVERAGE('1.08.Jinja RD-Mukwano RBT 24h'!K61,'03.8.Jinja-Mukwano 24h'!K61)</f>
        <v>1</v>
      </c>
      <c r="L61" s="48">
        <f>AVERAGE('1.08.Jinja RD-Mukwano RBT 24h'!L61,'03.8.Jinja-Mukwano 24h'!L61)</f>
        <v>0.5</v>
      </c>
      <c r="M61" s="48">
        <f>AVERAGE('1.08.Jinja RD-Mukwano RBT 24h'!M61,'03.8.Jinja-Mukwano 24h'!M61)</f>
        <v>227.5</v>
      </c>
      <c r="N61" s="48">
        <f>AVERAGE('1.08.Jinja RD-Mukwano RBT 24h'!N61,'03.8.Jinja-Mukwano 24h'!N61)</f>
        <v>0</v>
      </c>
      <c r="O61" s="15">
        <f t="shared" si="0"/>
        <v>418.5</v>
      </c>
      <c r="P61" s="15">
        <f t="shared" si="1"/>
        <v>646</v>
      </c>
      <c r="R61" s="8"/>
      <c r="T61"/>
    </row>
    <row r="62" spans="2:20" ht="23.1" customHeight="1" x14ac:dyDescent="0.25">
      <c r="B62" s="22" t="s">
        <v>107</v>
      </c>
      <c r="C62" s="48">
        <f>AVERAGE('1.08.Jinja RD-Mukwano RBT 24h'!C62,'03.8.Jinja-Mukwano 24h'!C62)</f>
        <v>255</v>
      </c>
      <c r="D62" s="48">
        <f>AVERAGE('1.08.Jinja RD-Mukwano RBT 24h'!D62,'03.8.Jinja-Mukwano 24h'!D62)</f>
        <v>44.5</v>
      </c>
      <c r="E62" s="48">
        <f>AVERAGE('1.08.Jinja RD-Mukwano RBT 24h'!E62,'03.8.Jinja-Mukwano 24h'!E62)</f>
        <v>18.5</v>
      </c>
      <c r="F62" s="48">
        <f>AVERAGE('1.08.Jinja RD-Mukwano RBT 24h'!F62,'03.8.Jinja-Mukwano 24h'!F62)</f>
        <v>9</v>
      </c>
      <c r="G62" s="48">
        <f>AVERAGE('1.08.Jinja RD-Mukwano RBT 24h'!G62,'03.8.Jinja-Mukwano 24h'!G62)</f>
        <v>0</v>
      </c>
      <c r="H62" s="48">
        <f>AVERAGE('1.08.Jinja RD-Mukwano RBT 24h'!H62,'03.8.Jinja-Mukwano 24h'!H62)</f>
        <v>0</v>
      </c>
      <c r="I62" s="48">
        <f>AVERAGE('1.08.Jinja RD-Mukwano RBT 24h'!I62,'03.8.Jinja-Mukwano 24h'!I62)</f>
        <v>4.5</v>
      </c>
      <c r="J62" s="48">
        <f>AVERAGE('1.08.Jinja RD-Mukwano RBT 24h'!J62,'03.8.Jinja-Mukwano 24h'!J62)</f>
        <v>0</v>
      </c>
      <c r="K62" s="48">
        <f>AVERAGE('1.08.Jinja RD-Mukwano RBT 24h'!K62,'03.8.Jinja-Mukwano 24h'!K62)</f>
        <v>2</v>
      </c>
      <c r="L62" s="48">
        <f>AVERAGE('1.08.Jinja RD-Mukwano RBT 24h'!L62,'03.8.Jinja-Mukwano 24h'!L62)</f>
        <v>0.5</v>
      </c>
      <c r="M62" s="48">
        <f>AVERAGE('1.08.Jinja RD-Mukwano RBT 24h'!M62,'03.8.Jinja-Mukwano 24h'!M62)</f>
        <v>392.5</v>
      </c>
      <c r="N62" s="48">
        <f>AVERAGE('1.08.Jinja RD-Mukwano RBT 24h'!N62,'03.8.Jinja-Mukwano 24h'!N62)</f>
        <v>0</v>
      </c>
      <c r="O62" s="15">
        <f t="shared" si="0"/>
        <v>334</v>
      </c>
      <c r="P62" s="15">
        <f t="shared" si="1"/>
        <v>726.5</v>
      </c>
      <c r="R62" s="8"/>
      <c r="T62"/>
    </row>
    <row r="63" spans="2:20" ht="23.1" customHeight="1" x14ac:dyDescent="0.25">
      <c r="B63" s="22" t="s">
        <v>108</v>
      </c>
      <c r="C63" s="48">
        <f>AVERAGE('1.08.Jinja RD-Mukwano RBT 24h'!C63,'03.8.Jinja-Mukwano 24h'!C63)</f>
        <v>202.5</v>
      </c>
      <c r="D63" s="48">
        <f>AVERAGE('1.08.Jinja RD-Mukwano RBT 24h'!D63,'03.8.Jinja-Mukwano 24h'!D63)</f>
        <v>60.5</v>
      </c>
      <c r="E63" s="48">
        <f>AVERAGE('1.08.Jinja RD-Mukwano RBT 24h'!E63,'03.8.Jinja-Mukwano 24h'!E63)</f>
        <v>13.5</v>
      </c>
      <c r="F63" s="48">
        <f>AVERAGE('1.08.Jinja RD-Mukwano RBT 24h'!F63,'03.8.Jinja-Mukwano 24h'!F63)</f>
        <v>6</v>
      </c>
      <c r="G63" s="48">
        <f>AVERAGE('1.08.Jinja RD-Mukwano RBT 24h'!G63,'03.8.Jinja-Mukwano 24h'!G63)</f>
        <v>0.5</v>
      </c>
      <c r="H63" s="48">
        <f>AVERAGE('1.08.Jinja RD-Mukwano RBT 24h'!H63,'03.8.Jinja-Mukwano 24h'!H63)</f>
        <v>0</v>
      </c>
      <c r="I63" s="48">
        <f>AVERAGE('1.08.Jinja RD-Mukwano RBT 24h'!I63,'03.8.Jinja-Mukwano 24h'!I63)</f>
        <v>3.5</v>
      </c>
      <c r="J63" s="48">
        <f>AVERAGE('1.08.Jinja RD-Mukwano RBT 24h'!J63,'03.8.Jinja-Mukwano 24h'!J63)</f>
        <v>0.5</v>
      </c>
      <c r="K63" s="48">
        <f>AVERAGE('1.08.Jinja RD-Mukwano RBT 24h'!K63,'03.8.Jinja-Mukwano 24h'!K63)</f>
        <v>0</v>
      </c>
      <c r="L63" s="48">
        <f>AVERAGE('1.08.Jinja RD-Mukwano RBT 24h'!L63,'03.8.Jinja-Mukwano 24h'!L63)</f>
        <v>0.5</v>
      </c>
      <c r="M63" s="48">
        <f>AVERAGE('1.08.Jinja RD-Mukwano RBT 24h'!M63,'03.8.Jinja-Mukwano 24h'!M63)</f>
        <v>300.5</v>
      </c>
      <c r="N63" s="48">
        <f>AVERAGE('1.08.Jinja RD-Mukwano RBT 24h'!N63,'03.8.Jinja-Mukwano 24h'!N63)</f>
        <v>0</v>
      </c>
      <c r="O63" s="15">
        <f t="shared" si="0"/>
        <v>287.5</v>
      </c>
      <c r="P63" s="15">
        <f t="shared" si="1"/>
        <v>588</v>
      </c>
      <c r="R63" s="8"/>
      <c r="T63"/>
    </row>
    <row r="64" spans="2:20" ht="23.1" customHeight="1" x14ac:dyDescent="0.25">
      <c r="B64" s="22" t="s">
        <v>109</v>
      </c>
      <c r="C64" s="48">
        <f>AVERAGE('1.08.Jinja RD-Mukwano RBT 24h'!C64,'03.8.Jinja-Mukwano 24h'!C64)</f>
        <v>200</v>
      </c>
      <c r="D64" s="48">
        <f>AVERAGE('1.08.Jinja RD-Mukwano RBT 24h'!D64,'03.8.Jinja-Mukwano 24h'!D64)</f>
        <v>57.5</v>
      </c>
      <c r="E64" s="48">
        <f>AVERAGE('1.08.Jinja RD-Mukwano RBT 24h'!E64,'03.8.Jinja-Mukwano 24h'!E64)</f>
        <v>6</v>
      </c>
      <c r="F64" s="48">
        <f>AVERAGE('1.08.Jinja RD-Mukwano RBT 24h'!F64,'03.8.Jinja-Mukwano 24h'!F64)</f>
        <v>5</v>
      </c>
      <c r="G64" s="48">
        <f>AVERAGE('1.08.Jinja RD-Mukwano RBT 24h'!G64,'03.8.Jinja-Mukwano 24h'!G64)</f>
        <v>0.5</v>
      </c>
      <c r="H64" s="48">
        <f>AVERAGE('1.08.Jinja RD-Mukwano RBT 24h'!H64,'03.8.Jinja-Mukwano 24h'!H64)</f>
        <v>0</v>
      </c>
      <c r="I64" s="48">
        <f>AVERAGE('1.08.Jinja RD-Mukwano RBT 24h'!I64,'03.8.Jinja-Mukwano 24h'!I64)</f>
        <v>3.5</v>
      </c>
      <c r="J64" s="48">
        <f>AVERAGE('1.08.Jinja RD-Mukwano RBT 24h'!J64,'03.8.Jinja-Mukwano 24h'!J64)</f>
        <v>3</v>
      </c>
      <c r="K64" s="48">
        <f>AVERAGE('1.08.Jinja RD-Mukwano RBT 24h'!K64,'03.8.Jinja-Mukwano 24h'!K64)</f>
        <v>0.5</v>
      </c>
      <c r="L64" s="48">
        <f>AVERAGE('1.08.Jinja RD-Mukwano RBT 24h'!L64,'03.8.Jinja-Mukwano 24h'!L64)</f>
        <v>1</v>
      </c>
      <c r="M64" s="48">
        <f>AVERAGE('1.08.Jinja RD-Mukwano RBT 24h'!M64,'03.8.Jinja-Mukwano 24h'!M64)</f>
        <v>245</v>
      </c>
      <c r="N64" s="48">
        <f>AVERAGE('1.08.Jinja RD-Mukwano RBT 24h'!N64,'03.8.Jinja-Mukwano 24h'!N64)</f>
        <v>0</v>
      </c>
      <c r="O64" s="15">
        <f t="shared" si="0"/>
        <v>277</v>
      </c>
      <c r="P64" s="15">
        <f t="shared" si="1"/>
        <v>522</v>
      </c>
      <c r="R64" s="8"/>
      <c r="T64"/>
    </row>
    <row r="65" spans="2:20" ht="23.1" customHeight="1" x14ac:dyDescent="0.25">
      <c r="B65" s="22" t="s">
        <v>158</v>
      </c>
      <c r="C65" s="48">
        <f>AVERAGE('1.08.Jinja RD-Mukwano RBT 24h'!C65,'03.8.Jinja-Mukwano 24h'!C65)</f>
        <v>150</v>
      </c>
      <c r="D65" s="48">
        <f>AVERAGE('1.08.Jinja RD-Mukwano RBT 24h'!D65,'03.8.Jinja-Mukwano 24h'!D65)</f>
        <v>43.5</v>
      </c>
      <c r="E65" s="48">
        <f>AVERAGE('1.08.Jinja RD-Mukwano RBT 24h'!E65,'03.8.Jinja-Mukwano 24h'!E65)</f>
        <v>4</v>
      </c>
      <c r="F65" s="48">
        <f>AVERAGE('1.08.Jinja RD-Mukwano RBT 24h'!F65,'03.8.Jinja-Mukwano 24h'!F65)</f>
        <v>6.5</v>
      </c>
      <c r="G65" s="48">
        <f>AVERAGE('1.08.Jinja RD-Mukwano RBT 24h'!G65,'03.8.Jinja-Mukwano 24h'!G65)</f>
        <v>0</v>
      </c>
      <c r="H65" s="48">
        <f>AVERAGE('1.08.Jinja RD-Mukwano RBT 24h'!H65,'03.8.Jinja-Mukwano 24h'!H65)</f>
        <v>0.5</v>
      </c>
      <c r="I65" s="48">
        <f>AVERAGE('1.08.Jinja RD-Mukwano RBT 24h'!I65,'03.8.Jinja-Mukwano 24h'!I65)</f>
        <v>2.5</v>
      </c>
      <c r="J65" s="48">
        <f>AVERAGE('1.08.Jinja RD-Mukwano RBT 24h'!J65,'03.8.Jinja-Mukwano 24h'!J65)</f>
        <v>0</v>
      </c>
      <c r="K65" s="48">
        <f>AVERAGE('1.08.Jinja RD-Mukwano RBT 24h'!K65,'03.8.Jinja-Mukwano 24h'!K65)</f>
        <v>2</v>
      </c>
      <c r="L65" s="48">
        <f>AVERAGE('1.08.Jinja RD-Mukwano RBT 24h'!L65,'03.8.Jinja-Mukwano 24h'!L65)</f>
        <v>0</v>
      </c>
      <c r="M65" s="48">
        <f>AVERAGE('1.08.Jinja RD-Mukwano RBT 24h'!M65,'03.8.Jinja-Mukwano 24h'!M65)</f>
        <v>268</v>
      </c>
      <c r="N65" s="48">
        <f>AVERAGE('1.08.Jinja RD-Mukwano RBT 24h'!N65,'03.8.Jinja-Mukwano 24h'!N65)</f>
        <v>0</v>
      </c>
      <c r="O65" s="15">
        <f t="shared" si="0"/>
        <v>209</v>
      </c>
      <c r="P65" s="15">
        <f t="shared" si="1"/>
        <v>477</v>
      </c>
      <c r="R65" s="8"/>
      <c r="T65"/>
    </row>
    <row r="66" spans="2:20" ht="23.1" customHeight="1" x14ac:dyDescent="0.25">
      <c r="B66" s="22" t="s">
        <v>103</v>
      </c>
      <c r="C66" s="48">
        <f>AVERAGE('1.08.Jinja RD-Mukwano RBT 24h'!C66,'03.8.Jinja-Mukwano 24h'!C66)</f>
        <v>155</v>
      </c>
      <c r="D66" s="48">
        <f>AVERAGE('1.08.Jinja RD-Mukwano RBT 24h'!D66,'03.8.Jinja-Mukwano 24h'!D66)</f>
        <v>55</v>
      </c>
      <c r="E66" s="48">
        <f>AVERAGE('1.08.Jinja RD-Mukwano RBT 24h'!E66,'03.8.Jinja-Mukwano 24h'!E66)</f>
        <v>15.5</v>
      </c>
      <c r="F66" s="48">
        <f>AVERAGE('1.08.Jinja RD-Mukwano RBT 24h'!F66,'03.8.Jinja-Mukwano 24h'!F66)</f>
        <v>2.5</v>
      </c>
      <c r="G66" s="48">
        <f>AVERAGE('1.08.Jinja RD-Mukwano RBT 24h'!G66,'03.8.Jinja-Mukwano 24h'!G66)</f>
        <v>0</v>
      </c>
      <c r="H66" s="48">
        <f>AVERAGE('1.08.Jinja RD-Mukwano RBT 24h'!H66,'03.8.Jinja-Mukwano 24h'!H66)</f>
        <v>0</v>
      </c>
      <c r="I66" s="48">
        <f>AVERAGE('1.08.Jinja RD-Mukwano RBT 24h'!I66,'03.8.Jinja-Mukwano 24h'!I66)</f>
        <v>1.5</v>
      </c>
      <c r="J66" s="48">
        <f>AVERAGE('1.08.Jinja RD-Mukwano RBT 24h'!J66,'03.8.Jinja-Mukwano 24h'!J66)</f>
        <v>3.5</v>
      </c>
      <c r="K66" s="48">
        <f>AVERAGE('1.08.Jinja RD-Mukwano RBT 24h'!K66,'03.8.Jinja-Mukwano 24h'!K66)</f>
        <v>2</v>
      </c>
      <c r="L66" s="48">
        <f>AVERAGE('1.08.Jinja RD-Mukwano RBT 24h'!L66,'03.8.Jinja-Mukwano 24h'!L66)</f>
        <v>4</v>
      </c>
      <c r="M66" s="48">
        <f>AVERAGE('1.08.Jinja RD-Mukwano RBT 24h'!M66,'03.8.Jinja-Mukwano 24h'!M66)</f>
        <v>192</v>
      </c>
      <c r="N66" s="48">
        <f>AVERAGE('1.08.Jinja RD-Mukwano RBT 24h'!N66,'03.8.Jinja-Mukwano 24h'!N66)</f>
        <v>0</v>
      </c>
      <c r="O66" s="15">
        <f t="shared" si="0"/>
        <v>239</v>
      </c>
      <c r="P66" s="15">
        <f t="shared" si="1"/>
        <v>431</v>
      </c>
      <c r="R66" s="8"/>
      <c r="T66"/>
    </row>
    <row r="67" spans="2:20" ht="23.1" customHeight="1" x14ac:dyDescent="0.25">
      <c r="B67" s="22" t="s">
        <v>104</v>
      </c>
      <c r="C67" s="48">
        <f>AVERAGE('1.08.Jinja RD-Mukwano RBT 24h'!C67,'03.8.Jinja-Mukwano 24h'!C67)</f>
        <v>147.5</v>
      </c>
      <c r="D67" s="48">
        <f>AVERAGE('1.08.Jinja RD-Mukwano RBT 24h'!D67,'03.8.Jinja-Mukwano 24h'!D67)</f>
        <v>75</v>
      </c>
      <c r="E67" s="48">
        <f>AVERAGE('1.08.Jinja RD-Mukwano RBT 24h'!E67,'03.8.Jinja-Mukwano 24h'!E67)</f>
        <v>5.5</v>
      </c>
      <c r="F67" s="48">
        <f>AVERAGE('1.08.Jinja RD-Mukwano RBT 24h'!F67,'03.8.Jinja-Mukwano 24h'!F67)</f>
        <v>5.5</v>
      </c>
      <c r="G67" s="48">
        <f>AVERAGE('1.08.Jinja RD-Mukwano RBT 24h'!G67,'03.8.Jinja-Mukwano 24h'!G67)</f>
        <v>0.5</v>
      </c>
      <c r="H67" s="48">
        <f>AVERAGE('1.08.Jinja RD-Mukwano RBT 24h'!H67,'03.8.Jinja-Mukwano 24h'!H67)</f>
        <v>0</v>
      </c>
      <c r="I67" s="48">
        <f>AVERAGE('1.08.Jinja RD-Mukwano RBT 24h'!I67,'03.8.Jinja-Mukwano 24h'!I67)</f>
        <v>7</v>
      </c>
      <c r="J67" s="48">
        <f>AVERAGE('1.08.Jinja RD-Mukwano RBT 24h'!J67,'03.8.Jinja-Mukwano 24h'!J67)</f>
        <v>4.5</v>
      </c>
      <c r="K67" s="48">
        <f>AVERAGE('1.08.Jinja RD-Mukwano RBT 24h'!K67,'03.8.Jinja-Mukwano 24h'!K67)</f>
        <v>0</v>
      </c>
      <c r="L67" s="48">
        <f>AVERAGE('1.08.Jinja RD-Mukwano RBT 24h'!L67,'03.8.Jinja-Mukwano 24h'!L67)</f>
        <v>2.5</v>
      </c>
      <c r="M67" s="48">
        <f>AVERAGE('1.08.Jinja RD-Mukwano RBT 24h'!M67,'03.8.Jinja-Mukwano 24h'!M67)</f>
        <v>330</v>
      </c>
      <c r="N67" s="48">
        <f>AVERAGE('1.08.Jinja RD-Mukwano RBT 24h'!N67,'03.8.Jinja-Mukwano 24h'!N67)</f>
        <v>0</v>
      </c>
      <c r="O67" s="15">
        <f t="shared" si="0"/>
        <v>248</v>
      </c>
      <c r="P67" s="15">
        <f t="shared" si="1"/>
        <v>578</v>
      </c>
      <c r="R67" s="8"/>
      <c r="T67"/>
    </row>
    <row r="68" spans="2:20" ht="23.1" customHeight="1" x14ac:dyDescent="0.25">
      <c r="B68" s="22" t="s">
        <v>105</v>
      </c>
      <c r="C68" s="48">
        <f>AVERAGE('1.08.Jinja RD-Mukwano RBT 24h'!C68,'03.8.Jinja-Mukwano 24h'!C68)</f>
        <v>193</v>
      </c>
      <c r="D68" s="48">
        <f>AVERAGE('1.08.Jinja RD-Mukwano RBT 24h'!D68,'03.8.Jinja-Mukwano 24h'!D68)</f>
        <v>57.5</v>
      </c>
      <c r="E68" s="48">
        <f>AVERAGE('1.08.Jinja RD-Mukwano RBT 24h'!E68,'03.8.Jinja-Mukwano 24h'!E68)</f>
        <v>5</v>
      </c>
      <c r="F68" s="48">
        <f>AVERAGE('1.08.Jinja RD-Mukwano RBT 24h'!F68,'03.8.Jinja-Mukwano 24h'!F68)</f>
        <v>2</v>
      </c>
      <c r="G68" s="48">
        <f>AVERAGE('1.08.Jinja RD-Mukwano RBT 24h'!G68,'03.8.Jinja-Mukwano 24h'!G68)</f>
        <v>2</v>
      </c>
      <c r="H68" s="48">
        <f>AVERAGE('1.08.Jinja RD-Mukwano RBT 24h'!H68,'03.8.Jinja-Mukwano 24h'!H68)</f>
        <v>0</v>
      </c>
      <c r="I68" s="48">
        <f>AVERAGE('1.08.Jinja RD-Mukwano RBT 24h'!I68,'03.8.Jinja-Mukwano 24h'!I68)</f>
        <v>2.5</v>
      </c>
      <c r="J68" s="48">
        <f>AVERAGE('1.08.Jinja RD-Mukwano RBT 24h'!J68,'03.8.Jinja-Mukwano 24h'!J68)</f>
        <v>0</v>
      </c>
      <c r="K68" s="48">
        <f>AVERAGE('1.08.Jinja RD-Mukwano RBT 24h'!K68,'03.8.Jinja-Mukwano 24h'!K68)</f>
        <v>0.5</v>
      </c>
      <c r="L68" s="48">
        <f>AVERAGE('1.08.Jinja RD-Mukwano RBT 24h'!L68,'03.8.Jinja-Mukwano 24h'!L68)</f>
        <v>0.5</v>
      </c>
      <c r="M68" s="48">
        <f>AVERAGE('1.08.Jinja RD-Mukwano RBT 24h'!M68,'03.8.Jinja-Mukwano 24h'!M68)</f>
        <v>397.5</v>
      </c>
      <c r="N68" s="48">
        <f>AVERAGE('1.08.Jinja RD-Mukwano RBT 24h'!N68,'03.8.Jinja-Mukwano 24h'!N68)</f>
        <v>0</v>
      </c>
      <c r="O68" s="15">
        <f t="shared" si="0"/>
        <v>263</v>
      </c>
      <c r="P68" s="15">
        <f t="shared" si="1"/>
        <v>660.5</v>
      </c>
      <c r="R68" s="8"/>
      <c r="T68"/>
    </row>
    <row r="69" spans="2:20" ht="23.1" customHeight="1" x14ac:dyDescent="0.25">
      <c r="B69" s="22" t="s">
        <v>106</v>
      </c>
      <c r="C69" s="48">
        <f>AVERAGE('1.08.Jinja RD-Mukwano RBT 24h'!C69,'03.8.Jinja-Mukwano 24h'!C69)</f>
        <v>157.5</v>
      </c>
      <c r="D69" s="48">
        <f>AVERAGE('1.08.Jinja RD-Mukwano RBT 24h'!D69,'03.8.Jinja-Mukwano 24h'!D69)</f>
        <v>57.5</v>
      </c>
      <c r="E69" s="48">
        <f>AVERAGE('1.08.Jinja RD-Mukwano RBT 24h'!E69,'03.8.Jinja-Mukwano 24h'!E69)</f>
        <v>11</v>
      </c>
      <c r="F69" s="48">
        <f>AVERAGE('1.08.Jinja RD-Mukwano RBT 24h'!F69,'03.8.Jinja-Mukwano 24h'!F69)</f>
        <v>2.5</v>
      </c>
      <c r="G69" s="48">
        <f>AVERAGE('1.08.Jinja RD-Mukwano RBT 24h'!G69,'03.8.Jinja-Mukwano 24h'!G69)</f>
        <v>0.5</v>
      </c>
      <c r="H69" s="48">
        <f>AVERAGE('1.08.Jinja RD-Mukwano RBT 24h'!H69,'03.8.Jinja-Mukwano 24h'!H69)</f>
        <v>0</v>
      </c>
      <c r="I69" s="48">
        <f>AVERAGE('1.08.Jinja RD-Mukwano RBT 24h'!I69,'03.8.Jinja-Mukwano 24h'!I69)</f>
        <v>6</v>
      </c>
      <c r="J69" s="48">
        <f>AVERAGE('1.08.Jinja RD-Mukwano RBT 24h'!J69,'03.8.Jinja-Mukwano 24h'!J69)</f>
        <v>2</v>
      </c>
      <c r="K69" s="48">
        <f>AVERAGE('1.08.Jinja RD-Mukwano RBT 24h'!K69,'03.8.Jinja-Mukwano 24h'!K69)</f>
        <v>0</v>
      </c>
      <c r="L69" s="48">
        <f>AVERAGE('1.08.Jinja RD-Mukwano RBT 24h'!L69,'03.8.Jinja-Mukwano 24h'!L69)</f>
        <v>3</v>
      </c>
      <c r="M69" s="48">
        <f>AVERAGE('1.08.Jinja RD-Mukwano RBT 24h'!M69,'03.8.Jinja-Mukwano 24h'!M69)</f>
        <v>332.5</v>
      </c>
      <c r="N69" s="48">
        <f>AVERAGE('1.08.Jinja RD-Mukwano RBT 24h'!N69,'03.8.Jinja-Mukwano 24h'!N69)</f>
        <v>0</v>
      </c>
      <c r="O69" s="15">
        <f t="shared" si="0"/>
        <v>240</v>
      </c>
      <c r="P69" s="15">
        <f t="shared" si="1"/>
        <v>572.5</v>
      </c>
      <c r="R69" s="8"/>
      <c r="T69"/>
    </row>
    <row r="70" spans="2:20" ht="23.1" customHeight="1" x14ac:dyDescent="0.25">
      <c r="B70" s="22" t="s">
        <v>110</v>
      </c>
      <c r="C70" s="48">
        <f>AVERAGE('1.08.Jinja RD-Mukwano RBT 24h'!C70,'03.8.Jinja-Mukwano 24h'!C70)</f>
        <v>160.5</v>
      </c>
      <c r="D70" s="48">
        <f>AVERAGE('1.08.Jinja RD-Mukwano RBT 24h'!D70,'03.8.Jinja-Mukwano 24h'!D70)</f>
        <v>43.5</v>
      </c>
      <c r="E70" s="48">
        <f>AVERAGE('1.08.Jinja RD-Mukwano RBT 24h'!E70,'03.8.Jinja-Mukwano 24h'!E70)</f>
        <v>8</v>
      </c>
      <c r="F70" s="48">
        <f>AVERAGE('1.08.Jinja RD-Mukwano RBT 24h'!F70,'03.8.Jinja-Mukwano 24h'!F70)</f>
        <v>4</v>
      </c>
      <c r="G70" s="48">
        <f>AVERAGE('1.08.Jinja RD-Mukwano RBT 24h'!G70,'03.8.Jinja-Mukwano 24h'!G70)</f>
        <v>0</v>
      </c>
      <c r="H70" s="48">
        <f>AVERAGE('1.08.Jinja RD-Mukwano RBT 24h'!H70,'03.8.Jinja-Mukwano 24h'!H70)</f>
        <v>0</v>
      </c>
      <c r="I70" s="48">
        <f>AVERAGE('1.08.Jinja RD-Mukwano RBT 24h'!I70,'03.8.Jinja-Mukwano 24h'!I70)</f>
        <v>7.5</v>
      </c>
      <c r="J70" s="48">
        <f>AVERAGE('1.08.Jinja RD-Mukwano RBT 24h'!J70,'03.8.Jinja-Mukwano 24h'!J70)</f>
        <v>1.5</v>
      </c>
      <c r="K70" s="48">
        <f>AVERAGE('1.08.Jinja RD-Mukwano RBT 24h'!K70,'03.8.Jinja-Mukwano 24h'!K70)</f>
        <v>1</v>
      </c>
      <c r="L70" s="48">
        <f>AVERAGE('1.08.Jinja RD-Mukwano RBT 24h'!L70,'03.8.Jinja-Mukwano 24h'!L70)</f>
        <v>0.5</v>
      </c>
      <c r="M70" s="48">
        <f>AVERAGE('1.08.Jinja RD-Mukwano RBT 24h'!M70,'03.8.Jinja-Mukwano 24h'!M70)</f>
        <v>321.5</v>
      </c>
      <c r="N70" s="48">
        <f>AVERAGE('1.08.Jinja RD-Mukwano RBT 24h'!N70,'03.8.Jinja-Mukwano 24h'!N70)</f>
        <v>0</v>
      </c>
      <c r="O70" s="15">
        <f t="shared" si="0"/>
        <v>226.5</v>
      </c>
      <c r="P70" s="15">
        <f t="shared" si="1"/>
        <v>548</v>
      </c>
      <c r="R70" s="8"/>
      <c r="T70"/>
    </row>
    <row r="71" spans="2:20" ht="23.1" customHeight="1" x14ac:dyDescent="0.25">
      <c r="B71" s="22" t="s">
        <v>111</v>
      </c>
      <c r="C71" s="48">
        <f>AVERAGE('1.08.Jinja RD-Mukwano RBT 24h'!C71,'03.8.Jinja-Mukwano 24h'!C71)</f>
        <v>115</v>
      </c>
      <c r="D71" s="48">
        <f>AVERAGE('1.08.Jinja RD-Mukwano RBT 24h'!D71,'03.8.Jinja-Mukwano 24h'!D71)</f>
        <v>17.5</v>
      </c>
      <c r="E71" s="48">
        <f>AVERAGE('1.08.Jinja RD-Mukwano RBT 24h'!E71,'03.8.Jinja-Mukwano 24h'!E71)</f>
        <v>8</v>
      </c>
      <c r="F71" s="48">
        <f>AVERAGE('1.08.Jinja RD-Mukwano RBT 24h'!F71,'03.8.Jinja-Mukwano 24h'!F71)</f>
        <v>2</v>
      </c>
      <c r="G71" s="48">
        <f>AVERAGE('1.08.Jinja RD-Mukwano RBT 24h'!G71,'03.8.Jinja-Mukwano 24h'!G71)</f>
        <v>0</v>
      </c>
      <c r="H71" s="48">
        <f>AVERAGE('1.08.Jinja RD-Mukwano RBT 24h'!H71,'03.8.Jinja-Mukwano 24h'!H71)</f>
        <v>4.5</v>
      </c>
      <c r="I71" s="48">
        <f>AVERAGE('1.08.Jinja RD-Mukwano RBT 24h'!I71,'03.8.Jinja-Mukwano 24h'!I71)</f>
        <v>3</v>
      </c>
      <c r="J71" s="48">
        <f>AVERAGE('1.08.Jinja RD-Mukwano RBT 24h'!J71,'03.8.Jinja-Mukwano 24h'!J71)</f>
        <v>0</v>
      </c>
      <c r="K71" s="48">
        <f>AVERAGE('1.08.Jinja RD-Mukwano RBT 24h'!K71,'03.8.Jinja-Mukwano 24h'!K71)</f>
        <v>1</v>
      </c>
      <c r="L71" s="48">
        <f>AVERAGE('1.08.Jinja RD-Mukwano RBT 24h'!L71,'03.8.Jinja-Mukwano 24h'!L71)</f>
        <v>1</v>
      </c>
      <c r="M71" s="48">
        <f>AVERAGE('1.08.Jinja RD-Mukwano RBT 24h'!M71,'03.8.Jinja-Mukwano 24h'!M71)</f>
        <v>316</v>
      </c>
      <c r="N71" s="48">
        <f>AVERAGE('1.08.Jinja RD-Mukwano RBT 24h'!N71,'03.8.Jinja-Mukwano 24h'!N71)</f>
        <v>0</v>
      </c>
      <c r="O71" s="15">
        <f t="shared" si="0"/>
        <v>152</v>
      </c>
      <c r="P71" s="15">
        <f t="shared" si="1"/>
        <v>468</v>
      </c>
      <c r="R71" s="8"/>
      <c r="T71"/>
    </row>
    <row r="72" spans="2:20" ht="23.1" customHeight="1" x14ac:dyDescent="0.25">
      <c r="B72" s="22" t="s">
        <v>112</v>
      </c>
      <c r="C72" s="48">
        <f>AVERAGE('1.08.Jinja RD-Mukwano RBT 24h'!C72,'03.8.Jinja-Mukwano 24h'!C72)</f>
        <v>119</v>
      </c>
      <c r="D72" s="48">
        <f>AVERAGE('1.08.Jinja RD-Mukwano RBT 24h'!D72,'03.8.Jinja-Mukwano 24h'!D72)</f>
        <v>22</v>
      </c>
      <c r="E72" s="48">
        <f>AVERAGE('1.08.Jinja RD-Mukwano RBT 24h'!E72,'03.8.Jinja-Mukwano 24h'!E72)</f>
        <v>7.5</v>
      </c>
      <c r="F72" s="48">
        <f>AVERAGE('1.08.Jinja RD-Mukwano RBT 24h'!F72,'03.8.Jinja-Mukwano 24h'!F72)</f>
        <v>2</v>
      </c>
      <c r="G72" s="48">
        <f>AVERAGE('1.08.Jinja RD-Mukwano RBT 24h'!G72,'03.8.Jinja-Mukwano 24h'!G72)</f>
        <v>0</v>
      </c>
      <c r="H72" s="48">
        <f>AVERAGE('1.08.Jinja RD-Mukwano RBT 24h'!H72,'03.8.Jinja-Mukwano 24h'!H72)</f>
        <v>0</v>
      </c>
      <c r="I72" s="48">
        <f>AVERAGE('1.08.Jinja RD-Mukwano RBT 24h'!I72,'03.8.Jinja-Mukwano 24h'!I72)</f>
        <v>4</v>
      </c>
      <c r="J72" s="48">
        <f>AVERAGE('1.08.Jinja RD-Mukwano RBT 24h'!J72,'03.8.Jinja-Mukwano 24h'!J72)</f>
        <v>1</v>
      </c>
      <c r="K72" s="48">
        <f>AVERAGE('1.08.Jinja RD-Mukwano RBT 24h'!K72,'03.8.Jinja-Mukwano 24h'!K72)</f>
        <v>1</v>
      </c>
      <c r="L72" s="48">
        <f>AVERAGE('1.08.Jinja RD-Mukwano RBT 24h'!L72,'03.8.Jinja-Mukwano 24h'!L72)</f>
        <v>0</v>
      </c>
      <c r="M72" s="48">
        <f>AVERAGE('1.08.Jinja RD-Mukwano RBT 24h'!M72,'03.8.Jinja-Mukwano 24h'!M72)</f>
        <v>182.5</v>
      </c>
      <c r="N72" s="48">
        <f>AVERAGE('1.08.Jinja RD-Mukwano RBT 24h'!N72,'03.8.Jinja-Mukwano 24h'!N72)</f>
        <v>0</v>
      </c>
      <c r="O72" s="15">
        <f t="shared" si="0"/>
        <v>156.5</v>
      </c>
      <c r="P72" s="15">
        <f t="shared" si="1"/>
        <v>339</v>
      </c>
      <c r="R72" s="8"/>
      <c r="T72"/>
    </row>
    <row r="73" spans="2:20" ht="23.1" customHeight="1" x14ac:dyDescent="0.25">
      <c r="B73" s="22" t="s">
        <v>113</v>
      </c>
      <c r="C73" s="48">
        <f>AVERAGE('1.08.Jinja RD-Mukwano RBT 24h'!C73,'03.8.Jinja-Mukwano 24h'!C73)</f>
        <v>73.5</v>
      </c>
      <c r="D73" s="48">
        <f>AVERAGE('1.08.Jinja RD-Mukwano RBT 24h'!D73,'03.8.Jinja-Mukwano 24h'!D73)</f>
        <v>21</v>
      </c>
      <c r="E73" s="48">
        <f>AVERAGE('1.08.Jinja RD-Mukwano RBT 24h'!E73,'03.8.Jinja-Mukwano 24h'!E73)</f>
        <v>9.5</v>
      </c>
      <c r="F73" s="48">
        <f>AVERAGE('1.08.Jinja RD-Mukwano RBT 24h'!F73,'03.8.Jinja-Mukwano 24h'!F73)</f>
        <v>3.5</v>
      </c>
      <c r="G73" s="48">
        <f>AVERAGE('1.08.Jinja RD-Mukwano RBT 24h'!G73,'03.8.Jinja-Mukwano 24h'!G73)</f>
        <v>0.5</v>
      </c>
      <c r="H73" s="48">
        <f>AVERAGE('1.08.Jinja RD-Mukwano RBT 24h'!H73,'03.8.Jinja-Mukwano 24h'!H73)</f>
        <v>0</v>
      </c>
      <c r="I73" s="48">
        <f>AVERAGE('1.08.Jinja RD-Mukwano RBT 24h'!I73,'03.8.Jinja-Mukwano 24h'!I73)</f>
        <v>5</v>
      </c>
      <c r="J73" s="48">
        <f>AVERAGE('1.08.Jinja RD-Mukwano RBT 24h'!J73,'03.8.Jinja-Mukwano 24h'!J73)</f>
        <v>0</v>
      </c>
      <c r="K73" s="48">
        <f>AVERAGE('1.08.Jinja RD-Mukwano RBT 24h'!K73,'03.8.Jinja-Mukwano 24h'!K73)</f>
        <v>1.5</v>
      </c>
      <c r="L73" s="48">
        <f>AVERAGE('1.08.Jinja RD-Mukwano RBT 24h'!L73,'03.8.Jinja-Mukwano 24h'!L73)</f>
        <v>1.5</v>
      </c>
      <c r="M73" s="48">
        <f>AVERAGE('1.08.Jinja RD-Mukwano RBT 24h'!M73,'03.8.Jinja-Mukwano 24h'!M73)</f>
        <v>205</v>
      </c>
      <c r="N73" s="48">
        <f>AVERAGE('1.08.Jinja RD-Mukwano RBT 24h'!N73,'03.8.Jinja-Mukwano 24h'!N73)</f>
        <v>0</v>
      </c>
      <c r="O73" s="15">
        <f t="shared" si="0"/>
        <v>116</v>
      </c>
      <c r="P73" s="15">
        <f t="shared" si="1"/>
        <v>321</v>
      </c>
      <c r="R73" s="8"/>
      <c r="T73"/>
    </row>
    <row r="74" spans="2:20" ht="23.1" customHeight="1" x14ac:dyDescent="0.25">
      <c r="B74" s="22" t="s">
        <v>114</v>
      </c>
      <c r="C74" s="48">
        <f>AVERAGE('1.08.Jinja RD-Mukwano RBT 24h'!C74,'03.8.Jinja-Mukwano 24h'!C74)</f>
        <v>69</v>
      </c>
      <c r="D74" s="48">
        <f>AVERAGE('1.08.Jinja RD-Mukwano RBT 24h'!D74,'03.8.Jinja-Mukwano 24h'!D74)</f>
        <v>26.5</v>
      </c>
      <c r="E74" s="48">
        <f>AVERAGE('1.08.Jinja RD-Mukwano RBT 24h'!E74,'03.8.Jinja-Mukwano 24h'!E74)</f>
        <v>4</v>
      </c>
      <c r="F74" s="48">
        <f>AVERAGE('1.08.Jinja RD-Mukwano RBT 24h'!F74,'03.8.Jinja-Mukwano 24h'!F74)</f>
        <v>4</v>
      </c>
      <c r="G74" s="48">
        <f>AVERAGE('1.08.Jinja RD-Mukwano RBT 24h'!G74,'03.8.Jinja-Mukwano 24h'!G74)</f>
        <v>0</v>
      </c>
      <c r="H74" s="48">
        <f>AVERAGE('1.08.Jinja RD-Mukwano RBT 24h'!H74,'03.8.Jinja-Mukwano 24h'!H74)</f>
        <v>0</v>
      </c>
      <c r="I74" s="48">
        <f>AVERAGE('1.08.Jinja RD-Mukwano RBT 24h'!I74,'03.8.Jinja-Mukwano 24h'!I74)</f>
        <v>3</v>
      </c>
      <c r="J74" s="48">
        <f>AVERAGE('1.08.Jinja RD-Mukwano RBT 24h'!J74,'03.8.Jinja-Mukwano 24h'!J74)</f>
        <v>0</v>
      </c>
      <c r="K74" s="48">
        <f>AVERAGE('1.08.Jinja RD-Mukwano RBT 24h'!K74,'03.8.Jinja-Mukwano 24h'!K74)</f>
        <v>0</v>
      </c>
      <c r="L74" s="48">
        <f>AVERAGE('1.08.Jinja RD-Mukwano RBT 24h'!L74,'03.8.Jinja-Mukwano 24h'!L74)</f>
        <v>1.5</v>
      </c>
      <c r="M74" s="48">
        <f>AVERAGE('1.08.Jinja RD-Mukwano RBT 24h'!M74,'03.8.Jinja-Mukwano 24h'!M74)</f>
        <v>64</v>
      </c>
      <c r="N74" s="48">
        <f>AVERAGE('1.08.Jinja RD-Mukwano RBT 24h'!N74,'03.8.Jinja-Mukwano 24h'!N74)</f>
        <v>0</v>
      </c>
      <c r="O74" s="15">
        <f t="shared" ref="O74:O105" si="35">SUM(C74:L74,N74)</f>
        <v>108</v>
      </c>
      <c r="P74" s="15">
        <f t="shared" ref="P74:P105" si="36">SUM(C74:N74)</f>
        <v>172</v>
      </c>
      <c r="R74" s="8"/>
      <c r="T74"/>
    </row>
    <row r="75" spans="2:20" ht="23.1" customHeight="1" x14ac:dyDescent="0.25">
      <c r="B75" s="22" t="s">
        <v>115</v>
      </c>
      <c r="C75" s="48">
        <f>AVERAGE('1.08.Jinja RD-Mukwano RBT 24h'!C75,'03.8.Jinja-Mukwano 24h'!C75)</f>
        <v>88</v>
      </c>
      <c r="D75" s="48">
        <f>AVERAGE('1.08.Jinja RD-Mukwano RBT 24h'!D75,'03.8.Jinja-Mukwano 24h'!D75)</f>
        <v>9.5</v>
      </c>
      <c r="E75" s="48">
        <f>AVERAGE('1.08.Jinja RD-Mukwano RBT 24h'!E75,'03.8.Jinja-Mukwano 24h'!E75)</f>
        <v>5</v>
      </c>
      <c r="F75" s="48">
        <f>AVERAGE('1.08.Jinja RD-Mukwano RBT 24h'!F75,'03.8.Jinja-Mukwano 24h'!F75)</f>
        <v>0.5</v>
      </c>
      <c r="G75" s="48">
        <f>AVERAGE('1.08.Jinja RD-Mukwano RBT 24h'!G75,'03.8.Jinja-Mukwano 24h'!G75)</f>
        <v>0</v>
      </c>
      <c r="H75" s="48">
        <f>AVERAGE('1.08.Jinja RD-Mukwano RBT 24h'!H75,'03.8.Jinja-Mukwano 24h'!H75)</f>
        <v>0</v>
      </c>
      <c r="I75" s="48">
        <f>AVERAGE('1.08.Jinja RD-Mukwano RBT 24h'!I75,'03.8.Jinja-Mukwano 24h'!I75)</f>
        <v>3</v>
      </c>
      <c r="J75" s="48">
        <f>AVERAGE('1.08.Jinja RD-Mukwano RBT 24h'!J75,'03.8.Jinja-Mukwano 24h'!J75)</f>
        <v>1</v>
      </c>
      <c r="K75" s="48">
        <f>AVERAGE('1.08.Jinja RD-Mukwano RBT 24h'!K75,'03.8.Jinja-Mukwano 24h'!K75)</f>
        <v>1</v>
      </c>
      <c r="L75" s="48">
        <f>AVERAGE('1.08.Jinja RD-Mukwano RBT 24h'!L75,'03.8.Jinja-Mukwano 24h'!L75)</f>
        <v>0.5</v>
      </c>
      <c r="M75" s="48">
        <f>AVERAGE('1.08.Jinja RD-Mukwano RBT 24h'!M75,'03.8.Jinja-Mukwano 24h'!M75)</f>
        <v>102</v>
      </c>
      <c r="N75" s="48">
        <f>AVERAGE('1.08.Jinja RD-Mukwano RBT 24h'!N75,'03.8.Jinja-Mukwano 24h'!N75)</f>
        <v>0</v>
      </c>
      <c r="O75" s="15">
        <f t="shared" si="35"/>
        <v>108.5</v>
      </c>
      <c r="P75" s="15">
        <f t="shared" si="36"/>
        <v>210.5</v>
      </c>
      <c r="R75" s="8"/>
      <c r="T75"/>
    </row>
    <row r="76" spans="2:20" ht="23.1" customHeight="1" x14ac:dyDescent="0.25">
      <c r="B76" s="22" t="s">
        <v>116</v>
      </c>
      <c r="C76" s="48">
        <f>AVERAGE('1.08.Jinja RD-Mukwano RBT 24h'!C76,'03.8.Jinja-Mukwano 24h'!C76)</f>
        <v>69.5</v>
      </c>
      <c r="D76" s="48">
        <f>AVERAGE('1.08.Jinja RD-Mukwano RBT 24h'!D76,'03.8.Jinja-Mukwano 24h'!D76)</f>
        <v>11</v>
      </c>
      <c r="E76" s="48">
        <f>AVERAGE('1.08.Jinja RD-Mukwano RBT 24h'!E76,'03.8.Jinja-Mukwano 24h'!E76)</f>
        <v>4.5</v>
      </c>
      <c r="F76" s="48">
        <f>AVERAGE('1.08.Jinja RD-Mukwano RBT 24h'!F76,'03.8.Jinja-Mukwano 24h'!F76)</f>
        <v>2.5</v>
      </c>
      <c r="G76" s="48">
        <f>AVERAGE('1.08.Jinja RD-Mukwano RBT 24h'!G76,'03.8.Jinja-Mukwano 24h'!G76)</f>
        <v>0</v>
      </c>
      <c r="H76" s="48">
        <f>AVERAGE('1.08.Jinja RD-Mukwano RBT 24h'!H76,'03.8.Jinja-Mukwano 24h'!H76)</f>
        <v>0</v>
      </c>
      <c r="I76" s="48">
        <f>AVERAGE('1.08.Jinja RD-Mukwano RBT 24h'!I76,'03.8.Jinja-Mukwano 24h'!I76)</f>
        <v>6.5</v>
      </c>
      <c r="J76" s="48">
        <f>AVERAGE('1.08.Jinja RD-Mukwano RBT 24h'!J76,'03.8.Jinja-Mukwano 24h'!J76)</f>
        <v>0</v>
      </c>
      <c r="K76" s="48">
        <f>AVERAGE('1.08.Jinja RD-Mukwano RBT 24h'!K76,'03.8.Jinja-Mukwano 24h'!K76)</f>
        <v>0</v>
      </c>
      <c r="L76" s="48">
        <f>AVERAGE('1.08.Jinja RD-Mukwano RBT 24h'!L76,'03.8.Jinja-Mukwano 24h'!L76)</f>
        <v>0</v>
      </c>
      <c r="M76" s="48">
        <f>AVERAGE('1.08.Jinja RD-Mukwano RBT 24h'!M76,'03.8.Jinja-Mukwano 24h'!M76)</f>
        <v>68.5</v>
      </c>
      <c r="N76" s="48">
        <f>AVERAGE('1.08.Jinja RD-Mukwano RBT 24h'!N76,'03.8.Jinja-Mukwano 24h'!N76)</f>
        <v>0</v>
      </c>
      <c r="O76" s="15">
        <f t="shared" si="35"/>
        <v>94</v>
      </c>
      <c r="P76" s="15">
        <f t="shared" si="36"/>
        <v>162.5</v>
      </c>
      <c r="R76" s="8"/>
      <c r="T76"/>
    </row>
    <row r="77" spans="2:20" ht="23.1" customHeight="1" x14ac:dyDescent="0.25">
      <c r="B77" s="22" t="s">
        <v>117</v>
      </c>
      <c r="C77" s="48">
        <f>AVERAGE('1.08.Jinja RD-Mukwano RBT 24h'!C77,'03.8.Jinja-Mukwano 24h'!C77)</f>
        <v>88</v>
      </c>
      <c r="D77" s="48">
        <f>AVERAGE('1.08.Jinja RD-Mukwano RBT 24h'!D77,'03.8.Jinja-Mukwano 24h'!D77)</f>
        <v>12</v>
      </c>
      <c r="E77" s="48">
        <f>AVERAGE('1.08.Jinja RD-Mukwano RBT 24h'!E77,'03.8.Jinja-Mukwano 24h'!E77)</f>
        <v>4</v>
      </c>
      <c r="F77" s="48">
        <f>AVERAGE('1.08.Jinja RD-Mukwano RBT 24h'!F77,'03.8.Jinja-Mukwano 24h'!F77)</f>
        <v>1</v>
      </c>
      <c r="G77" s="48">
        <f>AVERAGE('1.08.Jinja RD-Mukwano RBT 24h'!G77,'03.8.Jinja-Mukwano 24h'!G77)</f>
        <v>0</v>
      </c>
      <c r="H77" s="48">
        <f>AVERAGE('1.08.Jinja RD-Mukwano RBT 24h'!H77,'03.8.Jinja-Mukwano 24h'!H77)</f>
        <v>0.5</v>
      </c>
      <c r="I77" s="48">
        <f>AVERAGE('1.08.Jinja RD-Mukwano RBT 24h'!I77,'03.8.Jinja-Mukwano 24h'!I77)</f>
        <v>2.5</v>
      </c>
      <c r="J77" s="48">
        <f>AVERAGE('1.08.Jinja RD-Mukwano RBT 24h'!J77,'03.8.Jinja-Mukwano 24h'!J77)</f>
        <v>0</v>
      </c>
      <c r="K77" s="48">
        <f>AVERAGE('1.08.Jinja RD-Mukwano RBT 24h'!K77,'03.8.Jinja-Mukwano 24h'!K77)</f>
        <v>0.5</v>
      </c>
      <c r="L77" s="48">
        <f>AVERAGE('1.08.Jinja RD-Mukwano RBT 24h'!L77,'03.8.Jinja-Mukwano 24h'!L77)</f>
        <v>0.5</v>
      </c>
      <c r="M77" s="48">
        <f>AVERAGE('1.08.Jinja RD-Mukwano RBT 24h'!M77,'03.8.Jinja-Mukwano 24h'!M77)</f>
        <v>47</v>
      </c>
      <c r="N77" s="48">
        <f>AVERAGE('1.08.Jinja RD-Mukwano RBT 24h'!N77,'03.8.Jinja-Mukwano 24h'!N77)</f>
        <v>0</v>
      </c>
      <c r="O77" s="15">
        <f t="shared" si="35"/>
        <v>109</v>
      </c>
      <c r="P77" s="15">
        <f t="shared" si="36"/>
        <v>156</v>
      </c>
      <c r="R77" s="8"/>
      <c r="T77"/>
    </row>
    <row r="78" spans="2:20" ht="23.1" customHeight="1" x14ac:dyDescent="0.25">
      <c r="B78" s="23" t="s">
        <v>118</v>
      </c>
      <c r="C78" s="48">
        <f>AVERAGE('1.08.Jinja RD-Mukwano RBT 24h'!C78,'03.8.Jinja-Mukwano 24h'!C78)</f>
        <v>40</v>
      </c>
      <c r="D78" s="48">
        <f>AVERAGE('1.08.Jinja RD-Mukwano RBT 24h'!D78,'03.8.Jinja-Mukwano 24h'!D78)</f>
        <v>8.5</v>
      </c>
      <c r="E78" s="48">
        <f>AVERAGE('1.08.Jinja RD-Mukwano RBT 24h'!E78,'03.8.Jinja-Mukwano 24h'!E78)</f>
        <v>3.5</v>
      </c>
      <c r="F78" s="48">
        <f>AVERAGE('1.08.Jinja RD-Mukwano RBT 24h'!F78,'03.8.Jinja-Mukwano 24h'!F78)</f>
        <v>4.5</v>
      </c>
      <c r="G78" s="48">
        <f>AVERAGE('1.08.Jinja RD-Mukwano RBT 24h'!G78,'03.8.Jinja-Mukwano 24h'!G78)</f>
        <v>0.5</v>
      </c>
      <c r="H78" s="48">
        <f>AVERAGE('1.08.Jinja RD-Mukwano RBT 24h'!H78,'03.8.Jinja-Mukwano 24h'!H78)</f>
        <v>0</v>
      </c>
      <c r="I78" s="48">
        <f>AVERAGE('1.08.Jinja RD-Mukwano RBT 24h'!I78,'03.8.Jinja-Mukwano 24h'!I78)</f>
        <v>3</v>
      </c>
      <c r="J78" s="48">
        <f>AVERAGE('1.08.Jinja RD-Mukwano RBT 24h'!J78,'03.8.Jinja-Mukwano 24h'!J78)</f>
        <v>0.5</v>
      </c>
      <c r="K78" s="48">
        <f>AVERAGE('1.08.Jinja RD-Mukwano RBT 24h'!K78,'03.8.Jinja-Mukwano 24h'!K78)</f>
        <v>0.5</v>
      </c>
      <c r="L78" s="48">
        <f>AVERAGE('1.08.Jinja RD-Mukwano RBT 24h'!L78,'03.8.Jinja-Mukwano 24h'!L78)</f>
        <v>0</v>
      </c>
      <c r="M78" s="48">
        <f>AVERAGE('1.08.Jinja RD-Mukwano RBT 24h'!M78,'03.8.Jinja-Mukwano 24h'!M78)</f>
        <v>20</v>
      </c>
      <c r="N78" s="48">
        <f>AVERAGE('1.08.Jinja RD-Mukwano RBT 24h'!N78,'03.8.Jinja-Mukwano 24h'!N78)</f>
        <v>0</v>
      </c>
      <c r="O78" s="15">
        <f t="shared" si="35"/>
        <v>61</v>
      </c>
      <c r="P78" s="15">
        <f t="shared" si="36"/>
        <v>81</v>
      </c>
      <c r="R78" s="8"/>
      <c r="T78"/>
    </row>
    <row r="79" spans="2:20" ht="23.1" customHeight="1" x14ac:dyDescent="0.25">
      <c r="B79" s="22" t="s">
        <v>119</v>
      </c>
      <c r="C79" s="48">
        <f>AVERAGE('1.08.Jinja RD-Mukwano RBT 24h'!C79,'03.8.Jinja-Mukwano 24h'!C79)</f>
        <v>47</v>
      </c>
      <c r="D79" s="48">
        <f>AVERAGE('1.08.Jinja RD-Mukwano RBT 24h'!D79,'03.8.Jinja-Mukwano 24h'!D79)</f>
        <v>9.5</v>
      </c>
      <c r="E79" s="48">
        <f>AVERAGE('1.08.Jinja RD-Mukwano RBT 24h'!E79,'03.8.Jinja-Mukwano 24h'!E79)</f>
        <v>5.5</v>
      </c>
      <c r="F79" s="48">
        <f>AVERAGE('1.08.Jinja RD-Mukwano RBT 24h'!F79,'03.8.Jinja-Mukwano 24h'!F79)</f>
        <v>1</v>
      </c>
      <c r="G79" s="48">
        <f>AVERAGE('1.08.Jinja RD-Mukwano RBT 24h'!G79,'03.8.Jinja-Mukwano 24h'!G79)</f>
        <v>0</v>
      </c>
      <c r="H79" s="48">
        <f>AVERAGE('1.08.Jinja RD-Mukwano RBT 24h'!H79,'03.8.Jinja-Mukwano 24h'!H79)</f>
        <v>0</v>
      </c>
      <c r="I79" s="48">
        <f>AVERAGE('1.08.Jinja RD-Mukwano RBT 24h'!I79,'03.8.Jinja-Mukwano 24h'!I79)</f>
        <v>0.5</v>
      </c>
      <c r="J79" s="48">
        <f>AVERAGE('1.08.Jinja RD-Mukwano RBT 24h'!J79,'03.8.Jinja-Mukwano 24h'!J79)</f>
        <v>0</v>
      </c>
      <c r="K79" s="48">
        <f>AVERAGE('1.08.Jinja RD-Mukwano RBT 24h'!K79,'03.8.Jinja-Mukwano 24h'!K79)</f>
        <v>2</v>
      </c>
      <c r="L79" s="48">
        <f>AVERAGE('1.08.Jinja RD-Mukwano RBT 24h'!L79,'03.8.Jinja-Mukwano 24h'!L79)</f>
        <v>1.5</v>
      </c>
      <c r="M79" s="48">
        <f>AVERAGE('1.08.Jinja RD-Mukwano RBT 24h'!M79,'03.8.Jinja-Mukwano 24h'!M79)</f>
        <v>35.5</v>
      </c>
      <c r="N79" s="48">
        <f>AVERAGE('1.08.Jinja RD-Mukwano RBT 24h'!N79,'03.8.Jinja-Mukwano 24h'!N79)</f>
        <v>0</v>
      </c>
      <c r="O79" s="15">
        <f t="shared" si="35"/>
        <v>67</v>
      </c>
      <c r="P79" s="15">
        <f t="shared" si="36"/>
        <v>102.5</v>
      </c>
      <c r="R79" s="8"/>
      <c r="T79"/>
    </row>
    <row r="80" spans="2:20" ht="23.1" customHeight="1" x14ac:dyDescent="0.25">
      <c r="B80" s="24" t="s">
        <v>120</v>
      </c>
      <c r="C80" s="48">
        <f>AVERAGE('1.08.Jinja RD-Mukwano RBT 24h'!C80,'03.8.Jinja-Mukwano 24h'!C80)</f>
        <v>23.5</v>
      </c>
      <c r="D80" s="48">
        <f>AVERAGE('1.08.Jinja RD-Mukwano RBT 24h'!D80,'03.8.Jinja-Mukwano 24h'!D80)</f>
        <v>12.5</v>
      </c>
      <c r="E80" s="48">
        <f>AVERAGE('1.08.Jinja RD-Mukwano RBT 24h'!E80,'03.8.Jinja-Mukwano 24h'!E80)</f>
        <v>3</v>
      </c>
      <c r="F80" s="48">
        <f>AVERAGE('1.08.Jinja RD-Mukwano RBT 24h'!F80,'03.8.Jinja-Mukwano 24h'!F80)</f>
        <v>2.5</v>
      </c>
      <c r="G80" s="48">
        <f>AVERAGE('1.08.Jinja RD-Mukwano RBT 24h'!G80,'03.8.Jinja-Mukwano 24h'!G80)</f>
        <v>0.5</v>
      </c>
      <c r="H80" s="48">
        <f>AVERAGE('1.08.Jinja RD-Mukwano RBT 24h'!H80,'03.8.Jinja-Mukwano 24h'!H80)</f>
        <v>0</v>
      </c>
      <c r="I80" s="48">
        <f>AVERAGE('1.08.Jinja RD-Mukwano RBT 24h'!I80,'03.8.Jinja-Mukwano 24h'!I80)</f>
        <v>3.5</v>
      </c>
      <c r="J80" s="48">
        <f>AVERAGE('1.08.Jinja RD-Mukwano RBT 24h'!J80,'03.8.Jinja-Mukwano 24h'!J80)</f>
        <v>0</v>
      </c>
      <c r="K80" s="48">
        <f>AVERAGE('1.08.Jinja RD-Mukwano RBT 24h'!K80,'03.8.Jinja-Mukwano 24h'!K80)</f>
        <v>0</v>
      </c>
      <c r="L80" s="48">
        <f>AVERAGE('1.08.Jinja RD-Mukwano RBT 24h'!L80,'03.8.Jinja-Mukwano 24h'!L80)</f>
        <v>1.5</v>
      </c>
      <c r="M80" s="48">
        <f>AVERAGE('1.08.Jinja RD-Mukwano RBT 24h'!M80,'03.8.Jinja-Mukwano 24h'!M80)</f>
        <v>49</v>
      </c>
      <c r="N80" s="48">
        <f>AVERAGE('1.08.Jinja RD-Mukwano RBT 24h'!N80,'03.8.Jinja-Mukwano 24h'!N80)</f>
        <v>0</v>
      </c>
      <c r="O80" s="15">
        <f t="shared" si="35"/>
        <v>47</v>
      </c>
      <c r="P80" s="15">
        <f t="shared" si="36"/>
        <v>96</v>
      </c>
      <c r="R80" s="8"/>
      <c r="T80"/>
    </row>
    <row r="81" spans="2:20" ht="23.1" customHeight="1" x14ac:dyDescent="0.25">
      <c r="B81" s="22" t="s">
        <v>121</v>
      </c>
      <c r="C81" s="48">
        <f>AVERAGE('1.08.Jinja RD-Mukwano RBT 24h'!C81,'03.8.Jinja-Mukwano 24h'!C81)</f>
        <v>19.5</v>
      </c>
      <c r="D81" s="48">
        <f>AVERAGE('1.08.Jinja RD-Mukwano RBT 24h'!D81,'03.8.Jinja-Mukwano 24h'!D81)</f>
        <v>2.5</v>
      </c>
      <c r="E81" s="48">
        <f>AVERAGE('1.08.Jinja RD-Mukwano RBT 24h'!E81,'03.8.Jinja-Mukwano 24h'!E81)</f>
        <v>1</v>
      </c>
      <c r="F81" s="48">
        <f>AVERAGE('1.08.Jinja RD-Mukwano RBT 24h'!F81,'03.8.Jinja-Mukwano 24h'!F81)</f>
        <v>1.5</v>
      </c>
      <c r="G81" s="48">
        <f>AVERAGE('1.08.Jinja RD-Mukwano RBT 24h'!G81,'03.8.Jinja-Mukwano 24h'!G81)</f>
        <v>0</v>
      </c>
      <c r="H81" s="48">
        <f>AVERAGE('1.08.Jinja RD-Mukwano RBT 24h'!H81,'03.8.Jinja-Mukwano 24h'!H81)</f>
        <v>0</v>
      </c>
      <c r="I81" s="48">
        <f>AVERAGE('1.08.Jinja RD-Mukwano RBT 24h'!I81,'03.8.Jinja-Mukwano 24h'!I81)</f>
        <v>1</v>
      </c>
      <c r="J81" s="48">
        <f>AVERAGE('1.08.Jinja RD-Mukwano RBT 24h'!J81,'03.8.Jinja-Mukwano 24h'!J81)</f>
        <v>0</v>
      </c>
      <c r="K81" s="48">
        <f>AVERAGE('1.08.Jinja RD-Mukwano RBT 24h'!K81,'03.8.Jinja-Mukwano 24h'!K81)</f>
        <v>0</v>
      </c>
      <c r="L81" s="48">
        <f>AVERAGE('1.08.Jinja RD-Mukwano RBT 24h'!L81,'03.8.Jinja-Mukwano 24h'!L81)</f>
        <v>1</v>
      </c>
      <c r="M81" s="48">
        <f>AVERAGE('1.08.Jinja RD-Mukwano RBT 24h'!M81,'03.8.Jinja-Mukwano 24h'!M81)</f>
        <v>27.5</v>
      </c>
      <c r="N81" s="48">
        <f>AVERAGE('1.08.Jinja RD-Mukwano RBT 24h'!N81,'03.8.Jinja-Mukwano 24h'!N81)</f>
        <v>0</v>
      </c>
      <c r="O81" s="15">
        <f t="shared" si="35"/>
        <v>26.5</v>
      </c>
      <c r="P81" s="15">
        <f t="shared" si="36"/>
        <v>54</v>
      </c>
      <c r="R81" s="8"/>
      <c r="T81"/>
    </row>
    <row r="82" spans="2:20" ht="23.1" customHeight="1" x14ac:dyDescent="0.25">
      <c r="B82" s="23" t="s">
        <v>122</v>
      </c>
      <c r="C82" s="48">
        <f>AVERAGE('1.08.Jinja RD-Mukwano RBT 24h'!C82,'03.8.Jinja-Mukwano 24h'!C82)</f>
        <v>29.5</v>
      </c>
      <c r="D82" s="48">
        <f>AVERAGE('1.08.Jinja RD-Mukwano RBT 24h'!D82,'03.8.Jinja-Mukwano 24h'!D82)</f>
        <v>8</v>
      </c>
      <c r="E82" s="48">
        <f>AVERAGE('1.08.Jinja RD-Mukwano RBT 24h'!E82,'03.8.Jinja-Mukwano 24h'!E82)</f>
        <v>2</v>
      </c>
      <c r="F82" s="48">
        <f>AVERAGE('1.08.Jinja RD-Mukwano RBT 24h'!F82,'03.8.Jinja-Mukwano 24h'!F82)</f>
        <v>1</v>
      </c>
      <c r="G82" s="48">
        <f>AVERAGE('1.08.Jinja RD-Mukwano RBT 24h'!G82,'03.8.Jinja-Mukwano 24h'!G82)</f>
        <v>0.5</v>
      </c>
      <c r="H82" s="48">
        <f>AVERAGE('1.08.Jinja RD-Mukwano RBT 24h'!H82,'03.8.Jinja-Mukwano 24h'!H82)</f>
        <v>0</v>
      </c>
      <c r="I82" s="48">
        <f>AVERAGE('1.08.Jinja RD-Mukwano RBT 24h'!I82,'03.8.Jinja-Mukwano 24h'!I82)</f>
        <v>4</v>
      </c>
      <c r="J82" s="48">
        <f>AVERAGE('1.08.Jinja RD-Mukwano RBT 24h'!J82,'03.8.Jinja-Mukwano 24h'!J82)</f>
        <v>0</v>
      </c>
      <c r="K82" s="48">
        <f>AVERAGE('1.08.Jinja RD-Mukwano RBT 24h'!K82,'03.8.Jinja-Mukwano 24h'!K82)</f>
        <v>0</v>
      </c>
      <c r="L82" s="48">
        <f>AVERAGE('1.08.Jinja RD-Mukwano RBT 24h'!L82,'03.8.Jinja-Mukwano 24h'!L82)</f>
        <v>0</v>
      </c>
      <c r="M82" s="48">
        <f>AVERAGE('1.08.Jinja RD-Mukwano RBT 24h'!M82,'03.8.Jinja-Mukwano 24h'!M82)</f>
        <v>23.5</v>
      </c>
      <c r="N82" s="48">
        <f>AVERAGE('1.08.Jinja RD-Mukwano RBT 24h'!N82,'03.8.Jinja-Mukwano 24h'!N82)</f>
        <v>0</v>
      </c>
      <c r="O82" s="15">
        <f t="shared" si="35"/>
        <v>45</v>
      </c>
      <c r="P82" s="15">
        <f t="shared" si="36"/>
        <v>68.5</v>
      </c>
      <c r="R82" s="8"/>
      <c r="T82"/>
    </row>
    <row r="83" spans="2:20" ht="23.1" customHeight="1" x14ac:dyDescent="0.25">
      <c r="B83" s="22" t="s">
        <v>123</v>
      </c>
      <c r="C83" s="48">
        <f>AVERAGE('1.08.Jinja RD-Mukwano RBT 24h'!C83,'03.8.Jinja-Mukwano 24h'!C83)</f>
        <v>12.5</v>
      </c>
      <c r="D83" s="48">
        <f>AVERAGE('1.08.Jinja RD-Mukwano RBT 24h'!D83,'03.8.Jinja-Mukwano 24h'!D83)</f>
        <v>3</v>
      </c>
      <c r="E83" s="48">
        <f>AVERAGE('1.08.Jinja RD-Mukwano RBT 24h'!E83,'03.8.Jinja-Mukwano 24h'!E83)</f>
        <v>1.5</v>
      </c>
      <c r="F83" s="48">
        <f>AVERAGE('1.08.Jinja RD-Mukwano RBT 24h'!F83,'03.8.Jinja-Mukwano 24h'!F83)</f>
        <v>0</v>
      </c>
      <c r="G83" s="48">
        <f>AVERAGE('1.08.Jinja RD-Mukwano RBT 24h'!G83,'03.8.Jinja-Mukwano 24h'!G83)</f>
        <v>0</v>
      </c>
      <c r="H83" s="48">
        <f>AVERAGE('1.08.Jinja RD-Mukwano RBT 24h'!H83,'03.8.Jinja-Mukwano 24h'!H83)</f>
        <v>0</v>
      </c>
      <c r="I83" s="48">
        <f>AVERAGE('1.08.Jinja RD-Mukwano RBT 24h'!I83,'03.8.Jinja-Mukwano 24h'!I83)</f>
        <v>2</v>
      </c>
      <c r="J83" s="48">
        <f>AVERAGE('1.08.Jinja RD-Mukwano RBT 24h'!J83,'03.8.Jinja-Mukwano 24h'!J83)</f>
        <v>0</v>
      </c>
      <c r="K83" s="48">
        <f>AVERAGE('1.08.Jinja RD-Mukwano RBT 24h'!K83,'03.8.Jinja-Mukwano 24h'!K83)</f>
        <v>0.5</v>
      </c>
      <c r="L83" s="48">
        <f>AVERAGE('1.08.Jinja RD-Mukwano RBT 24h'!L83,'03.8.Jinja-Mukwano 24h'!L83)</f>
        <v>2</v>
      </c>
      <c r="M83" s="48">
        <f>AVERAGE('1.08.Jinja RD-Mukwano RBT 24h'!M83,'03.8.Jinja-Mukwano 24h'!M83)</f>
        <v>27.5</v>
      </c>
      <c r="N83" s="48">
        <f>AVERAGE('1.08.Jinja RD-Mukwano RBT 24h'!N83,'03.8.Jinja-Mukwano 24h'!N83)</f>
        <v>0</v>
      </c>
      <c r="O83" s="15">
        <f t="shared" si="35"/>
        <v>21.5</v>
      </c>
      <c r="P83" s="15">
        <f t="shared" si="36"/>
        <v>49</v>
      </c>
      <c r="R83" s="8"/>
      <c r="T83"/>
    </row>
    <row r="84" spans="2:20" ht="23.1" customHeight="1" x14ac:dyDescent="0.25">
      <c r="B84" s="24" t="s">
        <v>124</v>
      </c>
      <c r="C84" s="48">
        <f>AVERAGE('1.08.Jinja RD-Mukwano RBT 24h'!C84,'03.8.Jinja-Mukwano 24h'!C84)</f>
        <v>13</v>
      </c>
      <c r="D84" s="48">
        <f>AVERAGE('1.08.Jinja RD-Mukwano RBT 24h'!D84,'03.8.Jinja-Mukwano 24h'!D84)</f>
        <v>5</v>
      </c>
      <c r="E84" s="48">
        <f>AVERAGE('1.08.Jinja RD-Mukwano RBT 24h'!E84,'03.8.Jinja-Mukwano 24h'!E84)</f>
        <v>1</v>
      </c>
      <c r="F84" s="48">
        <f>AVERAGE('1.08.Jinja RD-Mukwano RBT 24h'!F84,'03.8.Jinja-Mukwano 24h'!F84)</f>
        <v>0.5</v>
      </c>
      <c r="G84" s="48">
        <f>AVERAGE('1.08.Jinja RD-Mukwano RBT 24h'!G84,'03.8.Jinja-Mukwano 24h'!G84)</f>
        <v>0</v>
      </c>
      <c r="H84" s="48">
        <f>AVERAGE('1.08.Jinja RD-Mukwano RBT 24h'!H84,'03.8.Jinja-Mukwano 24h'!H84)</f>
        <v>0</v>
      </c>
      <c r="I84" s="48">
        <f>AVERAGE('1.08.Jinja RD-Mukwano RBT 24h'!I84,'03.8.Jinja-Mukwano 24h'!I84)</f>
        <v>3.5</v>
      </c>
      <c r="J84" s="48">
        <f>AVERAGE('1.08.Jinja RD-Mukwano RBT 24h'!J84,'03.8.Jinja-Mukwano 24h'!J84)</f>
        <v>0.5</v>
      </c>
      <c r="K84" s="48">
        <f>AVERAGE('1.08.Jinja RD-Mukwano RBT 24h'!K84,'03.8.Jinja-Mukwano 24h'!K84)</f>
        <v>1.5</v>
      </c>
      <c r="L84" s="48">
        <f>AVERAGE('1.08.Jinja RD-Mukwano RBT 24h'!L84,'03.8.Jinja-Mukwano 24h'!L84)</f>
        <v>0.5</v>
      </c>
      <c r="M84" s="48">
        <f>AVERAGE('1.08.Jinja RD-Mukwano RBT 24h'!M84,'03.8.Jinja-Mukwano 24h'!M84)</f>
        <v>11</v>
      </c>
      <c r="N84" s="48">
        <f>AVERAGE('1.08.Jinja RD-Mukwano RBT 24h'!N84,'03.8.Jinja-Mukwano 24h'!N84)</f>
        <v>0</v>
      </c>
      <c r="O84" s="15">
        <f t="shared" si="35"/>
        <v>25.5</v>
      </c>
      <c r="P84" s="15">
        <f t="shared" si="36"/>
        <v>36.5</v>
      </c>
      <c r="R84" s="8"/>
      <c r="T84"/>
    </row>
    <row r="85" spans="2:20" ht="23.1" customHeight="1" x14ac:dyDescent="0.25">
      <c r="B85" s="22" t="s">
        <v>125</v>
      </c>
      <c r="C85" s="48">
        <f>AVERAGE('1.08.Jinja RD-Mukwano RBT 24h'!C85,'03.8.Jinja-Mukwano 24h'!C85)</f>
        <v>9</v>
      </c>
      <c r="D85" s="48">
        <f>AVERAGE('1.08.Jinja RD-Mukwano RBT 24h'!D85,'03.8.Jinja-Mukwano 24h'!D85)</f>
        <v>3.5</v>
      </c>
      <c r="E85" s="48">
        <f>AVERAGE('1.08.Jinja RD-Mukwano RBT 24h'!E85,'03.8.Jinja-Mukwano 24h'!E85)</f>
        <v>1</v>
      </c>
      <c r="F85" s="48">
        <f>AVERAGE('1.08.Jinja RD-Mukwano RBT 24h'!F85,'03.8.Jinja-Mukwano 24h'!F85)</f>
        <v>0</v>
      </c>
      <c r="G85" s="48">
        <f>AVERAGE('1.08.Jinja RD-Mukwano RBT 24h'!G85,'03.8.Jinja-Mukwano 24h'!G85)</f>
        <v>0</v>
      </c>
      <c r="H85" s="48">
        <f>AVERAGE('1.08.Jinja RD-Mukwano RBT 24h'!H85,'03.8.Jinja-Mukwano 24h'!H85)</f>
        <v>0</v>
      </c>
      <c r="I85" s="48">
        <f>AVERAGE('1.08.Jinja RD-Mukwano RBT 24h'!I85,'03.8.Jinja-Mukwano 24h'!I85)</f>
        <v>4</v>
      </c>
      <c r="J85" s="48">
        <f>AVERAGE('1.08.Jinja RD-Mukwano RBT 24h'!J85,'03.8.Jinja-Mukwano 24h'!J85)</f>
        <v>0</v>
      </c>
      <c r="K85" s="48">
        <f>AVERAGE('1.08.Jinja RD-Mukwano RBT 24h'!K85,'03.8.Jinja-Mukwano 24h'!K85)</f>
        <v>0</v>
      </c>
      <c r="L85" s="48">
        <f>AVERAGE('1.08.Jinja RD-Mukwano RBT 24h'!L85,'03.8.Jinja-Mukwano 24h'!L85)</f>
        <v>1.5</v>
      </c>
      <c r="M85" s="48">
        <f>AVERAGE('1.08.Jinja RD-Mukwano RBT 24h'!M85,'03.8.Jinja-Mukwano 24h'!M85)</f>
        <v>19.5</v>
      </c>
      <c r="N85" s="48">
        <f>AVERAGE('1.08.Jinja RD-Mukwano RBT 24h'!N85,'03.8.Jinja-Mukwano 24h'!N85)</f>
        <v>0</v>
      </c>
      <c r="O85" s="15">
        <f t="shared" si="35"/>
        <v>19</v>
      </c>
      <c r="P85" s="15">
        <f t="shared" si="36"/>
        <v>38.5</v>
      </c>
      <c r="R85" s="8"/>
      <c r="T85"/>
    </row>
    <row r="86" spans="2:20" ht="23.1" customHeight="1" x14ac:dyDescent="0.25">
      <c r="B86" s="23" t="s">
        <v>126</v>
      </c>
      <c r="C86" s="48">
        <f>AVERAGE('1.08.Jinja RD-Mukwano RBT 24h'!C86,'03.8.Jinja-Mukwano 24h'!C86)</f>
        <v>14</v>
      </c>
      <c r="D86" s="48">
        <f>AVERAGE('1.08.Jinja RD-Mukwano RBT 24h'!D86,'03.8.Jinja-Mukwano 24h'!D86)</f>
        <v>2</v>
      </c>
      <c r="E86" s="48">
        <f>AVERAGE('1.08.Jinja RD-Mukwano RBT 24h'!E86,'03.8.Jinja-Mukwano 24h'!E86)</f>
        <v>1</v>
      </c>
      <c r="F86" s="48">
        <f>AVERAGE('1.08.Jinja RD-Mukwano RBT 24h'!F86,'03.8.Jinja-Mukwano 24h'!F86)</f>
        <v>0.5</v>
      </c>
      <c r="G86" s="48">
        <f>AVERAGE('1.08.Jinja RD-Mukwano RBT 24h'!G86,'03.8.Jinja-Mukwano 24h'!G86)</f>
        <v>0</v>
      </c>
      <c r="H86" s="48">
        <f>AVERAGE('1.08.Jinja RD-Mukwano RBT 24h'!H86,'03.8.Jinja-Mukwano 24h'!H86)</f>
        <v>0</v>
      </c>
      <c r="I86" s="48">
        <f>AVERAGE('1.08.Jinja RD-Mukwano RBT 24h'!I86,'03.8.Jinja-Mukwano 24h'!I86)</f>
        <v>4</v>
      </c>
      <c r="J86" s="48">
        <f>AVERAGE('1.08.Jinja RD-Mukwano RBT 24h'!J86,'03.8.Jinja-Mukwano 24h'!J86)</f>
        <v>0.5</v>
      </c>
      <c r="K86" s="48">
        <f>AVERAGE('1.08.Jinja RD-Mukwano RBT 24h'!K86,'03.8.Jinja-Mukwano 24h'!K86)</f>
        <v>0.5</v>
      </c>
      <c r="L86" s="48">
        <f>AVERAGE('1.08.Jinja RD-Mukwano RBT 24h'!L86,'03.8.Jinja-Mukwano 24h'!L86)</f>
        <v>0.5</v>
      </c>
      <c r="M86" s="48">
        <f>AVERAGE('1.08.Jinja RD-Mukwano RBT 24h'!M86,'03.8.Jinja-Mukwano 24h'!M86)</f>
        <v>19</v>
      </c>
      <c r="N86" s="48">
        <f>AVERAGE('1.08.Jinja RD-Mukwano RBT 24h'!N86,'03.8.Jinja-Mukwano 24h'!N86)</f>
        <v>0</v>
      </c>
      <c r="O86" s="15">
        <f t="shared" si="35"/>
        <v>23</v>
      </c>
      <c r="P86" s="15">
        <f t="shared" si="36"/>
        <v>42</v>
      </c>
      <c r="R86" s="8"/>
      <c r="T86"/>
    </row>
    <row r="87" spans="2:20" ht="23.1" customHeight="1" x14ac:dyDescent="0.25">
      <c r="B87" s="22" t="s">
        <v>127</v>
      </c>
      <c r="C87" s="48">
        <f>AVERAGE('1.08.Jinja RD-Mukwano RBT 24h'!C87,'03.8.Jinja-Mukwano 24h'!C87)</f>
        <v>12.5</v>
      </c>
      <c r="D87" s="48">
        <f>AVERAGE('1.08.Jinja RD-Mukwano RBT 24h'!D87,'03.8.Jinja-Mukwano 24h'!D87)</f>
        <v>3</v>
      </c>
      <c r="E87" s="48">
        <f>AVERAGE('1.08.Jinja RD-Mukwano RBT 24h'!E87,'03.8.Jinja-Mukwano 24h'!E87)</f>
        <v>1.5</v>
      </c>
      <c r="F87" s="48">
        <f>AVERAGE('1.08.Jinja RD-Mukwano RBT 24h'!F87,'03.8.Jinja-Mukwano 24h'!F87)</f>
        <v>0</v>
      </c>
      <c r="G87" s="48">
        <f>AVERAGE('1.08.Jinja RD-Mukwano RBT 24h'!G87,'03.8.Jinja-Mukwano 24h'!G87)</f>
        <v>0</v>
      </c>
      <c r="H87" s="48">
        <f>AVERAGE('1.08.Jinja RD-Mukwano RBT 24h'!H87,'03.8.Jinja-Mukwano 24h'!H87)</f>
        <v>0</v>
      </c>
      <c r="I87" s="48">
        <f>AVERAGE('1.08.Jinja RD-Mukwano RBT 24h'!I87,'03.8.Jinja-Mukwano 24h'!I87)</f>
        <v>3</v>
      </c>
      <c r="J87" s="48">
        <f>AVERAGE('1.08.Jinja RD-Mukwano RBT 24h'!J87,'03.8.Jinja-Mukwano 24h'!J87)</f>
        <v>0</v>
      </c>
      <c r="K87" s="48">
        <f>AVERAGE('1.08.Jinja RD-Mukwano RBT 24h'!K87,'03.8.Jinja-Mukwano 24h'!K87)</f>
        <v>0</v>
      </c>
      <c r="L87" s="48">
        <f>AVERAGE('1.08.Jinja RD-Mukwano RBT 24h'!L87,'03.8.Jinja-Mukwano 24h'!L87)</f>
        <v>0</v>
      </c>
      <c r="M87" s="48">
        <f>AVERAGE('1.08.Jinja RD-Mukwano RBT 24h'!M87,'03.8.Jinja-Mukwano 24h'!M87)</f>
        <v>25.5</v>
      </c>
      <c r="N87" s="48">
        <f>AVERAGE('1.08.Jinja RD-Mukwano RBT 24h'!N87,'03.8.Jinja-Mukwano 24h'!N87)</f>
        <v>0</v>
      </c>
      <c r="O87" s="15">
        <f t="shared" si="35"/>
        <v>20</v>
      </c>
      <c r="P87" s="15">
        <f t="shared" si="36"/>
        <v>45.5</v>
      </c>
      <c r="R87" s="8"/>
      <c r="T87"/>
    </row>
    <row r="88" spans="2:20" ht="23.1" customHeight="1" x14ac:dyDescent="0.25">
      <c r="B88" s="24" t="s">
        <v>128</v>
      </c>
      <c r="C88" s="48">
        <f>AVERAGE('1.08.Jinja RD-Mukwano RBT 24h'!C88,'03.8.Jinja-Mukwano 24h'!C88)</f>
        <v>9.5</v>
      </c>
      <c r="D88" s="48">
        <f>AVERAGE('1.08.Jinja RD-Mukwano RBT 24h'!D88,'03.8.Jinja-Mukwano 24h'!D88)</f>
        <v>3</v>
      </c>
      <c r="E88" s="48">
        <f>AVERAGE('1.08.Jinja RD-Mukwano RBT 24h'!E88,'03.8.Jinja-Mukwano 24h'!E88)</f>
        <v>2</v>
      </c>
      <c r="F88" s="48">
        <f>AVERAGE('1.08.Jinja RD-Mukwano RBT 24h'!F88,'03.8.Jinja-Mukwano 24h'!F88)</f>
        <v>0.5</v>
      </c>
      <c r="G88" s="48">
        <f>AVERAGE('1.08.Jinja RD-Mukwano RBT 24h'!G88,'03.8.Jinja-Mukwano 24h'!G88)</f>
        <v>0</v>
      </c>
      <c r="H88" s="48">
        <f>AVERAGE('1.08.Jinja RD-Mukwano RBT 24h'!H88,'03.8.Jinja-Mukwano 24h'!H88)</f>
        <v>0</v>
      </c>
      <c r="I88" s="48">
        <f>AVERAGE('1.08.Jinja RD-Mukwano RBT 24h'!I88,'03.8.Jinja-Mukwano 24h'!I88)</f>
        <v>0</v>
      </c>
      <c r="J88" s="48">
        <f>AVERAGE('1.08.Jinja RD-Mukwano RBT 24h'!J88,'03.8.Jinja-Mukwano 24h'!J88)</f>
        <v>0</v>
      </c>
      <c r="K88" s="48">
        <f>AVERAGE('1.08.Jinja RD-Mukwano RBT 24h'!K88,'03.8.Jinja-Mukwano 24h'!K88)</f>
        <v>0</v>
      </c>
      <c r="L88" s="48">
        <f>AVERAGE('1.08.Jinja RD-Mukwano RBT 24h'!L88,'03.8.Jinja-Mukwano 24h'!L88)</f>
        <v>0</v>
      </c>
      <c r="M88" s="48">
        <f>AVERAGE('1.08.Jinja RD-Mukwano RBT 24h'!M88,'03.8.Jinja-Mukwano 24h'!M88)</f>
        <v>23</v>
      </c>
      <c r="N88" s="48">
        <f>AVERAGE('1.08.Jinja RD-Mukwano RBT 24h'!N88,'03.8.Jinja-Mukwano 24h'!N88)</f>
        <v>0</v>
      </c>
      <c r="O88" s="15">
        <f t="shared" si="35"/>
        <v>15</v>
      </c>
      <c r="P88" s="15">
        <f t="shared" si="36"/>
        <v>38</v>
      </c>
      <c r="R88" s="8"/>
      <c r="T88"/>
    </row>
    <row r="89" spans="2:20" ht="23.1" customHeight="1" x14ac:dyDescent="0.25">
      <c r="B89" s="22" t="s">
        <v>129</v>
      </c>
      <c r="C89" s="48">
        <f>AVERAGE('1.08.Jinja RD-Mukwano RBT 24h'!C89,'03.8.Jinja-Mukwano 24h'!C89)</f>
        <v>9</v>
      </c>
      <c r="D89" s="48">
        <f>AVERAGE('1.08.Jinja RD-Mukwano RBT 24h'!D89,'03.8.Jinja-Mukwano 24h'!D89)</f>
        <v>0</v>
      </c>
      <c r="E89" s="48">
        <f>AVERAGE('1.08.Jinja RD-Mukwano RBT 24h'!E89,'03.8.Jinja-Mukwano 24h'!E89)</f>
        <v>0</v>
      </c>
      <c r="F89" s="48">
        <f>AVERAGE('1.08.Jinja RD-Mukwano RBT 24h'!F89,'03.8.Jinja-Mukwano 24h'!F89)</f>
        <v>0</v>
      </c>
      <c r="G89" s="48">
        <f>AVERAGE('1.08.Jinja RD-Mukwano RBT 24h'!G89,'03.8.Jinja-Mukwano 24h'!G89)</f>
        <v>0</v>
      </c>
      <c r="H89" s="48">
        <f>AVERAGE('1.08.Jinja RD-Mukwano RBT 24h'!H89,'03.8.Jinja-Mukwano 24h'!H89)</f>
        <v>0</v>
      </c>
      <c r="I89" s="48">
        <f>AVERAGE('1.08.Jinja RD-Mukwano RBT 24h'!I89,'03.8.Jinja-Mukwano 24h'!I89)</f>
        <v>0</v>
      </c>
      <c r="J89" s="48">
        <f>AVERAGE('1.08.Jinja RD-Mukwano RBT 24h'!J89,'03.8.Jinja-Mukwano 24h'!J89)</f>
        <v>1</v>
      </c>
      <c r="K89" s="48">
        <f>AVERAGE('1.08.Jinja RD-Mukwano RBT 24h'!K89,'03.8.Jinja-Mukwano 24h'!K89)</f>
        <v>0</v>
      </c>
      <c r="L89" s="48">
        <f>AVERAGE('1.08.Jinja RD-Mukwano RBT 24h'!L89,'03.8.Jinja-Mukwano 24h'!L89)</f>
        <v>0</v>
      </c>
      <c r="M89" s="48">
        <f>AVERAGE('1.08.Jinja RD-Mukwano RBT 24h'!M89,'03.8.Jinja-Mukwano 24h'!M89)</f>
        <v>17.5</v>
      </c>
      <c r="N89" s="48">
        <f>AVERAGE('1.08.Jinja RD-Mukwano RBT 24h'!N89,'03.8.Jinja-Mukwano 24h'!N89)</f>
        <v>0</v>
      </c>
      <c r="O89" s="15">
        <f t="shared" si="35"/>
        <v>10</v>
      </c>
      <c r="P89" s="15">
        <f t="shared" si="36"/>
        <v>27.5</v>
      </c>
      <c r="R89" s="8"/>
      <c r="T89"/>
    </row>
    <row r="90" spans="2:20" ht="23.1" customHeight="1" x14ac:dyDescent="0.25">
      <c r="B90" s="23" t="s">
        <v>130</v>
      </c>
      <c r="C90" s="48">
        <f>AVERAGE('1.08.Jinja RD-Mukwano RBT 24h'!C90,'03.8.Jinja-Mukwano 24h'!C90)</f>
        <v>11.5</v>
      </c>
      <c r="D90" s="48">
        <f>AVERAGE('1.08.Jinja RD-Mukwano RBT 24h'!D90,'03.8.Jinja-Mukwano 24h'!D90)</f>
        <v>1.5</v>
      </c>
      <c r="E90" s="48">
        <f>AVERAGE('1.08.Jinja RD-Mukwano RBT 24h'!E90,'03.8.Jinja-Mukwano 24h'!E90)</f>
        <v>2.5</v>
      </c>
      <c r="F90" s="48">
        <f>AVERAGE('1.08.Jinja RD-Mukwano RBT 24h'!F90,'03.8.Jinja-Mukwano 24h'!F90)</f>
        <v>0.5</v>
      </c>
      <c r="G90" s="48">
        <f>AVERAGE('1.08.Jinja RD-Mukwano RBT 24h'!G90,'03.8.Jinja-Mukwano 24h'!G90)</f>
        <v>0</v>
      </c>
      <c r="H90" s="48">
        <f>AVERAGE('1.08.Jinja RD-Mukwano RBT 24h'!H90,'03.8.Jinja-Mukwano 24h'!H90)</f>
        <v>0</v>
      </c>
      <c r="I90" s="48">
        <f>AVERAGE('1.08.Jinja RD-Mukwano RBT 24h'!I90,'03.8.Jinja-Mukwano 24h'!I90)</f>
        <v>5</v>
      </c>
      <c r="J90" s="48">
        <f>AVERAGE('1.08.Jinja RD-Mukwano RBT 24h'!J90,'03.8.Jinja-Mukwano 24h'!J90)</f>
        <v>0.5</v>
      </c>
      <c r="K90" s="48">
        <f>AVERAGE('1.08.Jinja RD-Mukwano RBT 24h'!K90,'03.8.Jinja-Mukwano 24h'!K90)</f>
        <v>0</v>
      </c>
      <c r="L90" s="48">
        <f>AVERAGE('1.08.Jinja RD-Mukwano RBT 24h'!L90,'03.8.Jinja-Mukwano 24h'!L90)</f>
        <v>0</v>
      </c>
      <c r="M90" s="48">
        <f>AVERAGE('1.08.Jinja RD-Mukwano RBT 24h'!M90,'03.8.Jinja-Mukwano 24h'!M90)</f>
        <v>12</v>
      </c>
      <c r="N90" s="48">
        <f>AVERAGE('1.08.Jinja RD-Mukwano RBT 24h'!N90,'03.8.Jinja-Mukwano 24h'!N90)</f>
        <v>0</v>
      </c>
      <c r="O90" s="15">
        <f t="shared" si="35"/>
        <v>21.5</v>
      </c>
      <c r="P90" s="15">
        <f t="shared" si="36"/>
        <v>33.5</v>
      </c>
      <c r="R90" s="8"/>
      <c r="T90"/>
    </row>
    <row r="91" spans="2:20" ht="23.1" customHeight="1" x14ac:dyDescent="0.25">
      <c r="B91" s="22" t="s">
        <v>131</v>
      </c>
      <c r="C91" s="48">
        <f>AVERAGE('1.08.Jinja RD-Mukwano RBT 24h'!C91,'03.8.Jinja-Mukwano 24h'!C91)</f>
        <v>21</v>
      </c>
      <c r="D91" s="48">
        <f>AVERAGE('1.08.Jinja RD-Mukwano RBT 24h'!D91,'03.8.Jinja-Mukwano 24h'!D91)</f>
        <v>5.5</v>
      </c>
      <c r="E91" s="48">
        <f>AVERAGE('1.08.Jinja RD-Mukwano RBT 24h'!E91,'03.8.Jinja-Mukwano 24h'!E91)</f>
        <v>0.5</v>
      </c>
      <c r="F91" s="48">
        <f>AVERAGE('1.08.Jinja RD-Mukwano RBT 24h'!F91,'03.8.Jinja-Mukwano 24h'!F91)</f>
        <v>0.5</v>
      </c>
      <c r="G91" s="48">
        <f>AVERAGE('1.08.Jinja RD-Mukwano RBT 24h'!G91,'03.8.Jinja-Mukwano 24h'!G91)</f>
        <v>0</v>
      </c>
      <c r="H91" s="48">
        <f>AVERAGE('1.08.Jinja RD-Mukwano RBT 24h'!H91,'03.8.Jinja-Mukwano 24h'!H91)</f>
        <v>0</v>
      </c>
      <c r="I91" s="48">
        <f>AVERAGE('1.08.Jinja RD-Mukwano RBT 24h'!I91,'03.8.Jinja-Mukwano 24h'!I91)</f>
        <v>1</v>
      </c>
      <c r="J91" s="48">
        <f>AVERAGE('1.08.Jinja RD-Mukwano RBT 24h'!J91,'03.8.Jinja-Mukwano 24h'!J91)</f>
        <v>0</v>
      </c>
      <c r="K91" s="48">
        <f>AVERAGE('1.08.Jinja RD-Mukwano RBT 24h'!K91,'03.8.Jinja-Mukwano 24h'!K91)</f>
        <v>0</v>
      </c>
      <c r="L91" s="48">
        <f>AVERAGE('1.08.Jinja RD-Mukwano RBT 24h'!L91,'03.8.Jinja-Mukwano 24h'!L91)</f>
        <v>1.5</v>
      </c>
      <c r="M91" s="48">
        <f>AVERAGE('1.08.Jinja RD-Mukwano RBT 24h'!M91,'03.8.Jinja-Mukwano 24h'!M91)</f>
        <v>20.5</v>
      </c>
      <c r="N91" s="48">
        <f>AVERAGE('1.08.Jinja RD-Mukwano RBT 24h'!N91,'03.8.Jinja-Mukwano 24h'!N91)</f>
        <v>0</v>
      </c>
      <c r="O91" s="15">
        <f t="shared" si="35"/>
        <v>30</v>
      </c>
      <c r="P91" s="15">
        <f t="shared" si="36"/>
        <v>50.5</v>
      </c>
      <c r="R91" s="8"/>
      <c r="T91"/>
    </row>
    <row r="92" spans="2:20" ht="23.1" customHeight="1" x14ac:dyDescent="0.25">
      <c r="B92" s="24" t="s">
        <v>132</v>
      </c>
      <c r="C92" s="48">
        <f>AVERAGE('1.08.Jinja RD-Mukwano RBT 24h'!C92,'03.8.Jinja-Mukwano 24h'!C92)</f>
        <v>14</v>
      </c>
      <c r="D92" s="48">
        <f>AVERAGE('1.08.Jinja RD-Mukwano RBT 24h'!D92,'03.8.Jinja-Mukwano 24h'!D92)</f>
        <v>2</v>
      </c>
      <c r="E92" s="48">
        <f>AVERAGE('1.08.Jinja RD-Mukwano RBT 24h'!E92,'03.8.Jinja-Mukwano 24h'!E92)</f>
        <v>0.5</v>
      </c>
      <c r="F92" s="48">
        <f>AVERAGE('1.08.Jinja RD-Mukwano RBT 24h'!F92,'03.8.Jinja-Mukwano 24h'!F92)</f>
        <v>0</v>
      </c>
      <c r="G92" s="48">
        <f>AVERAGE('1.08.Jinja RD-Mukwano RBT 24h'!G92,'03.8.Jinja-Mukwano 24h'!G92)</f>
        <v>0</v>
      </c>
      <c r="H92" s="48">
        <f>AVERAGE('1.08.Jinja RD-Mukwano RBT 24h'!H92,'03.8.Jinja-Mukwano 24h'!H92)</f>
        <v>0</v>
      </c>
      <c r="I92" s="48">
        <f>AVERAGE('1.08.Jinja RD-Mukwano RBT 24h'!I92,'03.8.Jinja-Mukwano 24h'!I92)</f>
        <v>1</v>
      </c>
      <c r="J92" s="48">
        <f>AVERAGE('1.08.Jinja RD-Mukwano RBT 24h'!J92,'03.8.Jinja-Mukwano 24h'!J92)</f>
        <v>0</v>
      </c>
      <c r="K92" s="48">
        <f>AVERAGE('1.08.Jinja RD-Mukwano RBT 24h'!K92,'03.8.Jinja-Mukwano 24h'!K92)</f>
        <v>0</v>
      </c>
      <c r="L92" s="48">
        <f>AVERAGE('1.08.Jinja RD-Mukwano RBT 24h'!L92,'03.8.Jinja-Mukwano 24h'!L92)</f>
        <v>0.5</v>
      </c>
      <c r="M92" s="48">
        <f>AVERAGE('1.08.Jinja RD-Mukwano RBT 24h'!M92,'03.8.Jinja-Mukwano 24h'!M92)</f>
        <v>17</v>
      </c>
      <c r="N92" s="48">
        <f>AVERAGE('1.08.Jinja RD-Mukwano RBT 24h'!N92,'03.8.Jinja-Mukwano 24h'!N92)</f>
        <v>0</v>
      </c>
      <c r="O92" s="15">
        <f t="shared" si="35"/>
        <v>18</v>
      </c>
      <c r="P92" s="15">
        <f t="shared" si="36"/>
        <v>35</v>
      </c>
      <c r="R92" s="8"/>
      <c r="T92"/>
    </row>
    <row r="93" spans="2:20" ht="23.1" customHeight="1" x14ac:dyDescent="0.25">
      <c r="B93" s="22" t="s">
        <v>133</v>
      </c>
      <c r="C93" s="48">
        <f>AVERAGE('1.08.Jinja RD-Mukwano RBT 24h'!C93,'03.8.Jinja-Mukwano 24h'!C93)</f>
        <v>13.5</v>
      </c>
      <c r="D93" s="48">
        <f>AVERAGE('1.08.Jinja RD-Mukwano RBT 24h'!D93,'03.8.Jinja-Mukwano 24h'!D93)</f>
        <v>2.5</v>
      </c>
      <c r="E93" s="48">
        <f>AVERAGE('1.08.Jinja RD-Mukwano RBT 24h'!E93,'03.8.Jinja-Mukwano 24h'!E93)</f>
        <v>0</v>
      </c>
      <c r="F93" s="48">
        <f>AVERAGE('1.08.Jinja RD-Mukwano RBT 24h'!F93,'03.8.Jinja-Mukwano 24h'!F93)</f>
        <v>1</v>
      </c>
      <c r="G93" s="48">
        <f>AVERAGE('1.08.Jinja RD-Mukwano RBT 24h'!G93,'03.8.Jinja-Mukwano 24h'!G93)</f>
        <v>0</v>
      </c>
      <c r="H93" s="48">
        <f>AVERAGE('1.08.Jinja RD-Mukwano RBT 24h'!H93,'03.8.Jinja-Mukwano 24h'!H93)</f>
        <v>0.5</v>
      </c>
      <c r="I93" s="48">
        <f>AVERAGE('1.08.Jinja RD-Mukwano RBT 24h'!I93,'03.8.Jinja-Mukwano 24h'!I93)</f>
        <v>0</v>
      </c>
      <c r="J93" s="48">
        <f>AVERAGE('1.08.Jinja RD-Mukwano RBT 24h'!J93,'03.8.Jinja-Mukwano 24h'!J93)</f>
        <v>0.5</v>
      </c>
      <c r="K93" s="48">
        <f>AVERAGE('1.08.Jinja RD-Mukwano RBT 24h'!K93,'03.8.Jinja-Mukwano 24h'!K93)</f>
        <v>0</v>
      </c>
      <c r="L93" s="48">
        <f>AVERAGE('1.08.Jinja RD-Mukwano RBT 24h'!L93,'03.8.Jinja-Mukwano 24h'!L93)</f>
        <v>0</v>
      </c>
      <c r="M93" s="48">
        <f>AVERAGE('1.08.Jinja RD-Mukwano RBT 24h'!M93,'03.8.Jinja-Mukwano 24h'!M93)</f>
        <v>18.5</v>
      </c>
      <c r="N93" s="48">
        <f>AVERAGE('1.08.Jinja RD-Mukwano RBT 24h'!N93,'03.8.Jinja-Mukwano 24h'!N93)</f>
        <v>0</v>
      </c>
      <c r="O93" s="15">
        <f t="shared" si="35"/>
        <v>18</v>
      </c>
      <c r="P93" s="15">
        <f t="shared" si="36"/>
        <v>36.5</v>
      </c>
      <c r="R93" s="8"/>
      <c r="T93"/>
    </row>
    <row r="94" spans="2:20" ht="23.1" customHeight="1" x14ac:dyDescent="0.25">
      <c r="B94" s="23" t="s">
        <v>134</v>
      </c>
      <c r="C94" s="48">
        <f>AVERAGE('1.08.Jinja RD-Mukwano RBT 24h'!C94,'03.8.Jinja-Mukwano 24h'!C94)</f>
        <v>16.5</v>
      </c>
      <c r="D94" s="48">
        <f>AVERAGE('1.08.Jinja RD-Mukwano RBT 24h'!D94,'03.8.Jinja-Mukwano 24h'!D94)</f>
        <v>3</v>
      </c>
      <c r="E94" s="48">
        <f>AVERAGE('1.08.Jinja RD-Mukwano RBT 24h'!E94,'03.8.Jinja-Mukwano 24h'!E94)</f>
        <v>0.5</v>
      </c>
      <c r="F94" s="48">
        <f>AVERAGE('1.08.Jinja RD-Mukwano RBT 24h'!F94,'03.8.Jinja-Mukwano 24h'!F94)</f>
        <v>0.5</v>
      </c>
      <c r="G94" s="48">
        <f>AVERAGE('1.08.Jinja RD-Mukwano RBT 24h'!G94,'03.8.Jinja-Mukwano 24h'!G94)</f>
        <v>0.5</v>
      </c>
      <c r="H94" s="48">
        <f>AVERAGE('1.08.Jinja RD-Mukwano RBT 24h'!H94,'03.8.Jinja-Mukwano 24h'!H94)</f>
        <v>0</v>
      </c>
      <c r="I94" s="48">
        <f>AVERAGE('1.08.Jinja RD-Mukwano RBT 24h'!I94,'03.8.Jinja-Mukwano 24h'!I94)</f>
        <v>0.5</v>
      </c>
      <c r="J94" s="48">
        <f>AVERAGE('1.08.Jinja RD-Mukwano RBT 24h'!J94,'03.8.Jinja-Mukwano 24h'!J94)</f>
        <v>1</v>
      </c>
      <c r="K94" s="48">
        <f>AVERAGE('1.08.Jinja RD-Mukwano RBT 24h'!K94,'03.8.Jinja-Mukwano 24h'!K94)</f>
        <v>0.5</v>
      </c>
      <c r="L94" s="48">
        <f>AVERAGE('1.08.Jinja RD-Mukwano RBT 24h'!L94,'03.8.Jinja-Mukwano 24h'!L94)</f>
        <v>1.5</v>
      </c>
      <c r="M94" s="48">
        <f>AVERAGE('1.08.Jinja RD-Mukwano RBT 24h'!M94,'03.8.Jinja-Mukwano 24h'!M94)</f>
        <v>16.5</v>
      </c>
      <c r="N94" s="48">
        <f>AVERAGE('1.08.Jinja RD-Mukwano RBT 24h'!N94,'03.8.Jinja-Mukwano 24h'!N94)</f>
        <v>0</v>
      </c>
      <c r="O94" s="15">
        <f t="shared" si="35"/>
        <v>24.5</v>
      </c>
      <c r="P94" s="15">
        <f t="shared" si="36"/>
        <v>41</v>
      </c>
      <c r="R94" s="8"/>
      <c r="T94"/>
    </row>
    <row r="95" spans="2:20" ht="23.1" customHeight="1" x14ac:dyDescent="0.25">
      <c r="B95" s="22" t="s">
        <v>135</v>
      </c>
      <c r="C95" s="48">
        <f>AVERAGE('1.08.Jinja RD-Mukwano RBT 24h'!C95,'03.8.Jinja-Mukwano 24h'!C95)</f>
        <v>28.5</v>
      </c>
      <c r="D95" s="48">
        <f>AVERAGE('1.08.Jinja RD-Mukwano RBT 24h'!D95,'03.8.Jinja-Mukwano 24h'!D95)</f>
        <v>6.5</v>
      </c>
      <c r="E95" s="48">
        <f>AVERAGE('1.08.Jinja RD-Mukwano RBT 24h'!E95,'03.8.Jinja-Mukwano 24h'!E95)</f>
        <v>0.5</v>
      </c>
      <c r="F95" s="48">
        <f>AVERAGE('1.08.Jinja RD-Mukwano RBT 24h'!F95,'03.8.Jinja-Mukwano 24h'!F95)</f>
        <v>0</v>
      </c>
      <c r="G95" s="48">
        <f>AVERAGE('1.08.Jinja RD-Mukwano RBT 24h'!G95,'03.8.Jinja-Mukwano 24h'!G95)</f>
        <v>0</v>
      </c>
      <c r="H95" s="48">
        <f>AVERAGE('1.08.Jinja RD-Mukwano RBT 24h'!H95,'03.8.Jinja-Mukwano 24h'!H95)</f>
        <v>0</v>
      </c>
      <c r="I95" s="48">
        <f>AVERAGE('1.08.Jinja RD-Mukwano RBT 24h'!I95,'03.8.Jinja-Mukwano 24h'!I95)</f>
        <v>1</v>
      </c>
      <c r="J95" s="48">
        <f>AVERAGE('1.08.Jinja RD-Mukwano RBT 24h'!J95,'03.8.Jinja-Mukwano 24h'!J95)</f>
        <v>0</v>
      </c>
      <c r="K95" s="48">
        <f>AVERAGE('1.08.Jinja RD-Mukwano RBT 24h'!K95,'03.8.Jinja-Mukwano 24h'!K95)</f>
        <v>0</v>
      </c>
      <c r="L95" s="48">
        <f>AVERAGE('1.08.Jinja RD-Mukwano RBT 24h'!L95,'03.8.Jinja-Mukwano 24h'!L95)</f>
        <v>0</v>
      </c>
      <c r="M95" s="48">
        <f>AVERAGE('1.08.Jinja RD-Mukwano RBT 24h'!M95,'03.8.Jinja-Mukwano 24h'!M95)</f>
        <v>14</v>
      </c>
      <c r="N95" s="48">
        <f>AVERAGE('1.08.Jinja RD-Mukwano RBT 24h'!N95,'03.8.Jinja-Mukwano 24h'!N95)</f>
        <v>0</v>
      </c>
      <c r="O95" s="15">
        <f t="shared" si="35"/>
        <v>36.5</v>
      </c>
      <c r="P95" s="15">
        <f t="shared" si="36"/>
        <v>50.5</v>
      </c>
      <c r="R95" s="8"/>
      <c r="T95"/>
    </row>
    <row r="96" spans="2:20" ht="23.1" customHeight="1" x14ac:dyDescent="0.25">
      <c r="B96" s="24" t="s">
        <v>136</v>
      </c>
      <c r="C96" s="48">
        <f>AVERAGE('1.08.Jinja RD-Mukwano RBT 24h'!C96,'03.8.Jinja-Mukwano 24h'!C96)</f>
        <v>22.5</v>
      </c>
      <c r="D96" s="48">
        <f>AVERAGE('1.08.Jinja RD-Mukwano RBT 24h'!D96,'03.8.Jinja-Mukwano 24h'!D96)</f>
        <v>6</v>
      </c>
      <c r="E96" s="48">
        <f>AVERAGE('1.08.Jinja RD-Mukwano RBT 24h'!E96,'03.8.Jinja-Mukwano 24h'!E96)</f>
        <v>1</v>
      </c>
      <c r="F96" s="48">
        <f>AVERAGE('1.08.Jinja RD-Mukwano RBT 24h'!F96,'03.8.Jinja-Mukwano 24h'!F96)</f>
        <v>0.5</v>
      </c>
      <c r="G96" s="48">
        <f>AVERAGE('1.08.Jinja RD-Mukwano RBT 24h'!G96,'03.8.Jinja-Mukwano 24h'!G96)</f>
        <v>0</v>
      </c>
      <c r="H96" s="48">
        <f>AVERAGE('1.08.Jinja RD-Mukwano RBT 24h'!H96,'03.8.Jinja-Mukwano 24h'!H96)</f>
        <v>0</v>
      </c>
      <c r="I96" s="48">
        <f>AVERAGE('1.08.Jinja RD-Mukwano RBT 24h'!I96,'03.8.Jinja-Mukwano 24h'!I96)</f>
        <v>0.5</v>
      </c>
      <c r="J96" s="48">
        <f>AVERAGE('1.08.Jinja RD-Mukwano RBT 24h'!J96,'03.8.Jinja-Mukwano 24h'!J96)</f>
        <v>0</v>
      </c>
      <c r="K96" s="48">
        <f>AVERAGE('1.08.Jinja RD-Mukwano RBT 24h'!K96,'03.8.Jinja-Mukwano 24h'!K96)</f>
        <v>0</v>
      </c>
      <c r="L96" s="48">
        <f>AVERAGE('1.08.Jinja RD-Mukwano RBT 24h'!L96,'03.8.Jinja-Mukwano 24h'!L96)</f>
        <v>2.5</v>
      </c>
      <c r="M96" s="48">
        <f>AVERAGE('1.08.Jinja RD-Mukwano RBT 24h'!M96,'03.8.Jinja-Mukwano 24h'!M96)</f>
        <v>13</v>
      </c>
      <c r="N96" s="48">
        <f>AVERAGE('1.08.Jinja RD-Mukwano RBT 24h'!N96,'03.8.Jinja-Mukwano 24h'!N96)</f>
        <v>0</v>
      </c>
      <c r="O96" s="15">
        <f t="shared" si="35"/>
        <v>33</v>
      </c>
      <c r="P96" s="15">
        <f t="shared" si="36"/>
        <v>46</v>
      </c>
      <c r="R96" s="8"/>
      <c r="T96"/>
    </row>
    <row r="97" spans="2:20" ht="23.1" customHeight="1" x14ac:dyDescent="0.25">
      <c r="B97" s="22" t="s">
        <v>137</v>
      </c>
      <c r="C97" s="48">
        <f>AVERAGE('1.08.Jinja RD-Mukwano RBT 24h'!C97,'03.8.Jinja-Mukwano 24h'!C97)</f>
        <v>12</v>
      </c>
      <c r="D97" s="48">
        <f>AVERAGE('1.08.Jinja RD-Mukwano RBT 24h'!D97,'03.8.Jinja-Mukwano 24h'!D97)</f>
        <v>2</v>
      </c>
      <c r="E97" s="48">
        <f>AVERAGE('1.08.Jinja RD-Mukwano RBT 24h'!E97,'03.8.Jinja-Mukwano 24h'!E97)</f>
        <v>0.5</v>
      </c>
      <c r="F97" s="48">
        <f>AVERAGE('1.08.Jinja RD-Mukwano RBT 24h'!F97,'03.8.Jinja-Mukwano 24h'!F97)</f>
        <v>0</v>
      </c>
      <c r="G97" s="48">
        <f>AVERAGE('1.08.Jinja RD-Mukwano RBT 24h'!G97,'03.8.Jinja-Mukwano 24h'!G97)</f>
        <v>0</v>
      </c>
      <c r="H97" s="48">
        <f>AVERAGE('1.08.Jinja RD-Mukwano RBT 24h'!H97,'03.8.Jinja-Mukwano 24h'!H97)</f>
        <v>0</v>
      </c>
      <c r="I97" s="48">
        <f>AVERAGE('1.08.Jinja RD-Mukwano RBT 24h'!I97,'03.8.Jinja-Mukwano 24h'!I97)</f>
        <v>1</v>
      </c>
      <c r="J97" s="48">
        <f>AVERAGE('1.08.Jinja RD-Mukwano RBT 24h'!J97,'03.8.Jinja-Mukwano 24h'!J97)</f>
        <v>0</v>
      </c>
      <c r="K97" s="48">
        <f>AVERAGE('1.08.Jinja RD-Mukwano RBT 24h'!K97,'03.8.Jinja-Mukwano 24h'!K97)</f>
        <v>0</v>
      </c>
      <c r="L97" s="48">
        <f>AVERAGE('1.08.Jinja RD-Mukwano RBT 24h'!L97,'03.8.Jinja-Mukwano 24h'!L97)</f>
        <v>0</v>
      </c>
      <c r="M97" s="48">
        <f>AVERAGE('1.08.Jinja RD-Mukwano RBT 24h'!M97,'03.8.Jinja-Mukwano 24h'!M97)</f>
        <v>19.5</v>
      </c>
      <c r="N97" s="48">
        <f>AVERAGE('1.08.Jinja RD-Mukwano RBT 24h'!N97,'03.8.Jinja-Mukwano 24h'!N97)</f>
        <v>0</v>
      </c>
      <c r="O97" s="15">
        <f t="shared" si="35"/>
        <v>15.5</v>
      </c>
      <c r="P97" s="15">
        <f t="shared" si="36"/>
        <v>35</v>
      </c>
      <c r="R97" s="8"/>
      <c r="T97"/>
    </row>
    <row r="98" spans="2:20" ht="23.1" customHeight="1" x14ac:dyDescent="0.25">
      <c r="B98" s="23" t="s">
        <v>138</v>
      </c>
      <c r="C98" s="48">
        <f>AVERAGE('1.08.Jinja RD-Mukwano RBT 24h'!C98,'03.8.Jinja-Mukwano 24h'!C98)</f>
        <v>17</v>
      </c>
      <c r="D98" s="48">
        <f>AVERAGE('1.08.Jinja RD-Mukwano RBT 24h'!D98,'03.8.Jinja-Mukwano 24h'!D98)</f>
        <v>2</v>
      </c>
      <c r="E98" s="48">
        <f>AVERAGE('1.08.Jinja RD-Mukwano RBT 24h'!E98,'03.8.Jinja-Mukwano 24h'!E98)</f>
        <v>1</v>
      </c>
      <c r="F98" s="48">
        <f>AVERAGE('1.08.Jinja RD-Mukwano RBT 24h'!F98,'03.8.Jinja-Mukwano 24h'!F98)</f>
        <v>0.5</v>
      </c>
      <c r="G98" s="48">
        <f>AVERAGE('1.08.Jinja RD-Mukwano RBT 24h'!G98,'03.8.Jinja-Mukwano 24h'!G98)</f>
        <v>0</v>
      </c>
      <c r="H98" s="48">
        <f>AVERAGE('1.08.Jinja RD-Mukwano RBT 24h'!H98,'03.8.Jinja-Mukwano 24h'!H98)</f>
        <v>0</v>
      </c>
      <c r="I98" s="48">
        <f>AVERAGE('1.08.Jinja RD-Mukwano RBT 24h'!I98,'03.8.Jinja-Mukwano 24h'!I98)</f>
        <v>0</v>
      </c>
      <c r="J98" s="48">
        <f>AVERAGE('1.08.Jinja RD-Mukwano RBT 24h'!J98,'03.8.Jinja-Mukwano 24h'!J98)</f>
        <v>0.5</v>
      </c>
      <c r="K98" s="48">
        <f>AVERAGE('1.08.Jinja RD-Mukwano RBT 24h'!K98,'03.8.Jinja-Mukwano 24h'!K98)</f>
        <v>0</v>
      </c>
      <c r="L98" s="48">
        <f>AVERAGE('1.08.Jinja RD-Mukwano RBT 24h'!L98,'03.8.Jinja-Mukwano 24h'!L98)</f>
        <v>0</v>
      </c>
      <c r="M98" s="48">
        <f>AVERAGE('1.08.Jinja RD-Mukwano RBT 24h'!M98,'03.8.Jinja-Mukwano 24h'!M98)</f>
        <v>18</v>
      </c>
      <c r="N98" s="48">
        <f>AVERAGE('1.08.Jinja RD-Mukwano RBT 24h'!N98,'03.8.Jinja-Mukwano 24h'!N98)</f>
        <v>0</v>
      </c>
      <c r="O98" s="15">
        <f t="shared" si="35"/>
        <v>21</v>
      </c>
      <c r="P98" s="15">
        <f t="shared" si="36"/>
        <v>39</v>
      </c>
      <c r="R98" s="8"/>
      <c r="T98"/>
    </row>
    <row r="99" spans="2:20" ht="23.1" customHeight="1" x14ac:dyDescent="0.25">
      <c r="B99" s="22" t="s">
        <v>139</v>
      </c>
      <c r="C99" s="48">
        <f>AVERAGE('1.08.Jinja RD-Mukwano RBT 24h'!C99,'03.8.Jinja-Mukwano 24h'!C99)</f>
        <v>20.5</v>
      </c>
      <c r="D99" s="48">
        <f>AVERAGE('1.08.Jinja RD-Mukwano RBT 24h'!D99,'03.8.Jinja-Mukwano 24h'!D99)</f>
        <v>5</v>
      </c>
      <c r="E99" s="48">
        <f>AVERAGE('1.08.Jinja RD-Mukwano RBT 24h'!E99,'03.8.Jinja-Mukwano 24h'!E99)</f>
        <v>1.5</v>
      </c>
      <c r="F99" s="48">
        <f>AVERAGE('1.08.Jinja RD-Mukwano RBT 24h'!F99,'03.8.Jinja-Mukwano 24h'!F99)</f>
        <v>0</v>
      </c>
      <c r="G99" s="48">
        <f>AVERAGE('1.08.Jinja RD-Mukwano RBT 24h'!G99,'03.8.Jinja-Mukwano 24h'!G99)</f>
        <v>0</v>
      </c>
      <c r="H99" s="48">
        <f>AVERAGE('1.08.Jinja RD-Mukwano RBT 24h'!H99,'03.8.Jinja-Mukwano 24h'!H99)</f>
        <v>0</v>
      </c>
      <c r="I99" s="48">
        <f>AVERAGE('1.08.Jinja RD-Mukwano RBT 24h'!I99,'03.8.Jinja-Mukwano 24h'!I99)</f>
        <v>0.5</v>
      </c>
      <c r="J99" s="48">
        <f>AVERAGE('1.08.Jinja RD-Mukwano RBT 24h'!J99,'03.8.Jinja-Mukwano 24h'!J99)</f>
        <v>0</v>
      </c>
      <c r="K99" s="48">
        <f>AVERAGE('1.08.Jinja RD-Mukwano RBT 24h'!K99,'03.8.Jinja-Mukwano 24h'!K99)</f>
        <v>0.5</v>
      </c>
      <c r="L99" s="48">
        <f>AVERAGE('1.08.Jinja RD-Mukwano RBT 24h'!L99,'03.8.Jinja-Mukwano 24h'!L99)</f>
        <v>0.5</v>
      </c>
      <c r="M99" s="48">
        <f>AVERAGE('1.08.Jinja RD-Mukwano RBT 24h'!M99,'03.8.Jinja-Mukwano 24h'!M99)</f>
        <v>46</v>
      </c>
      <c r="N99" s="48">
        <f>AVERAGE('1.08.Jinja RD-Mukwano RBT 24h'!N99,'03.8.Jinja-Mukwano 24h'!N99)</f>
        <v>0</v>
      </c>
      <c r="O99" s="15">
        <f t="shared" si="35"/>
        <v>28.5</v>
      </c>
      <c r="P99" s="15">
        <f t="shared" si="36"/>
        <v>74.5</v>
      </c>
      <c r="R99" s="8"/>
      <c r="T99"/>
    </row>
    <row r="100" spans="2:20" ht="23.1" customHeight="1" x14ac:dyDescent="0.25">
      <c r="B100" s="24" t="s">
        <v>140</v>
      </c>
      <c r="C100" s="48">
        <f>AVERAGE('1.08.Jinja RD-Mukwano RBT 24h'!C100,'03.8.Jinja-Mukwano 24h'!C100)</f>
        <v>9</v>
      </c>
      <c r="D100" s="48">
        <f>AVERAGE('1.08.Jinja RD-Mukwano RBT 24h'!D100,'03.8.Jinja-Mukwano 24h'!D100)</f>
        <v>1.5</v>
      </c>
      <c r="E100" s="48">
        <f>AVERAGE('1.08.Jinja RD-Mukwano RBT 24h'!E100,'03.8.Jinja-Mukwano 24h'!E100)</f>
        <v>0.5</v>
      </c>
      <c r="F100" s="48">
        <f>AVERAGE('1.08.Jinja RD-Mukwano RBT 24h'!F100,'03.8.Jinja-Mukwano 24h'!F100)</f>
        <v>0</v>
      </c>
      <c r="G100" s="48">
        <f>AVERAGE('1.08.Jinja RD-Mukwano RBT 24h'!G100,'03.8.Jinja-Mukwano 24h'!G100)</f>
        <v>0</v>
      </c>
      <c r="H100" s="48">
        <f>AVERAGE('1.08.Jinja RD-Mukwano RBT 24h'!H100,'03.8.Jinja-Mukwano 24h'!H100)</f>
        <v>0</v>
      </c>
      <c r="I100" s="48">
        <f>AVERAGE('1.08.Jinja RD-Mukwano RBT 24h'!I100,'03.8.Jinja-Mukwano 24h'!I100)</f>
        <v>1.5</v>
      </c>
      <c r="J100" s="48">
        <f>AVERAGE('1.08.Jinja RD-Mukwano RBT 24h'!J100,'03.8.Jinja-Mukwano 24h'!J100)</f>
        <v>0</v>
      </c>
      <c r="K100" s="48">
        <f>AVERAGE('1.08.Jinja RD-Mukwano RBT 24h'!K100,'03.8.Jinja-Mukwano 24h'!K100)</f>
        <v>0.5</v>
      </c>
      <c r="L100" s="48">
        <f>AVERAGE('1.08.Jinja RD-Mukwano RBT 24h'!L100,'03.8.Jinja-Mukwano 24h'!L100)</f>
        <v>0</v>
      </c>
      <c r="M100" s="48">
        <f>AVERAGE('1.08.Jinja RD-Mukwano RBT 24h'!M100,'03.8.Jinja-Mukwano 24h'!M100)</f>
        <v>49.5</v>
      </c>
      <c r="N100" s="48">
        <f>AVERAGE('1.08.Jinja RD-Mukwano RBT 24h'!N100,'03.8.Jinja-Mukwano 24h'!N100)</f>
        <v>0</v>
      </c>
      <c r="O100" s="15">
        <f t="shared" si="35"/>
        <v>13</v>
      </c>
      <c r="P100" s="15">
        <f t="shared" si="36"/>
        <v>62.5</v>
      </c>
      <c r="R100" s="8"/>
      <c r="T100"/>
    </row>
    <row r="101" spans="2:20" ht="23.1" customHeight="1" x14ac:dyDescent="0.25">
      <c r="B101" s="22" t="s">
        <v>141</v>
      </c>
      <c r="C101" s="48">
        <f>AVERAGE('1.08.Jinja RD-Mukwano RBT 24h'!C101,'03.8.Jinja-Mukwano 24h'!C101)</f>
        <v>13.5</v>
      </c>
      <c r="D101" s="48">
        <f>AVERAGE('1.08.Jinja RD-Mukwano RBT 24h'!D101,'03.8.Jinja-Mukwano 24h'!D101)</f>
        <v>3</v>
      </c>
      <c r="E101" s="48">
        <f>AVERAGE('1.08.Jinja RD-Mukwano RBT 24h'!E101,'03.8.Jinja-Mukwano 24h'!E101)</f>
        <v>1.5</v>
      </c>
      <c r="F101" s="48">
        <f>AVERAGE('1.08.Jinja RD-Mukwano RBT 24h'!F101,'03.8.Jinja-Mukwano 24h'!F101)</f>
        <v>1</v>
      </c>
      <c r="G101" s="48">
        <f>AVERAGE('1.08.Jinja RD-Mukwano RBT 24h'!G101,'03.8.Jinja-Mukwano 24h'!G101)</f>
        <v>0</v>
      </c>
      <c r="H101" s="48">
        <f>AVERAGE('1.08.Jinja RD-Mukwano RBT 24h'!H101,'03.8.Jinja-Mukwano 24h'!H101)</f>
        <v>0</v>
      </c>
      <c r="I101" s="48">
        <f>AVERAGE('1.08.Jinja RD-Mukwano RBT 24h'!I101,'03.8.Jinja-Mukwano 24h'!I101)</f>
        <v>1</v>
      </c>
      <c r="J101" s="48">
        <f>AVERAGE('1.08.Jinja RD-Mukwano RBT 24h'!J101,'03.8.Jinja-Mukwano 24h'!J101)</f>
        <v>0.5</v>
      </c>
      <c r="K101" s="48">
        <f>AVERAGE('1.08.Jinja RD-Mukwano RBT 24h'!K101,'03.8.Jinja-Mukwano 24h'!K101)</f>
        <v>0</v>
      </c>
      <c r="L101" s="48">
        <f>AVERAGE('1.08.Jinja RD-Mukwano RBT 24h'!L101,'03.8.Jinja-Mukwano 24h'!L101)</f>
        <v>0</v>
      </c>
      <c r="M101" s="48">
        <f>AVERAGE('1.08.Jinja RD-Mukwano RBT 24h'!M101,'03.8.Jinja-Mukwano 24h'!M101)</f>
        <v>51.5</v>
      </c>
      <c r="N101" s="48">
        <f>AVERAGE('1.08.Jinja RD-Mukwano RBT 24h'!N101,'03.8.Jinja-Mukwano 24h'!N101)</f>
        <v>0</v>
      </c>
      <c r="O101" s="15">
        <f t="shared" si="35"/>
        <v>20.5</v>
      </c>
      <c r="P101" s="15">
        <f t="shared" si="36"/>
        <v>72</v>
      </c>
      <c r="R101" s="8"/>
      <c r="T101"/>
    </row>
    <row r="102" spans="2:20" ht="23.1" customHeight="1" x14ac:dyDescent="0.25">
      <c r="B102" s="23" t="s">
        <v>142</v>
      </c>
      <c r="C102" s="48">
        <f>AVERAGE('1.08.Jinja RD-Mukwano RBT 24h'!C102,'03.8.Jinja-Mukwano 24h'!C102)</f>
        <v>23.5</v>
      </c>
      <c r="D102" s="48">
        <f>AVERAGE('1.08.Jinja RD-Mukwano RBT 24h'!D102,'03.8.Jinja-Mukwano 24h'!D102)</f>
        <v>6.5</v>
      </c>
      <c r="E102" s="48">
        <f>AVERAGE('1.08.Jinja RD-Mukwano RBT 24h'!E102,'03.8.Jinja-Mukwano 24h'!E102)</f>
        <v>4</v>
      </c>
      <c r="F102" s="48">
        <f>AVERAGE('1.08.Jinja RD-Mukwano RBT 24h'!F102,'03.8.Jinja-Mukwano 24h'!F102)</f>
        <v>0</v>
      </c>
      <c r="G102" s="48">
        <f>AVERAGE('1.08.Jinja RD-Mukwano RBT 24h'!G102,'03.8.Jinja-Mukwano 24h'!G102)</f>
        <v>0</v>
      </c>
      <c r="H102" s="48">
        <f>AVERAGE('1.08.Jinja RD-Mukwano RBT 24h'!H102,'03.8.Jinja-Mukwano 24h'!H102)</f>
        <v>0</v>
      </c>
      <c r="I102" s="48">
        <f>AVERAGE('1.08.Jinja RD-Mukwano RBT 24h'!I102,'03.8.Jinja-Mukwano 24h'!I102)</f>
        <v>5</v>
      </c>
      <c r="J102" s="48">
        <f>AVERAGE('1.08.Jinja RD-Mukwano RBT 24h'!J102,'03.8.Jinja-Mukwano 24h'!J102)</f>
        <v>0</v>
      </c>
      <c r="K102" s="48">
        <f>AVERAGE('1.08.Jinja RD-Mukwano RBT 24h'!K102,'03.8.Jinja-Mukwano 24h'!K102)</f>
        <v>2.5</v>
      </c>
      <c r="L102" s="48">
        <f>AVERAGE('1.08.Jinja RD-Mukwano RBT 24h'!L102,'03.8.Jinja-Mukwano 24h'!L102)</f>
        <v>0.5</v>
      </c>
      <c r="M102" s="48">
        <f>AVERAGE('1.08.Jinja RD-Mukwano RBT 24h'!M102,'03.8.Jinja-Mukwano 24h'!M102)</f>
        <v>49.5</v>
      </c>
      <c r="N102" s="48">
        <f>AVERAGE('1.08.Jinja RD-Mukwano RBT 24h'!N102,'03.8.Jinja-Mukwano 24h'!N102)</f>
        <v>0</v>
      </c>
      <c r="O102" s="15">
        <f t="shared" si="35"/>
        <v>42</v>
      </c>
      <c r="P102" s="15">
        <f t="shared" si="36"/>
        <v>91.5</v>
      </c>
      <c r="R102" s="8"/>
      <c r="T102"/>
    </row>
    <row r="103" spans="2:20" ht="23.1" customHeight="1" x14ac:dyDescent="0.25">
      <c r="B103" s="22" t="s">
        <v>143</v>
      </c>
      <c r="C103" s="48">
        <f>AVERAGE('1.08.Jinja RD-Mukwano RBT 24h'!C103,'03.8.Jinja-Mukwano 24h'!C103)</f>
        <v>20</v>
      </c>
      <c r="D103" s="48">
        <f>AVERAGE('1.08.Jinja RD-Mukwano RBT 24h'!D103,'03.8.Jinja-Mukwano 24h'!D103)</f>
        <v>7</v>
      </c>
      <c r="E103" s="48">
        <f>AVERAGE('1.08.Jinja RD-Mukwano RBT 24h'!E103,'03.8.Jinja-Mukwano 24h'!E103)</f>
        <v>3.5</v>
      </c>
      <c r="F103" s="48">
        <f>AVERAGE('1.08.Jinja RD-Mukwano RBT 24h'!F103,'03.8.Jinja-Mukwano 24h'!F103)</f>
        <v>0</v>
      </c>
      <c r="G103" s="48">
        <f>AVERAGE('1.08.Jinja RD-Mukwano RBT 24h'!G103,'03.8.Jinja-Mukwano 24h'!G103)</f>
        <v>0</v>
      </c>
      <c r="H103" s="48">
        <f>AVERAGE('1.08.Jinja RD-Mukwano RBT 24h'!H103,'03.8.Jinja-Mukwano 24h'!H103)</f>
        <v>0</v>
      </c>
      <c r="I103" s="48">
        <f>AVERAGE('1.08.Jinja RD-Mukwano RBT 24h'!I103,'03.8.Jinja-Mukwano 24h'!I103)</f>
        <v>10</v>
      </c>
      <c r="J103" s="48">
        <f>AVERAGE('1.08.Jinja RD-Mukwano RBT 24h'!J103,'03.8.Jinja-Mukwano 24h'!J103)</f>
        <v>0</v>
      </c>
      <c r="K103" s="48">
        <f>AVERAGE('1.08.Jinja RD-Mukwano RBT 24h'!K103,'03.8.Jinja-Mukwano 24h'!K103)</f>
        <v>7</v>
      </c>
      <c r="L103" s="48">
        <f>AVERAGE('1.08.Jinja RD-Mukwano RBT 24h'!L103,'03.8.Jinja-Mukwano 24h'!L103)</f>
        <v>0</v>
      </c>
      <c r="M103" s="48">
        <f>AVERAGE('1.08.Jinja RD-Mukwano RBT 24h'!M103,'03.8.Jinja-Mukwano 24h'!M103)</f>
        <v>61</v>
      </c>
      <c r="N103" s="48">
        <f>AVERAGE('1.08.Jinja RD-Mukwano RBT 24h'!N103,'03.8.Jinja-Mukwano 24h'!N103)</f>
        <v>0</v>
      </c>
      <c r="O103" s="15">
        <f t="shared" si="35"/>
        <v>47.5</v>
      </c>
      <c r="P103" s="15">
        <f t="shared" si="36"/>
        <v>108.5</v>
      </c>
      <c r="R103" s="8"/>
      <c r="T103"/>
    </row>
    <row r="104" spans="2:20" ht="23.1" customHeight="1" x14ac:dyDescent="0.25">
      <c r="B104" s="24" t="s">
        <v>144</v>
      </c>
      <c r="C104" s="48">
        <f>AVERAGE('1.08.Jinja RD-Mukwano RBT 24h'!C104,'03.8.Jinja-Mukwano 24h'!C104)</f>
        <v>46</v>
      </c>
      <c r="D104" s="48">
        <f>AVERAGE('1.08.Jinja RD-Mukwano RBT 24h'!D104,'03.8.Jinja-Mukwano 24h'!D104)</f>
        <v>11.5</v>
      </c>
      <c r="E104" s="48">
        <f>AVERAGE('1.08.Jinja RD-Mukwano RBT 24h'!E104,'03.8.Jinja-Mukwano 24h'!E104)</f>
        <v>1.5</v>
      </c>
      <c r="F104" s="48">
        <f>AVERAGE('1.08.Jinja RD-Mukwano RBT 24h'!F104,'03.8.Jinja-Mukwano 24h'!F104)</f>
        <v>1</v>
      </c>
      <c r="G104" s="48">
        <f>AVERAGE('1.08.Jinja RD-Mukwano RBT 24h'!G104,'03.8.Jinja-Mukwano 24h'!G104)</f>
        <v>0</v>
      </c>
      <c r="H104" s="48">
        <f>AVERAGE('1.08.Jinja RD-Mukwano RBT 24h'!H104,'03.8.Jinja-Mukwano 24h'!H104)</f>
        <v>0</v>
      </c>
      <c r="I104" s="48">
        <f>AVERAGE('1.08.Jinja RD-Mukwano RBT 24h'!I104,'03.8.Jinja-Mukwano 24h'!I104)</f>
        <v>2</v>
      </c>
      <c r="J104" s="48">
        <f>AVERAGE('1.08.Jinja RD-Mukwano RBT 24h'!J104,'03.8.Jinja-Mukwano 24h'!J104)</f>
        <v>0</v>
      </c>
      <c r="K104" s="48">
        <f>AVERAGE('1.08.Jinja RD-Mukwano RBT 24h'!K104,'03.8.Jinja-Mukwano 24h'!K104)</f>
        <v>0.5</v>
      </c>
      <c r="L104" s="48">
        <f>AVERAGE('1.08.Jinja RD-Mukwano RBT 24h'!L104,'03.8.Jinja-Mukwano 24h'!L104)</f>
        <v>0</v>
      </c>
      <c r="M104" s="48">
        <f>AVERAGE('1.08.Jinja RD-Mukwano RBT 24h'!M104,'03.8.Jinja-Mukwano 24h'!M104)</f>
        <v>64</v>
      </c>
      <c r="N104" s="48">
        <f>AVERAGE('1.08.Jinja RD-Mukwano RBT 24h'!N104,'03.8.Jinja-Mukwano 24h'!N104)</f>
        <v>0</v>
      </c>
      <c r="O104" s="15">
        <f t="shared" si="35"/>
        <v>62.5</v>
      </c>
      <c r="P104" s="15">
        <f t="shared" si="36"/>
        <v>126.5</v>
      </c>
      <c r="R104" s="8"/>
      <c r="T104"/>
    </row>
    <row r="105" spans="2:20" ht="23.1" customHeight="1" x14ac:dyDescent="0.25">
      <c r="B105" s="22" t="s">
        <v>145</v>
      </c>
      <c r="C105" s="48">
        <f>AVERAGE('1.08.Jinja RD-Mukwano RBT 24h'!C105,'03.8.Jinja-Mukwano 24h'!C105)</f>
        <v>38.5</v>
      </c>
      <c r="D105" s="48">
        <f>AVERAGE('1.08.Jinja RD-Mukwano RBT 24h'!D105,'03.8.Jinja-Mukwano 24h'!D105)</f>
        <v>10.5</v>
      </c>
      <c r="E105" s="48">
        <f>AVERAGE('1.08.Jinja RD-Mukwano RBT 24h'!E105,'03.8.Jinja-Mukwano 24h'!E105)</f>
        <v>12</v>
      </c>
      <c r="F105" s="48">
        <f>AVERAGE('1.08.Jinja RD-Mukwano RBT 24h'!F105,'03.8.Jinja-Mukwano 24h'!F105)</f>
        <v>0.5</v>
      </c>
      <c r="G105" s="48">
        <f>AVERAGE('1.08.Jinja RD-Mukwano RBT 24h'!G105,'03.8.Jinja-Mukwano 24h'!G105)</f>
        <v>0</v>
      </c>
      <c r="H105" s="48">
        <f>AVERAGE('1.08.Jinja RD-Mukwano RBT 24h'!H105,'03.8.Jinja-Mukwano 24h'!H105)</f>
        <v>0</v>
      </c>
      <c r="I105" s="48">
        <f>AVERAGE('1.08.Jinja RD-Mukwano RBT 24h'!I105,'03.8.Jinja-Mukwano 24h'!I105)</f>
        <v>7</v>
      </c>
      <c r="J105" s="48">
        <f>AVERAGE('1.08.Jinja RD-Mukwano RBT 24h'!J105,'03.8.Jinja-Mukwano 24h'!J105)</f>
        <v>2</v>
      </c>
      <c r="K105" s="48">
        <f>AVERAGE('1.08.Jinja RD-Mukwano RBT 24h'!K105,'03.8.Jinja-Mukwano 24h'!K105)</f>
        <v>8</v>
      </c>
      <c r="L105" s="48">
        <f>AVERAGE('1.08.Jinja RD-Mukwano RBT 24h'!L105,'03.8.Jinja-Mukwano 24h'!L105)</f>
        <v>1</v>
      </c>
      <c r="M105" s="48">
        <f>AVERAGE('1.08.Jinja RD-Mukwano RBT 24h'!M105,'03.8.Jinja-Mukwano 24h'!M105)</f>
        <v>105</v>
      </c>
      <c r="N105" s="48">
        <f>AVERAGE('1.08.Jinja RD-Mukwano RBT 24h'!N105,'03.8.Jinja-Mukwano 24h'!N105)</f>
        <v>0</v>
      </c>
      <c r="O105" s="15">
        <f t="shared" si="35"/>
        <v>79.5</v>
      </c>
      <c r="P105" s="15">
        <f t="shared" si="36"/>
        <v>184.5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10412.928571428572</v>
      </c>
      <c r="D106" s="16">
        <f t="shared" ref="D106:P106" si="37">SUM(D10:D105)</f>
        <v>2336.5714285714284</v>
      </c>
      <c r="E106" s="16">
        <f t="shared" si="37"/>
        <v>752.50000000000023</v>
      </c>
      <c r="F106" s="16">
        <f t="shared" si="37"/>
        <v>369.57142857142856</v>
      </c>
      <c r="G106" s="16">
        <f t="shared" si="37"/>
        <v>46.214285714285722</v>
      </c>
      <c r="H106" s="16">
        <f t="shared" si="37"/>
        <v>14.714285714285715</v>
      </c>
      <c r="I106" s="16">
        <f t="shared" si="37"/>
        <v>537.14285714285711</v>
      </c>
      <c r="J106" s="16">
        <f t="shared" si="37"/>
        <v>229</v>
      </c>
      <c r="K106" s="16">
        <f t="shared" si="37"/>
        <v>127.78571428571432</v>
      </c>
      <c r="L106" s="16">
        <f t="shared" si="37"/>
        <v>136.71428571428572</v>
      </c>
      <c r="M106" s="16">
        <f t="shared" si="37"/>
        <v>29011.785714285717</v>
      </c>
      <c r="N106" s="16">
        <f t="shared" si="37"/>
        <v>3.1428571428571419</v>
      </c>
      <c r="O106" s="16">
        <f t="shared" si="37"/>
        <v>14966.285714285714</v>
      </c>
      <c r="P106" s="16">
        <f t="shared" si="37"/>
        <v>43978.07142857142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0.23677547089214923</v>
      </c>
      <c r="D107" s="42">
        <f t="shared" si="38"/>
        <v>5.3130375040807684E-2</v>
      </c>
      <c r="E107" s="42">
        <f t="shared" si="38"/>
        <v>1.7110800350174527E-2</v>
      </c>
      <c r="F107" s="42">
        <f t="shared" si="38"/>
        <v>8.4035387766305623E-3</v>
      </c>
      <c r="G107" s="42">
        <f t="shared" si="38"/>
        <v>1.0508483935987582E-3</v>
      </c>
      <c r="H107" s="42">
        <f t="shared" si="38"/>
        <v>3.3458233242866179E-4</v>
      </c>
      <c r="I107" s="42">
        <f t="shared" si="38"/>
        <v>1.2213879319725904E-2</v>
      </c>
      <c r="J107" s="42">
        <f t="shared" si="38"/>
        <v>5.2071405716810175E-3</v>
      </c>
      <c r="K107" s="42">
        <f t="shared" si="38"/>
        <v>2.9056688966741556E-3</v>
      </c>
      <c r="L107" s="42">
        <f t="shared" si="38"/>
        <v>3.108692156643003E-3</v>
      </c>
      <c r="M107" s="42">
        <f t="shared" si="38"/>
        <v>0.65968753908197775</v>
      </c>
      <c r="N107" s="42">
        <f t="shared" si="38"/>
        <v>7.1464187509034523E-5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0.69575903936466732</v>
      </c>
      <c r="D108" s="43">
        <f t="shared" ref="D108:N108" si="39">D106/$O$106</f>
        <v>0.15612233209881257</v>
      </c>
      <c r="E108" s="43">
        <f t="shared" si="39"/>
        <v>5.0279676224657344E-2</v>
      </c>
      <c r="F108" s="43">
        <f t="shared" si="39"/>
        <v>2.4693597037150166E-2</v>
      </c>
      <c r="G108" s="43">
        <f t="shared" si="39"/>
        <v>3.087892787598794E-3</v>
      </c>
      <c r="H108" s="43">
        <f t="shared" si="39"/>
        <v>9.831621549387195E-4</v>
      </c>
      <c r="I108" s="43">
        <f t="shared" si="39"/>
        <v>3.5890191287083345E-2</v>
      </c>
      <c r="J108" s="43">
        <f t="shared" si="39"/>
        <v>1.5301057615211333E-2</v>
      </c>
      <c r="K108" s="43">
        <f t="shared" si="39"/>
        <v>8.5382383261425714E-3</v>
      </c>
      <c r="L108" s="43">
        <f t="shared" si="39"/>
        <v>9.1348173036539283E-3</v>
      </c>
      <c r="M108" s="43"/>
      <c r="N108" s="43">
        <f t="shared" si="39"/>
        <v>2.0999580008399825E-4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H46" zoomScale="60" workbookViewId="0">
      <selection activeCell="AE55" sqref="AE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28" width="10.7109375" customWidth="1"/>
    <col min="29" max="29" width="15.5703125" bestFit="1" customWidth="1"/>
    <col min="30" max="30" width="10.7109375" customWidth="1"/>
    <col min="31" max="31" width="17" bestFit="1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tr">
        <f>'04.08.Jinja RD-Mukwano'!C3:G3</f>
        <v>MCC - C1 - STN049-JINJA ROAD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70" t="s">
        <v>163</v>
      </c>
      <c r="E5" s="71"/>
      <c r="F5" s="40" t="s">
        <v>1</v>
      </c>
      <c r="G5" s="58" t="e">
        <f>'Avg Week Jinja-Mukwano'!G5:H5</f>
        <v>#REF!</v>
      </c>
      <c r="H5" s="59"/>
      <c r="I5" s="14"/>
      <c r="J5" s="2" t="s">
        <v>5</v>
      </c>
      <c r="K5" s="58" t="str">
        <f>'Avg Week Jinja-Mukwano'!K5:L5</f>
        <v>Nsiimire Joan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72" t="s">
        <v>161</v>
      </c>
      <c r="E6" s="73"/>
      <c r="F6" s="2" t="s">
        <v>2</v>
      </c>
      <c r="G6" s="72" t="s">
        <v>161</v>
      </c>
      <c r="H6" s="73"/>
      <c r="J6" s="2" t="s">
        <v>21</v>
      </c>
      <c r="K6" s="58" t="e">
        <f>'Avg Week Jinja-Mukwano'!K6:L6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'Avg Week Mukwano-Jinja '!C10+'Avg Week Jinja-Mukwano'!C10</f>
        <v>162.85714285714286</v>
      </c>
      <c r="D10" s="48">
        <f>'Avg Week Mukwano-Jinja '!D10+'Avg Week Jinja-Mukwano'!D10</f>
        <v>33.857142857142861</v>
      </c>
      <c r="E10" s="48">
        <f>'Avg Week Mukwano-Jinja '!E10+'Avg Week Jinja-Mukwano'!E10</f>
        <v>17.571428571428569</v>
      </c>
      <c r="F10" s="48">
        <f>'Avg Week Mukwano-Jinja '!F10+'Avg Week Jinja-Mukwano'!F10</f>
        <v>11.285714285714286</v>
      </c>
      <c r="G10" s="48">
        <f>'Avg Week Mukwano-Jinja '!G10+'Avg Week Jinja-Mukwano'!G10</f>
        <v>0.42857142857142855</v>
      </c>
      <c r="H10" s="48">
        <f>'Avg Week Mukwano-Jinja '!H10+'Avg Week Jinja-Mukwano'!H10</f>
        <v>0.14285714285714285</v>
      </c>
      <c r="I10" s="48">
        <f>'Avg Week Mukwano-Jinja '!I10+'Avg Week Jinja-Mukwano'!I10</f>
        <v>5.1428571428571423</v>
      </c>
      <c r="J10" s="48">
        <f>'Avg Week Mukwano-Jinja '!J10+'Avg Week Jinja-Mukwano'!J10</f>
        <v>0.8571428571428571</v>
      </c>
      <c r="K10" s="48">
        <f>'Avg Week Mukwano-Jinja '!K10+'Avg Week Jinja-Mukwano'!K10</f>
        <v>1.1428571428571428</v>
      </c>
      <c r="L10" s="48">
        <f>'Avg Week Mukwano-Jinja '!L10+'Avg Week Jinja-Mukwano'!L10</f>
        <v>2</v>
      </c>
      <c r="M10" s="48">
        <f>'Avg Week Mukwano-Jinja '!M10+'Avg Week Jinja-Mukwano'!M10</f>
        <v>747.42857142857144</v>
      </c>
      <c r="N10" s="48">
        <f>'Avg Week Mukwano-Jinja '!N10+'Avg Week Jinja-Mukwano'!N10</f>
        <v>0</v>
      </c>
      <c r="O10" s="15">
        <f t="shared" ref="O10:O73" si="0">SUM(C10:L10,N10)</f>
        <v>235.28571428571425</v>
      </c>
      <c r="P10" s="15">
        <f t="shared" ref="P10:P73" si="1">SUM(C10:N10)</f>
        <v>982.71428571428567</v>
      </c>
      <c r="R10" s="1" t="s">
        <v>6</v>
      </c>
      <c r="S10" s="17">
        <f t="shared" ref="S10:AF10" si="2">SUM(C10:C13)</f>
        <v>924.85714285714278</v>
      </c>
      <c r="T10" s="17">
        <f t="shared" si="2"/>
        <v>189.14285714285717</v>
      </c>
      <c r="U10" s="17">
        <f t="shared" si="2"/>
        <v>80.428571428571431</v>
      </c>
      <c r="V10" s="17">
        <f t="shared" si="2"/>
        <v>57.428571428571431</v>
      </c>
      <c r="W10" s="17">
        <f t="shared" si="2"/>
        <v>4.5714285714285712</v>
      </c>
      <c r="X10" s="17">
        <f t="shared" si="2"/>
        <v>1.1428571428571428</v>
      </c>
      <c r="Y10" s="17">
        <f t="shared" si="2"/>
        <v>21.428571428571431</v>
      </c>
      <c r="Z10" s="17">
        <f t="shared" si="2"/>
        <v>11.857142857142858</v>
      </c>
      <c r="AA10" s="17">
        <f t="shared" si="2"/>
        <v>6</v>
      </c>
      <c r="AB10" s="17">
        <f t="shared" si="2"/>
        <v>8.5714285714285712</v>
      </c>
      <c r="AC10" s="17">
        <f t="shared" si="2"/>
        <v>3208.5714285714284</v>
      </c>
      <c r="AD10" s="17">
        <f t="shared" si="2"/>
        <v>0.14285714285714285</v>
      </c>
      <c r="AE10" s="30">
        <f t="shared" si="2"/>
        <v>1305.5714285714284</v>
      </c>
      <c r="AF10" s="30">
        <f t="shared" si="2"/>
        <v>4514.1428571428569</v>
      </c>
    </row>
    <row r="11" spans="2:32" s="6" customFormat="1" ht="23.1" customHeight="1" x14ac:dyDescent="0.25">
      <c r="B11" s="22" t="s">
        <v>38</v>
      </c>
      <c r="C11" s="48">
        <f>'Avg Week Mukwano-Jinja '!C11+'Avg Week Jinja-Mukwano'!C11</f>
        <v>198.28571428571428</v>
      </c>
      <c r="D11" s="48">
        <f>'Avg Week Mukwano-Jinja '!D11+'Avg Week Jinja-Mukwano'!D11</f>
        <v>43.857142857142861</v>
      </c>
      <c r="E11" s="48">
        <f>'Avg Week Mukwano-Jinja '!E11+'Avg Week Jinja-Mukwano'!E11</f>
        <v>18.428571428571427</v>
      </c>
      <c r="F11" s="48">
        <f>'Avg Week Mukwano-Jinja '!F11+'Avg Week Jinja-Mukwano'!F11</f>
        <v>13.857142857142858</v>
      </c>
      <c r="G11" s="48">
        <f>'Avg Week Mukwano-Jinja '!G11+'Avg Week Jinja-Mukwano'!G11</f>
        <v>0.42857142857142855</v>
      </c>
      <c r="H11" s="48">
        <f>'Avg Week Mukwano-Jinja '!H11+'Avg Week Jinja-Mukwano'!H11</f>
        <v>0</v>
      </c>
      <c r="I11" s="48">
        <f>'Avg Week Mukwano-Jinja '!I11+'Avg Week Jinja-Mukwano'!I11</f>
        <v>4.7142857142857144</v>
      </c>
      <c r="J11" s="48">
        <f>'Avg Week Mukwano-Jinja '!J11+'Avg Week Jinja-Mukwano'!J11</f>
        <v>2.1428571428571428</v>
      </c>
      <c r="K11" s="48">
        <f>'Avg Week Mukwano-Jinja '!K11+'Avg Week Jinja-Mukwano'!K11</f>
        <v>1</v>
      </c>
      <c r="L11" s="48">
        <f>'Avg Week Mukwano-Jinja '!L11+'Avg Week Jinja-Mukwano'!L11</f>
        <v>3.1428571428571432</v>
      </c>
      <c r="M11" s="48">
        <f>'Avg Week Mukwano-Jinja '!M11+'Avg Week Jinja-Mukwano'!M11</f>
        <v>732.85714285714289</v>
      </c>
      <c r="N11" s="48">
        <f>'Avg Week Mukwano-Jinja '!N11+'Avg Week Jinja-Mukwano'!N11</f>
        <v>0.14285714285714285</v>
      </c>
      <c r="O11" s="15">
        <f t="shared" si="0"/>
        <v>286.00000000000006</v>
      </c>
      <c r="P11" s="15">
        <f t="shared" si="1"/>
        <v>1018.8571428571429</v>
      </c>
      <c r="R11" s="1" t="s">
        <v>7</v>
      </c>
      <c r="S11" s="17">
        <f t="shared" ref="S11:AF11" si="3">SUM(C14:C17)</f>
        <v>1180.7142857142858</v>
      </c>
      <c r="T11" s="17">
        <f t="shared" si="3"/>
        <v>209.42857142857144</v>
      </c>
      <c r="U11" s="17">
        <f t="shared" si="3"/>
        <v>90.714285714285722</v>
      </c>
      <c r="V11" s="17">
        <f t="shared" si="3"/>
        <v>69.285714285714278</v>
      </c>
      <c r="W11" s="17">
        <f t="shared" si="3"/>
        <v>4.5714285714285712</v>
      </c>
      <c r="X11" s="17">
        <f t="shared" si="3"/>
        <v>1.2857142857142856</v>
      </c>
      <c r="Y11" s="17">
        <f t="shared" si="3"/>
        <v>38.714285714285708</v>
      </c>
      <c r="Z11" s="17">
        <f t="shared" si="3"/>
        <v>23.285714285714285</v>
      </c>
      <c r="AA11" s="17">
        <f t="shared" si="3"/>
        <v>11.428571428571427</v>
      </c>
      <c r="AB11" s="17">
        <f t="shared" si="3"/>
        <v>11.571428571428569</v>
      </c>
      <c r="AC11" s="17">
        <f t="shared" si="3"/>
        <v>3314.8571428571431</v>
      </c>
      <c r="AD11" s="17">
        <f t="shared" si="3"/>
        <v>0</v>
      </c>
      <c r="AE11" s="30">
        <f t="shared" si="3"/>
        <v>1641</v>
      </c>
      <c r="AF11" s="30">
        <f t="shared" si="3"/>
        <v>4955.8571428571431</v>
      </c>
    </row>
    <row r="12" spans="2:32" ht="23.1" customHeight="1" x14ac:dyDescent="0.25">
      <c r="B12" s="22" t="s">
        <v>39</v>
      </c>
      <c r="C12" s="48">
        <f>'Avg Week Mukwano-Jinja '!C12+'Avg Week Jinja-Mukwano'!C12</f>
        <v>247.14285714285714</v>
      </c>
      <c r="D12" s="48">
        <f>'Avg Week Mukwano-Jinja '!D12+'Avg Week Jinja-Mukwano'!D12</f>
        <v>44</v>
      </c>
      <c r="E12" s="48">
        <f>'Avg Week Mukwano-Jinja '!E12+'Avg Week Jinja-Mukwano'!E12</f>
        <v>19.857142857142858</v>
      </c>
      <c r="F12" s="48">
        <f>'Avg Week Mukwano-Jinja '!F12+'Avg Week Jinja-Mukwano'!F12</f>
        <v>14.428571428571427</v>
      </c>
      <c r="G12" s="48">
        <f>'Avg Week Mukwano-Jinja '!G12+'Avg Week Jinja-Mukwano'!G12</f>
        <v>1.2857142857142856</v>
      </c>
      <c r="H12" s="48">
        <f>'Avg Week Mukwano-Jinja '!H12+'Avg Week Jinja-Mukwano'!H12</f>
        <v>0.42857142857142855</v>
      </c>
      <c r="I12" s="48">
        <f>'Avg Week Mukwano-Jinja '!I12+'Avg Week Jinja-Mukwano'!I12</f>
        <v>5.5714285714285712</v>
      </c>
      <c r="J12" s="48">
        <f>'Avg Week Mukwano-Jinja '!J12+'Avg Week Jinja-Mukwano'!J12</f>
        <v>4.1428571428571432</v>
      </c>
      <c r="K12" s="48">
        <f>'Avg Week Mukwano-Jinja '!K12+'Avg Week Jinja-Mukwano'!K12</f>
        <v>2</v>
      </c>
      <c r="L12" s="48">
        <f>'Avg Week Mukwano-Jinja '!L12+'Avg Week Jinja-Mukwano'!L12</f>
        <v>1.5714285714285714</v>
      </c>
      <c r="M12" s="48">
        <f>'Avg Week Mukwano-Jinja '!M12+'Avg Week Jinja-Mukwano'!M12</f>
        <v>841.57142857142856</v>
      </c>
      <c r="N12" s="48">
        <f>'Avg Week Mukwano-Jinja '!N12+'Avg Week Jinja-Mukwano'!N12</f>
        <v>0</v>
      </c>
      <c r="O12" s="15">
        <f t="shared" si="0"/>
        <v>340.42857142857139</v>
      </c>
      <c r="P12" s="15">
        <f t="shared" si="1"/>
        <v>1182</v>
      </c>
      <c r="R12" s="1" t="s">
        <v>8</v>
      </c>
      <c r="S12" s="17">
        <f t="shared" ref="S12:AF12" si="4">SUM(C18:C21)</f>
        <v>1234.8571428571429</v>
      </c>
      <c r="T12" s="17">
        <f t="shared" si="4"/>
        <v>249.71428571428572</v>
      </c>
      <c r="U12" s="17">
        <f t="shared" si="4"/>
        <v>112.42857142857143</v>
      </c>
      <c r="V12" s="17">
        <f t="shared" si="4"/>
        <v>66</v>
      </c>
      <c r="W12" s="17">
        <f t="shared" si="4"/>
        <v>6.7142857142857153</v>
      </c>
      <c r="X12" s="17">
        <f t="shared" si="4"/>
        <v>0.99999999999999989</v>
      </c>
      <c r="Y12" s="17">
        <f t="shared" si="4"/>
        <v>57.714285714285708</v>
      </c>
      <c r="Z12" s="17">
        <f t="shared" si="4"/>
        <v>32.142857142857139</v>
      </c>
      <c r="AA12" s="17">
        <f t="shared" si="4"/>
        <v>11.571428571428569</v>
      </c>
      <c r="AB12" s="17">
        <f t="shared" si="4"/>
        <v>11.571428571428571</v>
      </c>
      <c r="AC12" s="17">
        <f t="shared" si="4"/>
        <v>3729.4285714285716</v>
      </c>
      <c r="AD12" s="17">
        <f t="shared" si="4"/>
        <v>1</v>
      </c>
      <c r="AE12" s="30">
        <f t="shared" si="4"/>
        <v>1784.7142857142856</v>
      </c>
      <c r="AF12" s="30">
        <f t="shared" si="4"/>
        <v>5514.1428571428569</v>
      </c>
    </row>
    <row r="13" spans="2:32" ht="23.1" customHeight="1" x14ac:dyDescent="0.25">
      <c r="B13" s="22" t="s">
        <v>40</v>
      </c>
      <c r="C13" s="48">
        <f>'Avg Week Mukwano-Jinja '!C13+'Avg Week Jinja-Mukwano'!C13</f>
        <v>316.57142857142856</v>
      </c>
      <c r="D13" s="48">
        <f>'Avg Week Mukwano-Jinja '!D13+'Avg Week Jinja-Mukwano'!D13</f>
        <v>67.428571428571431</v>
      </c>
      <c r="E13" s="48">
        <f>'Avg Week Mukwano-Jinja '!E13+'Avg Week Jinja-Mukwano'!E13</f>
        <v>24.571428571428573</v>
      </c>
      <c r="F13" s="48">
        <f>'Avg Week Mukwano-Jinja '!F13+'Avg Week Jinja-Mukwano'!F13</f>
        <v>17.857142857142858</v>
      </c>
      <c r="G13" s="48">
        <f>'Avg Week Mukwano-Jinja '!G13+'Avg Week Jinja-Mukwano'!G13</f>
        <v>2.4285714285714288</v>
      </c>
      <c r="H13" s="48">
        <f>'Avg Week Mukwano-Jinja '!H13+'Avg Week Jinja-Mukwano'!H13</f>
        <v>0.5714285714285714</v>
      </c>
      <c r="I13" s="48">
        <f>'Avg Week Mukwano-Jinja '!I13+'Avg Week Jinja-Mukwano'!I13</f>
        <v>6</v>
      </c>
      <c r="J13" s="48">
        <f>'Avg Week Mukwano-Jinja '!J13+'Avg Week Jinja-Mukwano'!J13</f>
        <v>4.7142857142857144</v>
      </c>
      <c r="K13" s="48">
        <f>'Avg Week Mukwano-Jinja '!K13+'Avg Week Jinja-Mukwano'!K13</f>
        <v>1.8571428571428572</v>
      </c>
      <c r="L13" s="48">
        <f>'Avg Week Mukwano-Jinja '!L13+'Avg Week Jinja-Mukwano'!L13</f>
        <v>1.8571428571428572</v>
      </c>
      <c r="M13" s="48">
        <f>'Avg Week Mukwano-Jinja '!M13+'Avg Week Jinja-Mukwano'!M13</f>
        <v>886.71428571428578</v>
      </c>
      <c r="N13" s="48">
        <f>'Avg Week Mukwano-Jinja '!N13+'Avg Week Jinja-Mukwano'!N13</f>
        <v>0</v>
      </c>
      <c r="O13" s="15">
        <f t="shared" si="0"/>
        <v>443.85714285714278</v>
      </c>
      <c r="P13" s="15">
        <f t="shared" si="1"/>
        <v>1330.5714285714284</v>
      </c>
      <c r="R13" s="1" t="s">
        <v>9</v>
      </c>
      <c r="S13" s="17">
        <f t="shared" ref="S13:AF13" si="5">SUM(C22:C25)</f>
        <v>1179</v>
      </c>
      <c r="T13" s="17">
        <f t="shared" si="5"/>
        <v>263.85714285714283</v>
      </c>
      <c r="U13" s="17">
        <f t="shared" si="5"/>
        <v>127.42857142857142</v>
      </c>
      <c r="V13" s="17">
        <f t="shared" si="5"/>
        <v>67</v>
      </c>
      <c r="W13" s="17">
        <f t="shared" si="5"/>
        <v>7.8571428571428577</v>
      </c>
      <c r="X13" s="17">
        <f t="shared" si="5"/>
        <v>1.1428571428571428</v>
      </c>
      <c r="Y13" s="17">
        <f t="shared" si="5"/>
        <v>74.285714285714278</v>
      </c>
      <c r="Z13" s="17">
        <f t="shared" si="5"/>
        <v>37.142857142857139</v>
      </c>
      <c r="AA13" s="17">
        <f t="shared" si="5"/>
        <v>15.571428571428573</v>
      </c>
      <c r="AB13" s="17">
        <f t="shared" si="5"/>
        <v>18.571428571428569</v>
      </c>
      <c r="AC13" s="17">
        <f t="shared" si="5"/>
        <v>3535.7142857142862</v>
      </c>
      <c r="AD13" s="17">
        <f t="shared" si="5"/>
        <v>1.2857142857142856</v>
      </c>
      <c r="AE13" s="30">
        <f t="shared" si="5"/>
        <v>1793.1428571428569</v>
      </c>
      <c r="AF13" s="30">
        <f t="shared" si="5"/>
        <v>5328.8571428571422</v>
      </c>
    </row>
    <row r="14" spans="2:32" ht="23.1" customHeight="1" x14ac:dyDescent="0.25">
      <c r="B14" s="22" t="s">
        <v>41</v>
      </c>
      <c r="C14" s="48">
        <f>'Avg Week Mukwano-Jinja '!C14+'Avg Week Jinja-Mukwano'!C14</f>
        <v>278.71428571428572</v>
      </c>
      <c r="D14" s="48">
        <f>'Avg Week Mukwano-Jinja '!D14+'Avg Week Jinja-Mukwano'!D14</f>
        <v>38</v>
      </c>
      <c r="E14" s="48">
        <f>'Avg Week Mukwano-Jinja '!E14+'Avg Week Jinja-Mukwano'!E14</f>
        <v>20.714285714285715</v>
      </c>
      <c r="F14" s="48">
        <f>'Avg Week Mukwano-Jinja '!F14+'Avg Week Jinja-Mukwano'!F14</f>
        <v>18.857142857142858</v>
      </c>
      <c r="G14" s="48">
        <f>'Avg Week Mukwano-Jinja '!G14+'Avg Week Jinja-Mukwano'!G14</f>
        <v>1.4285714285714286</v>
      </c>
      <c r="H14" s="48">
        <f>'Avg Week Mukwano-Jinja '!H14+'Avg Week Jinja-Mukwano'!H14</f>
        <v>0.14285714285714285</v>
      </c>
      <c r="I14" s="48">
        <f>'Avg Week Mukwano-Jinja '!I14+'Avg Week Jinja-Mukwano'!I14</f>
        <v>8.1428571428571423</v>
      </c>
      <c r="J14" s="48">
        <f>'Avg Week Mukwano-Jinja '!J14+'Avg Week Jinja-Mukwano'!J14</f>
        <v>3.8571428571428572</v>
      </c>
      <c r="K14" s="48">
        <f>'Avg Week Mukwano-Jinja '!K14+'Avg Week Jinja-Mukwano'!K14</f>
        <v>1.5714285714285716</v>
      </c>
      <c r="L14" s="48">
        <f>'Avg Week Mukwano-Jinja '!L14+'Avg Week Jinja-Mukwano'!L14</f>
        <v>2.7142857142857144</v>
      </c>
      <c r="M14" s="48">
        <f>'Avg Week Mukwano-Jinja '!M14+'Avg Week Jinja-Mukwano'!M14</f>
        <v>812.42857142857144</v>
      </c>
      <c r="N14" s="48">
        <f>'Avg Week Mukwano-Jinja '!N14+'Avg Week Jinja-Mukwano'!N14</f>
        <v>0</v>
      </c>
      <c r="O14" s="15">
        <f t="shared" si="0"/>
        <v>374.14285714285717</v>
      </c>
      <c r="P14" s="15">
        <f t="shared" si="1"/>
        <v>1186.5714285714287</v>
      </c>
      <c r="R14" s="1" t="s">
        <v>10</v>
      </c>
      <c r="S14" s="17">
        <f t="shared" ref="S14:AF14" si="6">SUM(C26:C29)</f>
        <v>1172.5714285714284</v>
      </c>
      <c r="T14" s="17">
        <f t="shared" si="6"/>
        <v>238.14285714285717</v>
      </c>
      <c r="U14" s="17">
        <f t="shared" si="6"/>
        <v>109.42857142857142</v>
      </c>
      <c r="V14" s="17">
        <f t="shared" si="6"/>
        <v>67</v>
      </c>
      <c r="W14" s="17">
        <f t="shared" si="6"/>
        <v>7.7142857142857153</v>
      </c>
      <c r="X14" s="17">
        <f t="shared" si="6"/>
        <v>0.42857142857142855</v>
      </c>
      <c r="Y14" s="17">
        <f t="shared" si="6"/>
        <v>64.571428571428569</v>
      </c>
      <c r="Z14" s="17">
        <f t="shared" si="6"/>
        <v>36.857142857142861</v>
      </c>
      <c r="AA14" s="17">
        <f t="shared" si="6"/>
        <v>11.142857142857142</v>
      </c>
      <c r="AB14" s="17">
        <f t="shared" si="6"/>
        <v>21.142857142857146</v>
      </c>
      <c r="AC14" s="17">
        <f t="shared" si="6"/>
        <v>3470.7142857142858</v>
      </c>
      <c r="AD14" s="17">
        <f t="shared" si="6"/>
        <v>1.1428571428571428</v>
      </c>
      <c r="AE14" s="30">
        <f t="shared" si="6"/>
        <v>1730.1428571428571</v>
      </c>
      <c r="AF14" s="30">
        <f t="shared" si="6"/>
        <v>5200.8571428571431</v>
      </c>
    </row>
    <row r="15" spans="2:32" ht="23.1" customHeight="1" x14ac:dyDescent="0.25">
      <c r="B15" s="22" t="s">
        <v>42</v>
      </c>
      <c r="C15" s="48">
        <f>'Avg Week Mukwano-Jinja '!C15+'Avg Week Jinja-Mukwano'!C15</f>
        <v>290.42857142857144</v>
      </c>
      <c r="D15" s="48">
        <f>'Avg Week Mukwano-Jinja '!D15+'Avg Week Jinja-Mukwano'!D15</f>
        <v>48.142857142857139</v>
      </c>
      <c r="E15" s="48">
        <f>'Avg Week Mukwano-Jinja '!E15+'Avg Week Jinja-Mukwano'!E15</f>
        <v>23.857142857142854</v>
      </c>
      <c r="F15" s="48">
        <f>'Avg Week Mukwano-Jinja '!F15+'Avg Week Jinja-Mukwano'!F15</f>
        <v>17.571428571428569</v>
      </c>
      <c r="G15" s="48">
        <f>'Avg Week Mukwano-Jinja '!G15+'Avg Week Jinja-Mukwano'!G15</f>
        <v>1.1428571428571428</v>
      </c>
      <c r="H15" s="48">
        <f>'Avg Week Mukwano-Jinja '!H15+'Avg Week Jinja-Mukwano'!H15</f>
        <v>0.5714285714285714</v>
      </c>
      <c r="I15" s="48">
        <f>'Avg Week Mukwano-Jinja '!I15+'Avg Week Jinja-Mukwano'!I15</f>
        <v>8.4285714285714288</v>
      </c>
      <c r="J15" s="48">
        <f>'Avg Week Mukwano-Jinja '!J15+'Avg Week Jinja-Mukwano'!J15</f>
        <v>6</v>
      </c>
      <c r="K15" s="48">
        <f>'Avg Week Mukwano-Jinja '!K15+'Avg Week Jinja-Mukwano'!K15</f>
        <v>3</v>
      </c>
      <c r="L15" s="48">
        <f>'Avg Week Mukwano-Jinja '!L15+'Avg Week Jinja-Mukwano'!L15</f>
        <v>3.5714285714285712</v>
      </c>
      <c r="M15" s="48">
        <f>'Avg Week Mukwano-Jinja '!M15+'Avg Week Jinja-Mukwano'!M15</f>
        <v>773</v>
      </c>
      <c r="N15" s="48">
        <f>'Avg Week Mukwano-Jinja '!N15+'Avg Week Jinja-Mukwano'!N15</f>
        <v>0</v>
      </c>
      <c r="O15" s="15">
        <f t="shared" si="0"/>
        <v>402.71428571428567</v>
      </c>
      <c r="P15" s="15">
        <f t="shared" si="1"/>
        <v>1175.7142857142858</v>
      </c>
      <c r="R15" s="1" t="s">
        <v>11</v>
      </c>
      <c r="S15" s="17">
        <f t="shared" ref="S15:AF15" si="7">SUM(C30:C33)</f>
        <v>1215.8571428571429</v>
      </c>
      <c r="T15" s="17">
        <f t="shared" si="7"/>
        <v>251.57142857142861</v>
      </c>
      <c r="U15" s="17">
        <f t="shared" si="7"/>
        <v>113</v>
      </c>
      <c r="V15" s="17">
        <f t="shared" si="7"/>
        <v>65.428571428571431</v>
      </c>
      <c r="W15" s="17">
        <f t="shared" si="7"/>
        <v>5.4285714285714279</v>
      </c>
      <c r="X15" s="17">
        <f t="shared" si="7"/>
        <v>1.857142857142857</v>
      </c>
      <c r="Y15" s="17">
        <f t="shared" si="7"/>
        <v>69.428571428571431</v>
      </c>
      <c r="Z15" s="17">
        <f t="shared" si="7"/>
        <v>36</v>
      </c>
      <c r="AA15" s="17">
        <f t="shared" si="7"/>
        <v>11.142857142857142</v>
      </c>
      <c r="AB15" s="17">
        <f t="shared" si="7"/>
        <v>16</v>
      </c>
      <c r="AC15" s="17">
        <f t="shared" si="7"/>
        <v>3406.4285714285716</v>
      </c>
      <c r="AD15" s="17">
        <f t="shared" si="7"/>
        <v>0.5714285714285714</v>
      </c>
      <c r="AE15" s="30">
        <f t="shared" si="7"/>
        <v>1786.2857142857147</v>
      </c>
      <c r="AF15" s="30">
        <f t="shared" si="7"/>
        <v>5192.7142857142853</v>
      </c>
    </row>
    <row r="16" spans="2:32" ht="23.1" customHeight="1" x14ac:dyDescent="0.25">
      <c r="B16" s="22" t="s">
        <v>43</v>
      </c>
      <c r="C16" s="48">
        <f>'Avg Week Mukwano-Jinja '!C16+'Avg Week Jinja-Mukwano'!C16</f>
        <v>294.42857142857144</v>
      </c>
      <c r="D16" s="48">
        <f>'Avg Week Mukwano-Jinja '!D16+'Avg Week Jinja-Mukwano'!D16</f>
        <v>57</v>
      </c>
      <c r="E16" s="48">
        <f>'Avg Week Mukwano-Jinja '!E16+'Avg Week Jinja-Mukwano'!E16</f>
        <v>23.857142857142858</v>
      </c>
      <c r="F16" s="48">
        <f>'Avg Week Mukwano-Jinja '!F16+'Avg Week Jinja-Mukwano'!F16</f>
        <v>16.285714285714285</v>
      </c>
      <c r="G16" s="48">
        <f>'Avg Week Mukwano-Jinja '!G16+'Avg Week Jinja-Mukwano'!G16</f>
        <v>0.85714285714285721</v>
      </c>
      <c r="H16" s="48">
        <f>'Avg Week Mukwano-Jinja '!H16+'Avg Week Jinja-Mukwano'!H16</f>
        <v>0.5714285714285714</v>
      </c>
      <c r="I16" s="48">
        <f>'Avg Week Mukwano-Jinja '!I16+'Avg Week Jinja-Mukwano'!I16</f>
        <v>10</v>
      </c>
      <c r="J16" s="48">
        <f>'Avg Week Mukwano-Jinja '!J16+'Avg Week Jinja-Mukwano'!J16</f>
        <v>6.4285714285714288</v>
      </c>
      <c r="K16" s="48">
        <f>'Avg Week Mukwano-Jinja '!K16+'Avg Week Jinja-Mukwano'!K16</f>
        <v>2.8571428571428568</v>
      </c>
      <c r="L16" s="48">
        <f>'Avg Week Mukwano-Jinja '!L16+'Avg Week Jinja-Mukwano'!L16</f>
        <v>3</v>
      </c>
      <c r="M16" s="48">
        <f>'Avg Week Mukwano-Jinja '!M16+'Avg Week Jinja-Mukwano'!M16</f>
        <v>853.28571428571422</v>
      </c>
      <c r="N16" s="48">
        <f>'Avg Week Mukwano-Jinja '!N16+'Avg Week Jinja-Mukwano'!N16</f>
        <v>0</v>
      </c>
      <c r="O16" s="15">
        <f t="shared" si="0"/>
        <v>415.28571428571422</v>
      </c>
      <c r="P16" s="15">
        <f t="shared" si="1"/>
        <v>1268.5714285714284</v>
      </c>
      <c r="R16" s="1" t="s">
        <v>12</v>
      </c>
      <c r="S16" s="17">
        <f t="shared" ref="S16:AF16" si="8">SUM(C34:C37)</f>
        <v>1073.2857142857142</v>
      </c>
      <c r="T16" s="17">
        <f t="shared" si="8"/>
        <v>216.85714285714283</v>
      </c>
      <c r="U16" s="17">
        <f t="shared" si="8"/>
        <v>97.714285714285708</v>
      </c>
      <c r="V16" s="17">
        <f t="shared" si="8"/>
        <v>50</v>
      </c>
      <c r="W16" s="17">
        <f t="shared" si="8"/>
        <v>8.428571428571427</v>
      </c>
      <c r="X16" s="17">
        <f t="shared" si="8"/>
        <v>1.1428571428571428</v>
      </c>
      <c r="Y16" s="17">
        <f t="shared" si="8"/>
        <v>58.857142857142861</v>
      </c>
      <c r="Z16" s="17">
        <f t="shared" si="8"/>
        <v>28.428571428571431</v>
      </c>
      <c r="AA16" s="17">
        <f t="shared" si="8"/>
        <v>13.142857142857144</v>
      </c>
      <c r="AB16" s="17">
        <f t="shared" si="8"/>
        <v>20.571428571428573</v>
      </c>
      <c r="AC16" s="17">
        <f t="shared" si="8"/>
        <v>3268.7142857142858</v>
      </c>
      <c r="AD16" s="17">
        <f t="shared" si="8"/>
        <v>0.14285714285714285</v>
      </c>
      <c r="AE16" s="30">
        <f t="shared" si="8"/>
        <v>1568.5714285714284</v>
      </c>
      <c r="AF16" s="30">
        <f t="shared" si="8"/>
        <v>4837.2857142857138</v>
      </c>
    </row>
    <row r="17" spans="2:32" ht="23.1" customHeight="1" x14ac:dyDescent="0.25">
      <c r="B17" s="22" t="s">
        <v>44</v>
      </c>
      <c r="C17" s="48">
        <f>'Avg Week Mukwano-Jinja '!C17+'Avg Week Jinja-Mukwano'!C17</f>
        <v>317.14285714285711</v>
      </c>
      <c r="D17" s="48">
        <f>'Avg Week Mukwano-Jinja '!D17+'Avg Week Jinja-Mukwano'!D17</f>
        <v>66.285714285714292</v>
      </c>
      <c r="E17" s="48">
        <f>'Avg Week Mukwano-Jinja '!E17+'Avg Week Jinja-Mukwano'!E17</f>
        <v>22.285714285714285</v>
      </c>
      <c r="F17" s="48">
        <f>'Avg Week Mukwano-Jinja '!F17+'Avg Week Jinja-Mukwano'!F17</f>
        <v>16.571428571428569</v>
      </c>
      <c r="G17" s="48">
        <f>'Avg Week Mukwano-Jinja '!G17+'Avg Week Jinja-Mukwano'!G17</f>
        <v>1.1428571428571428</v>
      </c>
      <c r="H17" s="48">
        <f>'Avg Week Mukwano-Jinja '!H17+'Avg Week Jinja-Mukwano'!H17</f>
        <v>0</v>
      </c>
      <c r="I17" s="48">
        <f>'Avg Week Mukwano-Jinja '!I17+'Avg Week Jinja-Mukwano'!I17</f>
        <v>12.142857142857142</v>
      </c>
      <c r="J17" s="48">
        <f>'Avg Week Mukwano-Jinja '!J17+'Avg Week Jinja-Mukwano'!J17</f>
        <v>7</v>
      </c>
      <c r="K17" s="48">
        <f>'Avg Week Mukwano-Jinja '!K17+'Avg Week Jinja-Mukwano'!K17</f>
        <v>4</v>
      </c>
      <c r="L17" s="48">
        <f>'Avg Week Mukwano-Jinja '!L17+'Avg Week Jinja-Mukwano'!L17</f>
        <v>2.2857142857142856</v>
      </c>
      <c r="M17" s="48">
        <f>'Avg Week Mukwano-Jinja '!M17+'Avg Week Jinja-Mukwano'!M17</f>
        <v>876.14285714285711</v>
      </c>
      <c r="N17" s="48">
        <f>'Avg Week Mukwano-Jinja '!N17+'Avg Week Jinja-Mukwano'!N17</f>
        <v>0</v>
      </c>
      <c r="O17" s="15">
        <f t="shared" si="0"/>
        <v>448.85714285714283</v>
      </c>
      <c r="P17" s="15">
        <f t="shared" si="1"/>
        <v>1325</v>
      </c>
      <c r="R17" s="1" t="s">
        <v>13</v>
      </c>
      <c r="S17" s="17">
        <f t="shared" ref="S17:AF17" si="9">SUM(C38:C41)</f>
        <v>1099.4285714285713</v>
      </c>
      <c r="T17" s="17">
        <f t="shared" si="9"/>
        <v>184.14285714285714</v>
      </c>
      <c r="U17" s="17">
        <f t="shared" si="9"/>
        <v>101.14285714285714</v>
      </c>
      <c r="V17" s="17">
        <f t="shared" si="9"/>
        <v>57.428571428571431</v>
      </c>
      <c r="W17" s="17">
        <f t="shared" si="9"/>
        <v>3.5714285714285712</v>
      </c>
      <c r="X17" s="17">
        <f t="shared" si="9"/>
        <v>1.857142857142857</v>
      </c>
      <c r="Y17" s="17">
        <f t="shared" si="9"/>
        <v>67</v>
      </c>
      <c r="Z17" s="17">
        <f t="shared" si="9"/>
        <v>35</v>
      </c>
      <c r="AA17" s="17">
        <f t="shared" si="9"/>
        <v>12.714285714285714</v>
      </c>
      <c r="AB17" s="17">
        <f t="shared" si="9"/>
        <v>22.999999999999996</v>
      </c>
      <c r="AC17" s="17">
        <f t="shared" si="9"/>
        <v>3379.2857142857142</v>
      </c>
      <c r="AD17" s="17">
        <f t="shared" si="9"/>
        <v>0</v>
      </c>
      <c r="AE17" s="30">
        <f t="shared" si="9"/>
        <v>1585.2857142857142</v>
      </c>
      <c r="AF17" s="30">
        <f t="shared" si="9"/>
        <v>4964.5714285714284</v>
      </c>
    </row>
    <row r="18" spans="2:32" ht="23.1" customHeight="1" x14ac:dyDescent="0.25">
      <c r="B18" s="22" t="s">
        <v>45</v>
      </c>
      <c r="C18" s="48">
        <f>'Avg Week Mukwano-Jinja '!C18+'Avg Week Jinja-Mukwano'!C18</f>
        <v>354</v>
      </c>
      <c r="D18" s="48">
        <f>'Avg Week Mukwano-Jinja '!D18+'Avg Week Jinja-Mukwano'!D18</f>
        <v>65.714285714285722</v>
      </c>
      <c r="E18" s="48">
        <f>'Avg Week Mukwano-Jinja '!E18+'Avg Week Jinja-Mukwano'!E18</f>
        <v>27.285714285714285</v>
      </c>
      <c r="F18" s="48">
        <f>'Avg Week Mukwano-Jinja '!F18+'Avg Week Jinja-Mukwano'!F18</f>
        <v>17.142857142857142</v>
      </c>
      <c r="G18" s="48">
        <f>'Avg Week Mukwano-Jinja '!G18+'Avg Week Jinja-Mukwano'!G18</f>
        <v>1</v>
      </c>
      <c r="H18" s="48">
        <f>'Avg Week Mukwano-Jinja '!H18+'Avg Week Jinja-Mukwano'!H18</f>
        <v>0</v>
      </c>
      <c r="I18" s="48">
        <f>'Avg Week Mukwano-Jinja '!I18+'Avg Week Jinja-Mukwano'!I18</f>
        <v>13</v>
      </c>
      <c r="J18" s="48">
        <f>'Avg Week Mukwano-Jinja '!J18+'Avg Week Jinja-Mukwano'!J18</f>
        <v>8.4285714285714288</v>
      </c>
      <c r="K18" s="48">
        <f>'Avg Week Mukwano-Jinja '!K18+'Avg Week Jinja-Mukwano'!K18</f>
        <v>3.7142857142857144</v>
      </c>
      <c r="L18" s="48">
        <f>'Avg Week Mukwano-Jinja '!L18+'Avg Week Jinja-Mukwano'!L18</f>
        <v>3.4285714285714288</v>
      </c>
      <c r="M18" s="48">
        <f>'Avg Week Mukwano-Jinja '!M18+'Avg Week Jinja-Mukwano'!M18</f>
        <v>1023.2857142857142</v>
      </c>
      <c r="N18" s="48">
        <f>'Avg Week Mukwano-Jinja '!N18+'Avg Week Jinja-Mukwano'!N18</f>
        <v>0.2857142857142857</v>
      </c>
      <c r="O18" s="15">
        <f t="shared" si="0"/>
        <v>494.00000000000006</v>
      </c>
      <c r="P18" s="15">
        <f t="shared" si="1"/>
        <v>1517.2857142857142</v>
      </c>
      <c r="R18" s="1" t="s">
        <v>14</v>
      </c>
      <c r="S18" s="17">
        <f t="shared" ref="S18:AF18" si="10">SUM(C42:C45)</f>
        <v>1084.1428571428573</v>
      </c>
      <c r="T18" s="17">
        <f t="shared" si="10"/>
        <v>199.28571428571428</v>
      </c>
      <c r="U18" s="17">
        <f t="shared" si="10"/>
        <v>112</v>
      </c>
      <c r="V18" s="17">
        <f t="shared" si="10"/>
        <v>54.857142857142861</v>
      </c>
      <c r="W18" s="17">
        <f t="shared" si="10"/>
        <v>3.4285714285714284</v>
      </c>
      <c r="X18" s="17">
        <f t="shared" si="10"/>
        <v>1.2857142857142856</v>
      </c>
      <c r="Y18" s="17">
        <f t="shared" si="10"/>
        <v>60.571428571428569</v>
      </c>
      <c r="Z18" s="17">
        <f t="shared" si="10"/>
        <v>37.428571428571431</v>
      </c>
      <c r="AA18" s="17">
        <f t="shared" si="10"/>
        <v>15</v>
      </c>
      <c r="AB18" s="17">
        <f t="shared" si="10"/>
        <v>17.428571428571431</v>
      </c>
      <c r="AC18" s="17">
        <f t="shared" si="10"/>
        <v>3464.7142857142862</v>
      </c>
      <c r="AD18" s="17">
        <f t="shared" si="10"/>
        <v>0.2857142857142857</v>
      </c>
      <c r="AE18" s="30">
        <f t="shared" si="10"/>
        <v>1585.7142857142858</v>
      </c>
      <c r="AF18" s="30">
        <f t="shared" si="10"/>
        <v>5050.4285714285716</v>
      </c>
    </row>
    <row r="19" spans="2:32" ht="23.1" customHeight="1" x14ac:dyDescent="0.25">
      <c r="B19" s="22" t="s">
        <v>46</v>
      </c>
      <c r="C19" s="48">
        <f>'Avg Week Mukwano-Jinja '!C19+'Avg Week Jinja-Mukwano'!C19</f>
        <v>321.57142857142856</v>
      </c>
      <c r="D19" s="48">
        <f>'Avg Week Mukwano-Jinja '!D19+'Avg Week Jinja-Mukwano'!D19</f>
        <v>68.714285714285722</v>
      </c>
      <c r="E19" s="48">
        <f>'Avg Week Mukwano-Jinja '!E19+'Avg Week Jinja-Mukwano'!E19</f>
        <v>27.285714285714285</v>
      </c>
      <c r="F19" s="48">
        <f>'Avg Week Mukwano-Jinja '!F19+'Avg Week Jinja-Mukwano'!F19</f>
        <v>16.571428571428573</v>
      </c>
      <c r="G19" s="48">
        <f>'Avg Week Mukwano-Jinja '!G19+'Avg Week Jinja-Mukwano'!G19</f>
        <v>1.8571428571428572</v>
      </c>
      <c r="H19" s="48">
        <f>'Avg Week Mukwano-Jinja '!H19+'Avg Week Jinja-Mukwano'!H19</f>
        <v>0.2857142857142857</v>
      </c>
      <c r="I19" s="48">
        <f>'Avg Week Mukwano-Jinja '!I19+'Avg Week Jinja-Mukwano'!I19</f>
        <v>14.285714285714285</v>
      </c>
      <c r="J19" s="48">
        <f>'Avg Week Mukwano-Jinja '!J19+'Avg Week Jinja-Mukwano'!J19</f>
        <v>7</v>
      </c>
      <c r="K19" s="48">
        <f>'Avg Week Mukwano-Jinja '!K19+'Avg Week Jinja-Mukwano'!K19</f>
        <v>2</v>
      </c>
      <c r="L19" s="48">
        <f>'Avg Week Mukwano-Jinja '!L19+'Avg Week Jinja-Mukwano'!L19</f>
        <v>2.1428571428571428</v>
      </c>
      <c r="M19" s="48">
        <f>'Avg Week Mukwano-Jinja '!M19+'Avg Week Jinja-Mukwano'!M19</f>
        <v>894.71428571428567</v>
      </c>
      <c r="N19" s="48">
        <f>'Avg Week Mukwano-Jinja '!N19+'Avg Week Jinja-Mukwano'!N19</f>
        <v>0.2857142857142857</v>
      </c>
      <c r="O19" s="15">
        <f t="shared" si="0"/>
        <v>461.99999999999994</v>
      </c>
      <c r="P19" s="15">
        <f t="shared" si="1"/>
        <v>1356.7142857142856</v>
      </c>
      <c r="R19" s="1" t="s">
        <v>15</v>
      </c>
      <c r="S19" s="17">
        <f t="shared" ref="S19:AF19" si="11">SUM(C46:C49)</f>
        <v>1121.1428571428571</v>
      </c>
      <c r="T19" s="17">
        <f t="shared" si="11"/>
        <v>228.57142857142858</v>
      </c>
      <c r="U19" s="17">
        <f t="shared" si="11"/>
        <v>124.71428571428571</v>
      </c>
      <c r="V19" s="17">
        <f t="shared" si="11"/>
        <v>59.714285714285715</v>
      </c>
      <c r="W19" s="17">
        <f t="shared" si="11"/>
        <v>5</v>
      </c>
      <c r="X19" s="17">
        <f t="shared" si="11"/>
        <v>0.8571428571428571</v>
      </c>
      <c r="Y19" s="17">
        <f t="shared" si="11"/>
        <v>64</v>
      </c>
      <c r="Z19" s="17">
        <f t="shared" si="11"/>
        <v>37.857142857142861</v>
      </c>
      <c r="AA19" s="17">
        <f t="shared" si="11"/>
        <v>10.714285714285714</v>
      </c>
      <c r="AB19" s="17">
        <f t="shared" si="11"/>
        <v>23.285714285714285</v>
      </c>
      <c r="AC19" s="17">
        <f t="shared" si="11"/>
        <v>3191.4285714285716</v>
      </c>
      <c r="AD19" s="17">
        <f t="shared" si="11"/>
        <v>0.5714285714285714</v>
      </c>
      <c r="AE19" s="30">
        <f t="shared" si="11"/>
        <v>1676.4285714285713</v>
      </c>
      <c r="AF19" s="30">
        <f t="shared" si="11"/>
        <v>4867.8571428571422</v>
      </c>
    </row>
    <row r="20" spans="2:32" ht="23.1" customHeight="1" x14ac:dyDescent="0.25">
      <c r="B20" s="22" t="s">
        <v>47</v>
      </c>
      <c r="C20" s="48">
        <f>'Avg Week Mukwano-Jinja '!C20+'Avg Week Jinja-Mukwano'!C20</f>
        <v>261.42857142857144</v>
      </c>
      <c r="D20" s="48">
        <f>'Avg Week Mukwano-Jinja '!D20+'Avg Week Jinja-Mukwano'!D20</f>
        <v>52.142857142857139</v>
      </c>
      <c r="E20" s="48">
        <f>'Avg Week Mukwano-Jinja '!E20+'Avg Week Jinja-Mukwano'!E20</f>
        <v>28</v>
      </c>
      <c r="F20" s="48">
        <f>'Avg Week Mukwano-Jinja '!F20+'Avg Week Jinja-Mukwano'!F20</f>
        <v>15.857142857142858</v>
      </c>
      <c r="G20" s="48">
        <f>'Avg Week Mukwano-Jinja '!G20+'Avg Week Jinja-Mukwano'!G20</f>
        <v>2</v>
      </c>
      <c r="H20" s="48">
        <f>'Avg Week Mukwano-Jinja '!H20+'Avg Week Jinja-Mukwano'!H20</f>
        <v>0</v>
      </c>
      <c r="I20" s="48">
        <f>'Avg Week Mukwano-Jinja '!I20+'Avg Week Jinja-Mukwano'!I20</f>
        <v>14.857142857142858</v>
      </c>
      <c r="J20" s="48">
        <f>'Avg Week Mukwano-Jinja '!J20+'Avg Week Jinja-Mukwano'!J20</f>
        <v>7.5714285714285712</v>
      </c>
      <c r="K20" s="48">
        <f>'Avg Week Mukwano-Jinja '!K20+'Avg Week Jinja-Mukwano'!K20</f>
        <v>2.5714285714285712</v>
      </c>
      <c r="L20" s="48">
        <f>'Avg Week Mukwano-Jinja '!L20+'Avg Week Jinja-Mukwano'!L20</f>
        <v>3.4285714285714288</v>
      </c>
      <c r="M20" s="48">
        <f>'Avg Week Mukwano-Jinja '!M20+'Avg Week Jinja-Mukwano'!M20</f>
        <v>903.28571428571422</v>
      </c>
      <c r="N20" s="48">
        <f>'Avg Week Mukwano-Jinja '!N20+'Avg Week Jinja-Mukwano'!N20</f>
        <v>0</v>
      </c>
      <c r="O20" s="15">
        <f t="shared" si="0"/>
        <v>387.85714285714278</v>
      </c>
      <c r="P20" s="15">
        <f t="shared" si="1"/>
        <v>1291.1428571428569</v>
      </c>
      <c r="R20" s="1" t="s">
        <v>16</v>
      </c>
      <c r="S20" s="17">
        <f t="shared" ref="S20:AF20" si="12">SUM(C50:C53)</f>
        <v>1166</v>
      </c>
      <c r="T20" s="17">
        <f t="shared" si="12"/>
        <v>227.85714285714286</v>
      </c>
      <c r="U20" s="17">
        <f t="shared" si="12"/>
        <v>106.42857142857142</v>
      </c>
      <c r="V20" s="17">
        <f t="shared" si="12"/>
        <v>68.857142857142861</v>
      </c>
      <c r="W20" s="17">
        <f t="shared" si="12"/>
        <v>8.2857142857142847</v>
      </c>
      <c r="X20" s="17">
        <f t="shared" si="12"/>
        <v>0.42857142857142855</v>
      </c>
      <c r="Y20" s="17">
        <f t="shared" si="12"/>
        <v>55.714285714285708</v>
      </c>
      <c r="Z20" s="17">
        <f t="shared" si="12"/>
        <v>26.571428571428573</v>
      </c>
      <c r="AA20" s="17">
        <f t="shared" si="12"/>
        <v>11.285714285714285</v>
      </c>
      <c r="AB20" s="17">
        <f t="shared" si="12"/>
        <v>19</v>
      </c>
      <c r="AC20" s="17">
        <f t="shared" si="12"/>
        <v>3274.8571428571431</v>
      </c>
      <c r="AD20" s="17">
        <f t="shared" si="12"/>
        <v>0.5714285714285714</v>
      </c>
      <c r="AE20" s="30">
        <f t="shared" si="12"/>
        <v>1691</v>
      </c>
      <c r="AF20" s="30">
        <f t="shared" si="12"/>
        <v>4965.8571428571431</v>
      </c>
    </row>
    <row r="21" spans="2:32" ht="23.1" customHeight="1" x14ac:dyDescent="0.25">
      <c r="B21" s="22" t="s">
        <v>48</v>
      </c>
      <c r="C21" s="48">
        <f>'Avg Week Mukwano-Jinja '!C21+'Avg Week Jinja-Mukwano'!C21</f>
        <v>297.85714285714289</v>
      </c>
      <c r="D21" s="48">
        <f>'Avg Week Mukwano-Jinja '!D21+'Avg Week Jinja-Mukwano'!D21</f>
        <v>63.142857142857146</v>
      </c>
      <c r="E21" s="48">
        <f>'Avg Week Mukwano-Jinja '!E21+'Avg Week Jinja-Mukwano'!E21</f>
        <v>29.857142857142858</v>
      </c>
      <c r="F21" s="48">
        <f>'Avg Week Mukwano-Jinja '!F21+'Avg Week Jinja-Mukwano'!F21</f>
        <v>16.428571428571427</v>
      </c>
      <c r="G21" s="48">
        <f>'Avg Week Mukwano-Jinja '!G21+'Avg Week Jinja-Mukwano'!G21</f>
        <v>1.8571428571428572</v>
      </c>
      <c r="H21" s="48">
        <f>'Avg Week Mukwano-Jinja '!H21+'Avg Week Jinja-Mukwano'!H21</f>
        <v>0.71428571428571419</v>
      </c>
      <c r="I21" s="48">
        <f>'Avg Week Mukwano-Jinja '!I21+'Avg Week Jinja-Mukwano'!I21</f>
        <v>15.571428571428573</v>
      </c>
      <c r="J21" s="48">
        <f>'Avg Week Mukwano-Jinja '!J21+'Avg Week Jinja-Mukwano'!J21</f>
        <v>9.1428571428571423</v>
      </c>
      <c r="K21" s="48">
        <f>'Avg Week Mukwano-Jinja '!K21+'Avg Week Jinja-Mukwano'!K21</f>
        <v>3.2857142857142856</v>
      </c>
      <c r="L21" s="48">
        <f>'Avg Week Mukwano-Jinja '!L21+'Avg Week Jinja-Mukwano'!L21</f>
        <v>2.5714285714285712</v>
      </c>
      <c r="M21" s="48">
        <f>'Avg Week Mukwano-Jinja '!M21+'Avg Week Jinja-Mukwano'!M21</f>
        <v>908.14285714285711</v>
      </c>
      <c r="N21" s="48">
        <f>'Avg Week Mukwano-Jinja '!N21+'Avg Week Jinja-Mukwano'!N21</f>
        <v>0.42857142857142855</v>
      </c>
      <c r="O21" s="15">
        <f t="shared" si="0"/>
        <v>440.85714285714289</v>
      </c>
      <c r="P21" s="15">
        <f t="shared" si="1"/>
        <v>1348.9999999999998</v>
      </c>
      <c r="R21" s="35" t="s">
        <v>20</v>
      </c>
      <c r="S21" s="33">
        <f t="shared" ref="S21:AF21" si="13">SUM(C54:C57)</f>
        <v>1101.2857142857142</v>
      </c>
      <c r="T21" s="17">
        <f t="shared" si="13"/>
        <v>194.57142857142856</v>
      </c>
      <c r="U21" s="17">
        <f t="shared" si="13"/>
        <v>84</v>
      </c>
      <c r="V21" s="17">
        <f t="shared" si="13"/>
        <v>64.285714285714278</v>
      </c>
      <c r="W21" s="17">
        <f t="shared" si="13"/>
        <v>8.7142857142857135</v>
      </c>
      <c r="X21" s="17">
        <f t="shared" si="13"/>
        <v>2.2857142857142856</v>
      </c>
      <c r="Y21" s="17">
        <f t="shared" si="13"/>
        <v>51.714285714285715</v>
      </c>
      <c r="Z21" s="17">
        <f t="shared" si="13"/>
        <v>25.714285714285715</v>
      </c>
      <c r="AA21" s="17">
        <f t="shared" si="13"/>
        <v>10.428571428571427</v>
      </c>
      <c r="AB21" s="17">
        <f t="shared" si="13"/>
        <v>13.857142857142858</v>
      </c>
      <c r="AC21" s="17">
        <f t="shared" si="13"/>
        <v>2768</v>
      </c>
      <c r="AD21" s="17">
        <f t="shared" si="13"/>
        <v>0.42857142857142855</v>
      </c>
      <c r="AE21" s="30">
        <f t="shared" si="13"/>
        <v>1557.2857142857142</v>
      </c>
      <c r="AF21" s="30">
        <f t="shared" si="13"/>
        <v>4325.2857142857147</v>
      </c>
    </row>
    <row r="22" spans="2:32" ht="23.1" customHeight="1" x14ac:dyDescent="0.25">
      <c r="B22" s="22" t="s">
        <v>49</v>
      </c>
      <c r="C22" s="48">
        <f>'Avg Week Mukwano-Jinja '!C22+'Avg Week Jinja-Mukwano'!C22</f>
        <v>297.14285714285711</v>
      </c>
      <c r="D22" s="48">
        <f>'Avg Week Mukwano-Jinja '!D22+'Avg Week Jinja-Mukwano'!D22</f>
        <v>66.428571428571431</v>
      </c>
      <c r="E22" s="48">
        <f>'Avg Week Mukwano-Jinja '!E22+'Avg Week Jinja-Mukwano'!E22</f>
        <v>37.285714285714285</v>
      </c>
      <c r="F22" s="48">
        <f>'Avg Week Mukwano-Jinja '!F22+'Avg Week Jinja-Mukwano'!F22</f>
        <v>16.857142857142858</v>
      </c>
      <c r="G22" s="48">
        <f>'Avg Week Mukwano-Jinja '!G22+'Avg Week Jinja-Mukwano'!G22</f>
        <v>1.8571428571428572</v>
      </c>
      <c r="H22" s="48">
        <f>'Avg Week Mukwano-Jinja '!H22+'Avg Week Jinja-Mukwano'!H22</f>
        <v>0.2857142857142857</v>
      </c>
      <c r="I22" s="48">
        <f>'Avg Week Mukwano-Jinja '!I22+'Avg Week Jinja-Mukwano'!I22</f>
        <v>19.571428571428569</v>
      </c>
      <c r="J22" s="48">
        <f>'Avg Week Mukwano-Jinja '!J22+'Avg Week Jinja-Mukwano'!J22</f>
        <v>8.7142857142857153</v>
      </c>
      <c r="K22" s="48">
        <f>'Avg Week Mukwano-Jinja '!K22+'Avg Week Jinja-Mukwano'!K22</f>
        <v>3.7142857142857144</v>
      </c>
      <c r="L22" s="48">
        <f>'Avg Week Mukwano-Jinja '!L22+'Avg Week Jinja-Mukwano'!L22</f>
        <v>5.2857142857142856</v>
      </c>
      <c r="M22" s="48">
        <f>'Avg Week Mukwano-Jinja '!M22+'Avg Week Jinja-Mukwano'!M22</f>
        <v>935</v>
      </c>
      <c r="N22" s="48">
        <f>'Avg Week Mukwano-Jinja '!N22+'Avg Week Jinja-Mukwano'!N22</f>
        <v>0.2857142857142857</v>
      </c>
      <c r="O22" s="15">
        <f t="shared" si="0"/>
        <v>457.42857142857133</v>
      </c>
      <c r="P22" s="15">
        <f t="shared" si="1"/>
        <v>1392.4285714285713</v>
      </c>
      <c r="R22" s="1" t="s">
        <v>146</v>
      </c>
      <c r="S22" s="33">
        <f>SUM(C58:C61)</f>
        <v>1177.5</v>
      </c>
      <c r="T22" s="33">
        <f t="shared" ref="T22:AF22" si="14">SUM(D58:D61)</f>
        <v>463.5</v>
      </c>
      <c r="U22" s="33">
        <f t="shared" si="14"/>
        <v>91.5</v>
      </c>
      <c r="V22" s="33">
        <f t="shared" si="14"/>
        <v>77</v>
      </c>
      <c r="W22" s="33">
        <f t="shared" si="14"/>
        <v>6.5</v>
      </c>
      <c r="X22" s="33">
        <f t="shared" si="14"/>
        <v>1</v>
      </c>
      <c r="Y22" s="33">
        <f t="shared" si="14"/>
        <v>34.5</v>
      </c>
      <c r="Z22" s="33">
        <f t="shared" si="14"/>
        <v>14.5</v>
      </c>
      <c r="AA22" s="33">
        <f t="shared" si="14"/>
        <v>7.5</v>
      </c>
      <c r="AB22" s="33">
        <f t="shared" si="14"/>
        <v>10</v>
      </c>
      <c r="AC22" s="33">
        <f t="shared" si="14"/>
        <v>1940.5</v>
      </c>
      <c r="AD22" s="33">
        <f t="shared" si="14"/>
        <v>0</v>
      </c>
      <c r="AE22" s="30">
        <f t="shared" si="14"/>
        <v>1883.5</v>
      </c>
      <c r="AF22" s="30">
        <f t="shared" si="14"/>
        <v>3824</v>
      </c>
    </row>
    <row r="23" spans="2:32" ht="23.1" customHeight="1" x14ac:dyDescent="0.25">
      <c r="B23" s="22" t="s">
        <v>50</v>
      </c>
      <c r="C23" s="48">
        <f>'Avg Week Mukwano-Jinja '!C23+'Avg Week Jinja-Mukwano'!C23</f>
        <v>303.57142857142856</v>
      </c>
      <c r="D23" s="48">
        <f>'Avg Week Mukwano-Jinja '!D23+'Avg Week Jinja-Mukwano'!D23</f>
        <v>65.571428571428569</v>
      </c>
      <c r="E23" s="48">
        <f>'Avg Week Mukwano-Jinja '!E23+'Avg Week Jinja-Mukwano'!E23</f>
        <v>29.857142857142861</v>
      </c>
      <c r="F23" s="48">
        <f>'Avg Week Mukwano-Jinja '!F23+'Avg Week Jinja-Mukwano'!F23</f>
        <v>14.857142857142858</v>
      </c>
      <c r="G23" s="48">
        <f>'Avg Week Mukwano-Jinja '!G23+'Avg Week Jinja-Mukwano'!G23</f>
        <v>1.4285714285714284</v>
      </c>
      <c r="H23" s="48">
        <f>'Avg Week Mukwano-Jinja '!H23+'Avg Week Jinja-Mukwano'!H23</f>
        <v>0.42857142857142855</v>
      </c>
      <c r="I23" s="48">
        <f>'Avg Week Mukwano-Jinja '!I23+'Avg Week Jinja-Mukwano'!I23</f>
        <v>19.285714285714285</v>
      </c>
      <c r="J23" s="48">
        <f>'Avg Week Mukwano-Jinja '!J23+'Avg Week Jinja-Mukwano'!J23</f>
        <v>8.2857142857142865</v>
      </c>
      <c r="K23" s="48">
        <f>'Avg Week Mukwano-Jinja '!K23+'Avg Week Jinja-Mukwano'!K23</f>
        <v>3.7142857142857144</v>
      </c>
      <c r="L23" s="48">
        <f>'Avg Week Mukwano-Jinja '!L23+'Avg Week Jinja-Mukwano'!L23</f>
        <v>3.8571428571428568</v>
      </c>
      <c r="M23" s="48">
        <f>'Avg Week Mukwano-Jinja '!M23+'Avg Week Jinja-Mukwano'!M23</f>
        <v>863.71428571428578</v>
      </c>
      <c r="N23" s="48">
        <f>'Avg Week Mukwano-Jinja '!N23+'Avg Week Jinja-Mukwano'!N23</f>
        <v>0.5714285714285714</v>
      </c>
      <c r="O23" s="15">
        <f t="shared" si="0"/>
        <v>451.42857142857139</v>
      </c>
      <c r="P23" s="15">
        <f t="shared" si="1"/>
        <v>1315.1428571428573</v>
      </c>
      <c r="R23" s="1" t="s">
        <v>147</v>
      </c>
      <c r="S23" s="33">
        <f>SUM(C62:C65)</f>
        <v>1250.5</v>
      </c>
      <c r="T23" s="33">
        <f t="shared" ref="T23:AF23" si="15">SUM(D62:D65)</f>
        <v>281</v>
      </c>
      <c r="U23" s="33">
        <f t="shared" si="15"/>
        <v>70</v>
      </c>
      <c r="V23" s="33">
        <f t="shared" si="15"/>
        <v>87</v>
      </c>
      <c r="W23" s="33">
        <f t="shared" si="15"/>
        <v>3</v>
      </c>
      <c r="X23" s="33">
        <f t="shared" si="15"/>
        <v>1</v>
      </c>
      <c r="Y23" s="33">
        <f t="shared" si="15"/>
        <v>27</v>
      </c>
      <c r="Z23" s="33">
        <f t="shared" si="15"/>
        <v>9.5</v>
      </c>
      <c r="AA23" s="33">
        <f t="shared" si="15"/>
        <v>5</v>
      </c>
      <c r="AB23" s="33">
        <f t="shared" si="15"/>
        <v>5.5</v>
      </c>
      <c r="AC23" s="33">
        <f t="shared" si="15"/>
        <v>2041</v>
      </c>
      <c r="AD23" s="33">
        <f t="shared" si="15"/>
        <v>1</v>
      </c>
      <c r="AE23" s="30">
        <f t="shared" si="15"/>
        <v>1740.5</v>
      </c>
      <c r="AF23" s="30">
        <f t="shared" si="15"/>
        <v>3781.5</v>
      </c>
    </row>
    <row r="24" spans="2:32" ht="23.1" customHeight="1" x14ac:dyDescent="0.25">
      <c r="B24" s="22" t="s">
        <v>51</v>
      </c>
      <c r="C24" s="48">
        <f>'Avg Week Mukwano-Jinja '!C24+'Avg Week Jinja-Mukwano'!C24</f>
        <v>294.85714285714289</v>
      </c>
      <c r="D24" s="48">
        <f>'Avg Week Mukwano-Jinja '!D24+'Avg Week Jinja-Mukwano'!D24</f>
        <v>69.571428571428569</v>
      </c>
      <c r="E24" s="48">
        <f>'Avg Week Mukwano-Jinja '!E24+'Avg Week Jinja-Mukwano'!E24</f>
        <v>32.285714285714285</v>
      </c>
      <c r="F24" s="48">
        <f>'Avg Week Mukwano-Jinja '!F24+'Avg Week Jinja-Mukwano'!F24</f>
        <v>18.714285714285715</v>
      </c>
      <c r="G24" s="48">
        <f>'Avg Week Mukwano-Jinja '!G24+'Avg Week Jinja-Mukwano'!G24</f>
        <v>1.4285714285714286</v>
      </c>
      <c r="H24" s="48">
        <f>'Avg Week Mukwano-Jinja '!H24+'Avg Week Jinja-Mukwano'!H24</f>
        <v>0.14285714285714285</v>
      </c>
      <c r="I24" s="48">
        <f>'Avg Week Mukwano-Jinja '!I24+'Avg Week Jinja-Mukwano'!I24</f>
        <v>18.857142857142858</v>
      </c>
      <c r="J24" s="48">
        <f>'Avg Week Mukwano-Jinja '!J24+'Avg Week Jinja-Mukwano'!J24</f>
        <v>10.857142857142858</v>
      </c>
      <c r="K24" s="48">
        <f>'Avg Week Mukwano-Jinja '!K24+'Avg Week Jinja-Mukwano'!K24</f>
        <v>4.2857142857142856</v>
      </c>
      <c r="L24" s="48">
        <f>'Avg Week Mukwano-Jinja '!L24+'Avg Week Jinja-Mukwano'!L24</f>
        <v>5.8571428571428577</v>
      </c>
      <c r="M24" s="48">
        <f>'Avg Week Mukwano-Jinja '!M24+'Avg Week Jinja-Mukwano'!M24</f>
        <v>895.14285714285711</v>
      </c>
      <c r="N24" s="48">
        <f>'Avg Week Mukwano-Jinja '!N24+'Avg Week Jinja-Mukwano'!N24</f>
        <v>0.14285714285714285</v>
      </c>
      <c r="O24" s="15">
        <f t="shared" si="0"/>
        <v>457</v>
      </c>
      <c r="P24" s="15">
        <f t="shared" si="1"/>
        <v>1352.1428571428571</v>
      </c>
      <c r="R24" s="1" t="s">
        <v>148</v>
      </c>
      <c r="S24" s="33">
        <f>SUM(C66:C69)</f>
        <v>1062</v>
      </c>
      <c r="T24" s="33">
        <f t="shared" ref="T24:AF24" si="16">SUM(D66:D69)</f>
        <v>311</v>
      </c>
      <c r="U24" s="33">
        <f t="shared" si="16"/>
        <v>70.5</v>
      </c>
      <c r="V24" s="33">
        <f t="shared" si="16"/>
        <v>47</v>
      </c>
      <c r="W24" s="33">
        <f t="shared" si="16"/>
        <v>4.5</v>
      </c>
      <c r="X24" s="33">
        <f t="shared" si="16"/>
        <v>0</v>
      </c>
      <c r="Y24" s="33">
        <f t="shared" si="16"/>
        <v>30.5</v>
      </c>
      <c r="Z24" s="33">
        <f t="shared" si="16"/>
        <v>17</v>
      </c>
      <c r="AA24" s="33">
        <f t="shared" si="16"/>
        <v>4.5</v>
      </c>
      <c r="AB24" s="33">
        <f t="shared" si="16"/>
        <v>15.5</v>
      </c>
      <c r="AC24" s="33">
        <f t="shared" si="16"/>
        <v>1995</v>
      </c>
      <c r="AD24" s="33">
        <f t="shared" si="16"/>
        <v>0</v>
      </c>
      <c r="AE24" s="30">
        <f t="shared" si="16"/>
        <v>1562.5</v>
      </c>
      <c r="AF24" s="30">
        <f t="shared" si="16"/>
        <v>3557.5</v>
      </c>
    </row>
    <row r="25" spans="2:32" ht="23.1" customHeight="1" x14ac:dyDescent="0.25">
      <c r="B25" s="22" t="s">
        <v>52</v>
      </c>
      <c r="C25" s="48">
        <f>'Avg Week Mukwano-Jinja '!C25+'Avg Week Jinja-Mukwano'!C25</f>
        <v>283.42857142857144</v>
      </c>
      <c r="D25" s="48">
        <f>'Avg Week Mukwano-Jinja '!D25+'Avg Week Jinja-Mukwano'!D25</f>
        <v>62.285714285714285</v>
      </c>
      <c r="E25" s="48">
        <f>'Avg Week Mukwano-Jinja '!E25+'Avg Week Jinja-Mukwano'!E25</f>
        <v>28</v>
      </c>
      <c r="F25" s="48">
        <f>'Avg Week Mukwano-Jinja '!F25+'Avg Week Jinja-Mukwano'!F25</f>
        <v>16.571428571428569</v>
      </c>
      <c r="G25" s="48">
        <f>'Avg Week Mukwano-Jinja '!G25+'Avg Week Jinja-Mukwano'!G25</f>
        <v>3.1428571428571432</v>
      </c>
      <c r="H25" s="48">
        <f>'Avg Week Mukwano-Jinja '!H25+'Avg Week Jinja-Mukwano'!H25</f>
        <v>0.2857142857142857</v>
      </c>
      <c r="I25" s="48">
        <f>'Avg Week Mukwano-Jinja '!I25+'Avg Week Jinja-Mukwano'!I25</f>
        <v>16.571428571428569</v>
      </c>
      <c r="J25" s="48">
        <f>'Avg Week Mukwano-Jinja '!J25+'Avg Week Jinja-Mukwano'!J25</f>
        <v>9.2857142857142847</v>
      </c>
      <c r="K25" s="48">
        <f>'Avg Week Mukwano-Jinja '!K25+'Avg Week Jinja-Mukwano'!K25</f>
        <v>3.8571428571428572</v>
      </c>
      <c r="L25" s="48">
        <f>'Avg Week Mukwano-Jinja '!L25+'Avg Week Jinja-Mukwano'!L25</f>
        <v>3.5714285714285712</v>
      </c>
      <c r="M25" s="48">
        <f>'Avg Week Mukwano-Jinja '!M25+'Avg Week Jinja-Mukwano'!M25</f>
        <v>841.85714285714289</v>
      </c>
      <c r="N25" s="48">
        <f>'Avg Week Mukwano-Jinja '!N25+'Avg Week Jinja-Mukwano'!N25</f>
        <v>0.2857142857142857</v>
      </c>
      <c r="O25" s="15">
        <f t="shared" si="0"/>
        <v>427.28571428571422</v>
      </c>
      <c r="P25" s="15">
        <f t="shared" si="1"/>
        <v>1269.1428571428571</v>
      </c>
      <c r="R25" s="1" t="s">
        <v>149</v>
      </c>
      <c r="S25" s="33">
        <f>SUM(C70:C73)</f>
        <v>802.5</v>
      </c>
      <c r="T25" s="33">
        <f t="shared" ref="T25:AF25" si="17">SUM(D70:D73)</f>
        <v>183.5</v>
      </c>
      <c r="U25" s="33">
        <f t="shared" si="17"/>
        <v>50.5</v>
      </c>
      <c r="V25" s="33">
        <f t="shared" si="17"/>
        <v>32.5</v>
      </c>
      <c r="W25" s="33">
        <f t="shared" si="17"/>
        <v>1.5</v>
      </c>
      <c r="X25" s="33">
        <f t="shared" si="17"/>
        <v>4.5</v>
      </c>
      <c r="Y25" s="33">
        <f t="shared" si="17"/>
        <v>23.5</v>
      </c>
      <c r="Z25" s="33">
        <f t="shared" si="17"/>
        <v>8.5</v>
      </c>
      <c r="AA25" s="33">
        <f t="shared" si="17"/>
        <v>6</v>
      </c>
      <c r="AB25" s="33">
        <f t="shared" si="17"/>
        <v>7</v>
      </c>
      <c r="AC25" s="33">
        <f t="shared" si="17"/>
        <v>1904.5</v>
      </c>
      <c r="AD25" s="33">
        <f t="shared" si="17"/>
        <v>0</v>
      </c>
      <c r="AE25" s="30">
        <f t="shared" si="17"/>
        <v>1120</v>
      </c>
      <c r="AF25" s="30">
        <f t="shared" si="17"/>
        <v>3024.5</v>
      </c>
    </row>
    <row r="26" spans="2:32" ht="23.1" customHeight="1" x14ac:dyDescent="0.25">
      <c r="B26" s="22" t="s">
        <v>53</v>
      </c>
      <c r="C26" s="48">
        <f>'Avg Week Mukwano-Jinja '!C26+'Avg Week Jinja-Mukwano'!C26</f>
        <v>295.28571428571428</v>
      </c>
      <c r="D26" s="48">
        <f>'Avg Week Mukwano-Jinja '!D26+'Avg Week Jinja-Mukwano'!D26</f>
        <v>60.571428571428569</v>
      </c>
      <c r="E26" s="48">
        <f>'Avg Week Mukwano-Jinja '!E26+'Avg Week Jinja-Mukwano'!E26</f>
        <v>30.142857142857142</v>
      </c>
      <c r="F26" s="48">
        <f>'Avg Week Mukwano-Jinja '!F26+'Avg Week Jinja-Mukwano'!F26</f>
        <v>17.714285714285715</v>
      </c>
      <c r="G26" s="48">
        <f>'Avg Week Mukwano-Jinja '!G26+'Avg Week Jinja-Mukwano'!G26</f>
        <v>4.4285714285714288</v>
      </c>
      <c r="H26" s="48">
        <f>'Avg Week Mukwano-Jinja '!H26+'Avg Week Jinja-Mukwano'!H26</f>
        <v>0.2857142857142857</v>
      </c>
      <c r="I26" s="48">
        <f>'Avg Week Mukwano-Jinja '!I26+'Avg Week Jinja-Mukwano'!I26</f>
        <v>15.857142857142858</v>
      </c>
      <c r="J26" s="48">
        <f>'Avg Week Mukwano-Jinja '!J26+'Avg Week Jinja-Mukwano'!J26</f>
        <v>12.285714285714285</v>
      </c>
      <c r="K26" s="48">
        <f>'Avg Week Mukwano-Jinja '!K26+'Avg Week Jinja-Mukwano'!K26</f>
        <v>3.2857142857142856</v>
      </c>
      <c r="L26" s="48">
        <f>'Avg Week Mukwano-Jinja '!L26+'Avg Week Jinja-Mukwano'!L26</f>
        <v>5.5714285714285712</v>
      </c>
      <c r="M26" s="48">
        <f>'Avg Week Mukwano-Jinja '!M26+'Avg Week Jinja-Mukwano'!M26</f>
        <v>902.28571428571422</v>
      </c>
      <c r="N26" s="48">
        <f>'Avg Week Mukwano-Jinja '!N26+'Avg Week Jinja-Mukwano'!N26</f>
        <v>0.5714285714285714</v>
      </c>
      <c r="O26" s="15">
        <f t="shared" si="0"/>
        <v>445.99999999999994</v>
      </c>
      <c r="P26" s="15">
        <f t="shared" si="1"/>
        <v>1348.2857142857142</v>
      </c>
      <c r="R26" s="1" t="s">
        <v>150</v>
      </c>
      <c r="S26" s="33">
        <f>SUM(C74:C77)</f>
        <v>585</v>
      </c>
      <c r="T26" s="33">
        <f t="shared" ref="T26:AF26" si="18">SUM(D74:D77)</f>
        <v>128.5</v>
      </c>
      <c r="U26" s="33">
        <f t="shared" si="18"/>
        <v>30</v>
      </c>
      <c r="V26" s="33">
        <f t="shared" si="18"/>
        <v>14.5</v>
      </c>
      <c r="W26" s="33">
        <f t="shared" si="18"/>
        <v>0.5</v>
      </c>
      <c r="X26" s="33">
        <f t="shared" si="18"/>
        <v>0.5</v>
      </c>
      <c r="Y26" s="33">
        <f t="shared" si="18"/>
        <v>19.5</v>
      </c>
      <c r="Z26" s="33">
        <f t="shared" si="18"/>
        <v>4.5</v>
      </c>
      <c r="AA26" s="33">
        <f t="shared" si="18"/>
        <v>4</v>
      </c>
      <c r="AB26" s="33">
        <f t="shared" si="18"/>
        <v>5</v>
      </c>
      <c r="AC26" s="33">
        <f t="shared" si="18"/>
        <v>646</v>
      </c>
      <c r="AD26" s="33">
        <f t="shared" si="18"/>
        <v>0</v>
      </c>
      <c r="AE26" s="30">
        <f t="shared" si="18"/>
        <v>792</v>
      </c>
      <c r="AF26" s="30">
        <f t="shared" si="18"/>
        <v>1438</v>
      </c>
    </row>
    <row r="27" spans="2:32" ht="23.1" customHeight="1" x14ac:dyDescent="0.25">
      <c r="B27" s="22" t="s">
        <v>54</v>
      </c>
      <c r="C27" s="48">
        <f>'Avg Week Mukwano-Jinja '!C27+'Avg Week Jinja-Mukwano'!C27</f>
        <v>285.14285714285711</v>
      </c>
      <c r="D27" s="48">
        <f>'Avg Week Mukwano-Jinja '!D27+'Avg Week Jinja-Mukwano'!D27</f>
        <v>58.714285714285715</v>
      </c>
      <c r="E27" s="48">
        <f>'Avg Week Mukwano-Jinja '!E27+'Avg Week Jinja-Mukwano'!E27</f>
        <v>27.142857142857146</v>
      </c>
      <c r="F27" s="48">
        <f>'Avg Week Mukwano-Jinja '!F27+'Avg Week Jinja-Mukwano'!F27</f>
        <v>15.285714285714285</v>
      </c>
      <c r="G27" s="48">
        <f>'Avg Week Mukwano-Jinja '!G27+'Avg Week Jinja-Mukwano'!G27</f>
        <v>1.8571428571428572</v>
      </c>
      <c r="H27" s="48">
        <f>'Avg Week Mukwano-Jinja '!H27+'Avg Week Jinja-Mukwano'!H27</f>
        <v>0</v>
      </c>
      <c r="I27" s="48">
        <f>'Avg Week Mukwano-Jinja '!I27+'Avg Week Jinja-Mukwano'!I27</f>
        <v>15.714285714285715</v>
      </c>
      <c r="J27" s="48">
        <f>'Avg Week Mukwano-Jinja '!J27+'Avg Week Jinja-Mukwano'!J27</f>
        <v>9</v>
      </c>
      <c r="K27" s="48">
        <f>'Avg Week Mukwano-Jinja '!K27+'Avg Week Jinja-Mukwano'!K27</f>
        <v>2.8571428571428572</v>
      </c>
      <c r="L27" s="48">
        <f>'Avg Week Mukwano-Jinja '!L27+'Avg Week Jinja-Mukwano'!L27</f>
        <v>5.1428571428571432</v>
      </c>
      <c r="M27" s="48">
        <f>'Avg Week Mukwano-Jinja '!M27+'Avg Week Jinja-Mukwano'!M27</f>
        <v>873.28571428571422</v>
      </c>
      <c r="N27" s="48">
        <f>'Avg Week Mukwano-Jinja '!N27+'Avg Week Jinja-Mukwano'!N27</f>
        <v>0</v>
      </c>
      <c r="O27" s="15">
        <f t="shared" si="0"/>
        <v>420.85714285714283</v>
      </c>
      <c r="P27" s="15">
        <f t="shared" si="1"/>
        <v>1294.1428571428571</v>
      </c>
      <c r="R27" s="1" t="s">
        <v>151</v>
      </c>
      <c r="S27" s="33">
        <f>SUM(C78:C81)</f>
        <v>295</v>
      </c>
      <c r="T27" s="33">
        <f t="shared" ref="T27:AF27" si="19">SUM(D78:D81)</f>
        <v>69.5</v>
      </c>
      <c r="U27" s="33">
        <f t="shared" si="19"/>
        <v>21.5</v>
      </c>
      <c r="V27" s="33">
        <f t="shared" si="19"/>
        <v>15</v>
      </c>
      <c r="W27" s="33">
        <f t="shared" si="19"/>
        <v>1</v>
      </c>
      <c r="X27" s="33">
        <f t="shared" si="19"/>
        <v>0</v>
      </c>
      <c r="Y27" s="33">
        <f t="shared" si="19"/>
        <v>12</v>
      </c>
      <c r="Z27" s="33">
        <f t="shared" si="19"/>
        <v>3</v>
      </c>
      <c r="AA27" s="33">
        <f t="shared" si="19"/>
        <v>2.5</v>
      </c>
      <c r="AB27" s="33">
        <f t="shared" si="19"/>
        <v>8</v>
      </c>
      <c r="AC27" s="33">
        <f t="shared" si="19"/>
        <v>326</v>
      </c>
      <c r="AD27" s="33">
        <f t="shared" si="19"/>
        <v>0</v>
      </c>
      <c r="AE27" s="30">
        <f t="shared" si="19"/>
        <v>427.5</v>
      </c>
      <c r="AF27" s="30">
        <f t="shared" si="19"/>
        <v>753.5</v>
      </c>
    </row>
    <row r="28" spans="2:32" ht="23.1" customHeight="1" x14ac:dyDescent="0.25">
      <c r="B28" s="22" t="s">
        <v>55</v>
      </c>
      <c r="C28" s="48">
        <f>'Avg Week Mukwano-Jinja '!C28+'Avg Week Jinja-Mukwano'!C28</f>
        <v>305.42857142857144</v>
      </c>
      <c r="D28" s="48">
        <f>'Avg Week Mukwano-Jinja '!D28+'Avg Week Jinja-Mukwano'!D28</f>
        <v>62.428571428571431</v>
      </c>
      <c r="E28" s="48">
        <f>'Avg Week Mukwano-Jinja '!E28+'Avg Week Jinja-Mukwano'!E28</f>
        <v>26.857142857142854</v>
      </c>
      <c r="F28" s="48">
        <f>'Avg Week Mukwano-Jinja '!F28+'Avg Week Jinja-Mukwano'!F28</f>
        <v>18.285714285714285</v>
      </c>
      <c r="G28" s="48">
        <f>'Avg Week Mukwano-Jinja '!G28+'Avg Week Jinja-Mukwano'!G28</f>
        <v>0.2857142857142857</v>
      </c>
      <c r="H28" s="48">
        <f>'Avg Week Mukwano-Jinja '!H28+'Avg Week Jinja-Mukwano'!H28</f>
        <v>0</v>
      </c>
      <c r="I28" s="48">
        <f>'Avg Week Mukwano-Jinja '!I28+'Avg Week Jinja-Mukwano'!I28</f>
        <v>15.142857142857142</v>
      </c>
      <c r="J28" s="48">
        <f>'Avg Week Mukwano-Jinja '!J28+'Avg Week Jinja-Mukwano'!J28</f>
        <v>7.4285714285714288</v>
      </c>
      <c r="K28" s="48">
        <f>'Avg Week Mukwano-Jinja '!K28+'Avg Week Jinja-Mukwano'!K28</f>
        <v>2.2857142857142856</v>
      </c>
      <c r="L28" s="48">
        <f>'Avg Week Mukwano-Jinja '!L28+'Avg Week Jinja-Mukwano'!L28</f>
        <v>3.5714285714285712</v>
      </c>
      <c r="M28" s="48">
        <f>'Avg Week Mukwano-Jinja '!M28+'Avg Week Jinja-Mukwano'!M28</f>
        <v>825.42857142857133</v>
      </c>
      <c r="N28" s="48">
        <f>'Avg Week Mukwano-Jinja '!N28+'Avg Week Jinja-Mukwano'!N28</f>
        <v>0</v>
      </c>
      <c r="O28" s="15">
        <f t="shared" si="0"/>
        <v>441.71428571428572</v>
      </c>
      <c r="P28" s="15">
        <f t="shared" si="1"/>
        <v>1267.1428571428571</v>
      </c>
      <c r="R28" s="1" t="s">
        <v>152</v>
      </c>
      <c r="S28" s="33">
        <f>SUM(C82:C85)</f>
        <v>230</v>
      </c>
      <c r="T28" s="33">
        <f t="shared" ref="T28:AF28" si="20">SUM(D82:D85)</f>
        <v>36.5</v>
      </c>
      <c r="U28" s="33">
        <f t="shared" si="20"/>
        <v>11</v>
      </c>
      <c r="V28" s="33">
        <f t="shared" si="20"/>
        <v>8.5</v>
      </c>
      <c r="W28" s="33">
        <f t="shared" si="20"/>
        <v>0.5</v>
      </c>
      <c r="X28" s="33">
        <f t="shared" si="20"/>
        <v>0</v>
      </c>
      <c r="Y28" s="33">
        <f t="shared" si="20"/>
        <v>15.5</v>
      </c>
      <c r="Z28" s="33">
        <f t="shared" si="20"/>
        <v>1.5</v>
      </c>
      <c r="AA28" s="33">
        <f t="shared" si="20"/>
        <v>2.5</v>
      </c>
      <c r="AB28" s="33">
        <f t="shared" si="20"/>
        <v>8</v>
      </c>
      <c r="AC28" s="33">
        <f t="shared" si="20"/>
        <v>202.5</v>
      </c>
      <c r="AD28" s="33">
        <f t="shared" si="20"/>
        <v>0</v>
      </c>
      <c r="AE28" s="30">
        <f t="shared" si="20"/>
        <v>314</v>
      </c>
      <c r="AF28" s="30">
        <f t="shared" si="20"/>
        <v>516.5</v>
      </c>
    </row>
    <row r="29" spans="2:32" ht="23.1" customHeight="1" x14ac:dyDescent="0.25">
      <c r="B29" s="22" t="s">
        <v>56</v>
      </c>
      <c r="C29" s="48">
        <f>'Avg Week Mukwano-Jinja '!C29+'Avg Week Jinja-Mukwano'!C29</f>
        <v>286.71428571428572</v>
      </c>
      <c r="D29" s="48">
        <f>'Avg Week Mukwano-Jinja '!D29+'Avg Week Jinja-Mukwano'!D29</f>
        <v>56.428571428571431</v>
      </c>
      <c r="E29" s="48">
        <f>'Avg Week Mukwano-Jinja '!E29+'Avg Week Jinja-Mukwano'!E29</f>
        <v>25.285714285714285</v>
      </c>
      <c r="F29" s="48">
        <f>'Avg Week Mukwano-Jinja '!F29+'Avg Week Jinja-Mukwano'!F29</f>
        <v>15.714285714285714</v>
      </c>
      <c r="G29" s="48">
        <f>'Avg Week Mukwano-Jinja '!G29+'Avg Week Jinja-Mukwano'!G29</f>
        <v>1.1428571428571428</v>
      </c>
      <c r="H29" s="48">
        <f>'Avg Week Mukwano-Jinja '!H29+'Avg Week Jinja-Mukwano'!H29</f>
        <v>0.14285714285714285</v>
      </c>
      <c r="I29" s="48">
        <f>'Avg Week Mukwano-Jinja '!I29+'Avg Week Jinja-Mukwano'!I29</f>
        <v>17.857142857142854</v>
      </c>
      <c r="J29" s="48">
        <f>'Avg Week Mukwano-Jinja '!J29+'Avg Week Jinja-Mukwano'!J29</f>
        <v>8.1428571428571423</v>
      </c>
      <c r="K29" s="48">
        <f>'Avg Week Mukwano-Jinja '!K29+'Avg Week Jinja-Mukwano'!K29</f>
        <v>2.7142857142857144</v>
      </c>
      <c r="L29" s="48">
        <f>'Avg Week Mukwano-Jinja '!L29+'Avg Week Jinja-Mukwano'!L29</f>
        <v>6.8571428571428577</v>
      </c>
      <c r="M29" s="48">
        <f>'Avg Week Mukwano-Jinja '!M29+'Avg Week Jinja-Mukwano'!M29</f>
        <v>869.71428571428578</v>
      </c>
      <c r="N29" s="48">
        <f>'Avg Week Mukwano-Jinja '!N29+'Avg Week Jinja-Mukwano'!N29</f>
        <v>0.5714285714285714</v>
      </c>
      <c r="O29" s="15">
        <f t="shared" si="0"/>
        <v>421.57142857142861</v>
      </c>
      <c r="P29" s="15">
        <f t="shared" si="1"/>
        <v>1291.2857142857144</v>
      </c>
      <c r="R29" s="1" t="s">
        <v>153</v>
      </c>
      <c r="S29" s="33">
        <f>SUM(C86:C89)</f>
        <v>112.5</v>
      </c>
      <c r="T29" s="33">
        <f t="shared" ref="T29:AF29" si="21">SUM(D86:D89)</f>
        <v>17</v>
      </c>
      <c r="U29" s="33">
        <f t="shared" si="21"/>
        <v>10</v>
      </c>
      <c r="V29" s="33">
        <f t="shared" si="21"/>
        <v>1.5</v>
      </c>
      <c r="W29" s="33">
        <f t="shared" si="21"/>
        <v>0</v>
      </c>
      <c r="X29" s="33">
        <f t="shared" si="21"/>
        <v>0</v>
      </c>
      <c r="Y29" s="33">
        <f t="shared" si="21"/>
        <v>8.5</v>
      </c>
      <c r="Z29" s="33">
        <f t="shared" si="21"/>
        <v>2</v>
      </c>
      <c r="AA29" s="33">
        <f t="shared" si="21"/>
        <v>1.5</v>
      </c>
      <c r="AB29" s="33">
        <f t="shared" si="21"/>
        <v>4</v>
      </c>
      <c r="AC29" s="33">
        <f t="shared" si="21"/>
        <v>161.5</v>
      </c>
      <c r="AD29" s="33">
        <f t="shared" si="21"/>
        <v>0</v>
      </c>
      <c r="AE29" s="30">
        <f t="shared" si="21"/>
        <v>157</v>
      </c>
      <c r="AF29" s="30">
        <f t="shared" si="21"/>
        <v>318.5</v>
      </c>
    </row>
    <row r="30" spans="2:32" ht="23.1" customHeight="1" x14ac:dyDescent="0.25">
      <c r="B30" s="22" t="s">
        <v>57</v>
      </c>
      <c r="C30" s="48">
        <f>'Avg Week Mukwano-Jinja '!C30+'Avg Week Jinja-Mukwano'!C30</f>
        <v>296.14285714285711</v>
      </c>
      <c r="D30" s="48">
        <f>'Avg Week Mukwano-Jinja '!D30+'Avg Week Jinja-Mukwano'!D30</f>
        <v>67.571428571428569</v>
      </c>
      <c r="E30" s="48">
        <f>'Avg Week Mukwano-Jinja '!E30+'Avg Week Jinja-Mukwano'!E30</f>
        <v>31.285714285714285</v>
      </c>
      <c r="F30" s="48">
        <f>'Avg Week Mukwano-Jinja '!F30+'Avg Week Jinja-Mukwano'!F30</f>
        <v>15.571428571428571</v>
      </c>
      <c r="G30" s="48">
        <f>'Avg Week Mukwano-Jinja '!G30+'Avg Week Jinja-Mukwano'!G30</f>
        <v>1.4285714285714284</v>
      </c>
      <c r="H30" s="48">
        <f>'Avg Week Mukwano-Jinja '!H30+'Avg Week Jinja-Mukwano'!H30</f>
        <v>0.2857142857142857</v>
      </c>
      <c r="I30" s="48">
        <f>'Avg Week Mukwano-Jinja '!I30+'Avg Week Jinja-Mukwano'!I30</f>
        <v>17.714285714285715</v>
      </c>
      <c r="J30" s="48">
        <f>'Avg Week Mukwano-Jinja '!J30+'Avg Week Jinja-Mukwano'!J30</f>
        <v>11.714285714285715</v>
      </c>
      <c r="K30" s="48">
        <f>'Avg Week Mukwano-Jinja '!K30+'Avg Week Jinja-Mukwano'!K30</f>
        <v>3.1428571428571428</v>
      </c>
      <c r="L30" s="48">
        <f>'Avg Week Mukwano-Jinja '!L30+'Avg Week Jinja-Mukwano'!L30</f>
        <v>4.4285714285714288</v>
      </c>
      <c r="M30" s="48">
        <f>'Avg Week Mukwano-Jinja '!M30+'Avg Week Jinja-Mukwano'!M30</f>
        <v>901.57142857142867</v>
      </c>
      <c r="N30" s="48">
        <f>'Avg Week Mukwano-Jinja '!N30+'Avg Week Jinja-Mukwano'!N30</f>
        <v>0.14285714285714285</v>
      </c>
      <c r="O30" s="15">
        <f t="shared" si="0"/>
        <v>449.42857142857144</v>
      </c>
      <c r="P30" s="15">
        <f t="shared" si="1"/>
        <v>1351</v>
      </c>
      <c r="R30" s="1" t="s">
        <v>154</v>
      </c>
      <c r="S30" s="33">
        <f>SUM(C90:C93)</f>
        <v>115.5</v>
      </c>
      <c r="T30" s="33">
        <f t="shared" ref="T30:AF30" si="22">SUM(D90:D93)</f>
        <v>23</v>
      </c>
      <c r="U30" s="33">
        <f t="shared" si="22"/>
        <v>5</v>
      </c>
      <c r="V30" s="33">
        <f t="shared" si="22"/>
        <v>5.5</v>
      </c>
      <c r="W30" s="33">
        <f t="shared" si="22"/>
        <v>0</v>
      </c>
      <c r="X30" s="33">
        <f t="shared" si="22"/>
        <v>0.5</v>
      </c>
      <c r="Y30" s="33">
        <f t="shared" si="22"/>
        <v>11.5</v>
      </c>
      <c r="Z30" s="33">
        <f t="shared" si="22"/>
        <v>3</v>
      </c>
      <c r="AA30" s="33">
        <f t="shared" si="22"/>
        <v>1</v>
      </c>
      <c r="AB30" s="33">
        <f t="shared" si="22"/>
        <v>5</v>
      </c>
      <c r="AC30" s="33">
        <f t="shared" si="22"/>
        <v>132.5</v>
      </c>
      <c r="AD30" s="33">
        <f t="shared" si="22"/>
        <v>0</v>
      </c>
      <c r="AE30" s="30">
        <f t="shared" si="22"/>
        <v>170</v>
      </c>
      <c r="AF30" s="30">
        <f t="shared" si="22"/>
        <v>302.5</v>
      </c>
    </row>
    <row r="31" spans="2:32" ht="23.1" customHeight="1" x14ac:dyDescent="0.25">
      <c r="B31" s="23" t="s">
        <v>58</v>
      </c>
      <c r="C31" s="48">
        <f>'Avg Week Mukwano-Jinja '!C31+'Avg Week Jinja-Mukwano'!C31</f>
        <v>305.14285714285711</v>
      </c>
      <c r="D31" s="48">
        <f>'Avg Week Mukwano-Jinja '!D31+'Avg Week Jinja-Mukwano'!D31</f>
        <v>70.571428571428584</v>
      </c>
      <c r="E31" s="48">
        <f>'Avg Week Mukwano-Jinja '!E31+'Avg Week Jinja-Mukwano'!E31</f>
        <v>27.857142857142858</v>
      </c>
      <c r="F31" s="48">
        <f>'Avg Week Mukwano-Jinja '!F31+'Avg Week Jinja-Mukwano'!F31</f>
        <v>15.714285714285714</v>
      </c>
      <c r="G31" s="48">
        <f>'Avg Week Mukwano-Jinja '!G31+'Avg Week Jinja-Mukwano'!G31</f>
        <v>2</v>
      </c>
      <c r="H31" s="48">
        <f>'Avg Week Mukwano-Jinja '!H31+'Avg Week Jinja-Mukwano'!H31</f>
        <v>0.14285714285714285</v>
      </c>
      <c r="I31" s="48">
        <f>'Avg Week Mukwano-Jinja '!I31+'Avg Week Jinja-Mukwano'!I31</f>
        <v>15.428571428571429</v>
      </c>
      <c r="J31" s="48">
        <f>'Avg Week Mukwano-Jinja '!J31+'Avg Week Jinja-Mukwano'!J31</f>
        <v>7.7142857142857135</v>
      </c>
      <c r="K31" s="48">
        <f>'Avg Week Mukwano-Jinja '!K31+'Avg Week Jinja-Mukwano'!K31</f>
        <v>2.7142857142857144</v>
      </c>
      <c r="L31" s="48">
        <f>'Avg Week Mukwano-Jinja '!L31+'Avg Week Jinja-Mukwano'!L31</f>
        <v>4.4285714285714288</v>
      </c>
      <c r="M31" s="48">
        <f>'Avg Week Mukwano-Jinja '!M31+'Avg Week Jinja-Mukwano'!M31</f>
        <v>856.71428571428578</v>
      </c>
      <c r="N31" s="48">
        <f>'Avg Week Mukwano-Jinja '!N31+'Avg Week Jinja-Mukwano'!N31</f>
        <v>0.14285714285714285</v>
      </c>
      <c r="O31" s="15">
        <f t="shared" si="0"/>
        <v>451.85714285714289</v>
      </c>
      <c r="P31" s="15">
        <f t="shared" si="1"/>
        <v>1308.5714285714287</v>
      </c>
      <c r="R31" s="1" t="s">
        <v>155</v>
      </c>
      <c r="S31" s="33">
        <f>SUM(C94:C97)</f>
        <v>113</v>
      </c>
      <c r="T31" s="33">
        <f t="shared" ref="T31:AF31" si="23">SUM(D94:D97)</f>
        <v>22</v>
      </c>
      <c r="U31" s="33">
        <f t="shared" si="23"/>
        <v>3</v>
      </c>
      <c r="V31" s="33">
        <f t="shared" si="23"/>
        <v>5</v>
      </c>
      <c r="W31" s="33">
        <f t="shared" si="23"/>
        <v>0.5</v>
      </c>
      <c r="X31" s="33">
        <f t="shared" si="23"/>
        <v>1.5</v>
      </c>
      <c r="Y31" s="33">
        <f t="shared" si="23"/>
        <v>6</v>
      </c>
      <c r="Z31" s="33">
        <f t="shared" si="23"/>
        <v>3.5</v>
      </c>
      <c r="AA31" s="33">
        <f t="shared" si="23"/>
        <v>1.5</v>
      </c>
      <c r="AB31" s="33">
        <f t="shared" si="23"/>
        <v>4</v>
      </c>
      <c r="AC31" s="33">
        <f t="shared" si="23"/>
        <v>175</v>
      </c>
      <c r="AD31" s="33">
        <f t="shared" si="23"/>
        <v>0</v>
      </c>
      <c r="AE31" s="30">
        <f t="shared" si="23"/>
        <v>160</v>
      </c>
      <c r="AF31" s="30">
        <f t="shared" si="23"/>
        <v>335</v>
      </c>
    </row>
    <row r="32" spans="2:32" ht="23.1" customHeight="1" x14ac:dyDescent="0.25">
      <c r="B32" s="23" t="s">
        <v>59</v>
      </c>
      <c r="C32" s="48">
        <f>'Avg Week Mukwano-Jinja '!C32+'Avg Week Jinja-Mukwano'!C32</f>
        <v>312.28571428571433</v>
      </c>
      <c r="D32" s="48">
        <f>'Avg Week Mukwano-Jinja '!D32+'Avg Week Jinja-Mukwano'!D32</f>
        <v>58</v>
      </c>
      <c r="E32" s="48">
        <f>'Avg Week Mukwano-Jinja '!E32+'Avg Week Jinja-Mukwano'!E32</f>
        <v>24.428571428571427</v>
      </c>
      <c r="F32" s="48">
        <f>'Avg Week Mukwano-Jinja '!F32+'Avg Week Jinja-Mukwano'!F32</f>
        <v>16</v>
      </c>
      <c r="G32" s="48">
        <f>'Avg Week Mukwano-Jinja '!G32+'Avg Week Jinja-Mukwano'!G32</f>
        <v>1.1428571428571428</v>
      </c>
      <c r="H32" s="48">
        <f>'Avg Week Mukwano-Jinja '!H32+'Avg Week Jinja-Mukwano'!H32</f>
        <v>0.71428571428571419</v>
      </c>
      <c r="I32" s="48">
        <f>'Avg Week Mukwano-Jinja '!I32+'Avg Week Jinja-Mukwano'!I32</f>
        <v>18.142857142857142</v>
      </c>
      <c r="J32" s="48">
        <f>'Avg Week Mukwano-Jinja '!J32+'Avg Week Jinja-Mukwano'!J32</f>
        <v>7.2857142857142865</v>
      </c>
      <c r="K32" s="48">
        <f>'Avg Week Mukwano-Jinja '!K32+'Avg Week Jinja-Mukwano'!K32</f>
        <v>2.2857142857142856</v>
      </c>
      <c r="L32" s="48">
        <f>'Avg Week Mukwano-Jinja '!L32+'Avg Week Jinja-Mukwano'!L32</f>
        <v>2.7142857142857144</v>
      </c>
      <c r="M32" s="48">
        <f>'Avg Week Mukwano-Jinja '!M32+'Avg Week Jinja-Mukwano'!M32</f>
        <v>816.85714285714289</v>
      </c>
      <c r="N32" s="48">
        <f>'Avg Week Mukwano-Jinja '!N32+'Avg Week Jinja-Mukwano'!N32</f>
        <v>0.14285714285714285</v>
      </c>
      <c r="O32" s="15">
        <f t="shared" si="0"/>
        <v>443.14285714285728</v>
      </c>
      <c r="P32" s="15">
        <f t="shared" si="1"/>
        <v>1260.0000000000002</v>
      </c>
      <c r="R32" s="1" t="s">
        <v>156</v>
      </c>
      <c r="S32" s="33">
        <f>SUM(C98:C101)</f>
        <v>145.5</v>
      </c>
      <c r="T32" s="33">
        <f t="shared" ref="T32:AF32" si="24">SUM(D98:D101)</f>
        <v>26</v>
      </c>
      <c r="U32" s="33">
        <f t="shared" si="24"/>
        <v>12.5</v>
      </c>
      <c r="V32" s="33">
        <f t="shared" si="24"/>
        <v>12.5</v>
      </c>
      <c r="W32" s="33">
        <f t="shared" si="24"/>
        <v>1</v>
      </c>
      <c r="X32" s="33">
        <f t="shared" si="24"/>
        <v>0.5</v>
      </c>
      <c r="Y32" s="33">
        <f t="shared" si="24"/>
        <v>6.5</v>
      </c>
      <c r="Z32" s="33">
        <f t="shared" si="24"/>
        <v>6.5</v>
      </c>
      <c r="AA32" s="33">
        <f t="shared" si="24"/>
        <v>2.5</v>
      </c>
      <c r="AB32" s="33">
        <f t="shared" si="24"/>
        <v>4.5</v>
      </c>
      <c r="AC32" s="33">
        <f t="shared" si="24"/>
        <v>336</v>
      </c>
      <c r="AD32" s="33">
        <f t="shared" si="24"/>
        <v>0</v>
      </c>
      <c r="AE32" s="30">
        <f t="shared" si="24"/>
        <v>218</v>
      </c>
      <c r="AF32" s="30">
        <f t="shared" si="24"/>
        <v>554</v>
      </c>
    </row>
    <row r="33" spans="2:32" ht="23.1" customHeight="1" x14ac:dyDescent="0.25">
      <c r="B33" s="22" t="s">
        <v>60</v>
      </c>
      <c r="C33" s="48">
        <f>'Avg Week Mukwano-Jinja '!C33+'Avg Week Jinja-Mukwano'!C33</f>
        <v>302.28571428571433</v>
      </c>
      <c r="D33" s="48">
        <f>'Avg Week Mukwano-Jinja '!D33+'Avg Week Jinja-Mukwano'!D33</f>
        <v>55.428571428571431</v>
      </c>
      <c r="E33" s="48">
        <f>'Avg Week Mukwano-Jinja '!E33+'Avg Week Jinja-Mukwano'!E33</f>
        <v>29.428571428571431</v>
      </c>
      <c r="F33" s="48">
        <f>'Avg Week Mukwano-Jinja '!F33+'Avg Week Jinja-Mukwano'!F33</f>
        <v>18.142857142857142</v>
      </c>
      <c r="G33" s="48">
        <f>'Avg Week Mukwano-Jinja '!G33+'Avg Week Jinja-Mukwano'!G33</f>
        <v>0.8571428571428571</v>
      </c>
      <c r="H33" s="48">
        <f>'Avg Week Mukwano-Jinja '!H33+'Avg Week Jinja-Mukwano'!H33</f>
        <v>0.71428571428571419</v>
      </c>
      <c r="I33" s="48">
        <f>'Avg Week Mukwano-Jinja '!I33+'Avg Week Jinja-Mukwano'!I33</f>
        <v>18.142857142857142</v>
      </c>
      <c r="J33" s="48">
        <f>'Avg Week Mukwano-Jinja '!J33+'Avg Week Jinja-Mukwano'!J33</f>
        <v>9.2857142857142847</v>
      </c>
      <c r="K33" s="48">
        <f>'Avg Week Mukwano-Jinja '!K33+'Avg Week Jinja-Mukwano'!K33</f>
        <v>3</v>
      </c>
      <c r="L33" s="48">
        <f>'Avg Week Mukwano-Jinja '!L33+'Avg Week Jinja-Mukwano'!L33</f>
        <v>4.4285714285714288</v>
      </c>
      <c r="M33" s="48">
        <f>'Avg Week Mukwano-Jinja '!M33+'Avg Week Jinja-Mukwano'!M33</f>
        <v>831.28571428571422</v>
      </c>
      <c r="N33" s="48">
        <f>'Avg Week Mukwano-Jinja '!N33+'Avg Week Jinja-Mukwano'!N33</f>
        <v>0.14285714285714285</v>
      </c>
      <c r="O33" s="15">
        <f t="shared" si="0"/>
        <v>441.857142857143</v>
      </c>
      <c r="P33" s="15">
        <f t="shared" si="1"/>
        <v>1273.1428571428571</v>
      </c>
      <c r="R33" s="1" t="s">
        <v>157</v>
      </c>
      <c r="S33" s="33">
        <f>SUM(C102:C105)</f>
        <v>403.5</v>
      </c>
      <c r="T33" s="33">
        <f t="shared" ref="T33:AF33" si="25">SUM(D102:D105)</f>
        <v>123.5</v>
      </c>
      <c r="U33" s="33">
        <f t="shared" si="25"/>
        <v>52.5</v>
      </c>
      <c r="V33" s="33">
        <f t="shared" si="25"/>
        <v>40</v>
      </c>
      <c r="W33" s="33">
        <f t="shared" si="25"/>
        <v>5</v>
      </c>
      <c r="X33" s="33">
        <f t="shared" si="25"/>
        <v>0</v>
      </c>
      <c r="Y33" s="33">
        <f t="shared" si="25"/>
        <v>33</v>
      </c>
      <c r="Z33" s="33">
        <f t="shared" si="25"/>
        <v>7</v>
      </c>
      <c r="AA33" s="33">
        <f t="shared" si="25"/>
        <v>22</v>
      </c>
      <c r="AB33" s="33">
        <f t="shared" si="25"/>
        <v>6</v>
      </c>
      <c r="AC33" s="33">
        <f t="shared" si="25"/>
        <v>866</v>
      </c>
      <c r="AD33" s="33">
        <f t="shared" si="25"/>
        <v>0</v>
      </c>
      <c r="AE33" s="30">
        <f t="shared" si="25"/>
        <v>692.5</v>
      </c>
      <c r="AF33" s="30">
        <f t="shared" si="25"/>
        <v>1558.5</v>
      </c>
    </row>
    <row r="34" spans="2:32" ht="23.1" customHeight="1" x14ac:dyDescent="0.25">
      <c r="B34" s="23" t="s">
        <v>61</v>
      </c>
      <c r="C34" s="48">
        <f>'Avg Week Mukwano-Jinja '!C34+'Avg Week Jinja-Mukwano'!C34</f>
        <v>253.57142857142856</v>
      </c>
      <c r="D34" s="48">
        <f>'Avg Week Mukwano-Jinja '!D34+'Avg Week Jinja-Mukwano'!D34</f>
        <v>56.571428571428569</v>
      </c>
      <c r="E34" s="48">
        <f>'Avg Week Mukwano-Jinja '!E34+'Avg Week Jinja-Mukwano'!E34</f>
        <v>28.857142857142858</v>
      </c>
      <c r="F34" s="48">
        <f>'Avg Week Mukwano-Jinja '!F34+'Avg Week Jinja-Mukwano'!F34</f>
        <v>13.714285714285715</v>
      </c>
      <c r="G34" s="48">
        <f>'Avg Week Mukwano-Jinja '!G34+'Avg Week Jinja-Mukwano'!G34</f>
        <v>3.2857142857142856</v>
      </c>
      <c r="H34" s="48">
        <f>'Avg Week Mukwano-Jinja '!H34+'Avg Week Jinja-Mukwano'!H34</f>
        <v>0.14285714285714285</v>
      </c>
      <c r="I34" s="48">
        <f>'Avg Week Mukwano-Jinja '!I34+'Avg Week Jinja-Mukwano'!I34</f>
        <v>17.571428571428573</v>
      </c>
      <c r="J34" s="48">
        <f>'Avg Week Mukwano-Jinja '!J34+'Avg Week Jinja-Mukwano'!J34</f>
        <v>8</v>
      </c>
      <c r="K34" s="48">
        <f>'Avg Week Mukwano-Jinja '!K34+'Avg Week Jinja-Mukwano'!K34</f>
        <v>3</v>
      </c>
      <c r="L34" s="48">
        <f>'Avg Week Mukwano-Jinja '!L34+'Avg Week Jinja-Mukwano'!L34</f>
        <v>7.5714285714285712</v>
      </c>
      <c r="M34" s="48">
        <f>'Avg Week Mukwano-Jinja '!M34+'Avg Week Jinja-Mukwano'!M34</f>
        <v>860.57142857142856</v>
      </c>
      <c r="N34" s="48">
        <f>'Avg Week Mukwano-Jinja '!N34+'Avg Week Jinja-Mukwano'!N34</f>
        <v>0</v>
      </c>
      <c r="O34" s="15">
        <f t="shared" si="0"/>
        <v>392.28571428571422</v>
      </c>
      <c r="P34" s="15">
        <f t="shared" si="1"/>
        <v>1252.8571428571427</v>
      </c>
      <c r="R34" s="37" t="s">
        <v>90</v>
      </c>
      <c r="S34" s="38">
        <f t="shared" ref="S34:AF34" si="26">MAX(S10:S12)</f>
        <v>1234.8571428571429</v>
      </c>
      <c r="T34" s="38">
        <f t="shared" si="26"/>
        <v>249.71428571428572</v>
      </c>
      <c r="U34" s="38">
        <f t="shared" si="26"/>
        <v>112.42857142857143</v>
      </c>
      <c r="V34" s="38">
        <f t="shared" si="26"/>
        <v>69.285714285714278</v>
      </c>
      <c r="W34" s="38">
        <f t="shared" si="26"/>
        <v>6.7142857142857153</v>
      </c>
      <c r="X34" s="38">
        <f t="shared" si="26"/>
        <v>1.2857142857142856</v>
      </c>
      <c r="Y34" s="38">
        <f t="shared" si="26"/>
        <v>57.714285714285708</v>
      </c>
      <c r="Z34" s="38">
        <f t="shared" si="26"/>
        <v>32.142857142857139</v>
      </c>
      <c r="AA34" s="38">
        <f t="shared" si="26"/>
        <v>11.571428571428569</v>
      </c>
      <c r="AB34" s="38">
        <f t="shared" si="26"/>
        <v>11.571428571428571</v>
      </c>
      <c r="AC34" s="38">
        <f t="shared" si="26"/>
        <v>3729.4285714285716</v>
      </c>
      <c r="AD34" s="38">
        <f t="shared" si="26"/>
        <v>1</v>
      </c>
      <c r="AE34" s="39">
        <f t="shared" si="26"/>
        <v>1784.7142857142856</v>
      </c>
      <c r="AF34" s="39">
        <f t="shared" si="26"/>
        <v>5514.1428571428569</v>
      </c>
    </row>
    <row r="35" spans="2:32" ht="23.1" customHeight="1" x14ac:dyDescent="0.25">
      <c r="B35" s="23" t="s">
        <v>62</v>
      </c>
      <c r="C35" s="48">
        <f>'Avg Week Mukwano-Jinja '!C35+'Avg Week Jinja-Mukwano'!C35</f>
        <v>286.14285714285711</v>
      </c>
      <c r="D35" s="48">
        <f>'Avg Week Mukwano-Jinja '!D35+'Avg Week Jinja-Mukwano'!D35</f>
        <v>64.142857142857139</v>
      </c>
      <c r="E35" s="48">
        <f>'Avg Week Mukwano-Jinja '!E35+'Avg Week Jinja-Mukwano'!E35</f>
        <v>22.285714285714285</v>
      </c>
      <c r="F35" s="48">
        <f>'Avg Week Mukwano-Jinja '!F35+'Avg Week Jinja-Mukwano'!F35</f>
        <v>12</v>
      </c>
      <c r="G35" s="48">
        <f>'Avg Week Mukwano-Jinja '!G35+'Avg Week Jinja-Mukwano'!G35</f>
        <v>1</v>
      </c>
      <c r="H35" s="48">
        <f>'Avg Week Mukwano-Jinja '!H35+'Avg Week Jinja-Mukwano'!H35</f>
        <v>0</v>
      </c>
      <c r="I35" s="48">
        <f>'Avg Week Mukwano-Jinja '!I35+'Avg Week Jinja-Mukwano'!I35</f>
        <v>13.857142857142858</v>
      </c>
      <c r="J35" s="48">
        <f>'Avg Week Mukwano-Jinja '!J35+'Avg Week Jinja-Mukwano'!J35</f>
        <v>7.7142857142857135</v>
      </c>
      <c r="K35" s="48">
        <f>'Avg Week Mukwano-Jinja '!K35+'Avg Week Jinja-Mukwano'!K35</f>
        <v>2.7142857142857144</v>
      </c>
      <c r="L35" s="48">
        <f>'Avg Week Mukwano-Jinja '!L35+'Avg Week Jinja-Mukwano'!L35</f>
        <v>5.2857142857142856</v>
      </c>
      <c r="M35" s="48">
        <f>'Avg Week Mukwano-Jinja '!M35+'Avg Week Jinja-Mukwano'!M35</f>
        <v>847.28571428571422</v>
      </c>
      <c r="N35" s="48">
        <f>'Avg Week Mukwano-Jinja '!N35+'Avg Week Jinja-Mukwano'!N35</f>
        <v>0.14285714285714285</v>
      </c>
      <c r="O35" s="15">
        <f t="shared" si="0"/>
        <v>415.28571428571422</v>
      </c>
      <c r="P35" s="15">
        <f t="shared" si="1"/>
        <v>1262.5714285714284</v>
      </c>
      <c r="R35" s="37" t="s">
        <v>91</v>
      </c>
      <c r="S35" s="38">
        <f t="shared" ref="S35:AF35" si="27">MAX(S13:S18)</f>
        <v>1215.8571428571429</v>
      </c>
      <c r="T35" s="38">
        <f t="shared" si="27"/>
        <v>263.85714285714283</v>
      </c>
      <c r="U35" s="38">
        <f t="shared" si="27"/>
        <v>127.42857142857142</v>
      </c>
      <c r="V35" s="38">
        <f t="shared" si="27"/>
        <v>67</v>
      </c>
      <c r="W35" s="38">
        <f t="shared" si="27"/>
        <v>8.428571428571427</v>
      </c>
      <c r="X35" s="38">
        <f t="shared" si="27"/>
        <v>1.857142857142857</v>
      </c>
      <c r="Y35" s="38">
        <f t="shared" si="27"/>
        <v>74.285714285714278</v>
      </c>
      <c r="Z35" s="38">
        <f t="shared" si="27"/>
        <v>37.428571428571431</v>
      </c>
      <c r="AA35" s="38">
        <f t="shared" si="27"/>
        <v>15.571428571428573</v>
      </c>
      <c r="AB35" s="38">
        <f t="shared" si="27"/>
        <v>22.999999999999996</v>
      </c>
      <c r="AC35" s="38">
        <f t="shared" si="27"/>
        <v>3535.7142857142862</v>
      </c>
      <c r="AD35" s="38">
        <f t="shared" si="27"/>
        <v>1.2857142857142856</v>
      </c>
      <c r="AE35" s="39">
        <f t="shared" si="27"/>
        <v>1793.1428571428569</v>
      </c>
      <c r="AF35" s="39">
        <f t="shared" si="27"/>
        <v>5328.8571428571422</v>
      </c>
    </row>
    <row r="36" spans="2:32" ht="23.1" customHeight="1" x14ac:dyDescent="0.25">
      <c r="B36" s="23" t="s">
        <v>63</v>
      </c>
      <c r="C36" s="48">
        <f>'Avg Week Mukwano-Jinja '!C36+'Avg Week Jinja-Mukwano'!C36</f>
        <v>277</v>
      </c>
      <c r="D36" s="48">
        <f>'Avg Week Mukwano-Jinja '!D36+'Avg Week Jinja-Mukwano'!D36</f>
        <v>50.714285714285715</v>
      </c>
      <c r="E36" s="48">
        <f>'Avg Week Mukwano-Jinja '!E36+'Avg Week Jinja-Mukwano'!E36</f>
        <v>23</v>
      </c>
      <c r="F36" s="48">
        <f>'Avg Week Mukwano-Jinja '!F36+'Avg Week Jinja-Mukwano'!F36</f>
        <v>10.714285714285714</v>
      </c>
      <c r="G36" s="48">
        <f>'Avg Week Mukwano-Jinja '!G36+'Avg Week Jinja-Mukwano'!G36</f>
        <v>2.8571428571428572</v>
      </c>
      <c r="H36" s="48">
        <f>'Avg Week Mukwano-Jinja '!H36+'Avg Week Jinja-Mukwano'!H36</f>
        <v>1</v>
      </c>
      <c r="I36" s="48">
        <f>'Avg Week Mukwano-Jinja '!I36+'Avg Week Jinja-Mukwano'!I36</f>
        <v>11.428571428571429</v>
      </c>
      <c r="J36" s="48">
        <f>'Avg Week Mukwano-Jinja '!J36+'Avg Week Jinja-Mukwano'!J36</f>
        <v>5.2857142857142856</v>
      </c>
      <c r="K36" s="48">
        <f>'Avg Week Mukwano-Jinja '!K36+'Avg Week Jinja-Mukwano'!K36</f>
        <v>4</v>
      </c>
      <c r="L36" s="48">
        <f>'Avg Week Mukwano-Jinja '!L36+'Avg Week Jinja-Mukwano'!L36</f>
        <v>2.7142857142857144</v>
      </c>
      <c r="M36" s="48">
        <f>'Avg Week Mukwano-Jinja '!M36+'Avg Week Jinja-Mukwano'!M36</f>
        <v>802.14285714285711</v>
      </c>
      <c r="N36" s="48">
        <f>'Avg Week Mukwano-Jinja '!N36+'Avg Week Jinja-Mukwano'!N36</f>
        <v>0</v>
      </c>
      <c r="O36" s="15">
        <f t="shared" si="0"/>
        <v>388.71428571428572</v>
      </c>
      <c r="P36" s="15">
        <f t="shared" si="1"/>
        <v>1190.8571428571429</v>
      </c>
      <c r="R36" s="37" t="s">
        <v>92</v>
      </c>
      <c r="S36" s="38">
        <f t="shared" ref="S36:AF36" si="28">MAX(S19:S21)</f>
        <v>1166</v>
      </c>
      <c r="T36" s="38">
        <f t="shared" si="28"/>
        <v>228.57142857142858</v>
      </c>
      <c r="U36" s="38">
        <f t="shared" si="28"/>
        <v>124.71428571428571</v>
      </c>
      <c r="V36" s="38">
        <f t="shared" si="28"/>
        <v>68.857142857142861</v>
      </c>
      <c r="W36" s="38">
        <f t="shared" si="28"/>
        <v>8.7142857142857135</v>
      </c>
      <c r="X36" s="38">
        <f t="shared" si="28"/>
        <v>2.2857142857142856</v>
      </c>
      <c r="Y36" s="38">
        <f t="shared" si="28"/>
        <v>64</v>
      </c>
      <c r="Z36" s="38">
        <f t="shared" si="28"/>
        <v>37.857142857142861</v>
      </c>
      <c r="AA36" s="38">
        <f t="shared" si="28"/>
        <v>11.285714285714285</v>
      </c>
      <c r="AB36" s="38">
        <f t="shared" si="28"/>
        <v>23.285714285714285</v>
      </c>
      <c r="AC36" s="38">
        <f t="shared" si="28"/>
        <v>3274.8571428571431</v>
      </c>
      <c r="AD36" s="38">
        <f t="shared" si="28"/>
        <v>0.5714285714285714</v>
      </c>
      <c r="AE36" s="39">
        <f t="shared" si="28"/>
        <v>1691</v>
      </c>
      <c r="AF36" s="39">
        <f t="shared" si="28"/>
        <v>4965.8571428571431</v>
      </c>
    </row>
    <row r="37" spans="2:32" ht="23.1" customHeight="1" x14ac:dyDescent="0.25">
      <c r="B37" s="22" t="s">
        <v>64</v>
      </c>
      <c r="C37" s="48">
        <f>'Avg Week Mukwano-Jinja '!C37+'Avg Week Jinja-Mukwano'!C37</f>
        <v>256.57142857142856</v>
      </c>
      <c r="D37" s="48">
        <f>'Avg Week Mukwano-Jinja '!D37+'Avg Week Jinja-Mukwano'!D37</f>
        <v>45.428571428571431</v>
      </c>
      <c r="E37" s="48">
        <f>'Avg Week Mukwano-Jinja '!E37+'Avg Week Jinja-Mukwano'!E37</f>
        <v>23.571428571428569</v>
      </c>
      <c r="F37" s="48">
        <f>'Avg Week Mukwano-Jinja '!F37+'Avg Week Jinja-Mukwano'!F37</f>
        <v>13.571428571428573</v>
      </c>
      <c r="G37" s="48">
        <f>'Avg Week Mukwano-Jinja '!G37+'Avg Week Jinja-Mukwano'!G37</f>
        <v>1.2857142857142856</v>
      </c>
      <c r="H37" s="48">
        <f>'Avg Week Mukwano-Jinja '!H37+'Avg Week Jinja-Mukwano'!H37</f>
        <v>0</v>
      </c>
      <c r="I37" s="48">
        <f>'Avg Week Mukwano-Jinja '!I37+'Avg Week Jinja-Mukwano'!I37</f>
        <v>16</v>
      </c>
      <c r="J37" s="48">
        <f>'Avg Week Mukwano-Jinja '!J37+'Avg Week Jinja-Mukwano'!J37</f>
        <v>7.4285714285714288</v>
      </c>
      <c r="K37" s="48">
        <f>'Avg Week Mukwano-Jinja '!K37+'Avg Week Jinja-Mukwano'!K37</f>
        <v>3.4285714285714288</v>
      </c>
      <c r="L37" s="48">
        <f>'Avg Week Mukwano-Jinja '!L37+'Avg Week Jinja-Mukwano'!L37</f>
        <v>5</v>
      </c>
      <c r="M37" s="48">
        <f>'Avg Week Mukwano-Jinja '!M37+'Avg Week Jinja-Mukwano'!M37</f>
        <v>758.71428571428578</v>
      </c>
      <c r="N37" s="48">
        <f>'Avg Week Mukwano-Jinja '!N37+'Avg Week Jinja-Mukwano'!N37</f>
        <v>0</v>
      </c>
      <c r="O37" s="15">
        <f t="shared" si="0"/>
        <v>372.28571428571428</v>
      </c>
      <c r="P37" s="15">
        <f t="shared" si="1"/>
        <v>1131</v>
      </c>
      <c r="R37" s="36" t="s">
        <v>85</v>
      </c>
      <c r="S37" s="34">
        <f t="shared" ref="S37:AF37" si="29">SUM(S10:S12)</f>
        <v>3340.4285714285716</v>
      </c>
      <c r="T37" s="16">
        <f t="shared" si="29"/>
        <v>648.28571428571433</v>
      </c>
      <c r="U37" s="16">
        <f t="shared" si="29"/>
        <v>283.57142857142861</v>
      </c>
      <c r="V37" s="16">
        <f t="shared" si="29"/>
        <v>192.71428571428572</v>
      </c>
      <c r="W37" s="16">
        <f t="shared" si="29"/>
        <v>15.857142857142858</v>
      </c>
      <c r="X37" s="16">
        <f t="shared" si="29"/>
        <v>3.4285714285714284</v>
      </c>
      <c r="Y37" s="16">
        <f t="shared" si="29"/>
        <v>117.85714285714285</v>
      </c>
      <c r="Z37" s="16">
        <f t="shared" si="29"/>
        <v>67.285714285714278</v>
      </c>
      <c r="AA37" s="16">
        <f t="shared" si="29"/>
        <v>28.999999999999996</v>
      </c>
      <c r="AB37" s="16">
        <f t="shared" si="29"/>
        <v>31.714285714285708</v>
      </c>
      <c r="AC37" s="16">
        <f t="shared" si="29"/>
        <v>10252.857142857143</v>
      </c>
      <c r="AD37" s="16">
        <f t="shared" si="29"/>
        <v>1.1428571428571428</v>
      </c>
      <c r="AE37" s="31">
        <f t="shared" si="29"/>
        <v>4731.2857142857138</v>
      </c>
      <c r="AF37" s="31">
        <f t="shared" si="29"/>
        <v>14984.142857142857</v>
      </c>
    </row>
    <row r="38" spans="2:32" ht="23.1" customHeight="1" x14ac:dyDescent="0.25">
      <c r="B38" s="23" t="s">
        <v>65</v>
      </c>
      <c r="C38" s="48">
        <f>'Avg Week Mukwano-Jinja '!C38+'Avg Week Jinja-Mukwano'!C38</f>
        <v>281.14285714285711</v>
      </c>
      <c r="D38" s="48">
        <f>'Avg Week Mukwano-Jinja '!D38+'Avg Week Jinja-Mukwano'!D38</f>
        <v>47.142857142857139</v>
      </c>
      <c r="E38" s="48">
        <f>'Avg Week Mukwano-Jinja '!E38+'Avg Week Jinja-Mukwano'!E38</f>
        <v>22.285714285714285</v>
      </c>
      <c r="F38" s="48">
        <f>'Avg Week Mukwano-Jinja '!F38+'Avg Week Jinja-Mukwano'!F38</f>
        <v>13</v>
      </c>
      <c r="G38" s="48">
        <f>'Avg Week Mukwano-Jinja '!G38+'Avg Week Jinja-Mukwano'!G38</f>
        <v>0.71428571428571419</v>
      </c>
      <c r="H38" s="48">
        <f>'Avg Week Mukwano-Jinja '!H38+'Avg Week Jinja-Mukwano'!H38</f>
        <v>0.5714285714285714</v>
      </c>
      <c r="I38" s="48">
        <f>'Avg Week Mukwano-Jinja '!I38+'Avg Week Jinja-Mukwano'!I38</f>
        <v>12.571428571428571</v>
      </c>
      <c r="J38" s="48">
        <f>'Avg Week Mukwano-Jinja '!J38+'Avg Week Jinja-Mukwano'!J38</f>
        <v>8.1428571428571423</v>
      </c>
      <c r="K38" s="48">
        <f>'Avg Week Mukwano-Jinja '!K38+'Avg Week Jinja-Mukwano'!K38</f>
        <v>3.4285714285714288</v>
      </c>
      <c r="L38" s="48">
        <f>'Avg Week Mukwano-Jinja '!L38+'Avg Week Jinja-Mukwano'!L38</f>
        <v>4.7142857142857144</v>
      </c>
      <c r="M38" s="48">
        <f>'Avg Week Mukwano-Jinja '!M38+'Avg Week Jinja-Mukwano'!M38</f>
        <v>792.42857142857144</v>
      </c>
      <c r="N38" s="48">
        <f>'Avg Week Mukwano-Jinja '!N38+'Avg Week Jinja-Mukwano'!N38</f>
        <v>0</v>
      </c>
      <c r="O38" s="15">
        <f t="shared" si="0"/>
        <v>393.71428571428567</v>
      </c>
      <c r="P38" s="15">
        <f t="shared" si="1"/>
        <v>1186.1428571428571</v>
      </c>
      <c r="R38" s="27" t="s">
        <v>86</v>
      </c>
      <c r="S38" s="16">
        <f t="shared" ref="S38:AF38" si="30">SUM(S13:S18)</f>
        <v>6824.2857142857156</v>
      </c>
      <c r="T38" s="16">
        <f t="shared" si="30"/>
        <v>1353.8571428571429</v>
      </c>
      <c r="U38" s="16">
        <f t="shared" si="30"/>
        <v>660.71428571428567</v>
      </c>
      <c r="V38" s="16">
        <f t="shared" si="30"/>
        <v>361.71428571428578</v>
      </c>
      <c r="W38" s="16">
        <f t="shared" si="30"/>
        <v>36.428571428571431</v>
      </c>
      <c r="X38" s="16">
        <f t="shared" si="30"/>
        <v>7.7142857142857135</v>
      </c>
      <c r="Y38" s="16">
        <f t="shared" si="30"/>
        <v>394.71428571428567</v>
      </c>
      <c r="Z38" s="16">
        <f t="shared" si="30"/>
        <v>210.85714285714289</v>
      </c>
      <c r="AA38" s="16">
        <f t="shared" si="30"/>
        <v>78.714285714285722</v>
      </c>
      <c r="AB38" s="16">
        <f t="shared" si="30"/>
        <v>116.71428571428572</v>
      </c>
      <c r="AC38" s="16">
        <f t="shared" si="30"/>
        <v>20525.571428571431</v>
      </c>
      <c r="AD38" s="16">
        <f t="shared" si="30"/>
        <v>3.4285714285714284</v>
      </c>
      <c r="AE38" s="31">
        <f t="shared" si="30"/>
        <v>10049.142857142857</v>
      </c>
      <c r="AF38" s="31">
        <f t="shared" si="30"/>
        <v>30574.714285714286</v>
      </c>
    </row>
    <row r="39" spans="2:32" ht="23.1" customHeight="1" x14ac:dyDescent="0.25">
      <c r="B39" s="23" t="s">
        <v>66</v>
      </c>
      <c r="C39" s="48">
        <f>'Avg Week Mukwano-Jinja '!C39+'Avg Week Jinja-Mukwano'!C39</f>
        <v>270</v>
      </c>
      <c r="D39" s="48">
        <f>'Avg Week Mukwano-Jinja '!D39+'Avg Week Jinja-Mukwano'!D39</f>
        <v>48.428571428571431</v>
      </c>
      <c r="E39" s="48">
        <f>'Avg Week Mukwano-Jinja '!E39+'Avg Week Jinja-Mukwano'!E39</f>
        <v>29.428571428571431</v>
      </c>
      <c r="F39" s="48">
        <f>'Avg Week Mukwano-Jinja '!F39+'Avg Week Jinja-Mukwano'!F39</f>
        <v>15.857142857142858</v>
      </c>
      <c r="G39" s="48">
        <f>'Avg Week Mukwano-Jinja '!G39+'Avg Week Jinja-Mukwano'!G39</f>
        <v>1.2857142857142856</v>
      </c>
      <c r="H39" s="48">
        <f>'Avg Week Mukwano-Jinja '!H39+'Avg Week Jinja-Mukwano'!H39</f>
        <v>0.5714285714285714</v>
      </c>
      <c r="I39" s="48">
        <f>'Avg Week Mukwano-Jinja '!I39+'Avg Week Jinja-Mukwano'!I39</f>
        <v>16.857142857142858</v>
      </c>
      <c r="J39" s="48">
        <f>'Avg Week Mukwano-Jinja '!J39+'Avg Week Jinja-Mukwano'!J39</f>
        <v>10.428571428571429</v>
      </c>
      <c r="K39" s="48">
        <f>'Avg Week Mukwano-Jinja '!K39+'Avg Week Jinja-Mukwano'!K39</f>
        <v>4</v>
      </c>
      <c r="L39" s="48">
        <f>'Avg Week Mukwano-Jinja '!L39+'Avg Week Jinja-Mukwano'!L39</f>
        <v>6.5714285714285712</v>
      </c>
      <c r="M39" s="48">
        <f>'Avg Week Mukwano-Jinja '!M39+'Avg Week Jinja-Mukwano'!M39</f>
        <v>872.57142857142856</v>
      </c>
      <c r="N39" s="48">
        <f>'Avg Week Mukwano-Jinja '!N39+'Avg Week Jinja-Mukwano'!N39</f>
        <v>0</v>
      </c>
      <c r="O39" s="15">
        <f t="shared" si="0"/>
        <v>403.42857142857139</v>
      </c>
      <c r="P39" s="15">
        <f t="shared" si="1"/>
        <v>1276</v>
      </c>
      <c r="R39" s="28" t="s">
        <v>87</v>
      </c>
      <c r="S39" s="16">
        <f t="shared" ref="S39:AF39" si="31">SUM(S19:S21)</f>
        <v>3388.4285714285711</v>
      </c>
      <c r="T39" s="16">
        <f t="shared" si="31"/>
        <v>651</v>
      </c>
      <c r="U39" s="16">
        <f t="shared" si="31"/>
        <v>315.14285714285711</v>
      </c>
      <c r="V39" s="16">
        <f t="shared" si="31"/>
        <v>192.85714285714286</v>
      </c>
      <c r="W39" s="16">
        <f t="shared" si="31"/>
        <v>22</v>
      </c>
      <c r="X39" s="16">
        <f t="shared" si="31"/>
        <v>3.5714285714285712</v>
      </c>
      <c r="Y39" s="16">
        <f t="shared" si="31"/>
        <v>171.42857142857142</v>
      </c>
      <c r="Z39" s="16">
        <f t="shared" si="31"/>
        <v>90.142857142857139</v>
      </c>
      <c r="AA39" s="16">
        <f t="shared" si="31"/>
        <v>32.428571428571431</v>
      </c>
      <c r="AB39" s="16">
        <f t="shared" si="31"/>
        <v>56.142857142857139</v>
      </c>
      <c r="AC39" s="16">
        <f t="shared" si="31"/>
        <v>9234.2857142857138</v>
      </c>
      <c r="AD39" s="16">
        <f t="shared" si="31"/>
        <v>1.5714285714285714</v>
      </c>
      <c r="AE39" s="31">
        <f t="shared" si="31"/>
        <v>4924.7142857142862</v>
      </c>
      <c r="AF39" s="31">
        <f t="shared" si="31"/>
        <v>14159</v>
      </c>
    </row>
    <row r="40" spans="2:32" ht="23.1" customHeight="1" x14ac:dyDescent="0.25">
      <c r="B40" s="23" t="s">
        <v>67</v>
      </c>
      <c r="C40" s="48">
        <f>'Avg Week Mukwano-Jinja '!C40+'Avg Week Jinja-Mukwano'!C40</f>
        <v>262.14285714285717</v>
      </c>
      <c r="D40" s="48">
        <f>'Avg Week Mukwano-Jinja '!D40+'Avg Week Jinja-Mukwano'!D40</f>
        <v>42.714285714285708</v>
      </c>
      <c r="E40" s="48">
        <f>'Avg Week Mukwano-Jinja '!E40+'Avg Week Jinja-Mukwano'!E40</f>
        <v>22.571428571428569</v>
      </c>
      <c r="F40" s="48">
        <f>'Avg Week Mukwano-Jinja '!F40+'Avg Week Jinja-Mukwano'!F40</f>
        <v>13.714285714285715</v>
      </c>
      <c r="G40" s="48">
        <f>'Avg Week Mukwano-Jinja '!G40+'Avg Week Jinja-Mukwano'!G40</f>
        <v>0.71428571428571419</v>
      </c>
      <c r="H40" s="48">
        <f>'Avg Week Mukwano-Jinja '!H40+'Avg Week Jinja-Mukwano'!H40</f>
        <v>0.2857142857142857</v>
      </c>
      <c r="I40" s="48">
        <f>'Avg Week Mukwano-Jinja '!I40+'Avg Week Jinja-Mukwano'!I40</f>
        <v>18.428571428571427</v>
      </c>
      <c r="J40" s="48">
        <f>'Avg Week Mukwano-Jinja '!J40+'Avg Week Jinja-Mukwano'!J40</f>
        <v>7.5714285714285712</v>
      </c>
      <c r="K40" s="48">
        <f>'Avg Week Mukwano-Jinja '!K40+'Avg Week Jinja-Mukwano'!K40</f>
        <v>3.1428571428571428</v>
      </c>
      <c r="L40" s="48">
        <f>'Avg Week Mukwano-Jinja '!L40+'Avg Week Jinja-Mukwano'!L40</f>
        <v>5.5714285714285712</v>
      </c>
      <c r="M40" s="48">
        <f>'Avg Week Mukwano-Jinja '!M40+'Avg Week Jinja-Mukwano'!M40</f>
        <v>882</v>
      </c>
      <c r="N40" s="48">
        <f>'Avg Week Mukwano-Jinja '!N40+'Avg Week Jinja-Mukwano'!N40</f>
        <v>0</v>
      </c>
      <c r="O40" s="15">
        <f t="shared" si="0"/>
        <v>376.85714285714289</v>
      </c>
      <c r="P40" s="15">
        <f t="shared" si="1"/>
        <v>1258.8571428571429</v>
      </c>
      <c r="R40" s="5" t="s">
        <v>17</v>
      </c>
      <c r="S40" s="16">
        <f t="shared" ref="S40:AF40" si="32">SUM(S10:S21)</f>
        <v>13553.142857142855</v>
      </c>
      <c r="T40" s="16">
        <f t="shared" si="32"/>
        <v>2653.1428571428569</v>
      </c>
      <c r="U40" s="16">
        <f t="shared" si="32"/>
        <v>1259.4285714285713</v>
      </c>
      <c r="V40" s="16">
        <f t="shared" si="32"/>
        <v>747.28571428571422</v>
      </c>
      <c r="W40" s="16">
        <f t="shared" si="32"/>
        <v>74.285714285714292</v>
      </c>
      <c r="X40" s="16">
        <f t="shared" si="32"/>
        <v>14.714285714285715</v>
      </c>
      <c r="Y40" s="16">
        <f t="shared" si="32"/>
        <v>683.99999999999989</v>
      </c>
      <c r="Z40" s="16">
        <f t="shared" si="32"/>
        <v>368.28571428571428</v>
      </c>
      <c r="AA40" s="16">
        <f t="shared" si="32"/>
        <v>140.14285714285711</v>
      </c>
      <c r="AB40" s="16">
        <f t="shared" si="32"/>
        <v>204.57142857142853</v>
      </c>
      <c r="AC40" s="16">
        <f t="shared" si="32"/>
        <v>40012.71428571429</v>
      </c>
      <c r="AD40" s="16">
        <f t="shared" si="32"/>
        <v>6.1428571428571423</v>
      </c>
      <c r="AE40" s="31">
        <f t="shared" si="32"/>
        <v>19705.142857142855</v>
      </c>
      <c r="AF40" s="31">
        <f t="shared" si="32"/>
        <v>59717.857142857152</v>
      </c>
    </row>
    <row r="41" spans="2:32" ht="23.1" customHeight="1" x14ac:dyDescent="0.25">
      <c r="B41" s="22" t="s">
        <v>68</v>
      </c>
      <c r="C41" s="48">
        <f>'Avg Week Mukwano-Jinja '!C41+'Avg Week Jinja-Mukwano'!C41</f>
        <v>286.14285714285717</v>
      </c>
      <c r="D41" s="48">
        <f>'Avg Week Mukwano-Jinja '!D41+'Avg Week Jinja-Mukwano'!D41</f>
        <v>45.857142857142861</v>
      </c>
      <c r="E41" s="48">
        <f>'Avg Week Mukwano-Jinja '!E41+'Avg Week Jinja-Mukwano'!E41</f>
        <v>26.857142857142858</v>
      </c>
      <c r="F41" s="48">
        <f>'Avg Week Mukwano-Jinja '!F41+'Avg Week Jinja-Mukwano'!F41</f>
        <v>14.857142857142858</v>
      </c>
      <c r="G41" s="48">
        <f>'Avg Week Mukwano-Jinja '!G41+'Avg Week Jinja-Mukwano'!G41</f>
        <v>0.8571428571428571</v>
      </c>
      <c r="H41" s="48">
        <f>'Avg Week Mukwano-Jinja '!H41+'Avg Week Jinja-Mukwano'!H41</f>
        <v>0.42857142857142855</v>
      </c>
      <c r="I41" s="48">
        <f>'Avg Week Mukwano-Jinja '!I41+'Avg Week Jinja-Mukwano'!I41</f>
        <v>19.142857142857142</v>
      </c>
      <c r="J41" s="48">
        <f>'Avg Week Mukwano-Jinja '!J41+'Avg Week Jinja-Mukwano'!J41</f>
        <v>8.8571428571428577</v>
      </c>
      <c r="K41" s="48">
        <f>'Avg Week Mukwano-Jinja '!K41+'Avg Week Jinja-Mukwano'!K41</f>
        <v>2.1428571428571428</v>
      </c>
      <c r="L41" s="48">
        <f>'Avg Week Mukwano-Jinja '!L41+'Avg Week Jinja-Mukwano'!L41</f>
        <v>6.1428571428571432</v>
      </c>
      <c r="M41" s="48">
        <f>'Avg Week Mukwano-Jinja '!M41+'Avg Week Jinja-Mukwano'!M41</f>
        <v>832.28571428571422</v>
      </c>
      <c r="N41" s="48">
        <f>'Avg Week Mukwano-Jinja '!N41+'Avg Week Jinja-Mukwano'!N41</f>
        <v>0</v>
      </c>
      <c r="O41" s="15">
        <f t="shared" si="0"/>
        <v>411.28571428571428</v>
      </c>
      <c r="P41" s="15">
        <f t="shared" si="1"/>
        <v>1243.5714285714284</v>
      </c>
      <c r="R41" s="5" t="s">
        <v>191</v>
      </c>
      <c r="S41" s="52">
        <f>SUM(S10:S33)</f>
        <v>19845.642857142855</v>
      </c>
      <c r="T41" s="52">
        <f t="shared" ref="T41:AD41" si="33">SUM(T10:T33)</f>
        <v>4338.1428571428569</v>
      </c>
      <c r="U41" s="52">
        <f t="shared" si="33"/>
        <v>1687.4285714285713</v>
      </c>
      <c r="V41" s="52">
        <f t="shared" si="33"/>
        <v>1093.2857142857142</v>
      </c>
      <c r="W41" s="52">
        <f t="shared" si="33"/>
        <v>98.285714285714292</v>
      </c>
      <c r="X41" s="52">
        <f t="shared" si="33"/>
        <v>24.214285714285715</v>
      </c>
      <c r="Y41" s="52">
        <f t="shared" si="33"/>
        <v>911.99999999999989</v>
      </c>
      <c r="Z41" s="52">
        <f t="shared" si="33"/>
        <v>448.78571428571428</v>
      </c>
      <c r="AA41" s="52">
        <f t="shared" si="33"/>
        <v>200.64285714285711</v>
      </c>
      <c r="AB41" s="52">
        <f t="shared" si="33"/>
        <v>287.07142857142856</v>
      </c>
      <c r="AC41" s="52">
        <f t="shared" si="33"/>
        <v>50739.21428571429</v>
      </c>
      <c r="AD41" s="52">
        <f t="shared" si="33"/>
        <v>7.1428571428571423</v>
      </c>
      <c r="AE41" s="53">
        <f>SUM(AE10:AE33)</f>
        <v>28942.642857142855</v>
      </c>
      <c r="AF41" s="53">
        <f>SUM(AF10:AF33)</f>
        <v>79681.857142857159</v>
      </c>
    </row>
    <row r="42" spans="2:32" ht="23.1" customHeight="1" x14ac:dyDescent="0.25">
      <c r="B42" s="23" t="s">
        <v>69</v>
      </c>
      <c r="C42" s="48">
        <f>'Avg Week Mukwano-Jinja '!C42+'Avg Week Jinja-Mukwano'!C42</f>
        <v>263.14285714285717</v>
      </c>
      <c r="D42" s="48">
        <f>'Avg Week Mukwano-Jinja '!D42+'Avg Week Jinja-Mukwano'!D42</f>
        <v>44.428571428571431</v>
      </c>
      <c r="E42" s="48">
        <f>'Avg Week Mukwano-Jinja '!E42+'Avg Week Jinja-Mukwano'!E42</f>
        <v>28.714285714285715</v>
      </c>
      <c r="F42" s="48">
        <f>'Avg Week Mukwano-Jinja '!F42+'Avg Week Jinja-Mukwano'!F42</f>
        <v>11</v>
      </c>
      <c r="G42" s="48">
        <f>'Avg Week Mukwano-Jinja '!G42+'Avg Week Jinja-Mukwano'!G42</f>
        <v>0.5714285714285714</v>
      </c>
      <c r="H42" s="48">
        <f>'Avg Week Mukwano-Jinja '!H42+'Avg Week Jinja-Mukwano'!H42</f>
        <v>0.14285714285714285</v>
      </c>
      <c r="I42" s="48">
        <f>'Avg Week Mukwano-Jinja '!I42+'Avg Week Jinja-Mukwano'!I42</f>
        <v>14.857142857142858</v>
      </c>
      <c r="J42" s="48">
        <f>'Avg Week Mukwano-Jinja '!J42+'Avg Week Jinja-Mukwano'!J42</f>
        <v>9.8571428571428577</v>
      </c>
      <c r="K42" s="48">
        <f>'Avg Week Mukwano-Jinja '!K42+'Avg Week Jinja-Mukwano'!K42</f>
        <v>2.2857142857142856</v>
      </c>
      <c r="L42" s="48">
        <f>'Avg Week Mukwano-Jinja '!L42+'Avg Week Jinja-Mukwano'!L42</f>
        <v>3.8571428571428568</v>
      </c>
      <c r="M42" s="48">
        <f>'Avg Week Mukwano-Jinja '!M42+'Avg Week Jinja-Mukwano'!M42</f>
        <v>918.85714285714289</v>
      </c>
      <c r="N42" s="48">
        <f>'Avg Week Mukwano-Jinja '!N42+'Avg Week Jinja-Mukwano'!N42</f>
        <v>0</v>
      </c>
      <c r="O42" s="15">
        <f t="shared" si="0"/>
        <v>378.85714285714283</v>
      </c>
      <c r="P42" s="15">
        <f t="shared" si="1"/>
        <v>1297.7142857142858</v>
      </c>
      <c r="R42" s="5" t="s">
        <v>160</v>
      </c>
      <c r="S42" s="47">
        <f>S41/S40</f>
        <v>1.4642834556033393</v>
      </c>
      <c r="T42" s="47">
        <f t="shared" ref="T42:AF42" si="34">T41/T40</f>
        <v>1.6350958432048246</v>
      </c>
      <c r="U42" s="47">
        <f t="shared" si="34"/>
        <v>1.33983666061706</v>
      </c>
      <c r="V42" s="47">
        <f t="shared" si="34"/>
        <v>1.4630089848977252</v>
      </c>
      <c r="W42" s="47">
        <f t="shared" si="34"/>
        <v>1.323076923076923</v>
      </c>
      <c r="X42" s="47">
        <f t="shared" si="34"/>
        <v>1.645631067961165</v>
      </c>
      <c r="Y42" s="47">
        <f t="shared" si="34"/>
        <v>1.3333333333333335</v>
      </c>
      <c r="Z42" s="47">
        <f t="shared" si="34"/>
        <v>1.2185802948021722</v>
      </c>
      <c r="AA42" s="47">
        <f t="shared" si="34"/>
        <v>1.4317023445463812</v>
      </c>
      <c r="AB42" s="47">
        <f t="shared" si="34"/>
        <v>1.4032821229050281</v>
      </c>
      <c r="AC42" s="47">
        <f t="shared" si="34"/>
        <v>1.2680772897186252</v>
      </c>
      <c r="AD42" s="47">
        <f t="shared" si="34"/>
        <v>1.1627906976744187</v>
      </c>
      <c r="AE42" s="51">
        <f t="shared" si="34"/>
        <v>1.4687862486950469</v>
      </c>
      <c r="AF42" s="51">
        <f t="shared" si="34"/>
        <v>1.334305364511692</v>
      </c>
    </row>
    <row r="43" spans="2:32" ht="23.1" customHeight="1" x14ac:dyDescent="0.25">
      <c r="B43" s="22" t="s">
        <v>70</v>
      </c>
      <c r="C43" s="48">
        <f>'Avg Week Mukwano-Jinja '!C43+'Avg Week Jinja-Mukwano'!C43</f>
        <v>289.85714285714289</v>
      </c>
      <c r="D43" s="48">
        <f>'Avg Week Mukwano-Jinja '!D43+'Avg Week Jinja-Mukwano'!D43</f>
        <v>54.857142857142861</v>
      </c>
      <c r="E43" s="48">
        <f>'Avg Week Mukwano-Jinja '!E43+'Avg Week Jinja-Mukwano'!E43</f>
        <v>31</v>
      </c>
      <c r="F43" s="48">
        <f>'Avg Week Mukwano-Jinja '!F43+'Avg Week Jinja-Mukwano'!F43</f>
        <v>15</v>
      </c>
      <c r="G43" s="48">
        <f>'Avg Week Mukwano-Jinja '!G43+'Avg Week Jinja-Mukwano'!G43</f>
        <v>0.5714285714285714</v>
      </c>
      <c r="H43" s="48">
        <f>'Avg Week Mukwano-Jinja '!H43+'Avg Week Jinja-Mukwano'!H43</f>
        <v>0.14285714285714285</v>
      </c>
      <c r="I43" s="48">
        <f>'Avg Week Mukwano-Jinja '!I43+'Avg Week Jinja-Mukwano'!I43</f>
        <v>16</v>
      </c>
      <c r="J43" s="48">
        <f>'Avg Week Mukwano-Jinja '!J43+'Avg Week Jinja-Mukwano'!J43</f>
        <v>9.7142857142857153</v>
      </c>
      <c r="K43" s="48">
        <f>'Avg Week Mukwano-Jinja '!K43+'Avg Week Jinja-Mukwano'!K43</f>
        <v>4.5714285714285712</v>
      </c>
      <c r="L43" s="48">
        <f>'Avg Week Mukwano-Jinja '!L43+'Avg Week Jinja-Mukwano'!L43</f>
        <v>3.7142857142857144</v>
      </c>
      <c r="M43" s="48">
        <f>'Avg Week Mukwano-Jinja '!M43+'Avg Week Jinja-Mukwano'!M43</f>
        <v>845.85714285714289</v>
      </c>
      <c r="N43" s="48">
        <f>'Avg Week Mukwano-Jinja '!N43+'Avg Week Jinja-Mukwano'!N43</f>
        <v>0.14285714285714285</v>
      </c>
      <c r="O43" s="15">
        <f t="shared" si="0"/>
        <v>425.57142857142867</v>
      </c>
      <c r="P43" s="15">
        <f t="shared" si="1"/>
        <v>1271.4285714285716</v>
      </c>
    </row>
    <row r="44" spans="2:32" ht="23.1" customHeight="1" x14ac:dyDescent="0.25">
      <c r="B44" s="24" t="s">
        <v>71</v>
      </c>
      <c r="C44" s="48">
        <f>'Avg Week Mukwano-Jinja '!C44+'Avg Week Jinja-Mukwano'!C44</f>
        <v>284.71428571428572</v>
      </c>
      <c r="D44" s="48">
        <f>'Avg Week Mukwano-Jinja '!D44+'Avg Week Jinja-Mukwano'!D44</f>
        <v>46.571428571428569</v>
      </c>
      <c r="E44" s="48">
        <f>'Avg Week Mukwano-Jinja '!E44+'Avg Week Jinja-Mukwano'!E44</f>
        <v>29.285714285714285</v>
      </c>
      <c r="F44" s="48">
        <f>'Avg Week Mukwano-Jinja '!F44+'Avg Week Jinja-Mukwano'!F44</f>
        <v>13</v>
      </c>
      <c r="G44" s="48">
        <f>'Avg Week Mukwano-Jinja '!G44+'Avg Week Jinja-Mukwano'!G44</f>
        <v>0.71428571428571419</v>
      </c>
      <c r="H44" s="48">
        <f>'Avg Week Mukwano-Jinja '!H44+'Avg Week Jinja-Mukwano'!H44</f>
        <v>0.71428571428571419</v>
      </c>
      <c r="I44" s="48">
        <f>'Avg Week Mukwano-Jinja '!I44+'Avg Week Jinja-Mukwano'!I44</f>
        <v>16.571428571428569</v>
      </c>
      <c r="J44" s="48">
        <f>'Avg Week Mukwano-Jinja '!J44+'Avg Week Jinja-Mukwano'!J44</f>
        <v>7.8571428571428577</v>
      </c>
      <c r="K44" s="48">
        <f>'Avg Week Mukwano-Jinja '!K44+'Avg Week Jinja-Mukwano'!K44</f>
        <v>4.1428571428571432</v>
      </c>
      <c r="L44" s="48">
        <f>'Avg Week Mukwano-Jinja '!L44+'Avg Week Jinja-Mukwano'!L44</f>
        <v>4.2857142857142856</v>
      </c>
      <c r="M44" s="48">
        <f>'Avg Week Mukwano-Jinja '!M44+'Avg Week Jinja-Mukwano'!M44</f>
        <v>889.14285714285711</v>
      </c>
      <c r="N44" s="48">
        <f>'Avg Week Mukwano-Jinja '!N44+'Avg Week Jinja-Mukwano'!N44</f>
        <v>0.14285714285714285</v>
      </c>
      <c r="O44" s="15">
        <f t="shared" si="0"/>
        <v>408</v>
      </c>
      <c r="P44" s="15">
        <f t="shared" si="1"/>
        <v>1297.1428571428571</v>
      </c>
    </row>
    <row r="45" spans="2:32" ht="23.1" customHeight="1" x14ac:dyDescent="0.25">
      <c r="B45" s="22" t="s">
        <v>72</v>
      </c>
      <c r="C45" s="48">
        <f>'Avg Week Mukwano-Jinja '!C45+'Avg Week Jinja-Mukwano'!C45</f>
        <v>246.42857142857144</v>
      </c>
      <c r="D45" s="48">
        <f>'Avg Week Mukwano-Jinja '!D45+'Avg Week Jinja-Mukwano'!D45</f>
        <v>53.428571428571431</v>
      </c>
      <c r="E45" s="48">
        <f>'Avg Week Mukwano-Jinja '!E45+'Avg Week Jinja-Mukwano'!E45</f>
        <v>23</v>
      </c>
      <c r="F45" s="48">
        <f>'Avg Week Mukwano-Jinja '!F45+'Avg Week Jinja-Mukwano'!F45</f>
        <v>15.857142857142858</v>
      </c>
      <c r="G45" s="48">
        <f>'Avg Week Mukwano-Jinja '!G45+'Avg Week Jinja-Mukwano'!G45</f>
        <v>1.5714285714285714</v>
      </c>
      <c r="H45" s="48">
        <f>'Avg Week Mukwano-Jinja '!H45+'Avg Week Jinja-Mukwano'!H45</f>
        <v>0.2857142857142857</v>
      </c>
      <c r="I45" s="48">
        <f>'Avg Week Mukwano-Jinja '!I45+'Avg Week Jinja-Mukwano'!I45</f>
        <v>13.142857142857142</v>
      </c>
      <c r="J45" s="48">
        <f>'Avg Week Mukwano-Jinja '!J45+'Avg Week Jinja-Mukwano'!J45</f>
        <v>10</v>
      </c>
      <c r="K45" s="48">
        <f>'Avg Week Mukwano-Jinja '!K45+'Avg Week Jinja-Mukwano'!K45</f>
        <v>4</v>
      </c>
      <c r="L45" s="48">
        <f>'Avg Week Mukwano-Jinja '!L45+'Avg Week Jinja-Mukwano'!L45</f>
        <v>5.5714285714285712</v>
      </c>
      <c r="M45" s="48">
        <f>'Avg Week Mukwano-Jinja '!M45+'Avg Week Jinja-Mukwano'!M45</f>
        <v>810.85714285714289</v>
      </c>
      <c r="N45" s="48">
        <f>'Avg Week Mukwano-Jinja '!N45+'Avg Week Jinja-Mukwano'!N45</f>
        <v>0</v>
      </c>
      <c r="O45" s="15">
        <f t="shared" si="0"/>
        <v>373.28571428571428</v>
      </c>
      <c r="P45" s="15">
        <f t="shared" si="1"/>
        <v>1184.1428571428571</v>
      </c>
    </row>
    <row r="46" spans="2:32" ht="23.1" customHeight="1" x14ac:dyDescent="0.25">
      <c r="B46" s="23" t="s">
        <v>73</v>
      </c>
      <c r="C46" s="48">
        <f>'Avg Week Mukwano-Jinja '!C46+'Avg Week Jinja-Mukwano'!C46</f>
        <v>274.14285714285711</v>
      </c>
      <c r="D46" s="48">
        <f>'Avg Week Mukwano-Jinja '!D46+'Avg Week Jinja-Mukwano'!D46</f>
        <v>48.285714285714292</v>
      </c>
      <c r="E46" s="48">
        <f>'Avg Week Mukwano-Jinja '!E46+'Avg Week Jinja-Mukwano'!E46</f>
        <v>28.857142857142858</v>
      </c>
      <c r="F46" s="48">
        <f>'Avg Week Mukwano-Jinja '!F46+'Avg Week Jinja-Mukwano'!F46</f>
        <v>14</v>
      </c>
      <c r="G46" s="48">
        <f>'Avg Week Mukwano-Jinja '!G46+'Avg Week Jinja-Mukwano'!G46</f>
        <v>0.5714285714285714</v>
      </c>
      <c r="H46" s="48">
        <f>'Avg Week Mukwano-Jinja '!H46+'Avg Week Jinja-Mukwano'!H46</f>
        <v>0.2857142857142857</v>
      </c>
      <c r="I46" s="48">
        <f>'Avg Week Mukwano-Jinja '!I46+'Avg Week Jinja-Mukwano'!I46</f>
        <v>15.714285714285715</v>
      </c>
      <c r="J46" s="48">
        <f>'Avg Week Mukwano-Jinja '!J46+'Avg Week Jinja-Mukwano'!J46</f>
        <v>9.571428571428573</v>
      </c>
      <c r="K46" s="48">
        <f>'Avg Week Mukwano-Jinja '!K46+'Avg Week Jinja-Mukwano'!K46</f>
        <v>2</v>
      </c>
      <c r="L46" s="48">
        <f>'Avg Week Mukwano-Jinja '!L46+'Avg Week Jinja-Mukwano'!L46</f>
        <v>6.1428571428571423</v>
      </c>
      <c r="M46" s="48">
        <f>'Avg Week Mukwano-Jinja '!M46+'Avg Week Jinja-Mukwano'!M46</f>
        <v>713.71428571428567</v>
      </c>
      <c r="N46" s="48">
        <f>'Avg Week Mukwano-Jinja '!N46+'Avg Week Jinja-Mukwano'!N46</f>
        <v>0.14285714285714285</v>
      </c>
      <c r="O46" s="15">
        <f t="shared" si="0"/>
        <v>399.71428571428567</v>
      </c>
      <c r="P46" s="15">
        <f t="shared" si="1"/>
        <v>1113.4285714285713</v>
      </c>
      <c r="R46" s="8"/>
      <c r="T46"/>
    </row>
    <row r="47" spans="2:32" ht="23.1" customHeight="1" x14ac:dyDescent="0.25">
      <c r="B47" s="23" t="s">
        <v>74</v>
      </c>
      <c r="C47" s="48">
        <f>'Avg Week Mukwano-Jinja '!C47+'Avg Week Jinja-Mukwano'!C47</f>
        <v>265.57142857142856</v>
      </c>
      <c r="D47" s="48">
        <f>'Avg Week Mukwano-Jinja '!D47+'Avg Week Jinja-Mukwano'!D47</f>
        <v>65.714285714285708</v>
      </c>
      <c r="E47" s="48">
        <f>'Avg Week Mukwano-Jinja '!E47+'Avg Week Jinja-Mukwano'!E47</f>
        <v>35.571428571428569</v>
      </c>
      <c r="F47" s="48">
        <f>'Avg Week Mukwano-Jinja '!F47+'Avg Week Jinja-Mukwano'!F47</f>
        <v>15.285714285714285</v>
      </c>
      <c r="G47" s="48">
        <f>'Avg Week Mukwano-Jinja '!G47+'Avg Week Jinja-Mukwano'!G47</f>
        <v>1.5714285714285714</v>
      </c>
      <c r="H47" s="48">
        <f>'Avg Week Mukwano-Jinja '!H47+'Avg Week Jinja-Mukwano'!H47</f>
        <v>0.2857142857142857</v>
      </c>
      <c r="I47" s="48">
        <f>'Avg Week Mukwano-Jinja '!I47+'Avg Week Jinja-Mukwano'!I47</f>
        <v>16.428571428571431</v>
      </c>
      <c r="J47" s="48">
        <f>'Avg Week Mukwano-Jinja '!J47+'Avg Week Jinja-Mukwano'!J47</f>
        <v>10.714285714285715</v>
      </c>
      <c r="K47" s="48">
        <f>'Avg Week Mukwano-Jinja '!K47+'Avg Week Jinja-Mukwano'!K47</f>
        <v>2.714285714285714</v>
      </c>
      <c r="L47" s="48">
        <f>'Avg Week Mukwano-Jinja '!L47+'Avg Week Jinja-Mukwano'!L47</f>
        <v>6</v>
      </c>
      <c r="M47" s="48">
        <f>'Avg Week Mukwano-Jinja '!M47+'Avg Week Jinja-Mukwano'!M47</f>
        <v>773</v>
      </c>
      <c r="N47" s="48">
        <f>'Avg Week Mukwano-Jinja '!N47+'Avg Week Jinja-Mukwano'!N47</f>
        <v>0</v>
      </c>
      <c r="O47" s="15">
        <f t="shared" si="0"/>
        <v>419.85714285714283</v>
      </c>
      <c r="P47" s="15">
        <f t="shared" si="1"/>
        <v>1192.8571428571429</v>
      </c>
      <c r="R47" s="8"/>
      <c r="T47"/>
    </row>
    <row r="48" spans="2:32" ht="23.1" customHeight="1" x14ac:dyDescent="0.25">
      <c r="B48" s="23" t="s">
        <v>75</v>
      </c>
      <c r="C48" s="48">
        <f>'Avg Week Mukwano-Jinja '!C48+'Avg Week Jinja-Mukwano'!C48</f>
        <v>297.57142857142856</v>
      </c>
      <c r="D48" s="48">
        <f>'Avg Week Mukwano-Jinja '!D48+'Avg Week Jinja-Mukwano'!D48</f>
        <v>56.857142857142861</v>
      </c>
      <c r="E48" s="48">
        <f>'Avg Week Mukwano-Jinja '!E48+'Avg Week Jinja-Mukwano'!E48</f>
        <v>31.714285714285715</v>
      </c>
      <c r="F48" s="48">
        <f>'Avg Week Mukwano-Jinja '!F48+'Avg Week Jinja-Mukwano'!F48</f>
        <v>17.142857142857142</v>
      </c>
      <c r="G48" s="48">
        <f>'Avg Week Mukwano-Jinja '!G48+'Avg Week Jinja-Mukwano'!G48</f>
        <v>1.2857142857142856</v>
      </c>
      <c r="H48" s="48">
        <f>'Avg Week Mukwano-Jinja '!H48+'Avg Week Jinja-Mukwano'!H48</f>
        <v>0.2857142857142857</v>
      </c>
      <c r="I48" s="48">
        <f>'Avg Week Mukwano-Jinja '!I48+'Avg Week Jinja-Mukwano'!I48</f>
        <v>20.285714285714285</v>
      </c>
      <c r="J48" s="48">
        <f>'Avg Week Mukwano-Jinja '!J48+'Avg Week Jinja-Mukwano'!J48</f>
        <v>9.8571428571428577</v>
      </c>
      <c r="K48" s="48">
        <f>'Avg Week Mukwano-Jinja '!K48+'Avg Week Jinja-Mukwano'!K48</f>
        <v>3.4285714285714284</v>
      </c>
      <c r="L48" s="48">
        <f>'Avg Week Mukwano-Jinja '!L48+'Avg Week Jinja-Mukwano'!L48</f>
        <v>6.1428571428571423</v>
      </c>
      <c r="M48" s="48">
        <f>'Avg Week Mukwano-Jinja '!M48+'Avg Week Jinja-Mukwano'!M48</f>
        <v>842.57142857142856</v>
      </c>
      <c r="N48" s="48">
        <f>'Avg Week Mukwano-Jinja '!N48+'Avg Week Jinja-Mukwano'!N48</f>
        <v>0.2857142857142857</v>
      </c>
      <c r="O48" s="15">
        <f t="shared" si="0"/>
        <v>444.85714285714289</v>
      </c>
      <c r="P48" s="15">
        <f t="shared" si="1"/>
        <v>1287.4285714285713</v>
      </c>
      <c r="R48" s="8"/>
      <c r="T48"/>
    </row>
    <row r="49" spans="2:20" ht="23.1" customHeight="1" x14ac:dyDescent="0.25">
      <c r="B49" s="22" t="s">
        <v>76</v>
      </c>
      <c r="C49" s="48">
        <f>'Avg Week Mukwano-Jinja '!C49+'Avg Week Jinja-Mukwano'!C49</f>
        <v>283.85714285714283</v>
      </c>
      <c r="D49" s="48">
        <f>'Avg Week Mukwano-Jinja '!D49+'Avg Week Jinja-Mukwano'!D49</f>
        <v>57.714285714285715</v>
      </c>
      <c r="E49" s="48">
        <f>'Avg Week Mukwano-Jinja '!E49+'Avg Week Jinja-Mukwano'!E49</f>
        <v>28.571428571428573</v>
      </c>
      <c r="F49" s="48">
        <f>'Avg Week Mukwano-Jinja '!F49+'Avg Week Jinja-Mukwano'!F49</f>
        <v>13.285714285714286</v>
      </c>
      <c r="G49" s="48">
        <f>'Avg Week Mukwano-Jinja '!G49+'Avg Week Jinja-Mukwano'!G49</f>
        <v>1.5714285714285714</v>
      </c>
      <c r="H49" s="48">
        <f>'Avg Week Mukwano-Jinja '!H49+'Avg Week Jinja-Mukwano'!H49</f>
        <v>0</v>
      </c>
      <c r="I49" s="48">
        <f>'Avg Week Mukwano-Jinja '!I49+'Avg Week Jinja-Mukwano'!I49</f>
        <v>11.571428571428571</v>
      </c>
      <c r="J49" s="48">
        <f>'Avg Week Mukwano-Jinja '!J49+'Avg Week Jinja-Mukwano'!J49</f>
        <v>7.7142857142857135</v>
      </c>
      <c r="K49" s="48">
        <f>'Avg Week Mukwano-Jinja '!K49+'Avg Week Jinja-Mukwano'!K49</f>
        <v>2.5714285714285712</v>
      </c>
      <c r="L49" s="48">
        <f>'Avg Week Mukwano-Jinja '!L49+'Avg Week Jinja-Mukwano'!L49</f>
        <v>5</v>
      </c>
      <c r="M49" s="48">
        <f>'Avg Week Mukwano-Jinja '!M49+'Avg Week Jinja-Mukwano'!M49</f>
        <v>862.14285714285711</v>
      </c>
      <c r="N49" s="48">
        <f>'Avg Week Mukwano-Jinja '!N49+'Avg Week Jinja-Mukwano'!N49</f>
        <v>0.14285714285714285</v>
      </c>
      <c r="O49" s="15">
        <f t="shared" si="0"/>
        <v>411.99999999999994</v>
      </c>
      <c r="P49" s="15">
        <f t="shared" si="1"/>
        <v>1274.1428571428571</v>
      </c>
      <c r="R49" s="8"/>
      <c r="T49"/>
    </row>
    <row r="50" spans="2:20" ht="23.1" customHeight="1" x14ac:dyDescent="0.25">
      <c r="B50" s="23" t="s">
        <v>77</v>
      </c>
      <c r="C50" s="48">
        <f>'Avg Week Mukwano-Jinja '!C50+'Avg Week Jinja-Mukwano'!C50</f>
        <v>263.42857142857144</v>
      </c>
      <c r="D50" s="48">
        <f>'Avg Week Mukwano-Jinja '!D50+'Avg Week Jinja-Mukwano'!D50</f>
        <v>60.857142857142854</v>
      </c>
      <c r="E50" s="48">
        <f>'Avg Week Mukwano-Jinja '!E50+'Avg Week Jinja-Mukwano'!E50</f>
        <v>26.857142857142858</v>
      </c>
      <c r="F50" s="48">
        <f>'Avg Week Mukwano-Jinja '!F50+'Avg Week Jinja-Mukwano'!F50</f>
        <v>17.285714285714285</v>
      </c>
      <c r="G50" s="48">
        <f>'Avg Week Mukwano-Jinja '!G50+'Avg Week Jinja-Mukwano'!G50</f>
        <v>1.2857142857142856</v>
      </c>
      <c r="H50" s="48">
        <f>'Avg Week Mukwano-Jinja '!H50+'Avg Week Jinja-Mukwano'!H50</f>
        <v>0.14285714285714285</v>
      </c>
      <c r="I50" s="48">
        <f>'Avg Week Mukwano-Jinja '!I50+'Avg Week Jinja-Mukwano'!I50</f>
        <v>16.571428571428573</v>
      </c>
      <c r="J50" s="48">
        <f>'Avg Week Mukwano-Jinja '!J50+'Avg Week Jinja-Mukwano'!J50</f>
        <v>6.2857142857142856</v>
      </c>
      <c r="K50" s="48">
        <f>'Avg Week Mukwano-Jinja '!K50+'Avg Week Jinja-Mukwano'!K50</f>
        <v>3</v>
      </c>
      <c r="L50" s="48">
        <f>'Avg Week Mukwano-Jinja '!L50+'Avg Week Jinja-Mukwano'!L50</f>
        <v>5</v>
      </c>
      <c r="M50" s="48">
        <f>'Avg Week Mukwano-Jinja '!M50+'Avg Week Jinja-Mukwano'!M50</f>
        <v>845.28571428571422</v>
      </c>
      <c r="N50" s="48">
        <f>'Avg Week Mukwano-Jinja '!N50+'Avg Week Jinja-Mukwano'!N50</f>
        <v>0.14285714285714285</v>
      </c>
      <c r="O50" s="15">
        <f t="shared" si="0"/>
        <v>400.85714285714283</v>
      </c>
      <c r="P50" s="15">
        <f t="shared" si="1"/>
        <v>1246.1428571428571</v>
      </c>
      <c r="R50" s="8"/>
      <c r="T50"/>
    </row>
    <row r="51" spans="2:20" ht="23.1" customHeight="1" x14ac:dyDescent="0.25">
      <c r="B51" s="23" t="s">
        <v>78</v>
      </c>
      <c r="C51" s="48">
        <f>'Avg Week Mukwano-Jinja '!C51+'Avg Week Jinja-Mukwano'!C51</f>
        <v>294.57142857142856</v>
      </c>
      <c r="D51" s="48">
        <f>'Avg Week Mukwano-Jinja '!D51+'Avg Week Jinja-Mukwano'!D51</f>
        <v>54</v>
      </c>
      <c r="E51" s="48">
        <f>'Avg Week Mukwano-Jinja '!E51+'Avg Week Jinja-Mukwano'!E51</f>
        <v>29.142857142857142</v>
      </c>
      <c r="F51" s="48">
        <f>'Avg Week Mukwano-Jinja '!F51+'Avg Week Jinja-Mukwano'!F51</f>
        <v>17.142857142857142</v>
      </c>
      <c r="G51" s="48">
        <f>'Avg Week Mukwano-Jinja '!G51+'Avg Week Jinja-Mukwano'!G51</f>
        <v>2.5714285714285716</v>
      </c>
      <c r="H51" s="48">
        <f>'Avg Week Mukwano-Jinja '!H51+'Avg Week Jinja-Mukwano'!H51</f>
        <v>0</v>
      </c>
      <c r="I51" s="48">
        <f>'Avg Week Mukwano-Jinja '!I51+'Avg Week Jinja-Mukwano'!I51</f>
        <v>15.428571428571427</v>
      </c>
      <c r="J51" s="48">
        <f>'Avg Week Mukwano-Jinja '!J51+'Avg Week Jinja-Mukwano'!J51</f>
        <v>7.4285714285714288</v>
      </c>
      <c r="K51" s="48">
        <f>'Avg Week Mukwano-Jinja '!K51+'Avg Week Jinja-Mukwano'!K51</f>
        <v>3.5714285714285716</v>
      </c>
      <c r="L51" s="48">
        <f>'Avg Week Mukwano-Jinja '!L51+'Avg Week Jinja-Mukwano'!L51</f>
        <v>6.1428571428571423</v>
      </c>
      <c r="M51" s="48">
        <f>'Avg Week Mukwano-Jinja '!M51+'Avg Week Jinja-Mukwano'!M51</f>
        <v>851.85714285714289</v>
      </c>
      <c r="N51" s="48">
        <f>'Avg Week Mukwano-Jinja '!N51+'Avg Week Jinja-Mukwano'!N51</f>
        <v>0</v>
      </c>
      <c r="O51" s="15">
        <f t="shared" si="0"/>
        <v>430.00000000000006</v>
      </c>
      <c r="P51" s="15">
        <f t="shared" si="1"/>
        <v>1281.8571428571429</v>
      </c>
      <c r="R51" s="8"/>
      <c r="T51"/>
    </row>
    <row r="52" spans="2:20" ht="23.1" customHeight="1" x14ac:dyDescent="0.25">
      <c r="B52" s="23" t="s">
        <v>79</v>
      </c>
      <c r="C52" s="48">
        <f>'Avg Week Mukwano-Jinja '!C52+'Avg Week Jinja-Mukwano'!C52</f>
        <v>308</v>
      </c>
      <c r="D52" s="48">
        <f>'Avg Week Mukwano-Jinja '!D52+'Avg Week Jinja-Mukwano'!D52</f>
        <v>58</v>
      </c>
      <c r="E52" s="48">
        <f>'Avg Week Mukwano-Jinja '!E52+'Avg Week Jinja-Mukwano'!E52</f>
        <v>23.142857142857142</v>
      </c>
      <c r="F52" s="48">
        <f>'Avg Week Mukwano-Jinja '!F52+'Avg Week Jinja-Mukwano'!F52</f>
        <v>16.142857142857142</v>
      </c>
      <c r="G52" s="48">
        <f>'Avg Week Mukwano-Jinja '!G52+'Avg Week Jinja-Mukwano'!G52</f>
        <v>1.7142857142857144</v>
      </c>
      <c r="H52" s="48">
        <f>'Avg Week Mukwano-Jinja '!H52+'Avg Week Jinja-Mukwano'!H52</f>
        <v>0.14285714285714285</v>
      </c>
      <c r="I52" s="48">
        <f>'Avg Week Mukwano-Jinja '!I52+'Avg Week Jinja-Mukwano'!I52</f>
        <v>10.142857142857142</v>
      </c>
      <c r="J52" s="48">
        <f>'Avg Week Mukwano-Jinja '!J52+'Avg Week Jinja-Mukwano'!J52</f>
        <v>5.8571428571428577</v>
      </c>
      <c r="K52" s="48">
        <f>'Avg Week Mukwano-Jinja '!K52+'Avg Week Jinja-Mukwano'!K52</f>
        <v>2</v>
      </c>
      <c r="L52" s="48">
        <f>'Avg Week Mukwano-Jinja '!L52+'Avg Week Jinja-Mukwano'!L52</f>
        <v>3.2857142857142856</v>
      </c>
      <c r="M52" s="48">
        <f>'Avg Week Mukwano-Jinja '!M52+'Avg Week Jinja-Mukwano'!M52</f>
        <v>795.71428571428578</v>
      </c>
      <c r="N52" s="48">
        <f>'Avg Week Mukwano-Jinja '!N52+'Avg Week Jinja-Mukwano'!N52</f>
        <v>0.14285714285714285</v>
      </c>
      <c r="O52" s="15">
        <f t="shared" si="0"/>
        <v>428.57142857142867</v>
      </c>
      <c r="P52" s="15">
        <f t="shared" si="1"/>
        <v>1224.2857142857144</v>
      </c>
      <c r="R52" s="8"/>
      <c r="T52"/>
    </row>
    <row r="53" spans="2:20" ht="23.1" customHeight="1" x14ac:dyDescent="0.25">
      <c r="B53" s="22" t="s">
        <v>80</v>
      </c>
      <c r="C53" s="48">
        <f>'Avg Week Mukwano-Jinja '!C53+'Avg Week Jinja-Mukwano'!C53</f>
        <v>300</v>
      </c>
      <c r="D53" s="48">
        <f>'Avg Week Mukwano-Jinja '!D53+'Avg Week Jinja-Mukwano'!D53</f>
        <v>55</v>
      </c>
      <c r="E53" s="48">
        <f>'Avg Week Mukwano-Jinja '!E53+'Avg Week Jinja-Mukwano'!E53</f>
        <v>27.285714285714285</v>
      </c>
      <c r="F53" s="48">
        <f>'Avg Week Mukwano-Jinja '!F53+'Avg Week Jinja-Mukwano'!F53</f>
        <v>18.285714285714285</v>
      </c>
      <c r="G53" s="48">
        <f>'Avg Week Mukwano-Jinja '!G53+'Avg Week Jinja-Mukwano'!G53</f>
        <v>2.7142857142857144</v>
      </c>
      <c r="H53" s="48">
        <f>'Avg Week Mukwano-Jinja '!H53+'Avg Week Jinja-Mukwano'!H53</f>
        <v>0.14285714285714285</v>
      </c>
      <c r="I53" s="48">
        <f>'Avg Week Mukwano-Jinja '!I53+'Avg Week Jinja-Mukwano'!I53</f>
        <v>13.571428571428571</v>
      </c>
      <c r="J53" s="48">
        <f>'Avg Week Mukwano-Jinja '!J53+'Avg Week Jinja-Mukwano'!J53</f>
        <v>7</v>
      </c>
      <c r="K53" s="48">
        <f>'Avg Week Mukwano-Jinja '!K53+'Avg Week Jinja-Mukwano'!K53</f>
        <v>2.7142857142857144</v>
      </c>
      <c r="L53" s="48">
        <f>'Avg Week Mukwano-Jinja '!L53+'Avg Week Jinja-Mukwano'!L53</f>
        <v>4.5714285714285712</v>
      </c>
      <c r="M53" s="48">
        <f>'Avg Week Mukwano-Jinja '!M53+'Avg Week Jinja-Mukwano'!M53</f>
        <v>782</v>
      </c>
      <c r="N53" s="48">
        <f>'Avg Week Mukwano-Jinja '!N53+'Avg Week Jinja-Mukwano'!N53</f>
        <v>0.2857142857142857</v>
      </c>
      <c r="O53" s="15">
        <f t="shared" si="0"/>
        <v>431.57142857142856</v>
      </c>
      <c r="P53" s="15">
        <f t="shared" si="1"/>
        <v>1213.5714285714284</v>
      </c>
      <c r="R53" s="8"/>
      <c r="T53"/>
    </row>
    <row r="54" spans="2:20" ht="23.1" customHeight="1" x14ac:dyDescent="0.25">
      <c r="B54" s="22" t="s">
        <v>81</v>
      </c>
      <c r="C54" s="48">
        <f>'Avg Week Mukwano-Jinja '!C54+'Avg Week Jinja-Mukwano'!C54</f>
        <v>284.71428571428572</v>
      </c>
      <c r="D54" s="48">
        <f>'Avg Week Mukwano-Jinja '!D54+'Avg Week Jinja-Mukwano'!D54</f>
        <v>55.857142857142854</v>
      </c>
      <c r="E54" s="48">
        <f>'Avg Week Mukwano-Jinja '!E54+'Avg Week Jinja-Mukwano'!E54</f>
        <v>21.571428571428569</v>
      </c>
      <c r="F54" s="48">
        <f>'Avg Week Mukwano-Jinja '!F54+'Avg Week Jinja-Mukwano'!F54</f>
        <v>14.142857142857142</v>
      </c>
      <c r="G54" s="48">
        <f>'Avg Week Mukwano-Jinja '!G54+'Avg Week Jinja-Mukwano'!G54</f>
        <v>2.1428571428571428</v>
      </c>
      <c r="H54" s="48">
        <f>'Avg Week Mukwano-Jinja '!H54+'Avg Week Jinja-Mukwano'!H54</f>
        <v>0.14285714285714285</v>
      </c>
      <c r="I54" s="48">
        <f>'Avg Week Mukwano-Jinja '!I54+'Avg Week Jinja-Mukwano'!I54</f>
        <v>14.285714285714286</v>
      </c>
      <c r="J54" s="48">
        <f>'Avg Week Mukwano-Jinja '!J54+'Avg Week Jinja-Mukwano'!J54</f>
        <v>7.2857142857142856</v>
      </c>
      <c r="K54" s="48">
        <f>'Avg Week Mukwano-Jinja '!K54+'Avg Week Jinja-Mukwano'!K54</f>
        <v>3.4285714285714284</v>
      </c>
      <c r="L54" s="48">
        <f>'Avg Week Mukwano-Jinja '!L54+'Avg Week Jinja-Mukwano'!L54</f>
        <v>4.2857142857142856</v>
      </c>
      <c r="M54" s="48">
        <f>'Avg Week Mukwano-Jinja '!M54+'Avg Week Jinja-Mukwano'!M54</f>
        <v>730.42857142857144</v>
      </c>
      <c r="N54" s="48">
        <f>'Avg Week Mukwano-Jinja '!N54+'Avg Week Jinja-Mukwano'!N54</f>
        <v>0.14285714285714285</v>
      </c>
      <c r="O54" s="15">
        <f t="shared" si="0"/>
        <v>408.00000000000006</v>
      </c>
      <c r="P54" s="15">
        <f t="shared" si="1"/>
        <v>1138.4285714285713</v>
      </c>
      <c r="R54" s="8"/>
      <c r="T54"/>
    </row>
    <row r="55" spans="2:20" ht="23.1" customHeight="1" x14ac:dyDescent="0.25">
      <c r="B55" s="22" t="s">
        <v>82</v>
      </c>
      <c r="C55" s="48">
        <f>'Avg Week Mukwano-Jinja '!C55+'Avg Week Jinja-Mukwano'!C55</f>
        <v>272</v>
      </c>
      <c r="D55" s="48">
        <f>'Avg Week Mukwano-Jinja '!D55+'Avg Week Jinja-Mukwano'!D55</f>
        <v>49.428571428571431</v>
      </c>
      <c r="E55" s="48">
        <f>'Avg Week Mukwano-Jinja '!E55+'Avg Week Jinja-Mukwano'!E55</f>
        <v>20.142857142857142</v>
      </c>
      <c r="F55" s="48">
        <f>'Avg Week Mukwano-Jinja '!F55+'Avg Week Jinja-Mukwano'!F55</f>
        <v>15.571428571428571</v>
      </c>
      <c r="G55" s="48">
        <f>'Avg Week Mukwano-Jinja '!G55+'Avg Week Jinja-Mukwano'!G55</f>
        <v>1.8571428571428572</v>
      </c>
      <c r="H55" s="48">
        <f>'Avg Week Mukwano-Jinja '!H55+'Avg Week Jinja-Mukwano'!H55</f>
        <v>0.14285714285714285</v>
      </c>
      <c r="I55" s="48">
        <f>'Avg Week Mukwano-Jinja '!I55+'Avg Week Jinja-Mukwano'!I55</f>
        <v>11.142857142857142</v>
      </c>
      <c r="J55" s="48">
        <f>'Avg Week Mukwano-Jinja '!J55+'Avg Week Jinja-Mukwano'!J55</f>
        <v>6</v>
      </c>
      <c r="K55" s="48">
        <f>'Avg Week Mukwano-Jinja '!K55+'Avg Week Jinja-Mukwano'!K55</f>
        <v>2</v>
      </c>
      <c r="L55" s="48">
        <f>'Avg Week Mukwano-Jinja '!L55+'Avg Week Jinja-Mukwano'!L55</f>
        <v>2.5714285714285716</v>
      </c>
      <c r="M55" s="48">
        <f>'Avg Week Mukwano-Jinja '!M55+'Avg Week Jinja-Mukwano'!M55</f>
        <v>695.14285714285711</v>
      </c>
      <c r="N55" s="48">
        <f>'Avg Week Mukwano-Jinja '!N55+'Avg Week Jinja-Mukwano'!N55</f>
        <v>0</v>
      </c>
      <c r="O55" s="15">
        <f t="shared" si="0"/>
        <v>380.85714285714289</v>
      </c>
      <c r="P55" s="15">
        <f t="shared" si="1"/>
        <v>1076</v>
      </c>
      <c r="R55" s="8"/>
      <c r="T55"/>
    </row>
    <row r="56" spans="2:20" ht="23.1" customHeight="1" x14ac:dyDescent="0.25">
      <c r="B56" s="22" t="s">
        <v>83</v>
      </c>
      <c r="C56" s="48">
        <f>'Avg Week Mukwano-Jinja '!C56+'Avg Week Jinja-Mukwano'!C56</f>
        <v>275.57142857142856</v>
      </c>
      <c r="D56" s="48">
        <f>'Avg Week Mukwano-Jinja '!D56+'Avg Week Jinja-Mukwano'!D56</f>
        <v>50.714285714285715</v>
      </c>
      <c r="E56" s="48">
        <f>'Avg Week Mukwano-Jinja '!E56+'Avg Week Jinja-Mukwano'!E56</f>
        <v>21.857142857142854</v>
      </c>
      <c r="F56" s="48">
        <f>'Avg Week Mukwano-Jinja '!F56+'Avg Week Jinja-Mukwano'!F56</f>
        <v>16.857142857142858</v>
      </c>
      <c r="G56" s="48">
        <f>'Avg Week Mukwano-Jinja '!G56+'Avg Week Jinja-Mukwano'!G56</f>
        <v>2.8571428571428568</v>
      </c>
      <c r="H56" s="48">
        <f>'Avg Week Mukwano-Jinja '!H56+'Avg Week Jinja-Mukwano'!H56</f>
        <v>1.4285714285714284</v>
      </c>
      <c r="I56" s="48">
        <f>'Avg Week Mukwano-Jinja '!I56+'Avg Week Jinja-Mukwano'!I56</f>
        <v>13.571428571428573</v>
      </c>
      <c r="J56" s="48">
        <f>'Avg Week Mukwano-Jinja '!J56+'Avg Week Jinja-Mukwano'!J56</f>
        <v>6.8571428571428577</v>
      </c>
      <c r="K56" s="48">
        <f>'Avg Week Mukwano-Jinja '!K56+'Avg Week Jinja-Mukwano'!K56</f>
        <v>2.7142857142857144</v>
      </c>
      <c r="L56" s="48">
        <f>'Avg Week Mukwano-Jinja '!L56+'Avg Week Jinja-Mukwano'!L56</f>
        <v>3.4285714285714288</v>
      </c>
      <c r="M56" s="48">
        <f>'Avg Week Mukwano-Jinja '!M56+'Avg Week Jinja-Mukwano'!M56</f>
        <v>681</v>
      </c>
      <c r="N56" s="48">
        <f>'Avg Week Mukwano-Jinja '!N56+'Avg Week Jinja-Mukwano'!N56</f>
        <v>0.14285714285714285</v>
      </c>
      <c r="O56" s="15">
        <f t="shared" si="0"/>
        <v>395.99999999999994</v>
      </c>
      <c r="P56" s="15">
        <f t="shared" si="1"/>
        <v>1076.9999999999998</v>
      </c>
      <c r="R56" s="8"/>
      <c r="T56"/>
    </row>
    <row r="57" spans="2:20" ht="23.1" customHeight="1" x14ac:dyDescent="0.25">
      <c r="B57" s="22" t="s">
        <v>84</v>
      </c>
      <c r="C57" s="48">
        <f>'Avg Week Mukwano-Jinja '!C57+'Avg Week Jinja-Mukwano'!C57</f>
        <v>269</v>
      </c>
      <c r="D57" s="48">
        <f>'Avg Week Mukwano-Jinja '!D57+'Avg Week Jinja-Mukwano'!D57</f>
        <v>38.571428571428569</v>
      </c>
      <c r="E57" s="48">
        <f>'Avg Week Mukwano-Jinja '!E57+'Avg Week Jinja-Mukwano'!E57</f>
        <v>20.428571428571431</v>
      </c>
      <c r="F57" s="48">
        <f>'Avg Week Mukwano-Jinja '!F57+'Avg Week Jinja-Mukwano'!F57</f>
        <v>17.714285714285715</v>
      </c>
      <c r="G57" s="48">
        <f>'Avg Week Mukwano-Jinja '!G57+'Avg Week Jinja-Mukwano'!G57</f>
        <v>1.8571428571428572</v>
      </c>
      <c r="H57" s="48">
        <f>'Avg Week Mukwano-Jinja '!H57+'Avg Week Jinja-Mukwano'!H57</f>
        <v>0.5714285714285714</v>
      </c>
      <c r="I57" s="48">
        <f>'Avg Week Mukwano-Jinja '!I57+'Avg Week Jinja-Mukwano'!I57</f>
        <v>12.714285714285715</v>
      </c>
      <c r="J57" s="48">
        <f>'Avg Week Mukwano-Jinja '!J57+'Avg Week Jinja-Mukwano'!J57</f>
        <v>5.5714285714285712</v>
      </c>
      <c r="K57" s="48">
        <f>'Avg Week Mukwano-Jinja '!K57+'Avg Week Jinja-Mukwano'!K57</f>
        <v>2.2857142857142856</v>
      </c>
      <c r="L57" s="48">
        <f>'Avg Week Mukwano-Jinja '!L57+'Avg Week Jinja-Mukwano'!L57</f>
        <v>3.5714285714285712</v>
      </c>
      <c r="M57" s="48">
        <f>'Avg Week Mukwano-Jinja '!M57+'Avg Week Jinja-Mukwano'!M57</f>
        <v>661.42857142857144</v>
      </c>
      <c r="N57" s="48">
        <f>'Avg Week Mukwano-Jinja '!N57+'Avg Week Jinja-Mukwano'!N57</f>
        <v>0.14285714285714285</v>
      </c>
      <c r="O57" s="15">
        <f t="shared" si="0"/>
        <v>372.42857142857139</v>
      </c>
      <c r="P57" s="15">
        <f t="shared" si="1"/>
        <v>1033.8571428571429</v>
      </c>
      <c r="R57" s="8"/>
      <c r="T57"/>
    </row>
    <row r="58" spans="2:20" ht="23.1" customHeight="1" x14ac:dyDescent="0.25">
      <c r="B58" s="22" t="s">
        <v>99</v>
      </c>
      <c r="C58" s="48">
        <f>'Avg Week Mukwano-Jinja '!C58+'Avg Week Jinja-Mukwano'!C58</f>
        <v>192.5</v>
      </c>
      <c r="D58" s="48">
        <f>'Avg Week Mukwano-Jinja '!D58+'Avg Week Jinja-Mukwano'!D58</f>
        <v>73</v>
      </c>
      <c r="E58" s="48">
        <f>'Avg Week Mukwano-Jinja '!E58+'Avg Week Jinja-Mukwano'!E58</f>
        <v>24.5</v>
      </c>
      <c r="F58" s="48">
        <f>'Avg Week Mukwano-Jinja '!F58+'Avg Week Jinja-Mukwano'!F58</f>
        <v>16.5</v>
      </c>
      <c r="G58" s="48">
        <f>'Avg Week Mukwano-Jinja '!G58+'Avg Week Jinja-Mukwano'!G58</f>
        <v>1</v>
      </c>
      <c r="H58" s="48">
        <f>'Avg Week Mukwano-Jinja '!H58+'Avg Week Jinja-Mukwano'!H58</f>
        <v>1</v>
      </c>
      <c r="I58" s="48">
        <f>'Avg Week Mukwano-Jinja '!I58+'Avg Week Jinja-Mukwano'!I58</f>
        <v>10.5</v>
      </c>
      <c r="J58" s="48">
        <f>'Avg Week Mukwano-Jinja '!J58+'Avg Week Jinja-Mukwano'!J58</f>
        <v>3.5</v>
      </c>
      <c r="K58" s="48">
        <f>'Avg Week Mukwano-Jinja '!K58+'Avg Week Jinja-Mukwano'!K58</f>
        <v>2.5</v>
      </c>
      <c r="L58" s="48">
        <f>'Avg Week Mukwano-Jinja '!L58+'Avg Week Jinja-Mukwano'!L58</f>
        <v>2.5</v>
      </c>
      <c r="M58" s="48">
        <f>'Avg Week Mukwano-Jinja '!M58+'Avg Week Jinja-Mukwano'!M58</f>
        <v>410</v>
      </c>
      <c r="N58" s="48">
        <f>'Avg Week Mukwano-Jinja '!N58+'Avg Week Jinja-Mukwano'!N58</f>
        <v>0</v>
      </c>
      <c r="O58" s="15">
        <f t="shared" si="0"/>
        <v>327.5</v>
      </c>
      <c r="P58" s="15">
        <f t="shared" si="1"/>
        <v>737.5</v>
      </c>
      <c r="R58" s="8"/>
      <c r="T58"/>
    </row>
    <row r="59" spans="2:20" ht="23.1" customHeight="1" x14ac:dyDescent="0.25">
      <c r="B59" s="22" t="s">
        <v>100</v>
      </c>
      <c r="C59" s="48">
        <f>'Avg Week Mukwano-Jinja '!C59+'Avg Week Jinja-Mukwano'!C59</f>
        <v>248.5</v>
      </c>
      <c r="D59" s="48">
        <f>'Avg Week Mukwano-Jinja '!D59+'Avg Week Jinja-Mukwano'!D59</f>
        <v>95</v>
      </c>
      <c r="E59" s="48">
        <f>'Avg Week Mukwano-Jinja '!E59+'Avg Week Jinja-Mukwano'!E59</f>
        <v>25.5</v>
      </c>
      <c r="F59" s="48">
        <f>'Avg Week Mukwano-Jinja '!F59+'Avg Week Jinja-Mukwano'!F59</f>
        <v>18.5</v>
      </c>
      <c r="G59" s="48">
        <f>'Avg Week Mukwano-Jinja '!G59+'Avg Week Jinja-Mukwano'!G59</f>
        <v>4</v>
      </c>
      <c r="H59" s="48">
        <f>'Avg Week Mukwano-Jinja '!H59+'Avg Week Jinja-Mukwano'!H59</f>
        <v>0</v>
      </c>
      <c r="I59" s="48">
        <f>'Avg Week Mukwano-Jinja '!I59+'Avg Week Jinja-Mukwano'!I59</f>
        <v>10</v>
      </c>
      <c r="J59" s="48">
        <f>'Avg Week Mukwano-Jinja '!J59+'Avg Week Jinja-Mukwano'!J59</f>
        <v>4.5</v>
      </c>
      <c r="K59" s="48">
        <f>'Avg Week Mukwano-Jinja '!K59+'Avg Week Jinja-Mukwano'!K59</f>
        <v>2</v>
      </c>
      <c r="L59" s="48">
        <f>'Avg Week Mukwano-Jinja '!L59+'Avg Week Jinja-Mukwano'!L59</f>
        <v>2</v>
      </c>
      <c r="M59" s="48">
        <f>'Avg Week Mukwano-Jinja '!M59+'Avg Week Jinja-Mukwano'!M59</f>
        <v>526</v>
      </c>
      <c r="N59" s="48">
        <f>'Avg Week Mukwano-Jinja '!N59+'Avg Week Jinja-Mukwano'!N59</f>
        <v>0</v>
      </c>
      <c r="O59" s="15">
        <f t="shared" si="0"/>
        <v>410</v>
      </c>
      <c r="P59" s="15">
        <f t="shared" si="1"/>
        <v>936</v>
      </c>
      <c r="R59" s="8"/>
      <c r="T59"/>
    </row>
    <row r="60" spans="2:20" ht="23.1" customHeight="1" x14ac:dyDescent="0.25">
      <c r="B60" s="22" t="s">
        <v>101</v>
      </c>
      <c r="C60" s="48">
        <f>'Avg Week Mukwano-Jinja '!C60+'Avg Week Jinja-Mukwano'!C60</f>
        <v>359</v>
      </c>
      <c r="D60" s="48">
        <f>'Avg Week Mukwano-Jinja '!D60+'Avg Week Jinja-Mukwano'!D60</f>
        <v>133.5</v>
      </c>
      <c r="E60" s="48">
        <f>'Avg Week Mukwano-Jinja '!E60+'Avg Week Jinja-Mukwano'!E60</f>
        <v>19.5</v>
      </c>
      <c r="F60" s="48">
        <f>'Avg Week Mukwano-Jinja '!F60+'Avg Week Jinja-Mukwano'!F60</f>
        <v>19</v>
      </c>
      <c r="G60" s="48">
        <f>'Avg Week Mukwano-Jinja '!G60+'Avg Week Jinja-Mukwano'!G60</f>
        <v>0.5</v>
      </c>
      <c r="H60" s="48">
        <f>'Avg Week Mukwano-Jinja '!H60+'Avg Week Jinja-Mukwano'!H60</f>
        <v>0</v>
      </c>
      <c r="I60" s="48">
        <f>'Avg Week Mukwano-Jinja '!I60+'Avg Week Jinja-Mukwano'!I60</f>
        <v>6.5</v>
      </c>
      <c r="J60" s="48">
        <f>'Avg Week Mukwano-Jinja '!J60+'Avg Week Jinja-Mukwano'!J60</f>
        <v>5</v>
      </c>
      <c r="K60" s="48">
        <f>'Avg Week Mukwano-Jinja '!K60+'Avg Week Jinja-Mukwano'!K60</f>
        <v>0.5</v>
      </c>
      <c r="L60" s="48">
        <f>'Avg Week Mukwano-Jinja '!L60+'Avg Week Jinja-Mukwano'!L60</f>
        <v>3</v>
      </c>
      <c r="M60" s="48">
        <f>'Avg Week Mukwano-Jinja '!M60+'Avg Week Jinja-Mukwano'!M60</f>
        <v>587.5</v>
      </c>
      <c r="N60" s="48">
        <f>'Avg Week Mukwano-Jinja '!N60+'Avg Week Jinja-Mukwano'!N60</f>
        <v>0</v>
      </c>
      <c r="O60" s="15">
        <f t="shared" si="0"/>
        <v>546.5</v>
      </c>
      <c r="P60" s="15">
        <f t="shared" si="1"/>
        <v>1134</v>
      </c>
      <c r="R60" s="8"/>
      <c r="T60"/>
    </row>
    <row r="61" spans="2:20" ht="23.1" customHeight="1" x14ac:dyDescent="0.25">
      <c r="B61" s="22" t="s">
        <v>102</v>
      </c>
      <c r="C61" s="48">
        <f>'Avg Week Mukwano-Jinja '!C61+'Avg Week Jinja-Mukwano'!C61</f>
        <v>377.5</v>
      </c>
      <c r="D61" s="48">
        <f>'Avg Week Mukwano-Jinja '!D61+'Avg Week Jinja-Mukwano'!D61</f>
        <v>162</v>
      </c>
      <c r="E61" s="48">
        <f>'Avg Week Mukwano-Jinja '!E61+'Avg Week Jinja-Mukwano'!E61</f>
        <v>22</v>
      </c>
      <c r="F61" s="48">
        <f>'Avg Week Mukwano-Jinja '!F61+'Avg Week Jinja-Mukwano'!F61</f>
        <v>23</v>
      </c>
      <c r="G61" s="48">
        <f>'Avg Week Mukwano-Jinja '!G61+'Avg Week Jinja-Mukwano'!G61</f>
        <v>1</v>
      </c>
      <c r="H61" s="48">
        <f>'Avg Week Mukwano-Jinja '!H61+'Avg Week Jinja-Mukwano'!H61</f>
        <v>0</v>
      </c>
      <c r="I61" s="48">
        <f>'Avg Week Mukwano-Jinja '!I61+'Avg Week Jinja-Mukwano'!I61</f>
        <v>7.5</v>
      </c>
      <c r="J61" s="48">
        <f>'Avg Week Mukwano-Jinja '!J61+'Avg Week Jinja-Mukwano'!J61</f>
        <v>1.5</v>
      </c>
      <c r="K61" s="48">
        <f>'Avg Week Mukwano-Jinja '!K61+'Avg Week Jinja-Mukwano'!K61</f>
        <v>2.5</v>
      </c>
      <c r="L61" s="48">
        <f>'Avg Week Mukwano-Jinja '!L61+'Avg Week Jinja-Mukwano'!L61</f>
        <v>2.5</v>
      </c>
      <c r="M61" s="48">
        <f>'Avg Week Mukwano-Jinja '!M61+'Avg Week Jinja-Mukwano'!M61</f>
        <v>417</v>
      </c>
      <c r="N61" s="48">
        <f>'Avg Week Mukwano-Jinja '!N61+'Avg Week Jinja-Mukwano'!N61</f>
        <v>0</v>
      </c>
      <c r="O61" s="15">
        <f t="shared" si="0"/>
        <v>599.5</v>
      </c>
      <c r="P61" s="15">
        <f t="shared" si="1"/>
        <v>1016.5</v>
      </c>
      <c r="R61" s="8"/>
      <c r="T61"/>
    </row>
    <row r="62" spans="2:20" ht="23.1" customHeight="1" x14ac:dyDescent="0.25">
      <c r="B62" s="22" t="s">
        <v>107</v>
      </c>
      <c r="C62" s="48">
        <f>'Avg Week Mukwano-Jinja '!C62+'Avg Week Jinja-Mukwano'!C62</f>
        <v>385</v>
      </c>
      <c r="D62" s="48">
        <f>'Avg Week Mukwano-Jinja '!D62+'Avg Week Jinja-Mukwano'!D62</f>
        <v>59</v>
      </c>
      <c r="E62" s="48">
        <f>'Avg Week Mukwano-Jinja '!E62+'Avg Week Jinja-Mukwano'!E62</f>
        <v>27</v>
      </c>
      <c r="F62" s="48">
        <f>'Avg Week Mukwano-Jinja '!F62+'Avg Week Jinja-Mukwano'!F62</f>
        <v>29</v>
      </c>
      <c r="G62" s="48">
        <f>'Avg Week Mukwano-Jinja '!G62+'Avg Week Jinja-Mukwano'!G62</f>
        <v>1</v>
      </c>
      <c r="H62" s="48">
        <f>'Avg Week Mukwano-Jinja '!H62+'Avg Week Jinja-Mukwano'!H62</f>
        <v>0.5</v>
      </c>
      <c r="I62" s="48">
        <f>'Avg Week Mukwano-Jinja '!I62+'Avg Week Jinja-Mukwano'!I62</f>
        <v>12</v>
      </c>
      <c r="J62" s="48">
        <f>'Avg Week Mukwano-Jinja '!J62+'Avg Week Jinja-Mukwano'!J62</f>
        <v>3</v>
      </c>
      <c r="K62" s="48">
        <f>'Avg Week Mukwano-Jinja '!K62+'Avg Week Jinja-Mukwano'!K62</f>
        <v>2</v>
      </c>
      <c r="L62" s="48">
        <f>'Avg Week Mukwano-Jinja '!L62+'Avg Week Jinja-Mukwano'!L62</f>
        <v>0.5</v>
      </c>
      <c r="M62" s="48">
        <f>'Avg Week Mukwano-Jinja '!M62+'Avg Week Jinja-Mukwano'!M62</f>
        <v>580</v>
      </c>
      <c r="N62" s="48">
        <f>'Avg Week Mukwano-Jinja '!N62+'Avg Week Jinja-Mukwano'!N62</f>
        <v>0</v>
      </c>
      <c r="O62" s="15">
        <f t="shared" si="0"/>
        <v>519</v>
      </c>
      <c r="P62" s="15">
        <f t="shared" si="1"/>
        <v>1099</v>
      </c>
      <c r="R62" s="8"/>
      <c r="T62"/>
    </row>
    <row r="63" spans="2:20" ht="23.1" customHeight="1" x14ac:dyDescent="0.25">
      <c r="B63" s="22" t="s">
        <v>108</v>
      </c>
      <c r="C63" s="48">
        <f>'Avg Week Mukwano-Jinja '!C63+'Avg Week Jinja-Mukwano'!C63</f>
        <v>309</v>
      </c>
      <c r="D63" s="48">
        <f>'Avg Week Mukwano-Jinja '!D63+'Avg Week Jinja-Mukwano'!D63</f>
        <v>83</v>
      </c>
      <c r="E63" s="48">
        <f>'Avg Week Mukwano-Jinja '!E63+'Avg Week Jinja-Mukwano'!E63</f>
        <v>19.5</v>
      </c>
      <c r="F63" s="48">
        <f>'Avg Week Mukwano-Jinja '!F63+'Avg Week Jinja-Mukwano'!F63</f>
        <v>19</v>
      </c>
      <c r="G63" s="48">
        <f>'Avg Week Mukwano-Jinja '!G63+'Avg Week Jinja-Mukwano'!G63</f>
        <v>1</v>
      </c>
      <c r="H63" s="48">
        <f>'Avg Week Mukwano-Jinja '!H63+'Avg Week Jinja-Mukwano'!H63</f>
        <v>0</v>
      </c>
      <c r="I63" s="48">
        <f>'Avg Week Mukwano-Jinja '!I63+'Avg Week Jinja-Mukwano'!I63</f>
        <v>6</v>
      </c>
      <c r="J63" s="48">
        <f>'Avg Week Mukwano-Jinja '!J63+'Avg Week Jinja-Mukwano'!J63</f>
        <v>2</v>
      </c>
      <c r="K63" s="48">
        <f>'Avg Week Mukwano-Jinja '!K63+'Avg Week Jinja-Mukwano'!K63</f>
        <v>0.5</v>
      </c>
      <c r="L63" s="48">
        <f>'Avg Week Mukwano-Jinja '!L63+'Avg Week Jinja-Mukwano'!L63</f>
        <v>2.5</v>
      </c>
      <c r="M63" s="48">
        <f>'Avg Week Mukwano-Jinja '!M63+'Avg Week Jinja-Mukwano'!M63</f>
        <v>556.5</v>
      </c>
      <c r="N63" s="48">
        <f>'Avg Week Mukwano-Jinja '!N63+'Avg Week Jinja-Mukwano'!N63</f>
        <v>0.5</v>
      </c>
      <c r="O63" s="15">
        <f t="shared" si="0"/>
        <v>443</v>
      </c>
      <c r="P63" s="15">
        <f t="shared" si="1"/>
        <v>999.5</v>
      </c>
      <c r="R63" s="8"/>
      <c r="T63"/>
    </row>
    <row r="64" spans="2:20" ht="23.1" customHeight="1" x14ac:dyDescent="0.25">
      <c r="B64" s="22" t="s">
        <v>109</v>
      </c>
      <c r="C64" s="48">
        <f>'Avg Week Mukwano-Jinja '!C64+'Avg Week Jinja-Mukwano'!C64</f>
        <v>299</v>
      </c>
      <c r="D64" s="48">
        <f>'Avg Week Mukwano-Jinja '!D64+'Avg Week Jinja-Mukwano'!D64</f>
        <v>83.5</v>
      </c>
      <c r="E64" s="48">
        <f>'Avg Week Mukwano-Jinja '!E64+'Avg Week Jinja-Mukwano'!E64</f>
        <v>9.5</v>
      </c>
      <c r="F64" s="48">
        <f>'Avg Week Mukwano-Jinja '!F64+'Avg Week Jinja-Mukwano'!F64</f>
        <v>16.5</v>
      </c>
      <c r="G64" s="48">
        <f>'Avg Week Mukwano-Jinja '!G64+'Avg Week Jinja-Mukwano'!G64</f>
        <v>1</v>
      </c>
      <c r="H64" s="48">
        <f>'Avg Week Mukwano-Jinja '!H64+'Avg Week Jinja-Mukwano'!H64</f>
        <v>0</v>
      </c>
      <c r="I64" s="48">
        <f>'Avg Week Mukwano-Jinja '!I64+'Avg Week Jinja-Mukwano'!I64</f>
        <v>4.5</v>
      </c>
      <c r="J64" s="48">
        <f>'Avg Week Mukwano-Jinja '!J64+'Avg Week Jinja-Mukwano'!J64</f>
        <v>3.5</v>
      </c>
      <c r="K64" s="48">
        <f>'Avg Week Mukwano-Jinja '!K64+'Avg Week Jinja-Mukwano'!K64</f>
        <v>0.5</v>
      </c>
      <c r="L64" s="48">
        <f>'Avg Week Mukwano-Jinja '!L64+'Avg Week Jinja-Mukwano'!L64</f>
        <v>1</v>
      </c>
      <c r="M64" s="48">
        <f>'Avg Week Mukwano-Jinja '!M64+'Avg Week Jinja-Mukwano'!M64</f>
        <v>449</v>
      </c>
      <c r="N64" s="48">
        <f>'Avg Week Mukwano-Jinja '!N64+'Avg Week Jinja-Mukwano'!N64</f>
        <v>0.5</v>
      </c>
      <c r="O64" s="15">
        <f t="shared" si="0"/>
        <v>419.5</v>
      </c>
      <c r="P64" s="15">
        <f t="shared" si="1"/>
        <v>868.5</v>
      </c>
      <c r="R64" s="8"/>
      <c r="T64"/>
    </row>
    <row r="65" spans="2:20" ht="23.1" customHeight="1" x14ac:dyDescent="0.25">
      <c r="B65" s="22" t="s">
        <v>158</v>
      </c>
      <c r="C65" s="48">
        <f>'Avg Week Mukwano-Jinja '!C65+'Avg Week Jinja-Mukwano'!C65</f>
        <v>257.5</v>
      </c>
      <c r="D65" s="48">
        <f>'Avg Week Mukwano-Jinja '!D65+'Avg Week Jinja-Mukwano'!D65</f>
        <v>55.5</v>
      </c>
      <c r="E65" s="48">
        <f>'Avg Week Mukwano-Jinja '!E65+'Avg Week Jinja-Mukwano'!E65</f>
        <v>14</v>
      </c>
      <c r="F65" s="48">
        <f>'Avg Week Mukwano-Jinja '!F65+'Avg Week Jinja-Mukwano'!F65</f>
        <v>22.5</v>
      </c>
      <c r="G65" s="48">
        <f>'Avg Week Mukwano-Jinja '!G65+'Avg Week Jinja-Mukwano'!G65</f>
        <v>0</v>
      </c>
      <c r="H65" s="48">
        <f>'Avg Week Mukwano-Jinja '!H65+'Avg Week Jinja-Mukwano'!H65</f>
        <v>0.5</v>
      </c>
      <c r="I65" s="48">
        <f>'Avg Week Mukwano-Jinja '!I65+'Avg Week Jinja-Mukwano'!I65</f>
        <v>4.5</v>
      </c>
      <c r="J65" s="48">
        <f>'Avg Week Mukwano-Jinja '!J65+'Avg Week Jinja-Mukwano'!J65</f>
        <v>1</v>
      </c>
      <c r="K65" s="48">
        <f>'Avg Week Mukwano-Jinja '!K65+'Avg Week Jinja-Mukwano'!K65</f>
        <v>2</v>
      </c>
      <c r="L65" s="48">
        <f>'Avg Week Mukwano-Jinja '!L65+'Avg Week Jinja-Mukwano'!L65</f>
        <v>1.5</v>
      </c>
      <c r="M65" s="48">
        <f>'Avg Week Mukwano-Jinja '!M65+'Avg Week Jinja-Mukwano'!M65</f>
        <v>455.5</v>
      </c>
      <c r="N65" s="48">
        <f>'Avg Week Mukwano-Jinja '!N65+'Avg Week Jinja-Mukwano'!N65</f>
        <v>0</v>
      </c>
      <c r="O65" s="15">
        <f t="shared" si="0"/>
        <v>359</v>
      </c>
      <c r="P65" s="15">
        <f t="shared" si="1"/>
        <v>814.5</v>
      </c>
      <c r="R65" s="8"/>
      <c r="T65"/>
    </row>
    <row r="66" spans="2:20" ht="23.1" customHeight="1" x14ac:dyDescent="0.25">
      <c r="B66" s="22" t="s">
        <v>103</v>
      </c>
      <c r="C66" s="48">
        <f>'Avg Week Mukwano-Jinja '!C66+'Avg Week Jinja-Mukwano'!C66</f>
        <v>255</v>
      </c>
      <c r="D66" s="48">
        <f>'Avg Week Mukwano-Jinja '!D66+'Avg Week Jinja-Mukwano'!D66</f>
        <v>67</v>
      </c>
      <c r="E66" s="48">
        <f>'Avg Week Mukwano-Jinja '!E66+'Avg Week Jinja-Mukwano'!E66</f>
        <v>23</v>
      </c>
      <c r="F66" s="48">
        <f>'Avg Week Mukwano-Jinja '!F66+'Avg Week Jinja-Mukwano'!F66</f>
        <v>14</v>
      </c>
      <c r="G66" s="48">
        <f>'Avg Week Mukwano-Jinja '!G66+'Avg Week Jinja-Mukwano'!G66</f>
        <v>0</v>
      </c>
      <c r="H66" s="48">
        <f>'Avg Week Mukwano-Jinja '!H66+'Avg Week Jinja-Mukwano'!H66</f>
        <v>0</v>
      </c>
      <c r="I66" s="48">
        <f>'Avg Week Mukwano-Jinja '!I66+'Avg Week Jinja-Mukwano'!I66</f>
        <v>5.5</v>
      </c>
      <c r="J66" s="48">
        <f>'Avg Week Mukwano-Jinja '!J66+'Avg Week Jinja-Mukwano'!J66</f>
        <v>5</v>
      </c>
      <c r="K66" s="48">
        <f>'Avg Week Mukwano-Jinja '!K66+'Avg Week Jinja-Mukwano'!K66</f>
        <v>2.5</v>
      </c>
      <c r="L66" s="48">
        <f>'Avg Week Mukwano-Jinja '!L66+'Avg Week Jinja-Mukwano'!L66</f>
        <v>4</v>
      </c>
      <c r="M66" s="48">
        <f>'Avg Week Mukwano-Jinja '!M66+'Avg Week Jinja-Mukwano'!M66</f>
        <v>390.5</v>
      </c>
      <c r="N66" s="48">
        <f>'Avg Week Mukwano-Jinja '!N66+'Avg Week Jinja-Mukwano'!N66</f>
        <v>0</v>
      </c>
      <c r="O66" s="15">
        <f t="shared" si="0"/>
        <v>376</v>
      </c>
      <c r="P66" s="15">
        <f t="shared" si="1"/>
        <v>766.5</v>
      </c>
      <c r="R66" s="8"/>
      <c r="T66"/>
    </row>
    <row r="67" spans="2:20" ht="23.1" customHeight="1" x14ac:dyDescent="0.25">
      <c r="B67" s="22" t="s">
        <v>104</v>
      </c>
      <c r="C67" s="48">
        <f>'Avg Week Mukwano-Jinja '!C67+'Avg Week Jinja-Mukwano'!C67</f>
        <v>259.5</v>
      </c>
      <c r="D67" s="48">
        <f>'Avg Week Mukwano-Jinja '!D67+'Avg Week Jinja-Mukwano'!D67</f>
        <v>89</v>
      </c>
      <c r="E67" s="48">
        <f>'Avg Week Mukwano-Jinja '!E67+'Avg Week Jinja-Mukwano'!E67</f>
        <v>12.5</v>
      </c>
      <c r="F67" s="48">
        <f>'Avg Week Mukwano-Jinja '!F67+'Avg Week Jinja-Mukwano'!F67</f>
        <v>14</v>
      </c>
      <c r="G67" s="48">
        <f>'Avg Week Mukwano-Jinja '!G67+'Avg Week Jinja-Mukwano'!G67</f>
        <v>1</v>
      </c>
      <c r="H67" s="48">
        <f>'Avg Week Mukwano-Jinja '!H67+'Avg Week Jinja-Mukwano'!H67</f>
        <v>0</v>
      </c>
      <c r="I67" s="48">
        <f>'Avg Week Mukwano-Jinja '!I67+'Avg Week Jinja-Mukwano'!I67</f>
        <v>8</v>
      </c>
      <c r="J67" s="48">
        <f>'Avg Week Mukwano-Jinja '!J67+'Avg Week Jinja-Mukwano'!J67</f>
        <v>6.5</v>
      </c>
      <c r="K67" s="48">
        <f>'Avg Week Mukwano-Jinja '!K67+'Avg Week Jinja-Mukwano'!K67</f>
        <v>1</v>
      </c>
      <c r="L67" s="48">
        <f>'Avg Week Mukwano-Jinja '!L67+'Avg Week Jinja-Mukwano'!L67</f>
        <v>3</v>
      </c>
      <c r="M67" s="48">
        <f>'Avg Week Mukwano-Jinja '!M67+'Avg Week Jinja-Mukwano'!M67</f>
        <v>504</v>
      </c>
      <c r="N67" s="48">
        <f>'Avg Week Mukwano-Jinja '!N67+'Avg Week Jinja-Mukwano'!N67</f>
        <v>0</v>
      </c>
      <c r="O67" s="15">
        <f t="shared" si="0"/>
        <v>394.5</v>
      </c>
      <c r="P67" s="15">
        <f t="shared" si="1"/>
        <v>898.5</v>
      </c>
      <c r="R67" s="8"/>
      <c r="T67"/>
    </row>
    <row r="68" spans="2:20" ht="23.1" customHeight="1" x14ac:dyDescent="0.25">
      <c r="B68" s="22" t="s">
        <v>105</v>
      </c>
      <c r="C68" s="48">
        <f>'Avg Week Mukwano-Jinja '!C68+'Avg Week Jinja-Mukwano'!C68</f>
        <v>294</v>
      </c>
      <c r="D68" s="48">
        <f>'Avg Week Mukwano-Jinja '!D68+'Avg Week Jinja-Mukwano'!D68</f>
        <v>79.5</v>
      </c>
      <c r="E68" s="48">
        <f>'Avg Week Mukwano-Jinja '!E68+'Avg Week Jinja-Mukwano'!E68</f>
        <v>13.5</v>
      </c>
      <c r="F68" s="48">
        <f>'Avg Week Mukwano-Jinja '!F68+'Avg Week Jinja-Mukwano'!F68</f>
        <v>11.5</v>
      </c>
      <c r="G68" s="48">
        <f>'Avg Week Mukwano-Jinja '!G68+'Avg Week Jinja-Mukwano'!G68</f>
        <v>2</v>
      </c>
      <c r="H68" s="48">
        <f>'Avg Week Mukwano-Jinja '!H68+'Avg Week Jinja-Mukwano'!H68</f>
        <v>0</v>
      </c>
      <c r="I68" s="48">
        <f>'Avg Week Mukwano-Jinja '!I68+'Avg Week Jinja-Mukwano'!I68</f>
        <v>5.5</v>
      </c>
      <c r="J68" s="48">
        <f>'Avg Week Mukwano-Jinja '!J68+'Avg Week Jinja-Mukwano'!J68</f>
        <v>2</v>
      </c>
      <c r="K68" s="48">
        <f>'Avg Week Mukwano-Jinja '!K68+'Avg Week Jinja-Mukwano'!K68</f>
        <v>0.5</v>
      </c>
      <c r="L68" s="48">
        <f>'Avg Week Mukwano-Jinja '!L68+'Avg Week Jinja-Mukwano'!L68</f>
        <v>2.5</v>
      </c>
      <c r="M68" s="48">
        <f>'Avg Week Mukwano-Jinja '!M68+'Avg Week Jinja-Mukwano'!M68</f>
        <v>562</v>
      </c>
      <c r="N68" s="48">
        <f>'Avg Week Mukwano-Jinja '!N68+'Avg Week Jinja-Mukwano'!N68</f>
        <v>0</v>
      </c>
      <c r="O68" s="15">
        <f t="shared" si="0"/>
        <v>411</v>
      </c>
      <c r="P68" s="15">
        <f t="shared" si="1"/>
        <v>973</v>
      </c>
      <c r="R68" s="8"/>
      <c r="T68"/>
    </row>
    <row r="69" spans="2:20" ht="23.1" customHeight="1" x14ac:dyDescent="0.25">
      <c r="B69" s="22" t="s">
        <v>106</v>
      </c>
      <c r="C69" s="48">
        <f>'Avg Week Mukwano-Jinja '!C69+'Avg Week Jinja-Mukwano'!C69</f>
        <v>253.5</v>
      </c>
      <c r="D69" s="48">
        <f>'Avg Week Mukwano-Jinja '!D69+'Avg Week Jinja-Mukwano'!D69</f>
        <v>75.5</v>
      </c>
      <c r="E69" s="48">
        <f>'Avg Week Mukwano-Jinja '!E69+'Avg Week Jinja-Mukwano'!E69</f>
        <v>21.5</v>
      </c>
      <c r="F69" s="48">
        <f>'Avg Week Mukwano-Jinja '!F69+'Avg Week Jinja-Mukwano'!F69</f>
        <v>7.5</v>
      </c>
      <c r="G69" s="48">
        <f>'Avg Week Mukwano-Jinja '!G69+'Avg Week Jinja-Mukwano'!G69</f>
        <v>1.5</v>
      </c>
      <c r="H69" s="48">
        <f>'Avg Week Mukwano-Jinja '!H69+'Avg Week Jinja-Mukwano'!H69</f>
        <v>0</v>
      </c>
      <c r="I69" s="48">
        <f>'Avg Week Mukwano-Jinja '!I69+'Avg Week Jinja-Mukwano'!I69</f>
        <v>11.5</v>
      </c>
      <c r="J69" s="48">
        <f>'Avg Week Mukwano-Jinja '!J69+'Avg Week Jinja-Mukwano'!J69</f>
        <v>3.5</v>
      </c>
      <c r="K69" s="48">
        <f>'Avg Week Mukwano-Jinja '!K69+'Avg Week Jinja-Mukwano'!K69</f>
        <v>0.5</v>
      </c>
      <c r="L69" s="48">
        <f>'Avg Week Mukwano-Jinja '!L69+'Avg Week Jinja-Mukwano'!L69</f>
        <v>6</v>
      </c>
      <c r="M69" s="48">
        <f>'Avg Week Mukwano-Jinja '!M69+'Avg Week Jinja-Mukwano'!M69</f>
        <v>538.5</v>
      </c>
      <c r="N69" s="48">
        <f>'Avg Week Mukwano-Jinja '!N69+'Avg Week Jinja-Mukwano'!N69</f>
        <v>0</v>
      </c>
      <c r="O69" s="15">
        <f t="shared" si="0"/>
        <v>381</v>
      </c>
      <c r="P69" s="15">
        <f t="shared" si="1"/>
        <v>919.5</v>
      </c>
      <c r="R69" s="8"/>
      <c r="T69"/>
    </row>
    <row r="70" spans="2:20" ht="23.1" customHeight="1" x14ac:dyDescent="0.25">
      <c r="B70" s="22" t="s">
        <v>110</v>
      </c>
      <c r="C70" s="48">
        <f>'Avg Week Mukwano-Jinja '!C70+'Avg Week Jinja-Mukwano'!C70</f>
        <v>256</v>
      </c>
      <c r="D70" s="48">
        <f>'Avg Week Mukwano-Jinja '!D70+'Avg Week Jinja-Mukwano'!D70</f>
        <v>65</v>
      </c>
      <c r="E70" s="48">
        <f>'Avg Week Mukwano-Jinja '!E70+'Avg Week Jinja-Mukwano'!E70</f>
        <v>15</v>
      </c>
      <c r="F70" s="48">
        <f>'Avg Week Mukwano-Jinja '!F70+'Avg Week Jinja-Mukwano'!F70</f>
        <v>9</v>
      </c>
      <c r="G70" s="48">
        <f>'Avg Week Mukwano-Jinja '!G70+'Avg Week Jinja-Mukwano'!G70</f>
        <v>0.5</v>
      </c>
      <c r="H70" s="48">
        <f>'Avg Week Mukwano-Jinja '!H70+'Avg Week Jinja-Mukwano'!H70</f>
        <v>0</v>
      </c>
      <c r="I70" s="48">
        <f>'Avg Week Mukwano-Jinja '!I70+'Avg Week Jinja-Mukwano'!I70</f>
        <v>8</v>
      </c>
      <c r="J70" s="48">
        <f>'Avg Week Mukwano-Jinja '!J70+'Avg Week Jinja-Mukwano'!J70</f>
        <v>2</v>
      </c>
      <c r="K70" s="48">
        <f>'Avg Week Mukwano-Jinja '!K70+'Avg Week Jinja-Mukwano'!K70</f>
        <v>2</v>
      </c>
      <c r="L70" s="48">
        <f>'Avg Week Mukwano-Jinja '!L70+'Avg Week Jinja-Mukwano'!L70</f>
        <v>1.5</v>
      </c>
      <c r="M70" s="48">
        <f>'Avg Week Mukwano-Jinja '!M70+'Avg Week Jinja-Mukwano'!M70</f>
        <v>696</v>
      </c>
      <c r="N70" s="48">
        <f>'Avg Week Mukwano-Jinja '!N70+'Avg Week Jinja-Mukwano'!N70</f>
        <v>0</v>
      </c>
      <c r="O70" s="15">
        <f t="shared" si="0"/>
        <v>359</v>
      </c>
      <c r="P70" s="15">
        <f t="shared" si="1"/>
        <v>1055</v>
      </c>
      <c r="R70" s="8"/>
      <c r="T70"/>
    </row>
    <row r="71" spans="2:20" ht="23.1" customHeight="1" x14ac:dyDescent="0.25">
      <c r="B71" s="22" t="s">
        <v>111</v>
      </c>
      <c r="C71" s="48">
        <f>'Avg Week Mukwano-Jinja '!C71+'Avg Week Jinja-Mukwano'!C71</f>
        <v>189.5</v>
      </c>
      <c r="D71" s="48">
        <f>'Avg Week Mukwano-Jinja '!D71+'Avg Week Jinja-Mukwano'!D71</f>
        <v>32</v>
      </c>
      <c r="E71" s="48">
        <f>'Avg Week Mukwano-Jinja '!E71+'Avg Week Jinja-Mukwano'!E71</f>
        <v>12</v>
      </c>
      <c r="F71" s="48">
        <f>'Avg Week Mukwano-Jinja '!F71+'Avg Week Jinja-Mukwano'!F71</f>
        <v>9</v>
      </c>
      <c r="G71" s="48">
        <f>'Avg Week Mukwano-Jinja '!G71+'Avg Week Jinja-Mukwano'!G71</f>
        <v>0.5</v>
      </c>
      <c r="H71" s="48">
        <f>'Avg Week Mukwano-Jinja '!H71+'Avg Week Jinja-Mukwano'!H71</f>
        <v>4.5</v>
      </c>
      <c r="I71" s="48">
        <f>'Avg Week Mukwano-Jinja '!I71+'Avg Week Jinja-Mukwano'!I71</f>
        <v>4.5</v>
      </c>
      <c r="J71" s="48">
        <f>'Avg Week Mukwano-Jinja '!J71+'Avg Week Jinja-Mukwano'!J71</f>
        <v>0.5</v>
      </c>
      <c r="K71" s="48">
        <f>'Avg Week Mukwano-Jinja '!K71+'Avg Week Jinja-Mukwano'!K71</f>
        <v>1.5</v>
      </c>
      <c r="L71" s="48">
        <f>'Avg Week Mukwano-Jinja '!L71+'Avg Week Jinja-Mukwano'!L71</f>
        <v>1.5</v>
      </c>
      <c r="M71" s="48">
        <f>'Avg Week Mukwano-Jinja '!M71+'Avg Week Jinja-Mukwano'!M71</f>
        <v>541</v>
      </c>
      <c r="N71" s="48">
        <f>'Avg Week Mukwano-Jinja '!N71+'Avg Week Jinja-Mukwano'!N71</f>
        <v>0</v>
      </c>
      <c r="O71" s="15">
        <f t="shared" si="0"/>
        <v>255.5</v>
      </c>
      <c r="P71" s="15">
        <f t="shared" si="1"/>
        <v>796.5</v>
      </c>
      <c r="R71" s="8"/>
      <c r="T71"/>
    </row>
    <row r="72" spans="2:20" ht="23.1" customHeight="1" x14ac:dyDescent="0.25">
      <c r="B72" s="22" t="s">
        <v>112</v>
      </c>
      <c r="C72" s="48">
        <f>'Avg Week Mukwano-Jinja '!C72+'Avg Week Jinja-Mukwano'!C72</f>
        <v>201.5</v>
      </c>
      <c r="D72" s="48">
        <f>'Avg Week Mukwano-Jinja '!D72+'Avg Week Jinja-Mukwano'!D72</f>
        <v>48.5</v>
      </c>
      <c r="E72" s="48">
        <f>'Avg Week Mukwano-Jinja '!E72+'Avg Week Jinja-Mukwano'!E72</f>
        <v>11.5</v>
      </c>
      <c r="F72" s="48">
        <f>'Avg Week Mukwano-Jinja '!F72+'Avg Week Jinja-Mukwano'!F72</f>
        <v>7.5</v>
      </c>
      <c r="G72" s="48">
        <f>'Avg Week Mukwano-Jinja '!G72+'Avg Week Jinja-Mukwano'!G72</f>
        <v>0</v>
      </c>
      <c r="H72" s="48">
        <f>'Avg Week Mukwano-Jinja '!H72+'Avg Week Jinja-Mukwano'!H72</f>
        <v>0</v>
      </c>
      <c r="I72" s="48">
        <f>'Avg Week Mukwano-Jinja '!I72+'Avg Week Jinja-Mukwano'!I72</f>
        <v>5</v>
      </c>
      <c r="J72" s="48">
        <f>'Avg Week Mukwano-Jinja '!J72+'Avg Week Jinja-Mukwano'!J72</f>
        <v>3.5</v>
      </c>
      <c r="K72" s="48">
        <f>'Avg Week Mukwano-Jinja '!K72+'Avg Week Jinja-Mukwano'!K72</f>
        <v>1</v>
      </c>
      <c r="L72" s="48">
        <f>'Avg Week Mukwano-Jinja '!L72+'Avg Week Jinja-Mukwano'!L72</f>
        <v>1</v>
      </c>
      <c r="M72" s="48">
        <f>'Avg Week Mukwano-Jinja '!M72+'Avg Week Jinja-Mukwano'!M72</f>
        <v>321</v>
      </c>
      <c r="N72" s="48">
        <f>'Avg Week Mukwano-Jinja '!N72+'Avg Week Jinja-Mukwano'!N72</f>
        <v>0</v>
      </c>
      <c r="O72" s="15">
        <f t="shared" si="0"/>
        <v>279.5</v>
      </c>
      <c r="P72" s="15">
        <f t="shared" si="1"/>
        <v>600.5</v>
      </c>
      <c r="R72" s="8"/>
      <c r="T72"/>
    </row>
    <row r="73" spans="2:20" ht="23.1" customHeight="1" x14ac:dyDescent="0.25">
      <c r="B73" s="22" t="s">
        <v>113</v>
      </c>
      <c r="C73" s="48">
        <f>'Avg Week Mukwano-Jinja '!C73+'Avg Week Jinja-Mukwano'!C73</f>
        <v>155.5</v>
      </c>
      <c r="D73" s="48">
        <f>'Avg Week Mukwano-Jinja '!D73+'Avg Week Jinja-Mukwano'!D73</f>
        <v>38</v>
      </c>
      <c r="E73" s="48">
        <f>'Avg Week Mukwano-Jinja '!E73+'Avg Week Jinja-Mukwano'!E73</f>
        <v>12</v>
      </c>
      <c r="F73" s="48">
        <f>'Avg Week Mukwano-Jinja '!F73+'Avg Week Jinja-Mukwano'!F73</f>
        <v>7</v>
      </c>
      <c r="G73" s="48">
        <f>'Avg Week Mukwano-Jinja '!G73+'Avg Week Jinja-Mukwano'!G73</f>
        <v>0.5</v>
      </c>
      <c r="H73" s="48">
        <f>'Avg Week Mukwano-Jinja '!H73+'Avg Week Jinja-Mukwano'!H73</f>
        <v>0</v>
      </c>
      <c r="I73" s="48">
        <f>'Avg Week Mukwano-Jinja '!I73+'Avg Week Jinja-Mukwano'!I73</f>
        <v>6</v>
      </c>
      <c r="J73" s="48">
        <f>'Avg Week Mukwano-Jinja '!J73+'Avg Week Jinja-Mukwano'!J73</f>
        <v>2.5</v>
      </c>
      <c r="K73" s="48">
        <f>'Avg Week Mukwano-Jinja '!K73+'Avg Week Jinja-Mukwano'!K73</f>
        <v>1.5</v>
      </c>
      <c r="L73" s="48">
        <f>'Avg Week Mukwano-Jinja '!L73+'Avg Week Jinja-Mukwano'!L73</f>
        <v>3</v>
      </c>
      <c r="M73" s="48">
        <f>'Avg Week Mukwano-Jinja '!M73+'Avg Week Jinja-Mukwano'!M73</f>
        <v>346.5</v>
      </c>
      <c r="N73" s="48">
        <f>'Avg Week Mukwano-Jinja '!N73+'Avg Week Jinja-Mukwano'!N73</f>
        <v>0</v>
      </c>
      <c r="O73" s="15">
        <f t="shared" si="0"/>
        <v>226</v>
      </c>
      <c r="P73" s="15">
        <f t="shared" si="1"/>
        <v>572.5</v>
      </c>
      <c r="R73" s="8"/>
      <c r="T73"/>
    </row>
    <row r="74" spans="2:20" ht="23.1" customHeight="1" x14ac:dyDescent="0.25">
      <c r="B74" s="22" t="s">
        <v>114</v>
      </c>
      <c r="C74" s="48">
        <f>'Avg Week Mukwano-Jinja '!C74+'Avg Week Jinja-Mukwano'!C74</f>
        <v>144.5</v>
      </c>
      <c r="D74" s="48">
        <f>'Avg Week Mukwano-Jinja '!D74+'Avg Week Jinja-Mukwano'!D74</f>
        <v>41</v>
      </c>
      <c r="E74" s="48">
        <f>'Avg Week Mukwano-Jinja '!E74+'Avg Week Jinja-Mukwano'!E74</f>
        <v>12</v>
      </c>
      <c r="F74" s="48">
        <f>'Avg Week Mukwano-Jinja '!F74+'Avg Week Jinja-Mukwano'!F74</f>
        <v>7.5</v>
      </c>
      <c r="G74" s="48">
        <f>'Avg Week Mukwano-Jinja '!G74+'Avg Week Jinja-Mukwano'!G74</f>
        <v>0</v>
      </c>
      <c r="H74" s="48">
        <f>'Avg Week Mukwano-Jinja '!H74+'Avg Week Jinja-Mukwano'!H74</f>
        <v>0</v>
      </c>
      <c r="I74" s="48">
        <f>'Avg Week Mukwano-Jinja '!I74+'Avg Week Jinja-Mukwano'!I74</f>
        <v>4.5</v>
      </c>
      <c r="J74" s="48">
        <f>'Avg Week Mukwano-Jinja '!J74+'Avg Week Jinja-Mukwano'!J74</f>
        <v>0.5</v>
      </c>
      <c r="K74" s="48">
        <f>'Avg Week Mukwano-Jinja '!K74+'Avg Week Jinja-Mukwano'!K74</f>
        <v>0.5</v>
      </c>
      <c r="L74" s="48">
        <f>'Avg Week Mukwano-Jinja '!L74+'Avg Week Jinja-Mukwano'!L74</f>
        <v>2</v>
      </c>
      <c r="M74" s="48">
        <f>'Avg Week Mukwano-Jinja '!M74+'Avg Week Jinja-Mukwano'!M74</f>
        <v>163</v>
      </c>
      <c r="N74" s="48">
        <f>'Avg Week Mukwano-Jinja '!N74+'Avg Week Jinja-Mukwano'!N74</f>
        <v>0</v>
      </c>
      <c r="O74" s="15">
        <f t="shared" ref="O74:O105" si="35">SUM(C74:L74,N74)</f>
        <v>212.5</v>
      </c>
      <c r="P74" s="15">
        <f t="shared" ref="P74:P105" si="36">SUM(C74:N74)</f>
        <v>375.5</v>
      </c>
      <c r="R74" s="8"/>
      <c r="T74"/>
    </row>
    <row r="75" spans="2:20" ht="23.1" customHeight="1" x14ac:dyDescent="0.25">
      <c r="B75" s="22" t="s">
        <v>115</v>
      </c>
      <c r="C75" s="48">
        <f>'Avg Week Mukwano-Jinja '!C75+'Avg Week Jinja-Mukwano'!C75</f>
        <v>163.5</v>
      </c>
      <c r="D75" s="48">
        <f>'Avg Week Mukwano-Jinja '!D75+'Avg Week Jinja-Mukwano'!D75</f>
        <v>31.5</v>
      </c>
      <c r="E75" s="48">
        <f>'Avg Week Mukwano-Jinja '!E75+'Avg Week Jinja-Mukwano'!E75</f>
        <v>7.5</v>
      </c>
      <c r="F75" s="48">
        <f>'Avg Week Mukwano-Jinja '!F75+'Avg Week Jinja-Mukwano'!F75</f>
        <v>2</v>
      </c>
      <c r="G75" s="48">
        <f>'Avg Week Mukwano-Jinja '!G75+'Avg Week Jinja-Mukwano'!G75</f>
        <v>0</v>
      </c>
      <c r="H75" s="48">
        <f>'Avg Week Mukwano-Jinja '!H75+'Avg Week Jinja-Mukwano'!H75</f>
        <v>0</v>
      </c>
      <c r="I75" s="48">
        <f>'Avg Week Mukwano-Jinja '!I75+'Avg Week Jinja-Mukwano'!I75</f>
        <v>4.5</v>
      </c>
      <c r="J75" s="48">
        <f>'Avg Week Mukwano-Jinja '!J75+'Avg Week Jinja-Mukwano'!J75</f>
        <v>3.5</v>
      </c>
      <c r="K75" s="48">
        <f>'Avg Week Mukwano-Jinja '!K75+'Avg Week Jinja-Mukwano'!K75</f>
        <v>1.5</v>
      </c>
      <c r="L75" s="48">
        <f>'Avg Week Mukwano-Jinja '!L75+'Avg Week Jinja-Mukwano'!L75</f>
        <v>1.5</v>
      </c>
      <c r="M75" s="48">
        <f>'Avg Week Mukwano-Jinja '!M75+'Avg Week Jinja-Mukwano'!M75</f>
        <v>203.5</v>
      </c>
      <c r="N75" s="48">
        <f>'Avg Week Mukwano-Jinja '!N75+'Avg Week Jinja-Mukwano'!N75</f>
        <v>0</v>
      </c>
      <c r="O75" s="15">
        <f t="shared" si="35"/>
        <v>215.5</v>
      </c>
      <c r="P75" s="15">
        <f t="shared" si="36"/>
        <v>419</v>
      </c>
      <c r="R75" s="8"/>
      <c r="T75"/>
    </row>
    <row r="76" spans="2:20" ht="23.1" customHeight="1" x14ac:dyDescent="0.25">
      <c r="B76" s="22" t="s">
        <v>116</v>
      </c>
      <c r="C76" s="48">
        <f>'Avg Week Mukwano-Jinja '!C76+'Avg Week Jinja-Mukwano'!C76</f>
        <v>131.5</v>
      </c>
      <c r="D76" s="48">
        <f>'Avg Week Mukwano-Jinja '!D76+'Avg Week Jinja-Mukwano'!D76</f>
        <v>35</v>
      </c>
      <c r="E76" s="48">
        <f>'Avg Week Mukwano-Jinja '!E76+'Avg Week Jinja-Mukwano'!E76</f>
        <v>6</v>
      </c>
      <c r="F76" s="48">
        <f>'Avg Week Mukwano-Jinja '!F76+'Avg Week Jinja-Mukwano'!F76</f>
        <v>3</v>
      </c>
      <c r="G76" s="48">
        <f>'Avg Week Mukwano-Jinja '!G76+'Avg Week Jinja-Mukwano'!G76</f>
        <v>0</v>
      </c>
      <c r="H76" s="48">
        <f>'Avg Week Mukwano-Jinja '!H76+'Avg Week Jinja-Mukwano'!H76</f>
        <v>0</v>
      </c>
      <c r="I76" s="48">
        <f>'Avg Week Mukwano-Jinja '!I76+'Avg Week Jinja-Mukwano'!I76</f>
        <v>8</v>
      </c>
      <c r="J76" s="48">
        <f>'Avg Week Mukwano-Jinja '!J76+'Avg Week Jinja-Mukwano'!J76</f>
        <v>0.5</v>
      </c>
      <c r="K76" s="48">
        <f>'Avg Week Mukwano-Jinja '!K76+'Avg Week Jinja-Mukwano'!K76</f>
        <v>1</v>
      </c>
      <c r="L76" s="48">
        <f>'Avg Week Mukwano-Jinja '!L76+'Avg Week Jinja-Mukwano'!L76</f>
        <v>1</v>
      </c>
      <c r="M76" s="48">
        <f>'Avg Week Mukwano-Jinja '!M76+'Avg Week Jinja-Mukwano'!M76</f>
        <v>158.5</v>
      </c>
      <c r="N76" s="48">
        <f>'Avg Week Mukwano-Jinja '!N76+'Avg Week Jinja-Mukwano'!N76</f>
        <v>0</v>
      </c>
      <c r="O76" s="15">
        <f t="shared" si="35"/>
        <v>186</v>
      </c>
      <c r="P76" s="15">
        <f t="shared" si="36"/>
        <v>344.5</v>
      </c>
      <c r="R76" s="8"/>
      <c r="T76"/>
    </row>
    <row r="77" spans="2:20" ht="23.1" customHeight="1" x14ac:dyDescent="0.25">
      <c r="B77" s="22" t="s">
        <v>117</v>
      </c>
      <c r="C77" s="48">
        <f>'Avg Week Mukwano-Jinja '!C77+'Avg Week Jinja-Mukwano'!C77</f>
        <v>145.5</v>
      </c>
      <c r="D77" s="48">
        <f>'Avg Week Mukwano-Jinja '!D77+'Avg Week Jinja-Mukwano'!D77</f>
        <v>21</v>
      </c>
      <c r="E77" s="48">
        <f>'Avg Week Mukwano-Jinja '!E77+'Avg Week Jinja-Mukwano'!E77</f>
        <v>4.5</v>
      </c>
      <c r="F77" s="48">
        <f>'Avg Week Mukwano-Jinja '!F77+'Avg Week Jinja-Mukwano'!F77</f>
        <v>2</v>
      </c>
      <c r="G77" s="48">
        <f>'Avg Week Mukwano-Jinja '!G77+'Avg Week Jinja-Mukwano'!G77</f>
        <v>0.5</v>
      </c>
      <c r="H77" s="48">
        <f>'Avg Week Mukwano-Jinja '!H77+'Avg Week Jinja-Mukwano'!H77</f>
        <v>0.5</v>
      </c>
      <c r="I77" s="48">
        <f>'Avg Week Mukwano-Jinja '!I77+'Avg Week Jinja-Mukwano'!I77</f>
        <v>2.5</v>
      </c>
      <c r="J77" s="48">
        <f>'Avg Week Mukwano-Jinja '!J77+'Avg Week Jinja-Mukwano'!J77</f>
        <v>0</v>
      </c>
      <c r="K77" s="48">
        <f>'Avg Week Mukwano-Jinja '!K77+'Avg Week Jinja-Mukwano'!K77</f>
        <v>1</v>
      </c>
      <c r="L77" s="48">
        <f>'Avg Week Mukwano-Jinja '!L77+'Avg Week Jinja-Mukwano'!L77</f>
        <v>0.5</v>
      </c>
      <c r="M77" s="48">
        <f>'Avg Week Mukwano-Jinja '!M77+'Avg Week Jinja-Mukwano'!M77</f>
        <v>121</v>
      </c>
      <c r="N77" s="48">
        <f>'Avg Week Mukwano-Jinja '!N77+'Avg Week Jinja-Mukwano'!N77</f>
        <v>0</v>
      </c>
      <c r="O77" s="15">
        <f t="shared" si="35"/>
        <v>178</v>
      </c>
      <c r="P77" s="15">
        <f t="shared" si="36"/>
        <v>299</v>
      </c>
      <c r="R77" s="8"/>
      <c r="T77"/>
    </row>
    <row r="78" spans="2:20" ht="23.1" customHeight="1" x14ac:dyDescent="0.25">
      <c r="B78" s="23" t="s">
        <v>118</v>
      </c>
      <c r="C78" s="48">
        <f>'Avg Week Mukwano-Jinja '!C78+'Avg Week Jinja-Mukwano'!C78</f>
        <v>89</v>
      </c>
      <c r="D78" s="48">
        <f>'Avg Week Mukwano-Jinja '!D78+'Avg Week Jinja-Mukwano'!D78</f>
        <v>17</v>
      </c>
      <c r="E78" s="48">
        <f>'Avg Week Mukwano-Jinja '!E78+'Avg Week Jinja-Mukwano'!E78</f>
        <v>6.5</v>
      </c>
      <c r="F78" s="48">
        <f>'Avg Week Mukwano-Jinja '!F78+'Avg Week Jinja-Mukwano'!F78</f>
        <v>7</v>
      </c>
      <c r="G78" s="48">
        <f>'Avg Week Mukwano-Jinja '!G78+'Avg Week Jinja-Mukwano'!G78</f>
        <v>0.5</v>
      </c>
      <c r="H78" s="48">
        <f>'Avg Week Mukwano-Jinja '!H78+'Avg Week Jinja-Mukwano'!H78</f>
        <v>0</v>
      </c>
      <c r="I78" s="48">
        <f>'Avg Week Mukwano-Jinja '!I78+'Avg Week Jinja-Mukwano'!I78</f>
        <v>3.5</v>
      </c>
      <c r="J78" s="48">
        <f>'Avg Week Mukwano-Jinja '!J78+'Avg Week Jinja-Mukwano'!J78</f>
        <v>1.5</v>
      </c>
      <c r="K78" s="48">
        <f>'Avg Week Mukwano-Jinja '!K78+'Avg Week Jinja-Mukwano'!K78</f>
        <v>0.5</v>
      </c>
      <c r="L78" s="48">
        <f>'Avg Week Mukwano-Jinja '!L78+'Avg Week Jinja-Mukwano'!L78</f>
        <v>2</v>
      </c>
      <c r="M78" s="48">
        <f>'Avg Week Mukwano-Jinja '!M78+'Avg Week Jinja-Mukwano'!M78</f>
        <v>82</v>
      </c>
      <c r="N78" s="48">
        <f>'Avg Week Mukwano-Jinja '!N78+'Avg Week Jinja-Mukwano'!N78</f>
        <v>0</v>
      </c>
      <c r="O78" s="15">
        <f t="shared" si="35"/>
        <v>127.5</v>
      </c>
      <c r="P78" s="15">
        <f t="shared" si="36"/>
        <v>209.5</v>
      </c>
      <c r="R78" s="8"/>
      <c r="T78"/>
    </row>
    <row r="79" spans="2:20" ht="23.1" customHeight="1" x14ac:dyDescent="0.25">
      <c r="B79" s="22" t="s">
        <v>119</v>
      </c>
      <c r="C79" s="48">
        <f>'Avg Week Mukwano-Jinja '!C79+'Avg Week Jinja-Mukwano'!C79</f>
        <v>83</v>
      </c>
      <c r="D79" s="48">
        <f>'Avg Week Mukwano-Jinja '!D79+'Avg Week Jinja-Mukwano'!D79</f>
        <v>23</v>
      </c>
      <c r="E79" s="48">
        <f>'Avg Week Mukwano-Jinja '!E79+'Avg Week Jinja-Mukwano'!E79</f>
        <v>8.5</v>
      </c>
      <c r="F79" s="48">
        <f>'Avg Week Mukwano-Jinja '!F79+'Avg Week Jinja-Mukwano'!F79</f>
        <v>1.5</v>
      </c>
      <c r="G79" s="48">
        <f>'Avg Week Mukwano-Jinja '!G79+'Avg Week Jinja-Mukwano'!G79</f>
        <v>0</v>
      </c>
      <c r="H79" s="48">
        <f>'Avg Week Mukwano-Jinja '!H79+'Avg Week Jinja-Mukwano'!H79</f>
        <v>0</v>
      </c>
      <c r="I79" s="48">
        <f>'Avg Week Mukwano-Jinja '!I79+'Avg Week Jinja-Mukwano'!I79</f>
        <v>1.5</v>
      </c>
      <c r="J79" s="48">
        <f>'Avg Week Mukwano-Jinja '!J79+'Avg Week Jinja-Mukwano'!J79</f>
        <v>0.5</v>
      </c>
      <c r="K79" s="48">
        <f>'Avg Week Mukwano-Jinja '!K79+'Avg Week Jinja-Mukwano'!K79</f>
        <v>2</v>
      </c>
      <c r="L79" s="48">
        <f>'Avg Week Mukwano-Jinja '!L79+'Avg Week Jinja-Mukwano'!L79</f>
        <v>2.5</v>
      </c>
      <c r="M79" s="48">
        <f>'Avg Week Mukwano-Jinja '!M79+'Avg Week Jinja-Mukwano'!M79</f>
        <v>85</v>
      </c>
      <c r="N79" s="48">
        <f>'Avg Week Mukwano-Jinja '!N79+'Avg Week Jinja-Mukwano'!N79</f>
        <v>0</v>
      </c>
      <c r="O79" s="15">
        <f t="shared" si="35"/>
        <v>122.5</v>
      </c>
      <c r="P79" s="15">
        <f t="shared" si="36"/>
        <v>207.5</v>
      </c>
      <c r="R79" s="8"/>
      <c r="T79"/>
    </row>
    <row r="80" spans="2:20" ht="23.1" customHeight="1" x14ac:dyDescent="0.25">
      <c r="B80" s="24" t="s">
        <v>120</v>
      </c>
      <c r="C80" s="48">
        <f>'Avg Week Mukwano-Jinja '!C80+'Avg Week Jinja-Mukwano'!C80</f>
        <v>57.5</v>
      </c>
      <c r="D80" s="48">
        <f>'Avg Week Mukwano-Jinja '!D80+'Avg Week Jinja-Mukwano'!D80</f>
        <v>21</v>
      </c>
      <c r="E80" s="48">
        <f>'Avg Week Mukwano-Jinja '!E80+'Avg Week Jinja-Mukwano'!E80</f>
        <v>4.5</v>
      </c>
      <c r="F80" s="48">
        <f>'Avg Week Mukwano-Jinja '!F80+'Avg Week Jinja-Mukwano'!F80</f>
        <v>4</v>
      </c>
      <c r="G80" s="48">
        <f>'Avg Week Mukwano-Jinja '!G80+'Avg Week Jinja-Mukwano'!G80</f>
        <v>0.5</v>
      </c>
      <c r="H80" s="48">
        <f>'Avg Week Mukwano-Jinja '!H80+'Avg Week Jinja-Mukwano'!H80</f>
        <v>0</v>
      </c>
      <c r="I80" s="48">
        <f>'Avg Week Mukwano-Jinja '!I80+'Avg Week Jinja-Mukwano'!I80</f>
        <v>4</v>
      </c>
      <c r="J80" s="48">
        <f>'Avg Week Mukwano-Jinja '!J80+'Avg Week Jinja-Mukwano'!J80</f>
        <v>1</v>
      </c>
      <c r="K80" s="48">
        <f>'Avg Week Mukwano-Jinja '!K80+'Avg Week Jinja-Mukwano'!K80</f>
        <v>0</v>
      </c>
      <c r="L80" s="48">
        <f>'Avg Week Mukwano-Jinja '!L80+'Avg Week Jinja-Mukwano'!L80</f>
        <v>2.5</v>
      </c>
      <c r="M80" s="48">
        <f>'Avg Week Mukwano-Jinja '!M80+'Avg Week Jinja-Mukwano'!M80</f>
        <v>96.5</v>
      </c>
      <c r="N80" s="48">
        <f>'Avg Week Mukwano-Jinja '!N80+'Avg Week Jinja-Mukwano'!N80</f>
        <v>0</v>
      </c>
      <c r="O80" s="15">
        <f t="shared" si="35"/>
        <v>95</v>
      </c>
      <c r="P80" s="15">
        <f t="shared" si="36"/>
        <v>191.5</v>
      </c>
      <c r="R80" s="8"/>
      <c r="T80"/>
    </row>
    <row r="81" spans="2:20" ht="23.1" customHeight="1" x14ac:dyDescent="0.25">
      <c r="B81" s="22" t="s">
        <v>121</v>
      </c>
      <c r="C81" s="48">
        <f>'Avg Week Mukwano-Jinja '!C81+'Avg Week Jinja-Mukwano'!C81</f>
        <v>65.5</v>
      </c>
      <c r="D81" s="48">
        <f>'Avg Week Mukwano-Jinja '!D81+'Avg Week Jinja-Mukwano'!D81</f>
        <v>8.5</v>
      </c>
      <c r="E81" s="48">
        <f>'Avg Week Mukwano-Jinja '!E81+'Avg Week Jinja-Mukwano'!E81</f>
        <v>2</v>
      </c>
      <c r="F81" s="48">
        <f>'Avg Week Mukwano-Jinja '!F81+'Avg Week Jinja-Mukwano'!F81</f>
        <v>2.5</v>
      </c>
      <c r="G81" s="48">
        <f>'Avg Week Mukwano-Jinja '!G81+'Avg Week Jinja-Mukwano'!G81</f>
        <v>0</v>
      </c>
      <c r="H81" s="48">
        <f>'Avg Week Mukwano-Jinja '!H81+'Avg Week Jinja-Mukwano'!H81</f>
        <v>0</v>
      </c>
      <c r="I81" s="48">
        <f>'Avg Week Mukwano-Jinja '!I81+'Avg Week Jinja-Mukwano'!I81</f>
        <v>3</v>
      </c>
      <c r="J81" s="48">
        <f>'Avg Week Mukwano-Jinja '!J81+'Avg Week Jinja-Mukwano'!J81</f>
        <v>0</v>
      </c>
      <c r="K81" s="48">
        <f>'Avg Week Mukwano-Jinja '!K81+'Avg Week Jinja-Mukwano'!K81</f>
        <v>0</v>
      </c>
      <c r="L81" s="48">
        <f>'Avg Week Mukwano-Jinja '!L81+'Avg Week Jinja-Mukwano'!L81</f>
        <v>1</v>
      </c>
      <c r="M81" s="48">
        <f>'Avg Week Mukwano-Jinja '!M81+'Avg Week Jinja-Mukwano'!M81</f>
        <v>62.5</v>
      </c>
      <c r="N81" s="48">
        <f>'Avg Week Mukwano-Jinja '!N81+'Avg Week Jinja-Mukwano'!N81</f>
        <v>0</v>
      </c>
      <c r="O81" s="15">
        <f t="shared" si="35"/>
        <v>82.5</v>
      </c>
      <c r="P81" s="15">
        <f t="shared" si="36"/>
        <v>145</v>
      </c>
      <c r="R81" s="8"/>
      <c r="T81"/>
    </row>
    <row r="82" spans="2:20" ht="23.1" customHeight="1" x14ac:dyDescent="0.25">
      <c r="B82" s="23" t="s">
        <v>122</v>
      </c>
      <c r="C82" s="48">
        <f>'Avg Week Mukwano-Jinja '!C82+'Avg Week Jinja-Mukwano'!C82</f>
        <v>78.5</v>
      </c>
      <c r="D82" s="48">
        <f>'Avg Week Mukwano-Jinja '!D82+'Avg Week Jinja-Mukwano'!D82</f>
        <v>14</v>
      </c>
      <c r="E82" s="48">
        <f>'Avg Week Mukwano-Jinja '!E82+'Avg Week Jinja-Mukwano'!E82</f>
        <v>4.5</v>
      </c>
      <c r="F82" s="48">
        <f>'Avg Week Mukwano-Jinja '!F82+'Avg Week Jinja-Mukwano'!F82</f>
        <v>3.5</v>
      </c>
      <c r="G82" s="48">
        <f>'Avg Week Mukwano-Jinja '!G82+'Avg Week Jinja-Mukwano'!G82</f>
        <v>0.5</v>
      </c>
      <c r="H82" s="48">
        <f>'Avg Week Mukwano-Jinja '!H82+'Avg Week Jinja-Mukwano'!H82</f>
        <v>0</v>
      </c>
      <c r="I82" s="48">
        <f>'Avg Week Mukwano-Jinja '!I82+'Avg Week Jinja-Mukwano'!I82</f>
        <v>4</v>
      </c>
      <c r="J82" s="48">
        <f>'Avg Week Mukwano-Jinja '!J82+'Avg Week Jinja-Mukwano'!J82</f>
        <v>1</v>
      </c>
      <c r="K82" s="48">
        <f>'Avg Week Mukwano-Jinja '!K82+'Avg Week Jinja-Mukwano'!K82</f>
        <v>0</v>
      </c>
      <c r="L82" s="48">
        <f>'Avg Week Mukwano-Jinja '!L82+'Avg Week Jinja-Mukwano'!L82</f>
        <v>0.5</v>
      </c>
      <c r="M82" s="48">
        <f>'Avg Week Mukwano-Jinja '!M82+'Avg Week Jinja-Mukwano'!M82</f>
        <v>48.5</v>
      </c>
      <c r="N82" s="48">
        <f>'Avg Week Mukwano-Jinja '!N82+'Avg Week Jinja-Mukwano'!N82</f>
        <v>0</v>
      </c>
      <c r="O82" s="15">
        <f t="shared" si="35"/>
        <v>106.5</v>
      </c>
      <c r="P82" s="15">
        <f t="shared" si="36"/>
        <v>155</v>
      </c>
      <c r="R82" s="8"/>
      <c r="T82"/>
    </row>
    <row r="83" spans="2:20" ht="23.1" customHeight="1" x14ac:dyDescent="0.25">
      <c r="B83" s="22" t="s">
        <v>123</v>
      </c>
      <c r="C83" s="48">
        <f>'Avg Week Mukwano-Jinja '!C83+'Avg Week Jinja-Mukwano'!C83</f>
        <v>53</v>
      </c>
      <c r="D83" s="48">
        <f>'Avg Week Mukwano-Jinja '!D83+'Avg Week Jinja-Mukwano'!D83</f>
        <v>5</v>
      </c>
      <c r="E83" s="48">
        <f>'Avg Week Mukwano-Jinja '!E83+'Avg Week Jinja-Mukwano'!E83</f>
        <v>2</v>
      </c>
      <c r="F83" s="48">
        <f>'Avg Week Mukwano-Jinja '!F83+'Avg Week Jinja-Mukwano'!F83</f>
        <v>2</v>
      </c>
      <c r="G83" s="48">
        <f>'Avg Week Mukwano-Jinja '!G83+'Avg Week Jinja-Mukwano'!G83</f>
        <v>0</v>
      </c>
      <c r="H83" s="48">
        <f>'Avg Week Mukwano-Jinja '!H83+'Avg Week Jinja-Mukwano'!H83</f>
        <v>0</v>
      </c>
      <c r="I83" s="48">
        <f>'Avg Week Mukwano-Jinja '!I83+'Avg Week Jinja-Mukwano'!I83</f>
        <v>2.5</v>
      </c>
      <c r="J83" s="48">
        <f>'Avg Week Mukwano-Jinja '!J83+'Avg Week Jinja-Mukwano'!J83</f>
        <v>0</v>
      </c>
      <c r="K83" s="48">
        <f>'Avg Week Mukwano-Jinja '!K83+'Avg Week Jinja-Mukwano'!K83</f>
        <v>0.5</v>
      </c>
      <c r="L83" s="48">
        <f>'Avg Week Mukwano-Jinja '!L83+'Avg Week Jinja-Mukwano'!L83</f>
        <v>3</v>
      </c>
      <c r="M83" s="48">
        <f>'Avg Week Mukwano-Jinja '!M83+'Avg Week Jinja-Mukwano'!M83</f>
        <v>65.5</v>
      </c>
      <c r="N83" s="48">
        <f>'Avg Week Mukwano-Jinja '!N83+'Avg Week Jinja-Mukwano'!N83</f>
        <v>0</v>
      </c>
      <c r="O83" s="15">
        <f t="shared" si="35"/>
        <v>68</v>
      </c>
      <c r="P83" s="15">
        <f t="shared" si="36"/>
        <v>133.5</v>
      </c>
      <c r="R83" s="8"/>
      <c r="T83"/>
    </row>
    <row r="84" spans="2:20" ht="23.1" customHeight="1" x14ac:dyDescent="0.25">
      <c r="B84" s="24" t="s">
        <v>124</v>
      </c>
      <c r="C84" s="48">
        <f>'Avg Week Mukwano-Jinja '!C84+'Avg Week Jinja-Mukwano'!C84</f>
        <v>58.5</v>
      </c>
      <c r="D84" s="48">
        <f>'Avg Week Mukwano-Jinja '!D84+'Avg Week Jinja-Mukwano'!D84</f>
        <v>8.5</v>
      </c>
      <c r="E84" s="48">
        <f>'Avg Week Mukwano-Jinja '!E84+'Avg Week Jinja-Mukwano'!E84</f>
        <v>2</v>
      </c>
      <c r="F84" s="48">
        <f>'Avg Week Mukwano-Jinja '!F84+'Avg Week Jinja-Mukwano'!F84</f>
        <v>2</v>
      </c>
      <c r="G84" s="48">
        <f>'Avg Week Mukwano-Jinja '!G84+'Avg Week Jinja-Mukwano'!G84</f>
        <v>0</v>
      </c>
      <c r="H84" s="48">
        <f>'Avg Week Mukwano-Jinja '!H84+'Avg Week Jinja-Mukwano'!H84</f>
        <v>0</v>
      </c>
      <c r="I84" s="48">
        <f>'Avg Week Mukwano-Jinja '!I84+'Avg Week Jinja-Mukwano'!I84</f>
        <v>3.5</v>
      </c>
      <c r="J84" s="48">
        <f>'Avg Week Mukwano-Jinja '!J84+'Avg Week Jinja-Mukwano'!J84</f>
        <v>0.5</v>
      </c>
      <c r="K84" s="48">
        <f>'Avg Week Mukwano-Jinja '!K84+'Avg Week Jinja-Mukwano'!K84</f>
        <v>1.5</v>
      </c>
      <c r="L84" s="48">
        <f>'Avg Week Mukwano-Jinja '!L84+'Avg Week Jinja-Mukwano'!L84</f>
        <v>1.5</v>
      </c>
      <c r="M84" s="48">
        <f>'Avg Week Mukwano-Jinja '!M84+'Avg Week Jinja-Mukwano'!M84</f>
        <v>46</v>
      </c>
      <c r="N84" s="48">
        <f>'Avg Week Mukwano-Jinja '!N84+'Avg Week Jinja-Mukwano'!N84</f>
        <v>0</v>
      </c>
      <c r="O84" s="15">
        <f t="shared" si="35"/>
        <v>78</v>
      </c>
      <c r="P84" s="15">
        <f t="shared" si="36"/>
        <v>124</v>
      </c>
      <c r="R84" s="8"/>
      <c r="T84"/>
    </row>
    <row r="85" spans="2:20" ht="23.1" customHeight="1" x14ac:dyDescent="0.25">
      <c r="B85" s="22" t="s">
        <v>125</v>
      </c>
      <c r="C85" s="48">
        <f>'Avg Week Mukwano-Jinja '!C85+'Avg Week Jinja-Mukwano'!C85</f>
        <v>40</v>
      </c>
      <c r="D85" s="48">
        <f>'Avg Week Mukwano-Jinja '!D85+'Avg Week Jinja-Mukwano'!D85</f>
        <v>9</v>
      </c>
      <c r="E85" s="48">
        <f>'Avg Week Mukwano-Jinja '!E85+'Avg Week Jinja-Mukwano'!E85</f>
        <v>2.5</v>
      </c>
      <c r="F85" s="48">
        <f>'Avg Week Mukwano-Jinja '!F85+'Avg Week Jinja-Mukwano'!F85</f>
        <v>1</v>
      </c>
      <c r="G85" s="48">
        <f>'Avg Week Mukwano-Jinja '!G85+'Avg Week Jinja-Mukwano'!G85</f>
        <v>0</v>
      </c>
      <c r="H85" s="48">
        <f>'Avg Week Mukwano-Jinja '!H85+'Avg Week Jinja-Mukwano'!H85</f>
        <v>0</v>
      </c>
      <c r="I85" s="48">
        <f>'Avg Week Mukwano-Jinja '!I85+'Avg Week Jinja-Mukwano'!I85</f>
        <v>5.5</v>
      </c>
      <c r="J85" s="48">
        <f>'Avg Week Mukwano-Jinja '!J85+'Avg Week Jinja-Mukwano'!J85</f>
        <v>0</v>
      </c>
      <c r="K85" s="48">
        <f>'Avg Week Mukwano-Jinja '!K85+'Avg Week Jinja-Mukwano'!K85</f>
        <v>0.5</v>
      </c>
      <c r="L85" s="48">
        <f>'Avg Week Mukwano-Jinja '!L85+'Avg Week Jinja-Mukwano'!L85</f>
        <v>3</v>
      </c>
      <c r="M85" s="48">
        <f>'Avg Week Mukwano-Jinja '!M85+'Avg Week Jinja-Mukwano'!M85</f>
        <v>42.5</v>
      </c>
      <c r="N85" s="48">
        <f>'Avg Week Mukwano-Jinja '!N85+'Avg Week Jinja-Mukwano'!N85</f>
        <v>0</v>
      </c>
      <c r="O85" s="15">
        <f t="shared" si="35"/>
        <v>61.5</v>
      </c>
      <c r="P85" s="15">
        <f t="shared" si="36"/>
        <v>104</v>
      </c>
      <c r="R85" s="8"/>
      <c r="T85"/>
    </row>
    <row r="86" spans="2:20" ht="23.1" customHeight="1" x14ac:dyDescent="0.25">
      <c r="B86" s="23" t="s">
        <v>126</v>
      </c>
      <c r="C86" s="48">
        <f>'Avg Week Mukwano-Jinja '!C86+'Avg Week Jinja-Mukwano'!C86</f>
        <v>33.5</v>
      </c>
      <c r="D86" s="48">
        <f>'Avg Week Mukwano-Jinja '!D86+'Avg Week Jinja-Mukwano'!D86</f>
        <v>5.5</v>
      </c>
      <c r="E86" s="48">
        <f>'Avg Week Mukwano-Jinja '!E86+'Avg Week Jinja-Mukwano'!E86</f>
        <v>2</v>
      </c>
      <c r="F86" s="48">
        <f>'Avg Week Mukwano-Jinja '!F86+'Avg Week Jinja-Mukwano'!F86</f>
        <v>0.5</v>
      </c>
      <c r="G86" s="48">
        <f>'Avg Week Mukwano-Jinja '!G86+'Avg Week Jinja-Mukwano'!G86</f>
        <v>0</v>
      </c>
      <c r="H86" s="48">
        <f>'Avg Week Mukwano-Jinja '!H86+'Avg Week Jinja-Mukwano'!H86</f>
        <v>0</v>
      </c>
      <c r="I86" s="48">
        <f>'Avg Week Mukwano-Jinja '!I86+'Avg Week Jinja-Mukwano'!I86</f>
        <v>5</v>
      </c>
      <c r="J86" s="48">
        <f>'Avg Week Mukwano-Jinja '!J86+'Avg Week Jinja-Mukwano'!J86</f>
        <v>0.5</v>
      </c>
      <c r="K86" s="48">
        <f>'Avg Week Mukwano-Jinja '!K86+'Avg Week Jinja-Mukwano'!K86</f>
        <v>1</v>
      </c>
      <c r="L86" s="48">
        <f>'Avg Week Mukwano-Jinja '!L86+'Avg Week Jinja-Mukwano'!L86</f>
        <v>1.5</v>
      </c>
      <c r="M86" s="48">
        <f>'Avg Week Mukwano-Jinja '!M86+'Avg Week Jinja-Mukwano'!M86</f>
        <v>39.5</v>
      </c>
      <c r="N86" s="48">
        <f>'Avg Week Mukwano-Jinja '!N86+'Avg Week Jinja-Mukwano'!N86</f>
        <v>0</v>
      </c>
      <c r="O86" s="15">
        <f t="shared" si="35"/>
        <v>49.5</v>
      </c>
      <c r="P86" s="15">
        <f t="shared" si="36"/>
        <v>89</v>
      </c>
      <c r="R86" s="8"/>
      <c r="T86"/>
    </row>
    <row r="87" spans="2:20" ht="23.1" customHeight="1" x14ac:dyDescent="0.25">
      <c r="B87" s="22" t="s">
        <v>127</v>
      </c>
      <c r="C87" s="48">
        <f>'Avg Week Mukwano-Jinja '!C87+'Avg Week Jinja-Mukwano'!C87</f>
        <v>32.5</v>
      </c>
      <c r="D87" s="48">
        <f>'Avg Week Mukwano-Jinja '!D87+'Avg Week Jinja-Mukwano'!D87</f>
        <v>4.5</v>
      </c>
      <c r="E87" s="48">
        <f>'Avg Week Mukwano-Jinja '!E87+'Avg Week Jinja-Mukwano'!E87</f>
        <v>3</v>
      </c>
      <c r="F87" s="48">
        <f>'Avg Week Mukwano-Jinja '!F87+'Avg Week Jinja-Mukwano'!F87</f>
        <v>0</v>
      </c>
      <c r="G87" s="48">
        <f>'Avg Week Mukwano-Jinja '!G87+'Avg Week Jinja-Mukwano'!G87</f>
        <v>0</v>
      </c>
      <c r="H87" s="48">
        <f>'Avg Week Mukwano-Jinja '!H87+'Avg Week Jinja-Mukwano'!H87</f>
        <v>0</v>
      </c>
      <c r="I87" s="48">
        <f>'Avg Week Mukwano-Jinja '!I87+'Avg Week Jinja-Mukwano'!I87</f>
        <v>3</v>
      </c>
      <c r="J87" s="48">
        <f>'Avg Week Mukwano-Jinja '!J87+'Avg Week Jinja-Mukwano'!J87</f>
        <v>0.5</v>
      </c>
      <c r="K87" s="48">
        <f>'Avg Week Mukwano-Jinja '!K87+'Avg Week Jinja-Mukwano'!K87</f>
        <v>0.5</v>
      </c>
      <c r="L87" s="48">
        <f>'Avg Week Mukwano-Jinja '!L87+'Avg Week Jinja-Mukwano'!L87</f>
        <v>1</v>
      </c>
      <c r="M87" s="48">
        <f>'Avg Week Mukwano-Jinja '!M87+'Avg Week Jinja-Mukwano'!M87</f>
        <v>46</v>
      </c>
      <c r="N87" s="48">
        <f>'Avg Week Mukwano-Jinja '!N87+'Avg Week Jinja-Mukwano'!N87</f>
        <v>0</v>
      </c>
      <c r="O87" s="15">
        <f t="shared" si="35"/>
        <v>45</v>
      </c>
      <c r="P87" s="15">
        <f t="shared" si="36"/>
        <v>91</v>
      </c>
      <c r="R87" s="8"/>
      <c r="T87"/>
    </row>
    <row r="88" spans="2:20" ht="23.1" customHeight="1" x14ac:dyDescent="0.25">
      <c r="B88" s="24" t="s">
        <v>128</v>
      </c>
      <c r="C88" s="48">
        <f>'Avg Week Mukwano-Jinja '!C88+'Avg Week Jinja-Mukwano'!C88</f>
        <v>22.5</v>
      </c>
      <c r="D88" s="48">
        <f>'Avg Week Mukwano-Jinja '!D88+'Avg Week Jinja-Mukwano'!D88</f>
        <v>5</v>
      </c>
      <c r="E88" s="48">
        <f>'Avg Week Mukwano-Jinja '!E88+'Avg Week Jinja-Mukwano'!E88</f>
        <v>3</v>
      </c>
      <c r="F88" s="48">
        <f>'Avg Week Mukwano-Jinja '!F88+'Avg Week Jinja-Mukwano'!F88</f>
        <v>1</v>
      </c>
      <c r="G88" s="48">
        <f>'Avg Week Mukwano-Jinja '!G88+'Avg Week Jinja-Mukwano'!G88</f>
        <v>0</v>
      </c>
      <c r="H88" s="48">
        <f>'Avg Week Mukwano-Jinja '!H88+'Avg Week Jinja-Mukwano'!H88</f>
        <v>0</v>
      </c>
      <c r="I88" s="48">
        <f>'Avg Week Mukwano-Jinja '!I88+'Avg Week Jinja-Mukwano'!I88</f>
        <v>0</v>
      </c>
      <c r="J88" s="48">
        <f>'Avg Week Mukwano-Jinja '!J88+'Avg Week Jinja-Mukwano'!J88</f>
        <v>0</v>
      </c>
      <c r="K88" s="48">
        <f>'Avg Week Mukwano-Jinja '!K88+'Avg Week Jinja-Mukwano'!K88</f>
        <v>0</v>
      </c>
      <c r="L88" s="48">
        <f>'Avg Week Mukwano-Jinja '!L88+'Avg Week Jinja-Mukwano'!L88</f>
        <v>0.5</v>
      </c>
      <c r="M88" s="48">
        <f>'Avg Week Mukwano-Jinja '!M88+'Avg Week Jinja-Mukwano'!M88</f>
        <v>31.5</v>
      </c>
      <c r="N88" s="48">
        <f>'Avg Week Mukwano-Jinja '!N88+'Avg Week Jinja-Mukwano'!N88</f>
        <v>0</v>
      </c>
      <c r="O88" s="15">
        <f t="shared" si="35"/>
        <v>32</v>
      </c>
      <c r="P88" s="15">
        <f t="shared" si="36"/>
        <v>63.5</v>
      </c>
      <c r="R88" s="8"/>
      <c r="T88"/>
    </row>
    <row r="89" spans="2:20" ht="23.1" customHeight="1" x14ac:dyDescent="0.25">
      <c r="B89" s="22" t="s">
        <v>129</v>
      </c>
      <c r="C89" s="48">
        <f>'Avg Week Mukwano-Jinja '!C89+'Avg Week Jinja-Mukwano'!C89</f>
        <v>24</v>
      </c>
      <c r="D89" s="48">
        <f>'Avg Week Mukwano-Jinja '!D89+'Avg Week Jinja-Mukwano'!D89</f>
        <v>2</v>
      </c>
      <c r="E89" s="48">
        <f>'Avg Week Mukwano-Jinja '!E89+'Avg Week Jinja-Mukwano'!E89</f>
        <v>2</v>
      </c>
      <c r="F89" s="48">
        <f>'Avg Week Mukwano-Jinja '!F89+'Avg Week Jinja-Mukwano'!F89</f>
        <v>0</v>
      </c>
      <c r="G89" s="48">
        <f>'Avg Week Mukwano-Jinja '!G89+'Avg Week Jinja-Mukwano'!G89</f>
        <v>0</v>
      </c>
      <c r="H89" s="48">
        <f>'Avg Week Mukwano-Jinja '!H89+'Avg Week Jinja-Mukwano'!H89</f>
        <v>0</v>
      </c>
      <c r="I89" s="48">
        <f>'Avg Week Mukwano-Jinja '!I89+'Avg Week Jinja-Mukwano'!I89</f>
        <v>0.5</v>
      </c>
      <c r="J89" s="48">
        <f>'Avg Week Mukwano-Jinja '!J89+'Avg Week Jinja-Mukwano'!J89</f>
        <v>1</v>
      </c>
      <c r="K89" s="48">
        <f>'Avg Week Mukwano-Jinja '!K89+'Avg Week Jinja-Mukwano'!K89</f>
        <v>0</v>
      </c>
      <c r="L89" s="48">
        <f>'Avg Week Mukwano-Jinja '!L89+'Avg Week Jinja-Mukwano'!L89</f>
        <v>1</v>
      </c>
      <c r="M89" s="48">
        <f>'Avg Week Mukwano-Jinja '!M89+'Avg Week Jinja-Mukwano'!M89</f>
        <v>44.5</v>
      </c>
      <c r="N89" s="48">
        <f>'Avg Week Mukwano-Jinja '!N89+'Avg Week Jinja-Mukwano'!N89</f>
        <v>0</v>
      </c>
      <c r="O89" s="15">
        <f t="shared" si="35"/>
        <v>30.5</v>
      </c>
      <c r="P89" s="15">
        <f t="shared" si="36"/>
        <v>75</v>
      </c>
      <c r="R89" s="8"/>
      <c r="T89"/>
    </row>
    <row r="90" spans="2:20" ht="23.1" customHeight="1" x14ac:dyDescent="0.25">
      <c r="B90" s="23" t="s">
        <v>130</v>
      </c>
      <c r="C90" s="48">
        <f>'Avg Week Mukwano-Jinja '!C90+'Avg Week Jinja-Mukwano'!C90</f>
        <v>23</v>
      </c>
      <c r="D90" s="48">
        <f>'Avg Week Mukwano-Jinja '!D90+'Avg Week Jinja-Mukwano'!D90</f>
        <v>6.5</v>
      </c>
      <c r="E90" s="48">
        <f>'Avg Week Mukwano-Jinja '!E90+'Avg Week Jinja-Mukwano'!E90</f>
        <v>3</v>
      </c>
      <c r="F90" s="48">
        <f>'Avg Week Mukwano-Jinja '!F90+'Avg Week Jinja-Mukwano'!F90</f>
        <v>1</v>
      </c>
      <c r="G90" s="48">
        <f>'Avg Week Mukwano-Jinja '!G90+'Avg Week Jinja-Mukwano'!G90</f>
        <v>0</v>
      </c>
      <c r="H90" s="48">
        <f>'Avg Week Mukwano-Jinja '!H90+'Avg Week Jinja-Mukwano'!H90</f>
        <v>0</v>
      </c>
      <c r="I90" s="48">
        <f>'Avg Week Mukwano-Jinja '!I90+'Avg Week Jinja-Mukwano'!I90</f>
        <v>6</v>
      </c>
      <c r="J90" s="48">
        <f>'Avg Week Mukwano-Jinja '!J90+'Avg Week Jinja-Mukwano'!J90</f>
        <v>1</v>
      </c>
      <c r="K90" s="48">
        <f>'Avg Week Mukwano-Jinja '!K90+'Avg Week Jinja-Mukwano'!K90</f>
        <v>0.5</v>
      </c>
      <c r="L90" s="48">
        <f>'Avg Week Mukwano-Jinja '!L90+'Avg Week Jinja-Mukwano'!L90</f>
        <v>2</v>
      </c>
      <c r="M90" s="48">
        <f>'Avg Week Mukwano-Jinja '!M90+'Avg Week Jinja-Mukwano'!M90</f>
        <v>22.5</v>
      </c>
      <c r="N90" s="48">
        <f>'Avg Week Mukwano-Jinja '!N90+'Avg Week Jinja-Mukwano'!N90</f>
        <v>0</v>
      </c>
      <c r="O90" s="15">
        <f t="shared" si="35"/>
        <v>43</v>
      </c>
      <c r="P90" s="15">
        <f t="shared" si="36"/>
        <v>65.5</v>
      </c>
      <c r="R90" s="8"/>
      <c r="T90"/>
    </row>
    <row r="91" spans="2:20" ht="23.1" customHeight="1" x14ac:dyDescent="0.25">
      <c r="B91" s="22" t="s">
        <v>131</v>
      </c>
      <c r="C91" s="48">
        <f>'Avg Week Mukwano-Jinja '!C91+'Avg Week Jinja-Mukwano'!C91</f>
        <v>37</v>
      </c>
      <c r="D91" s="48">
        <f>'Avg Week Mukwano-Jinja '!D91+'Avg Week Jinja-Mukwano'!D91</f>
        <v>6.5</v>
      </c>
      <c r="E91" s="48">
        <f>'Avg Week Mukwano-Jinja '!E91+'Avg Week Jinja-Mukwano'!E91</f>
        <v>0.5</v>
      </c>
      <c r="F91" s="48">
        <f>'Avg Week Mukwano-Jinja '!F91+'Avg Week Jinja-Mukwano'!F91</f>
        <v>1</v>
      </c>
      <c r="G91" s="48">
        <f>'Avg Week Mukwano-Jinja '!G91+'Avg Week Jinja-Mukwano'!G91</f>
        <v>0</v>
      </c>
      <c r="H91" s="48">
        <f>'Avg Week Mukwano-Jinja '!H91+'Avg Week Jinja-Mukwano'!H91</f>
        <v>0</v>
      </c>
      <c r="I91" s="48">
        <f>'Avg Week Mukwano-Jinja '!I91+'Avg Week Jinja-Mukwano'!I91</f>
        <v>1.5</v>
      </c>
      <c r="J91" s="48">
        <f>'Avg Week Mukwano-Jinja '!J91+'Avg Week Jinja-Mukwano'!J91</f>
        <v>0.5</v>
      </c>
      <c r="K91" s="48">
        <f>'Avg Week Mukwano-Jinja '!K91+'Avg Week Jinja-Mukwano'!K91</f>
        <v>0</v>
      </c>
      <c r="L91" s="48">
        <f>'Avg Week Mukwano-Jinja '!L91+'Avg Week Jinja-Mukwano'!L91</f>
        <v>1.5</v>
      </c>
      <c r="M91" s="48">
        <f>'Avg Week Mukwano-Jinja '!M91+'Avg Week Jinja-Mukwano'!M91</f>
        <v>38.5</v>
      </c>
      <c r="N91" s="48">
        <f>'Avg Week Mukwano-Jinja '!N91+'Avg Week Jinja-Mukwano'!N91</f>
        <v>0</v>
      </c>
      <c r="O91" s="15">
        <f t="shared" si="35"/>
        <v>48.5</v>
      </c>
      <c r="P91" s="15">
        <f t="shared" si="36"/>
        <v>87</v>
      </c>
      <c r="R91" s="8"/>
      <c r="T91"/>
    </row>
    <row r="92" spans="2:20" ht="23.1" customHeight="1" x14ac:dyDescent="0.25">
      <c r="B92" s="24" t="s">
        <v>132</v>
      </c>
      <c r="C92" s="48">
        <f>'Avg Week Mukwano-Jinja '!C92+'Avg Week Jinja-Mukwano'!C92</f>
        <v>24.5</v>
      </c>
      <c r="D92" s="48">
        <f>'Avg Week Mukwano-Jinja '!D92+'Avg Week Jinja-Mukwano'!D92</f>
        <v>6</v>
      </c>
      <c r="E92" s="48">
        <f>'Avg Week Mukwano-Jinja '!E92+'Avg Week Jinja-Mukwano'!E92</f>
        <v>1</v>
      </c>
      <c r="F92" s="48">
        <f>'Avg Week Mukwano-Jinja '!F92+'Avg Week Jinja-Mukwano'!F92</f>
        <v>1.5</v>
      </c>
      <c r="G92" s="48">
        <f>'Avg Week Mukwano-Jinja '!G92+'Avg Week Jinja-Mukwano'!G92</f>
        <v>0</v>
      </c>
      <c r="H92" s="48">
        <f>'Avg Week Mukwano-Jinja '!H92+'Avg Week Jinja-Mukwano'!H92</f>
        <v>0</v>
      </c>
      <c r="I92" s="48">
        <f>'Avg Week Mukwano-Jinja '!I92+'Avg Week Jinja-Mukwano'!I92</f>
        <v>2.5</v>
      </c>
      <c r="J92" s="48">
        <f>'Avg Week Mukwano-Jinja '!J92+'Avg Week Jinja-Mukwano'!J92</f>
        <v>1</v>
      </c>
      <c r="K92" s="48">
        <f>'Avg Week Mukwano-Jinja '!K92+'Avg Week Jinja-Mukwano'!K92</f>
        <v>0.5</v>
      </c>
      <c r="L92" s="48">
        <f>'Avg Week Mukwano-Jinja '!L92+'Avg Week Jinja-Mukwano'!L92</f>
        <v>1</v>
      </c>
      <c r="M92" s="48">
        <f>'Avg Week Mukwano-Jinja '!M92+'Avg Week Jinja-Mukwano'!M92</f>
        <v>38.5</v>
      </c>
      <c r="N92" s="48">
        <f>'Avg Week Mukwano-Jinja '!N92+'Avg Week Jinja-Mukwano'!N92</f>
        <v>0</v>
      </c>
      <c r="O92" s="15">
        <f t="shared" si="35"/>
        <v>38</v>
      </c>
      <c r="P92" s="15">
        <f t="shared" si="36"/>
        <v>76.5</v>
      </c>
      <c r="R92" s="8"/>
      <c r="T92"/>
    </row>
    <row r="93" spans="2:20" ht="23.1" customHeight="1" x14ac:dyDescent="0.25">
      <c r="B93" s="22" t="s">
        <v>133</v>
      </c>
      <c r="C93" s="48">
        <f>'Avg Week Mukwano-Jinja '!C93+'Avg Week Jinja-Mukwano'!C93</f>
        <v>31</v>
      </c>
      <c r="D93" s="48">
        <f>'Avg Week Mukwano-Jinja '!D93+'Avg Week Jinja-Mukwano'!D93</f>
        <v>4</v>
      </c>
      <c r="E93" s="48">
        <f>'Avg Week Mukwano-Jinja '!E93+'Avg Week Jinja-Mukwano'!E93</f>
        <v>0.5</v>
      </c>
      <c r="F93" s="48">
        <f>'Avg Week Mukwano-Jinja '!F93+'Avg Week Jinja-Mukwano'!F93</f>
        <v>2</v>
      </c>
      <c r="G93" s="48">
        <f>'Avg Week Mukwano-Jinja '!G93+'Avg Week Jinja-Mukwano'!G93</f>
        <v>0</v>
      </c>
      <c r="H93" s="48">
        <f>'Avg Week Mukwano-Jinja '!H93+'Avg Week Jinja-Mukwano'!H93</f>
        <v>0.5</v>
      </c>
      <c r="I93" s="48">
        <f>'Avg Week Mukwano-Jinja '!I93+'Avg Week Jinja-Mukwano'!I93</f>
        <v>1.5</v>
      </c>
      <c r="J93" s="48">
        <f>'Avg Week Mukwano-Jinja '!J93+'Avg Week Jinja-Mukwano'!J93</f>
        <v>0.5</v>
      </c>
      <c r="K93" s="48">
        <f>'Avg Week Mukwano-Jinja '!K93+'Avg Week Jinja-Mukwano'!K93</f>
        <v>0</v>
      </c>
      <c r="L93" s="48">
        <f>'Avg Week Mukwano-Jinja '!L93+'Avg Week Jinja-Mukwano'!L93</f>
        <v>0.5</v>
      </c>
      <c r="M93" s="48">
        <f>'Avg Week Mukwano-Jinja '!M93+'Avg Week Jinja-Mukwano'!M93</f>
        <v>33</v>
      </c>
      <c r="N93" s="48">
        <f>'Avg Week Mukwano-Jinja '!N93+'Avg Week Jinja-Mukwano'!N93</f>
        <v>0</v>
      </c>
      <c r="O93" s="15">
        <f t="shared" si="35"/>
        <v>40.5</v>
      </c>
      <c r="P93" s="15">
        <f t="shared" si="36"/>
        <v>73.5</v>
      </c>
      <c r="R93" s="8"/>
      <c r="T93"/>
    </row>
    <row r="94" spans="2:20" ht="23.1" customHeight="1" x14ac:dyDescent="0.25">
      <c r="B94" s="23" t="s">
        <v>134</v>
      </c>
      <c r="C94" s="48">
        <f>'Avg Week Mukwano-Jinja '!C94+'Avg Week Jinja-Mukwano'!C94</f>
        <v>32</v>
      </c>
      <c r="D94" s="48">
        <f>'Avg Week Mukwano-Jinja '!D94+'Avg Week Jinja-Mukwano'!D94</f>
        <v>5.5</v>
      </c>
      <c r="E94" s="48">
        <f>'Avg Week Mukwano-Jinja '!E94+'Avg Week Jinja-Mukwano'!E94</f>
        <v>0.5</v>
      </c>
      <c r="F94" s="48">
        <f>'Avg Week Mukwano-Jinja '!F94+'Avg Week Jinja-Mukwano'!F94</f>
        <v>1</v>
      </c>
      <c r="G94" s="48">
        <f>'Avg Week Mukwano-Jinja '!G94+'Avg Week Jinja-Mukwano'!G94</f>
        <v>0.5</v>
      </c>
      <c r="H94" s="48">
        <f>'Avg Week Mukwano-Jinja '!H94+'Avg Week Jinja-Mukwano'!H94</f>
        <v>1</v>
      </c>
      <c r="I94" s="48">
        <f>'Avg Week Mukwano-Jinja '!I94+'Avg Week Jinja-Mukwano'!I94</f>
        <v>0.5</v>
      </c>
      <c r="J94" s="48">
        <f>'Avg Week Mukwano-Jinja '!J94+'Avg Week Jinja-Mukwano'!J94</f>
        <v>1.5</v>
      </c>
      <c r="K94" s="48">
        <f>'Avg Week Mukwano-Jinja '!K94+'Avg Week Jinja-Mukwano'!K94</f>
        <v>1</v>
      </c>
      <c r="L94" s="48">
        <f>'Avg Week Mukwano-Jinja '!L94+'Avg Week Jinja-Mukwano'!L94</f>
        <v>1.5</v>
      </c>
      <c r="M94" s="48">
        <f>'Avg Week Mukwano-Jinja '!M94+'Avg Week Jinja-Mukwano'!M94</f>
        <v>37</v>
      </c>
      <c r="N94" s="48">
        <f>'Avg Week Mukwano-Jinja '!N94+'Avg Week Jinja-Mukwano'!N94</f>
        <v>0</v>
      </c>
      <c r="O94" s="15">
        <f t="shared" si="35"/>
        <v>45</v>
      </c>
      <c r="P94" s="15">
        <f t="shared" si="36"/>
        <v>82</v>
      </c>
      <c r="R94" s="8"/>
      <c r="T94"/>
    </row>
    <row r="95" spans="2:20" ht="23.1" customHeight="1" x14ac:dyDescent="0.25">
      <c r="B95" s="22" t="s">
        <v>135</v>
      </c>
      <c r="C95" s="48">
        <f>'Avg Week Mukwano-Jinja '!C95+'Avg Week Jinja-Mukwano'!C95</f>
        <v>36</v>
      </c>
      <c r="D95" s="48">
        <f>'Avg Week Mukwano-Jinja '!D95+'Avg Week Jinja-Mukwano'!D95</f>
        <v>6.5</v>
      </c>
      <c r="E95" s="48">
        <f>'Avg Week Mukwano-Jinja '!E95+'Avg Week Jinja-Mukwano'!E95</f>
        <v>1</v>
      </c>
      <c r="F95" s="48">
        <f>'Avg Week Mukwano-Jinja '!F95+'Avg Week Jinja-Mukwano'!F95</f>
        <v>0</v>
      </c>
      <c r="G95" s="48">
        <f>'Avg Week Mukwano-Jinja '!G95+'Avg Week Jinja-Mukwano'!G95</f>
        <v>0</v>
      </c>
      <c r="H95" s="48">
        <f>'Avg Week Mukwano-Jinja '!H95+'Avg Week Jinja-Mukwano'!H95</f>
        <v>0.5</v>
      </c>
      <c r="I95" s="48">
        <f>'Avg Week Mukwano-Jinja '!I95+'Avg Week Jinja-Mukwano'!I95</f>
        <v>1.5</v>
      </c>
      <c r="J95" s="48">
        <f>'Avg Week Mukwano-Jinja '!J95+'Avg Week Jinja-Mukwano'!J95</f>
        <v>0</v>
      </c>
      <c r="K95" s="48">
        <f>'Avg Week Mukwano-Jinja '!K95+'Avg Week Jinja-Mukwano'!K95</f>
        <v>0</v>
      </c>
      <c r="L95" s="48">
        <f>'Avg Week Mukwano-Jinja '!L95+'Avg Week Jinja-Mukwano'!L95</f>
        <v>0</v>
      </c>
      <c r="M95" s="48">
        <f>'Avg Week Mukwano-Jinja '!M95+'Avg Week Jinja-Mukwano'!M95</f>
        <v>44.5</v>
      </c>
      <c r="N95" s="48">
        <f>'Avg Week Mukwano-Jinja '!N95+'Avg Week Jinja-Mukwano'!N95</f>
        <v>0</v>
      </c>
      <c r="O95" s="15">
        <f t="shared" si="35"/>
        <v>45.5</v>
      </c>
      <c r="P95" s="15">
        <f t="shared" si="36"/>
        <v>90</v>
      </c>
      <c r="R95" s="8"/>
      <c r="T95"/>
    </row>
    <row r="96" spans="2:20" ht="23.1" customHeight="1" x14ac:dyDescent="0.25">
      <c r="B96" s="24" t="s">
        <v>136</v>
      </c>
      <c r="C96" s="48">
        <f>'Avg Week Mukwano-Jinja '!C96+'Avg Week Jinja-Mukwano'!C96</f>
        <v>27</v>
      </c>
      <c r="D96" s="48">
        <f>'Avg Week Mukwano-Jinja '!D96+'Avg Week Jinja-Mukwano'!D96</f>
        <v>7</v>
      </c>
      <c r="E96" s="48">
        <f>'Avg Week Mukwano-Jinja '!E96+'Avg Week Jinja-Mukwano'!E96</f>
        <v>1</v>
      </c>
      <c r="F96" s="48">
        <f>'Avg Week Mukwano-Jinja '!F96+'Avg Week Jinja-Mukwano'!F96</f>
        <v>2</v>
      </c>
      <c r="G96" s="48">
        <f>'Avg Week Mukwano-Jinja '!G96+'Avg Week Jinja-Mukwano'!G96</f>
        <v>0</v>
      </c>
      <c r="H96" s="48">
        <f>'Avg Week Mukwano-Jinja '!H96+'Avg Week Jinja-Mukwano'!H96</f>
        <v>0</v>
      </c>
      <c r="I96" s="48">
        <f>'Avg Week Mukwano-Jinja '!I96+'Avg Week Jinja-Mukwano'!I96</f>
        <v>2</v>
      </c>
      <c r="J96" s="48">
        <f>'Avg Week Mukwano-Jinja '!J96+'Avg Week Jinja-Mukwano'!J96</f>
        <v>2</v>
      </c>
      <c r="K96" s="48">
        <f>'Avg Week Mukwano-Jinja '!K96+'Avg Week Jinja-Mukwano'!K96</f>
        <v>0.5</v>
      </c>
      <c r="L96" s="48">
        <f>'Avg Week Mukwano-Jinja '!L96+'Avg Week Jinja-Mukwano'!L96</f>
        <v>2.5</v>
      </c>
      <c r="M96" s="48">
        <f>'Avg Week Mukwano-Jinja '!M96+'Avg Week Jinja-Mukwano'!M96</f>
        <v>41.5</v>
      </c>
      <c r="N96" s="48">
        <f>'Avg Week Mukwano-Jinja '!N96+'Avg Week Jinja-Mukwano'!N96</f>
        <v>0</v>
      </c>
      <c r="O96" s="15">
        <f t="shared" si="35"/>
        <v>44</v>
      </c>
      <c r="P96" s="15">
        <f t="shared" si="36"/>
        <v>85.5</v>
      </c>
      <c r="R96" s="8"/>
      <c r="T96"/>
    </row>
    <row r="97" spans="2:20" ht="23.1" customHeight="1" x14ac:dyDescent="0.25">
      <c r="B97" s="22" t="s">
        <v>137</v>
      </c>
      <c r="C97" s="48">
        <f>'Avg Week Mukwano-Jinja '!C97+'Avg Week Jinja-Mukwano'!C97</f>
        <v>18</v>
      </c>
      <c r="D97" s="48">
        <f>'Avg Week Mukwano-Jinja '!D97+'Avg Week Jinja-Mukwano'!D97</f>
        <v>3</v>
      </c>
      <c r="E97" s="48">
        <f>'Avg Week Mukwano-Jinja '!E97+'Avg Week Jinja-Mukwano'!E97</f>
        <v>0.5</v>
      </c>
      <c r="F97" s="48">
        <f>'Avg Week Mukwano-Jinja '!F97+'Avg Week Jinja-Mukwano'!F97</f>
        <v>2</v>
      </c>
      <c r="G97" s="48">
        <f>'Avg Week Mukwano-Jinja '!G97+'Avg Week Jinja-Mukwano'!G97</f>
        <v>0</v>
      </c>
      <c r="H97" s="48">
        <f>'Avg Week Mukwano-Jinja '!H97+'Avg Week Jinja-Mukwano'!H97</f>
        <v>0</v>
      </c>
      <c r="I97" s="48">
        <f>'Avg Week Mukwano-Jinja '!I97+'Avg Week Jinja-Mukwano'!I97</f>
        <v>2</v>
      </c>
      <c r="J97" s="48">
        <f>'Avg Week Mukwano-Jinja '!J97+'Avg Week Jinja-Mukwano'!J97</f>
        <v>0</v>
      </c>
      <c r="K97" s="48">
        <f>'Avg Week Mukwano-Jinja '!K97+'Avg Week Jinja-Mukwano'!K97</f>
        <v>0</v>
      </c>
      <c r="L97" s="48">
        <f>'Avg Week Mukwano-Jinja '!L97+'Avg Week Jinja-Mukwano'!L97</f>
        <v>0</v>
      </c>
      <c r="M97" s="48">
        <f>'Avg Week Mukwano-Jinja '!M97+'Avg Week Jinja-Mukwano'!M97</f>
        <v>52</v>
      </c>
      <c r="N97" s="48">
        <f>'Avg Week Mukwano-Jinja '!N97+'Avg Week Jinja-Mukwano'!N97</f>
        <v>0</v>
      </c>
      <c r="O97" s="15">
        <f t="shared" si="35"/>
        <v>25.5</v>
      </c>
      <c r="P97" s="15">
        <f t="shared" si="36"/>
        <v>77.5</v>
      </c>
      <c r="R97" s="8"/>
      <c r="T97"/>
    </row>
    <row r="98" spans="2:20" ht="23.1" customHeight="1" x14ac:dyDescent="0.25">
      <c r="B98" s="23" t="s">
        <v>138</v>
      </c>
      <c r="C98" s="48">
        <f>'Avg Week Mukwano-Jinja '!C98+'Avg Week Jinja-Mukwano'!C98</f>
        <v>31.5</v>
      </c>
      <c r="D98" s="48">
        <f>'Avg Week Mukwano-Jinja '!D98+'Avg Week Jinja-Mukwano'!D98</f>
        <v>2.5</v>
      </c>
      <c r="E98" s="48">
        <f>'Avg Week Mukwano-Jinja '!E98+'Avg Week Jinja-Mukwano'!E98</f>
        <v>2.5</v>
      </c>
      <c r="F98" s="48">
        <f>'Avg Week Mukwano-Jinja '!F98+'Avg Week Jinja-Mukwano'!F98</f>
        <v>2.5</v>
      </c>
      <c r="G98" s="48">
        <f>'Avg Week Mukwano-Jinja '!G98+'Avg Week Jinja-Mukwano'!G98</f>
        <v>0</v>
      </c>
      <c r="H98" s="48">
        <f>'Avg Week Mukwano-Jinja '!H98+'Avg Week Jinja-Mukwano'!H98</f>
        <v>0</v>
      </c>
      <c r="I98" s="48">
        <f>'Avg Week Mukwano-Jinja '!I98+'Avg Week Jinja-Mukwano'!I98</f>
        <v>0</v>
      </c>
      <c r="J98" s="48">
        <f>'Avg Week Mukwano-Jinja '!J98+'Avg Week Jinja-Mukwano'!J98</f>
        <v>2</v>
      </c>
      <c r="K98" s="48">
        <f>'Avg Week Mukwano-Jinja '!K98+'Avg Week Jinja-Mukwano'!K98</f>
        <v>0</v>
      </c>
      <c r="L98" s="48">
        <f>'Avg Week Mukwano-Jinja '!L98+'Avg Week Jinja-Mukwano'!L98</f>
        <v>0</v>
      </c>
      <c r="M98" s="48">
        <f>'Avg Week Mukwano-Jinja '!M98+'Avg Week Jinja-Mukwano'!M98</f>
        <v>49.5</v>
      </c>
      <c r="N98" s="48">
        <f>'Avg Week Mukwano-Jinja '!N98+'Avg Week Jinja-Mukwano'!N98</f>
        <v>0</v>
      </c>
      <c r="O98" s="15">
        <f t="shared" si="35"/>
        <v>41</v>
      </c>
      <c r="P98" s="15">
        <f t="shared" si="36"/>
        <v>90.5</v>
      </c>
      <c r="R98" s="8"/>
      <c r="T98"/>
    </row>
    <row r="99" spans="2:20" ht="23.1" customHeight="1" x14ac:dyDescent="0.25">
      <c r="B99" s="22" t="s">
        <v>139</v>
      </c>
      <c r="C99" s="48">
        <f>'Avg Week Mukwano-Jinja '!C99+'Avg Week Jinja-Mukwano'!C99</f>
        <v>38.5</v>
      </c>
      <c r="D99" s="48">
        <f>'Avg Week Mukwano-Jinja '!D99+'Avg Week Jinja-Mukwano'!D99</f>
        <v>6.5</v>
      </c>
      <c r="E99" s="48">
        <f>'Avg Week Mukwano-Jinja '!E99+'Avg Week Jinja-Mukwano'!E99</f>
        <v>3</v>
      </c>
      <c r="F99" s="48">
        <f>'Avg Week Mukwano-Jinja '!F99+'Avg Week Jinja-Mukwano'!F99</f>
        <v>1</v>
      </c>
      <c r="G99" s="48">
        <f>'Avg Week Mukwano-Jinja '!G99+'Avg Week Jinja-Mukwano'!G99</f>
        <v>0</v>
      </c>
      <c r="H99" s="48">
        <f>'Avg Week Mukwano-Jinja '!H99+'Avg Week Jinja-Mukwano'!H99</f>
        <v>0</v>
      </c>
      <c r="I99" s="48">
        <f>'Avg Week Mukwano-Jinja '!I99+'Avg Week Jinja-Mukwano'!I99</f>
        <v>1</v>
      </c>
      <c r="J99" s="48">
        <f>'Avg Week Mukwano-Jinja '!J99+'Avg Week Jinja-Mukwano'!J99</f>
        <v>2</v>
      </c>
      <c r="K99" s="48">
        <f>'Avg Week Mukwano-Jinja '!K99+'Avg Week Jinja-Mukwano'!K99</f>
        <v>1</v>
      </c>
      <c r="L99" s="48">
        <f>'Avg Week Mukwano-Jinja '!L99+'Avg Week Jinja-Mukwano'!L99</f>
        <v>2</v>
      </c>
      <c r="M99" s="48">
        <f>'Avg Week Mukwano-Jinja '!M99+'Avg Week Jinja-Mukwano'!M99</f>
        <v>76</v>
      </c>
      <c r="N99" s="48">
        <f>'Avg Week Mukwano-Jinja '!N99+'Avg Week Jinja-Mukwano'!N99</f>
        <v>0</v>
      </c>
      <c r="O99" s="15">
        <f t="shared" si="35"/>
        <v>55</v>
      </c>
      <c r="P99" s="15">
        <f t="shared" si="36"/>
        <v>131</v>
      </c>
      <c r="R99" s="8"/>
      <c r="T99"/>
    </row>
    <row r="100" spans="2:20" ht="23.1" customHeight="1" x14ac:dyDescent="0.25">
      <c r="B100" s="24" t="s">
        <v>140</v>
      </c>
      <c r="C100" s="48">
        <f>'Avg Week Mukwano-Jinja '!C100+'Avg Week Jinja-Mukwano'!C100</f>
        <v>36.5</v>
      </c>
      <c r="D100" s="48">
        <f>'Avg Week Mukwano-Jinja '!D100+'Avg Week Jinja-Mukwano'!D100</f>
        <v>6.5</v>
      </c>
      <c r="E100" s="48">
        <f>'Avg Week Mukwano-Jinja '!E100+'Avg Week Jinja-Mukwano'!E100</f>
        <v>1</v>
      </c>
      <c r="F100" s="48">
        <f>'Avg Week Mukwano-Jinja '!F100+'Avg Week Jinja-Mukwano'!F100</f>
        <v>2</v>
      </c>
      <c r="G100" s="48">
        <f>'Avg Week Mukwano-Jinja '!G100+'Avg Week Jinja-Mukwano'!G100</f>
        <v>0.5</v>
      </c>
      <c r="H100" s="48">
        <f>'Avg Week Mukwano-Jinja '!H100+'Avg Week Jinja-Mukwano'!H100</f>
        <v>0.5</v>
      </c>
      <c r="I100" s="48">
        <f>'Avg Week Mukwano-Jinja '!I100+'Avg Week Jinja-Mukwano'!I100</f>
        <v>2.5</v>
      </c>
      <c r="J100" s="48">
        <f>'Avg Week Mukwano-Jinja '!J100+'Avg Week Jinja-Mukwano'!J100</f>
        <v>1.5</v>
      </c>
      <c r="K100" s="48">
        <f>'Avg Week Mukwano-Jinja '!K100+'Avg Week Jinja-Mukwano'!K100</f>
        <v>1</v>
      </c>
      <c r="L100" s="48">
        <f>'Avg Week Mukwano-Jinja '!L100+'Avg Week Jinja-Mukwano'!L100</f>
        <v>1</v>
      </c>
      <c r="M100" s="48">
        <f>'Avg Week Mukwano-Jinja '!M100+'Avg Week Jinja-Mukwano'!M100</f>
        <v>99</v>
      </c>
      <c r="N100" s="48">
        <f>'Avg Week Mukwano-Jinja '!N100+'Avg Week Jinja-Mukwano'!N100</f>
        <v>0</v>
      </c>
      <c r="O100" s="15">
        <f t="shared" si="35"/>
        <v>53</v>
      </c>
      <c r="P100" s="15">
        <f t="shared" si="36"/>
        <v>152</v>
      </c>
      <c r="R100" s="8"/>
      <c r="T100"/>
    </row>
    <row r="101" spans="2:20" ht="23.1" customHeight="1" x14ac:dyDescent="0.25">
      <c r="B101" s="22" t="s">
        <v>141</v>
      </c>
      <c r="C101" s="48">
        <f>'Avg Week Mukwano-Jinja '!C101+'Avg Week Jinja-Mukwano'!C101</f>
        <v>39</v>
      </c>
      <c r="D101" s="48">
        <f>'Avg Week Mukwano-Jinja '!D101+'Avg Week Jinja-Mukwano'!D101</f>
        <v>10.5</v>
      </c>
      <c r="E101" s="48">
        <f>'Avg Week Mukwano-Jinja '!E101+'Avg Week Jinja-Mukwano'!E101</f>
        <v>6</v>
      </c>
      <c r="F101" s="48">
        <f>'Avg Week Mukwano-Jinja '!F101+'Avg Week Jinja-Mukwano'!F101</f>
        <v>7</v>
      </c>
      <c r="G101" s="48">
        <f>'Avg Week Mukwano-Jinja '!G101+'Avg Week Jinja-Mukwano'!G101</f>
        <v>0.5</v>
      </c>
      <c r="H101" s="48">
        <f>'Avg Week Mukwano-Jinja '!H101+'Avg Week Jinja-Mukwano'!H101</f>
        <v>0</v>
      </c>
      <c r="I101" s="48">
        <f>'Avg Week Mukwano-Jinja '!I101+'Avg Week Jinja-Mukwano'!I101</f>
        <v>3</v>
      </c>
      <c r="J101" s="48">
        <f>'Avg Week Mukwano-Jinja '!J101+'Avg Week Jinja-Mukwano'!J101</f>
        <v>1</v>
      </c>
      <c r="K101" s="48">
        <f>'Avg Week Mukwano-Jinja '!K101+'Avg Week Jinja-Mukwano'!K101</f>
        <v>0.5</v>
      </c>
      <c r="L101" s="48">
        <f>'Avg Week Mukwano-Jinja '!L101+'Avg Week Jinja-Mukwano'!L101</f>
        <v>1.5</v>
      </c>
      <c r="M101" s="48">
        <f>'Avg Week Mukwano-Jinja '!M101+'Avg Week Jinja-Mukwano'!M101</f>
        <v>111.5</v>
      </c>
      <c r="N101" s="48">
        <f>'Avg Week Mukwano-Jinja '!N101+'Avg Week Jinja-Mukwano'!N101</f>
        <v>0</v>
      </c>
      <c r="O101" s="15">
        <f t="shared" si="35"/>
        <v>69</v>
      </c>
      <c r="P101" s="15">
        <f t="shared" si="36"/>
        <v>180.5</v>
      </c>
      <c r="R101" s="8"/>
      <c r="T101"/>
    </row>
    <row r="102" spans="2:20" ht="23.1" customHeight="1" x14ac:dyDescent="0.25">
      <c r="B102" s="23" t="s">
        <v>142</v>
      </c>
      <c r="C102" s="48">
        <f>'Avg Week Mukwano-Jinja '!C102+'Avg Week Jinja-Mukwano'!C102</f>
        <v>61.5</v>
      </c>
      <c r="D102" s="48">
        <f>'Avg Week Mukwano-Jinja '!D102+'Avg Week Jinja-Mukwano'!D102</f>
        <v>20</v>
      </c>
      <c r="E102" s="48">
        <f>'Avg Week Mukwano-Jinja '!E102+'Avg Week Jinja-Mukwano'!E102</f>
        <v>7.5</v>
      </c>
      <c r="F102" s="48">
        <f>'Avg Week Mukwano-Jinja '!F102+'Avg Week Jinja-Mukwano'!F102</f>
        <v>6</v>
      </c>
      <c r="G102" s="48">
        <f>'Avg Week Mukwano-Jinja '!G102+'Avg Week Jinja-Mukwano'!G102</f>
        <v>0.5</v>
      </c>
      <c r="H102" s="48">
        <f>'Avg Week Mukwano-Jinja '!H102+'Avg Week Jinja-Mukwano'!H102</f>
        <v>0</v>
      </c>
      <c r="I102" s="48">
        <f>'Avg Week Mukwano-Jinja '!I102+'Avg Week Jinja-Mukwano'!I102</f>
        <v>7.5</v>
      </c>
      <c r="J102" s="48">
        <f>'Avg Week Mukwano-Jinja '!J102+'Avg Week Jinja-Mukwano'!J102</f>
        <v>1</v>
      </c>
      <c r="K102" s="48">
        <f>'Avg Week Mukwano-Jinja '!K102+'Avg Week Jinja-Mukwano'!K102</f>
        <v>3.5</v>
      </c>
      <c r="L102" s="48">
        <f>'Avg Week Mukwano-Jinja '!L102+'Avg Week Jinja-Mukwano'!L102</f>
        <v>1</v>
      </c>
      <c r="M102" s="48">
        <f>'Avg Week Mukwano-Jinja '!M102+'Avg Week Jinja-Mukwano'!M102</f>
        <v>129</v>
      </c>
      <c r="N102" s="48">
        <f>'Avg Week Mukwano-Jinja '!N102+'Avg Week Jinja-Mukwano'!N102</f>
        <v>0</v>
      </c>
      <c r="O102" s="15">
        <f t="shared" si="35"/>
        <v>108.5</v>
      </c>
      <c r="P102" s="15">
        <f t="shared" si="36"/>
        <v>237.5</v>
      </c>
      <c r="R102" s="8"/>
      <c r="T102"/>
    </row>
    <row r="103" spans="2:20" ht="23.1" customHeight="1" x14ac:dyDescent="0.25">
      <c r="B103" s="22" t="s">
        <v>143</v>
      </c>
      <c r="C103" s="48">
        <f>'Avg Week Mukwano-Jinja '!C103+'Avg Week Jinja-Mukwano'!C103</f>
        <v>91.5</v>
      </c>
      <c r="D103" s="48">
        <f>'Avg Week Mukwano-Jinja '!D103+'Avg Week Jinja-Mukwano'!D103</f>
        <v>22</v>
      </c>
      <c r="E103" s="48">
        <f>'Avg Week Mukwano-Jinja '!E103+'Avg Week Jinja-Mukwano'!E103</f>
        <v>13.5</v>
      </c>
      <c r="F103" s="48">
        <f>'Avg Week Mukwano-Jinja '!F103+'Avg Week Jinja-Mukwano'!F103</f>
        <v>9</v>
      </c>
      <c r="G103" s="48">
        <f>'Avg Week Mukwano-Jinja '!G103+'Avg Week Jinja-Mukwano'!G103</f>
        <v>1.5</v>
      </c>
      <c r="H103" s="48">
        <f>'Avg Week Mukwano-Jinja '!H103+'Avg Week Jinja-Mukwano'!H103</f>
        <v>0</v>
      </c>
      <c r="I103" s="48">
        <f>'Avg Week Mukwano-Jinja '!I103+'Avg Week Jinja-Mukwano'!I103</f>
        <v>13.5</v>
      </c>
      <c r="J103" s="48">
        <f>'Avg Week Mukwano-Jinja '!J103+'Avg Week Jinja-Mukwano'!J103</f>
        <v>1.5</v>
      </c>
      <c r="K103" s="48">
        <f>'Avg Week Mukwano-Jinja '!K103+'Avg Week Jinja-Mukwano'!K103</f>
        <v>8.5</v>
      </c>
      <c r="L103" s="48">
        <f>'Avg Week Mukwano-Jinja '!L103+'Avg Week Jinja-Mukwano'!L103</f>
        <v>0.5</v>
      </c>
      <c r="M103" s="48">
        <f>'Avg Week Mukwano-Jinja '!M103+'Avg Week Jinja-Mukwano'!M103</f>
        <v>184</v>
      </c>
      <c r="N103" s="48">
        <f>'Avg Week Mukwano-Jinja '!N103+'Avg Week Jinja-Mukwano'!N103</f>
        <v>0</v>
      </c>
      <c r="O103" s="15">
        <f t="shared" si="35"/>
        <v>161.5</v>
      </c>
      <c r="P103" s="15">
        <f t="shared" si="36"/>
        <v>345.5</v>
      </c>
      <c r="R103" s="8"/>
      <c r="T103"/>
    </row>
    <row r="104" spans="2:20" ht="23.1" customHeight="1" x14ac:dyDescent="0.25">
      <c r="B104" s="24" t="s">
        <v>144</v>
      </c>
      <c r="C104" s="48">
        <f>'Avg Week Mukwano-Jinja '!C104+'Avg Week Jinja-Mukwano'!C104</f>
        <v>127.5</v>
      </c>
      <c r="D104" s="48">
        <f>'Avg Week Mukwano-Jinja '!D104+'Avg Week Jinja-Mukwano'!D104</f>
        <v>30</v>
      </c>
      <c r="E104" s="48">
        <f>'Avg Week Mukwano-Jinja '!E104+'Avg Week Jinja-Mukwano'!E104</f>
        <v>13</v>
      </c>
      <c r="F104" s="48">
        <f>'Avg Week Mukwano-Jinja '!F104+'Avg Week Jinja-Mukwano'!F104</f>
        <v>12.5</v>
      </c>
      <c r="G104" s="48">
        <f>'Avg Week Mukwano-Jinja '!G104+'Avg Week Jinja-Mukwano'!G104</f>
        <v>2.5</v>
      </c>
      <c r="H104" s="48">
        <f>'Avg Week Mukwano-Jinja '!H104+'Avg Week Jinja-Mukwano'!H104</f>
        <v>0</v>
      </c>
      <c r="I104" s="48">
        <f>'Avg Week Mukwano-Jinja '!I104+'Avg Week Jinja-Mukwano'!I104</f>
        <v>3</v>
      </c>
      <c r="J104" s="48">
        <f>'Avg Week Mukwano-Jinja '!J104+'Avg Week Jinja-Mukwano'!J104</f>
        <v>2.5</v>
      </c>
      <c r="K104" s="48">
        <f>'Avg Week Mukwano-Jinja '!K104+'Avg Week Jinja-Mukwano'!K104</f>
        <v>1.5</v>
      </c>
      <c r="L104" s="48">
        <f>'Avg Week Mukwano-Jinja '!L104+'Avg Week Jinja-Mukwano'!L104</f>
        <v>2.5</v>
      </c>
      <c r="M104" s="48">
        <f>'Avg Week Mukwano-Jinja '!M104+'Avg Week Jinja-Mukwano'!M104</f>
        <v>231.5</v>
      </c>
      <c r="N104" s="48">
        <f>'Avg Week Mukwano-Jinja '!N104+'Avg Week Jinja-Mukwano'!N104</f>
        <v>0</v>
      </c>
      <c r="O104" s="15">
        <f t="shared" si="35"/>
        <v>195</v>
      </c>
      <c r="P104" s="15">
        <f t="shared" si="36"/>
        <v>426.5</v>
      </c>
      <c r="R104" s="8"/>
      <c r="T104"/>
    </row>
    <row r="105" spans="2:20" ht="23.1" customHeight="1" x14ac:dyDescent="0.25">
      <c r="B105" s="22" t="s">
        <v>145</v>
      </c>
      <c r="C105" s="48">
        <f>'Avg Week Mukwano-Jinja '!C105+'Avg Week Jinja-Mukwano'!C105</f>
        <v>123</v>
      </c>
      <c r="D105" s="48">
        <f>'Avg Week Mukwano-Jinja '!D105+'Avg Week Jinja-Mukwano'!D105</f>
        <v>51.5</v>
      </c>
      <c r="E105" s="48">
        <f>'Avg Week Mukwano-Jinja '!E105+'Avg Week Jinja-Mukwano'!E105</f>
        <v>18.5</v>
      </c>
      <c r="F105" s="48">
        <f>'Avg Week Mukwano-Jinja '!F105+'Avg Week Jinja-Mukwano'!F105</f>
        <v>12.5</v>
      </c>
      <c r="G105" s="48">
        <f>'Avg Week Mukwano-Jinja '!G105+'Avg Week Jinja-Mukwano'!G105</f>
        <v>0.5</v>
      </c>
      <c r="H105" s="48">
        <f>'Avg Week Mukwano-Jinja '!H105+'Avg Week Jinja-Mukwano'!H105</f>
        <v>0</v>
      </c>
      <c r="I105" s="48">
        <f>'Avg Week Mukwano-Jinja '!I105+'Avg Week Jinja-Mukwano'!I105</f>
        <v>9</v>
      </c>
      <c r="J105" s="48">
        <f>'Avg Week Mukwano-Jinja '!J105+'Avg Week Jinja-Mukwano'!J105</f>
        <v>2</v>
      </c>
      <c r="K105" s="48">
        <f>'Avg Week Mukwano-Jinja '!K105+'Avg Week Jinja-Mukwano'!K105</f>
        <v>8.5</v>
      </c>
      <c r="L105" s="48">
        <f>'Avg Week Mukwano-Jinja '!L105+'Avg Week Jinja-Mukwano'!L105</f>
        <v>2</v>
      </c>
      <c r="M105" s="48">
        <f>'Avg Week Mukwano-Jinja '!M105+'Avg Week Jinja-Mukwano'!M105</f>
        <v>321.5</v>
      </c>
      <c r="N105" s="48">
        <f>'Avg Week Mukwano-Jinja '!N105+'Avg Week Jinja-Mukwano'!N105</f>
        <v>0</v>
      </c>
      <c r="O105" s="15">
        <f t="shared" si="35"/>
        <v>227.5</v>
      </c>
      <c r="P105" s="15">
        <f t="shared" si="36"/>
        <v>549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19845.642857142859</v>
      </c>
      <c r="D106" s="16">
        <f t="shared" ref="D106:P106" si="37">SUM(D10:D105)</f>
        <v>4338.1428571428569</v>
      </c>
      <c r="E106" s="16">
        <f t="shared" si="37"/>
        <v>1687.4285714285718</v>
      </c>
      <c r="F106" s="16">
        <f t="shared" si="37"/>
        <v>1093.2857142857142</v>
      </c>
      <c r="G106" s="16">
        <f t="shared" si="37"/>
        <v>98.285714285714263</v>
      </c>
      <c r="H106" s="16">
        <f t="shared" si="37"/>
        <v>24.214285714285715</v>
      </c>
      <c r="I106" s="16">
        <f t="shared" si="37"/>
        <v>911.99999999999989</v>
      </c>
      <c r="J106" s="16">
        <f t="shared" si="37"/>
        <v>448.78571428571416</v>
      </c>
      <c r="K106" s="16">
        <f t="shared" si="37"/>
        <v>200.64285714285711</v>
      </c>
      <c r="L106" s="16">
        <f t="shared" si="37"/>
        <v>287.07142857142856</v>
      </c>
      <c r="M106" s="16">
        <f t="shared" si="37"/>
        <v>50739.214285714283</v>
      </c>
      <c r="N106" s="16">
        <f t="shared" si="37"/>
        <v>7.1428571428571459</v>
      </c>
      <c r="O106" s="16">
        <f t="shared" si="37"/>
        <v>28942.642857142851</v>
      </c>
      <c r="P106" s="16">
        <f t="shared" si="37"/>
        <v>79681.857142857159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0.24906099793285078</v>
      </c>
      <c r="D107" s="42">
        <f t="shared" si="38"/>
        <v>5.4443295032208426E-2</v>
      </c>
      <c r="E107" s="42">
        <f t="shared" si="38"/>
        <v>2.1177073827524817E-2</v>
      </c>
      <c r="F107" s="42">
        <f t="shared" si="38"/>
        <v>1.3720635455642345E-2</v>
      </c>
      <c r="G107" s="42">
        <f t="shared" si="38"/>
        <v>1.2334767010952479E-3</v>
      </c>
      <c r="H107" s="42">
        <f t="shared" si="38"/>
        <v>3.0388706516808802E-4</v>
      </c>
      <c r="I107" s="42">
        <f t="shared" si="38"/>
        <v>1.1445516365976837E-2</v>
      </c>
      <c r="J107" s="42">
        <f t="shared" si="38"/>
        <v>5.6322195588527921E-3</v>
      </c>
      <c r="K107" s="42">
        <f t="shared" si="38"/>
        <v>2.5180494573957498E-3</v>
      </c>
      <c r="L107" s="42">
        <f t="shared" si="38"/>
        <v>3.6027201029809608E-3</v>
      </c>
      <c r="M107" s="42">
        <f t="shared" si="38"/>
        <v>0.63677248629818928</v>
      </c>
      <c r="N107" s="42">
        <f t="shared" si="38"/>
        <v>8.9642202114480283E-5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0.68568868969908481</v>
      </c>
      <c r="D108" s="43">
        <f t="shared" ref="D108:N108" si="39">D106/$O$106</f>
        <v>0.14988758554480908</v>
      </c>
      <c r="E108" s="43">
        <f t="shared" si="39"/>
        <v>5.8302504707586703E-2</v>
      </c>
      <c r="F108" s="43">
        <f t="shared" si="39"/>
        <v>3.7774218466573056E-2</v>
      </c>
      <c r="G108" s="43">
        <f t="shared" si="39"/>
        <v>3.3958790415526273E-3</v>
      </c>
      <c r="H108" s="43">
        <f t="shared" si="39"/>
        <v>8.3663008363832922E-4</v>
      </c>
      <c r="I108" s="43">
        <f t="shared" si="39"/>
        <v>3.1510598548360427E-2</v>
      </c>
      <c r="J108" s="43">
        <f t="shared" si="39"/>
        <v>1.5506037803833689E-2</v>
      </c>
      <c r="K108" s="43">
        <f t="shared" si="39"/>
        <v>6.9324303980532924E-3</v>
      </c>
      <c r="L108" s="43">
        <f t="shared" si="39"/>
        <v>9.9186321715116366E-3</v>
      </c>
      <c r="M108" s="43"/>
      <c r="N108" s="43">
        <f t="shared" si="39"/>
        <v>2.467935349965574E-4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29.7.Mukwano-Jinja RD</vt:lpstr>
      <vt:lpstr>29.07.Jinja RD-Mukwano</vt:lpstr>
      <vt:lpstr>30.7.Mukwano-Jinja RD</vt:lpstr>
      <vt:lpstr>30.7.Jinja RD-Mukwano RD</vt:lpstr>
      <vt:lpstr>31.07.Mukwano RBT-JinjaRD</vt:lpstr>
      <vt:lpstr>31.07.Jinja RD-Mukwano RD</vt:lpstr>
      <vt:lpstr>01.08. Mukwano RBT-Jinja RD 24h</vt:lpstr>
      <vt:lpstr>1.08.Jinja RD-Mukwano RBT 24h</vt:lpstr>
      <vt:lpstr>02.08.Jinja-Mukwano</vt:lpstr>
      <vt:lpstr>02.08.Mukwano-Jinja</vt:lpstr>
      <vt:lpstr>03.8.Mukwano-Jinja RD 24h</vt:lpstr>
      <vt:lpstr>03.8.Jinja-Mukwano 24h</vt:lpstr>
      <vt:lpstr>04.08.Mukwano-Jinja</vt:lpstr>
      <vt:lpstr>04.08.Jinja RD-Mukwano</vt:lpstr>
      <vt:lpstr>Avg Week Mukwano-Jinja </vt:lpstr>
      <vt:lpstr>Avg Week Jinja-Mukwano</vt:lpstr>
      <vt:lpstr>Avg Week Mukwano-Jinja-2Dir</vt:lpstr>
      <vt:lpstr>'01.08. Mukwano RBT-Jinja RD 24h'!Print_Area</vt:lpstr>
      <vt:lpstr>'02.08.Jinja-Mukwano'!Print_Area</vt:lpstr>
      <vt:lpstr>'02.08.Mukwano-Jinja'!Print_Area</vt:lpstr>
      <vt:lpstr>'03.8.Jinja-Mukwano 24h'!Print_Area</vt:lpstr>
      <vt:lpstr>'03.8.Mukwano-Jinja RD 24h'!Print_Area</vt:lpstr>
      <vt:lpstr>'04.08.Jinja RD-Mukwano'!Print_Area</vt:lpstr>
      <vt:lpstr>'04.08.Mukwano-Jinja'!Print_Area</vt:lpstr>
      <vt:lpstr>'1.08.Jinja RD-Mukwano RBT 24h'!Print_Area</vt:lpstr>
      <vt:lpstr>'29.07.Jinja RD-Mukwano'!Print_Area</vt:lpstr>
      <vt:lpstr>'29.7.Mukwano-Jinja RD'!Print_Area</vt:lpstr>
      <vt:lpstr>'30.7.Jinja RD-Mukwano RD'!Print_Area</vt:lpstr>
      <vt:lpstr>'30.7.Mukwano-Jinja RD'!Print_Area</vt:lpstr>
      <vt:lpstr>'31.07.Jinja RD-Mukwano RD'!Print_Area</vt:lpstr>
      <vt:lpstr>'31.07.Mukwano RBT-JinjaRD'!Print_Area</vt:lpstr>
      <vt:lpstr>'Avg Week Jinja-Mukwano'!Print_Area</vt:lpstr>
      <vt:lpstr>'Avg Week Mukwano-Jinja '!Print_Area</vt:lpstr>
      <vt:lpstr>'Avg Week Mukwano-Jinja-2Dir'!Print_Area</vt:lpstr>
      <vt:lpstr>'01.08. Mukwano RBT-Jinja RD 24h'!Print_Titles</vt:lpstr>
      <vt:lpstr>'02.08.Jinja-Mukwano'!Print_Titles</vt:lpstr>
      <vt:lpstr>'02.08.Mukwano-Jinja'!Print_Titles</vt:lpstr>
      <vt:lpstr>'03.8.Jinja-Mukwano 24h'!Print_Titles</vt:lpstr>
      <vt:lpstr>'03.8.Mukwano-Jinja RD 24h'!Print_Titles</vt:lpstr>
      <vt:lpstr>'04.08.Jinja RD-Mukwano'!Print_Titles</vt:lpstr>
      <vt:lpstr>'04.08.Mukwano-Jinja'!Print_Titles</vt:lpstr>
      <vt:lpstr>'1.08.Jinja RD-Mukwano RBT 24h'!Print_Titles</vt:lpstr>
      <vt:lpstr>'29.07.Jinja RD-Mukwano'!Print_Titles</vt:lpstr>
      <vt:lpstr>'29.7.Mukwano-Jinja RD'!Print_Titles</vt:lpstr>
      <vt:lpstr>'30.7.Jinja RD-Mukwano RD'!Print_Titles</vt:lpstr>
      <vt:lpstr>'30.7.Mukwano-Jinja RD'!Print_Titles</vt:lpstr>
      <vt:lpstr>'31.07.Jinja RD-Mukwano RD'!Print_Titles</vt:lpstr>
      <vt:lpstr>'31.07.Mukwano RBT-JinjaRD'!Print_Titles</vt:lpstr>
      <vt:lpstr>'Avg Week Jinja-Mukwano'!Print_Titles</vt:lpstr>
      <vt:lpstr>'Avg Week Mukwano-Jinja '!Print_Titles</vt:lpstr>
      <vt:lpstr>'Avg Week Mukwano-Jinja-2Dir'!Print_Titles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2020-01-15T18:14:21Z</dcterms:modified>
</cp:coreProperties>
</file>