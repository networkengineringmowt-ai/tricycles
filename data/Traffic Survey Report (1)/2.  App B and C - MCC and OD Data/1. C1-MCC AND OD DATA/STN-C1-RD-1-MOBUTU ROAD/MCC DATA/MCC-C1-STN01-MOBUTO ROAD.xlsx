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1-MOBUTU ROAD\MCC DATA\"/>
    </mc:Choice>
  </mc:AlternateContent>
  <bookViews>
    <workbookView xWindow="-120" yWindow="-120" windowWidth="20730" windowHeight="11160" tabRatio="888" firstSheet="12" activeTab="16"/>
  </bookViews>
  <sheets>
    <sheet name="22.07 Kibuye-Makindye" sheetId="93" r:id="rId1"/>
    <sheet name="22.07 Makindye-Kibuye" sheetId="94" r:id="rId2"/>
    <sheet name="23.07 Kibuye-Makindye" sheetId="95" r:id="rId3"/>
    <sheet name="23.07 Makindye-Kibuye" sheetId="96" r:id="rId4"/>
    <sheet name="24.07 Kibuye-Makindye" sheetId="97" r:id="rId5"/>
    <sheet name="24.07 Makindye-Kibuye" sheetId="98" r:id="rId6"/>
    <sheet name="25.07 Kibuye-Makindye" sheetId="99" r:id="rId7"/>
    <sheet name="25.07 Makindye-Kibuye" sheetId="100" r:id="rId8"/>
    <sheet name="26.07 Kibuye-Makindye-24h" sheetId="101" r:id="rId9"/>
    <sheet name="26.07 Makindye-Kibuye-24h" sheetId="109" r:id="rId10"/>
    <sheet name="27.07 Kibuye-Makindye-24h" sheetId="105" r:id="rId11"/>
    <sheet name="27.07 Makindye-Kibuye-24h" sheetId="110" r:id="rId12"/>
    <sheet name="28.07 Kibuye-Makindye" sheetId="103" r:id="rId13"/>
    <sheet name="28.07 Makindye-Kibuye" sheetId="104" r:id="rId14"/>
    <sheet name="Avg Week Kibuye-Makindye" sheetId="107" r:id="rId15"/>
    <sheet name="Avg Week Makindye-Kibuye" sheetId="108" r:id="rId16"/>
    <sheet name="Avg Week Makindye-Kibuye-2Dir" sheetId="111" r:id="rId17"/>
  </sheets>
  <definedNames>
    <definedName name="_xlnm.Print_Area" localSheetId="0">'22.07 Kibuye-Makindye'!$A$1:$AF$60</definedName>
    <definedName name="_xlnm.Print_Area" localSheetId="1">'22.07 Makindye-Kibuye'!$A$1:$AF$60</definedName>
    <definedName name="_xlnm.Print_Area" localSheetId="2">'23.07 Kibuye-Makindye'!$A$1:$AF$60</definedName>
    <definedName name="_xlnm.Print_Area" localSheetId="3">'23.07 Makindye-Kibuye'!$A$1:$AF$60</definedName>
    <definedName name="_xlnm.Print_Area" localSheetId="4">'24.07 Kibuye-Makindye'!$A$1:$AF$60</definedName>
    <definedName name="_xlnm.Print_Area" localSheetId="5">'24.07 Makindye-Kibuye'!$A$1:$AF$60</definedName>
    <definedName name="_xlnm.Print_Area" localSheetId="6">'25.07 Kibuye-Makindye'!$A$1:$AF$60</definedName>
    <definedName name="_xlnm.Print_Area" localSheetId="7">'25.07 Makindye-Kibuye'!$A$1:$AF$60</definedName>
    <definedName name="_xlnm.Print_Area" localSheetId="8">'26.07 Kibuye-Makindye-24h'!$A$1:$AF$108</definedName>
    <definedName name="_xlnm.Print_Area" localSheetId="9">'26.07 Makindye-Kibuye-24h'!$A$1:$AF$108</definedName>
    <definedName name="_xlnm.Print_Area" localSheetId="10">'27.07 Kibuye-Makindye-24h'!$A$1:$AF$108</definedName>
    <definedName name="_xlnm.Print_Area" localSheetId="11">'27.07 Makindye-Kibuye-24h'!$A$1:$AF$108</definedName>
    <definedName name="_xlnm.Print_Area" localSheetId="12">'28.07 Kibuye-Makindye'!$A$1:$AF$60</definedName>
    <definedName name="_xlnm.Print_Area" localSheetId="13">'28.07 Makindye-Kibuye'!$A$1:$AF$60</definedName>
    <definedName name="_xlnm.Print_Area" localSheetId="14">'Avg Week Kibuye-Makindye'!$A$1:$AF$108</definedName>
    <definedName name="_xlnm.Print_Area" localSheetId="15">'Avg Week Makindye-Kibuye'!$A$1:$AF$108</definedName>
    <definedName name="_xlnm.Print_Area" localSheetId="16">'Avg Week Makindye-Kibuye-2Dir'!$A$1:$AF$108</definedName>
    <definedName name="_xlnm.Print_Titles" localSheetId="0">'22.07 Kibuye-Makindye'!$1:$8</definedName>
    <definedName name="_xlnm.Print_Titles" localSheetId="1">'22.07 Makindye-Kibuye'!$1:$8</definedName>
    <definedName name="_xlnm.Print_Titles" localSheetId="2">'23.07 Kibuye-Makindye'!$1:$8</definedName>
    <definedName name="_xlnm.Print_Titles" localSheetId="3">'23.07 Makindye-Kibuye'!$1:$8</definedName>
    <definedName name="_xlnm.Print_Titles" localSheetId="4">'24.07 Kibuye-Makindye'!$1:$8</definedName>
    <definedName name="_xlnm.Print_Titles" localSheetId="5">'24.07 Makindye-Kibuye'!$1:$8</definedName>
    <definedName name="_xlnm.Print_Titles" localSheetId="6">'25.07 Kibuye-Makindye'!$1:$8</definedName>
    <definedName name="_xlnm.Print_Titles" localSheetId="7">'25.07 Makindye-Kibuye'!$1:$8</definedName>
    <definedName name="_xlnm.Print_Titles" localSheetId="8">'26.07 Kibuye-Makindye-24h'!$1:$8</definedName>
    <definedName name="_xlnm.Print_Titles" localSheetId="9">'26.07 Makindye-Kibuye-24h'!$1:$8</definedName>
    <definedName name="_xlnm.Print_Titles" localSheetId="10">'27.07 Kibuye-Makindye-24h'!$1:$8</definedName>
    <definedName name="_xlnm.Print_Titles" localSheetId="11">'27.07 Makindye-Kibuye-24h'!$1:$8</definedName>
    <definedName name="_xlnm.Print_Titles" localSheetId="12">'28.07 Kibuye-Makindye'!$1:$8</definedName>
    <definedName name="_xlnm.Print_Titles" localSheetId="13">'28.07 Makindye-Kibuye'!$1:$8</definedName>
    <definedName name="_xlnm.Print_Titles" localSheetId="14">'Avg Week Kibuye-Makindye'!$1:$8</definedName>
    <definedName name="_xlnm.Print_Titles" localSheetId="15">'Avg Week Makindye-Kibuye'!$1:$8</definedName>
    <definedName name="_xlnm.Print_Titles" localSheetId="16">'Avg Week Makindye-Kibuye-2Dir'!$1:$8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42" i="111" l="1"/>
  <c r="AE42" i="111"/>
  <c r="AD42" i="111"/>
  <c r="X42" i="111"/>
  <c r="W42" i="111"/>
  <c r="V42" i="111"/>
  <c r="AF41" i="111"/>
  <c r="AE41" i="111"/>
  <c r="AD41" i="111"/>
  <c r="AC41" i="111"/>
  <c r="AC42" i="111" s="1"/>
  <c r="AB41" i="111"/>
  <c r="AB42" i="111" s="1"/>
  <c r="AA41" i="111"/>
  <c r="AA42" i="111" s="1"/>
  <c r="Z41" i="111"/>
  <c r="Z42" i="111" s="1"/>
  <c r="Y41" i="111"/>
  <c r="Y42" i="111" s="1"/>
  <c r="X41" i="111"/>
  <c r="W41" i="111"/>
  <c r="V41" i="111"/>
  <c r="U41" i="111"/>
  <c r="U42" i="111" s="1"/>
  <c r="T41" i="111"/>
  <c r="T42" i="111" s="1"/>
  <c r="S41" i="111"/>
  <c r="S42" i="111" s="1"/>
  <c r="T22" i="111"/>
  <c r="U22" i="111"/>
  <c r="V22" i="111"/>
  <c r="W22" i="111"/>
  <c r="X22" i="111"/>
  <c r="Y22" i="111"/>
  <c r="Z22" i="111"/>
  <c r="AA22" i="111"/>
  <c r="AB22" i="111"/>
  <c r="AC22" i="111"/>
  <c r="AD22" i="111"/>
  <c r="AE22" i="111"/>
  <c r="AF22" i="111"/>
  <c r="T23" i="111"/>
  <c r="U23" i="111"/>
  <c r="V23" i="111"/>
  <c r="W23" i="111"/>
  <c r="X23" i="111"/>
  <c r="Y23" i="111"/>
  <c r="Z23" i="111"/>
  <c r="AA23" i="111"/>
  <c r="AB23" i="111"/>
  <c r="AC23" i="111"/>
  <c r="AD23" i="111"/>
  <c r="AE23" i="111"/>
  <c r="AF23" i="111"/>
  <c r="T24" i="111"/>
  <c r="U24" i="111"/>
  <c r="V24" i="111"/>
  <c r="W24" i="111"/>
  <c r="X24" i="111"/>
  <c r="Y24" i="111"/>
  <c r="Z24" i="111"/>
  <c r="AA24" i="111"/>
  <c r="AB24" i="111"/>
  <c r="AC24" i="111"/>
  <c r="AD24" i="111"/>
  <c r="AE24" i="111"/>
  <c r="AF24" i="111"/>
  <c r="T25" i="111"/>
  <c r="U25" i="111"/>
  <c r="V25" i="111"/>
  <c r="W25" i="111"/>
  <c r="X25" i="111"/>
  <c r="Y25" i="111"/>
  <c r="Z25" i="111"/>
  <c r="AA25" i="111"/>
  <c r="AB25" i="111"/>
  <c r="AC25" i="111"/>
  <c r="AD25" i="111"/>
  <c r="AE25" i="111"/>
  <c r="AF25" i="111"/>
  <c r="T26" i="111"/>
  <c r="U26" i="111"/>
  <c r="V26" i="111"/>
  <c r="W26" i="111"/>
  <c r="X26" i="111"/>
  <c r="Y26" i="111"/>
  <c r="Z26" i="111"/>
  <c r="AA26" i="111"/>
  <c r="AB26" i="111"/>
  <c r="AC26" i="111"/>
  <c r="AD26" i="111"/>
  <c r="AE26" i="111"/>
  <c r="AF26" i="111"/>
  <c r="T27" i="111"/>
  <c r="U27" i="111"/>
  <c r="V27" i="111"/>
  <c r="W27" i="111"/>
  <c r="X27" i="111"/>
  <c r="Y27" i="111"/>
  <c r="Z27" i="111"/>
  <c r="AA27" i="111"/>
  <c r="AB27" i="111"/>
  <c r="AC27" i="111"/>
  <c r="AD27" i="111"/>
  <c r="AE27" i="111"/>
  <c r="AF27" i="111"/>
  <c r="T28" i="111"/>
  <c r="U28" i="111"/>
  <c r="V28" i="111"/>
  <c r="W28" i="111"/>
  <c r="X28" i="111"/>
  <c r="Y28" i="111"/>
  <c r="Z28" i="111"/>
  <c r="AA28" i="111"/>
  <c r="AB28" i="111"/>
  <c r="AC28" i="111"/>
  <c r="AD28" i="111"/>
  <c r="AE28" i="111"/>
  <c r="AF28" i="111"/>
  <c r="T29" i="111"/>
  <c r="U29" i="111"/>
  <c r="V29" i="111"/>
  <c r="W29" i="111"/>
  <c r="X29" i="111"/>
  <c r="Y29" i="111"/>
  <c r="Z29" i="111"/>
  <c r="AA29" i="111"/>
  <c r="AB29" i="111"/>
  <c r="AC29" i="111"/>
  <c r="AD29" i="111"/>
  <c r="AE29" i="111"/>
  <c r="AF29" i="111"/>
  <c r="T30" i="111"/>
  <c r="U30" i="111"/>
  <c r="V30" i="111"/>
  <c r="W30" i="111"/>
  <c r="X30" i="111"/>
  <c r="Y30" i="111"/>
  <c r="Z30" i="111"/>
  <c r="AA30" i="111"/>
  <c r="AB30" i="111"/>
  <c r="AC30" i="111"/>
  <c r="AD30" i="111"/>
  <c r="AE30" i="111"/>
  <c r="AF30" i="111"/>
  <c r="T31" i="111"/>
  <c r="U31" i="111"/>
  <c r="V31" i="111"/>
  <c r="W31" i="111"/>
  <c r="X31" i="111"/>
  <c r="Y31" i="111"/>
  <c r="Z31" i="111"/>
  <c r="AA31" i="111"/>
  <c r="AB31" i="111"/>
  <c r="AC31" i="111"/>
  <c r="AD31" i="111"/>
  <c r="AE31" i="111"/>
  <c r="AF31" i="111"/>
  <c r="T32" i="111"/>
  <c r="U32" i="111"/>
  <c r="V32" i="111"/>
  <c r="W32" i="111"/>
  <c r="X32" i="111"/>
  <c r="Y32" i="111"/>
  <c r="Z32" i="111"/>
  <c r="AA32" i="111"/>
  <c r="AB32" i="111"/>
  <c r="AC32" i="111"/>
  <c r="AD32" i="111"/>
  <c r="AE32" i="111"/>
  <c r="AF32" i="111"/>
  <c r="T33" i="111"/>
  <c r="U33" i="111"/>
  <c r="V33" i="111"/>
  <c r="W33" i="111"/>
  <c r="X33" i="111"/>
  <c r="Y33" i="111"/>
  <c r="Z33" i="111"/>
  <c r="AA33" i="111"/>
  <c r="AB33" i="111"/>
  <c r="AC33" i="111"/>
  <c r="AD33" i="111"/>
  <c r="AE33" i="111"/>
  <c r="AF33" i="111"/>
  <c r="S33" i="111"/>
  <c r="S32" i="111"/>
  <c r="S31" i="111"/>
  <c r="S30" i="111"/>
  <c r="S29" i="111"/>
  <c r="S28" i="111"/>
  <c r="S27" i="111"/>
  <c r="S26" i="111"/>
  <c r="S25" i="111"/>
  <c r="S24" i="111"/>
  <c r="S23" i="111"/>
  <c r="S22" i="111"/>
  <c r="D106" i="111"/>
  <c r="E106" i="111"/>
  <c r="F106" i="111"/>
  <c r="G106" i="111"/>
  <c r="H106" i="111"/>
  <c r="I106" i="111"/>
  <c r="J106" i="111"/>
  <c r="K106" i="111"/>
  <c r="L106" i="111"/>
  <c r="M106" i="111"/>
  <c r="N106" i="111"/>
  <c r="O106" i="111"/>
  <c r="P106" i="111"/>
  <c r="C106" i="111"/>
  <c r="C58" i="111"/>
  <c r="D58" i="111"/>
  <c r="E58" i="111"/>
  <c r="F58" i="111"/>
  <c r="G58" i="111"/>
  <c r="H58" i="111"/>
  <c r="I58" i="111"/>
  <c r="O58" i="111" s="1"/>
  <c r="J58" i="111"/>
  <c r="K58" i="111"/>
  <c r="L58" i="111"/>
  <c r="M58" i="111"/>
  <c r="N58" i="111"/>
  <c r="C59" i="111"/>
  <c r="D59" i="111"/>
  <c r="E59" i="111"/>
  <c r="O59" i="111" s="1"/>
  <c r="F59" i="111"/>
  <c r="G59" i="111"/>
  <c r="H59" i="111"/>
  <c r="I59" i="111"/>
  <c r="J59" i="111"/>
  <c r="K59" i="111"/>
  <c r="L59" i="111"/>
  <c r="M59" i="111"/>
  <c r="N59" i="111"/>
  <c r="C60" i="111"/>
  <c r="D60" i="111"/>
  <c r="E60" i="111"/>
  <c r="F60" i="111"/>
  <c r="G60" i="111"/>
  <c r="H60" i="111"/>
  <c r="I60" i="111"/>
  <c r="O60" i="111" s="1"/>
  <c r="J60" i="111"/>
  <c r="K60" i="111"/>
  <c r="L60" i="111"/>
  <c r="M60" i="111"/>
  <c r="N60" i="111"/>
  <c r="C61" i="111"/>
  <c r="D61" i="111"/>
  <c r="E61" i="111"/>
  <c r="F61" i="111"/>
  <c r="O61" i="111" s="1"/>
  <c r="G61" i="111"/>
  <c r="H61" i="111"/>
  <c r="I61" i="111"/>
  <c r="J61" i="111"/>
  <c r="K61" i="111"/>
  <c r="L61" i="111"/>
  <c r="M61" i="111"/>
  <c r="N61" i="111"/>
  <c r="C62" i="111"/>
  <c r="D62" i="111"/>
  <c r="E62" i="111"/>
  <c r="F62" i="111"/>
  <c r="G62" i="111"/>
  <c r="H62" i="111"/>
  <c r="I62" i="111"/>
  <c r="O62" i="111" s="1"/>
  <c r="J62" i="111"/>
  <c r="K62" i="111"/>
  <c r="L62" i="111"/>
  <c r="M62" i="111"/>
  <c r="N62" i="111"/>
  <c r="C63" i="111"/>
  <c r="D63" i="111"/>
  <c r="E63" i="111"/>
  <c r="O63" i="111" s="1"/>
  <c r="F63" i="111"/>
  <c r="G63" i="111"/>
  <c r="H63" i="111"/>
  <c r="I63" i="111"/>
  <c r="J63" i="111"/>
  <c r="K63" i="111"/>
  <c r="L63" i="111"/>
  <c r="M63" i="111"/>
  <c r="N63" i="111"/>
  <c r="C64" i="111"/>
  <c r="D64" i="111"/>
  <c r="E64" i="111"/>
  <c r="F64" i="111"/>
  <c r="G64" i="111"/>
  <c r="H64" i="111"/>
  <c r="I64" i="111"/>
  <c r="P64" i="111" s="1"/>
  <c r="J64" i="111"/>
  <c r="O64" i="111" s="1"/>
  <c r="K64" i="111"/>
  <c r="L64" i="111"/>
  <c r="M64" i="111"/>
  <c r="N64" i="111"/>
  <c r="C65" i="111"/>
  <c r="D65" i="111"/>
  <c r="E65" i="111"/>
  <c r="F65" i="111"/>
  <c r="O65" i="111" s="1"/>
  <c r="G65" i="111"/>
  <c r="H65" i="111"/>
  <c r="I65" i="111"/>
  <c r="J65" i="111"/>
  <c r="K65" i="111"/>
  <c r="L65" i="111"/>
  <c r="M65" i="111"/>
  <c r="N65" i="111"/>
  <c r="C66" i="111"/>
  <c r="D66" i="111"/>
  <c r="E66" i="111"/>
  <c r="F66" i="111"/>
  <c r="G66" i="111"/>
  <c r="H66" i="111"/>
  <c r="I66" i="111"/>
  <c r="O66" i="111" s="1"/>
  <c r="J66" i="111"/>
  <c r="K66" i="111"/>
  <c r="L66" i="111"/>
  <c r="M66" i="111"/>
  <c r="N66" i="111"/>
  <c r="C67" i="111"/>
  <c r="D67" i="111"/>
  <c r="E67" i="111"/>
  <c r="O67" i="111" s="1"/>
  <c r="F67" i="111"/>
  <c r="G67" i="111"/>
  <c r="H67" i="111"/>
  <c r="I67" i="111"/>
  <c r="J67" i="111"/>
  <c r="K67" i="111"/>
  <c r="L67" i="111"/>
  <c r="M67" i="111"/>
  <c r="N67" i="111"/>
  <c r="C68" i="111"/>
  <c r="D68" i="111"/>
  <c r="E68" i="111"/>
  <c r="F68" i="111"/>
  <c r="G68" i="111"/>
  <c r="H68" i="111"/>
  <c r="I68" i="111"/>
  <c r="O68" i="111" s="1"/>
  <c r="J68" i="111"/>
  <c r="K68" i="111"/>
  <c r="L68" i="111"/>
  <c r="M68" i="111"/>
  <c r="N68" i="111"/>
  <c r="C69" i="111"/>
  <c r="D69" i="111"/>
  <c r="E69" i="111"/>
  <c r="F69" i="111"/>
  <c r="O69" i="111" s="1"/>
  <c r="G69" i="111"/>
  <c r="H69" i="111"/>
  <c r="I69" i="111"/>
  <c r="J69" i="111"/>
  <c r="K69" i="111"/>
  <c r="L69" i="111"/>
  <c r="M69" i="111"/>
  <c r="N69" i="111"/>
  <c r="C70" i="111"/>
  <c r="D70" i="111"/>
  <c r="E70" i="111"/>
  <c r="F70" i="111"/>
  <c r="G70" i="111"/>
  <c r="H70" i="111"/>
  <c r="I70" i="111"/>
  <c r="O70" i="111" s="1"/>
  <c r="J70" i="111"/>
  <c r="K70" i="111"/>
  <c r="L70" i="111"/>
  <c r="M70" i="111"/>
  <c r="N70" i="111"/>
  <c r="C71" i="111"/>
  <c r="D71" i="111"/>
  <c r="E71" i="111"/>
  <c r="O71" i="111" s="1"/>
  <c r="F71" i="111"/>
  <c r="G71" i="111"/>
  <c r="H71" i="111"/>
  <c r="I71" i="111"/>
  <c r="J71" i="111"/>
  <c r="K71" i="111"/>
  <c r="L71" i="111"/>
  <c r="M71" i="111"/>
  <c r="N71" i="111"/>
  <c r="C72" i="111"/>
  <c r="D72" i="111"/>
  <c r="E72" i="111"/>
  <c r="F72" i="111"/>
  <c r="G72" i="111"/>
  <c r="H72" i="111"/>
  <c r="I72" i="111"/>
  <c r="O72" i="111" s="1"/>
  <c r="J72" i="111"/>
  <c r="K72" i="111"/>
  <c r="L72" i="111"/>
  <c r="M72" i="111"/>
  <c r="N72" i="111"/>
  <c r="C73" i="111"/>
  <c r="D73" i="111"/>
  <c r="E73" i="111"/>
  <c r="F73" i="111"/>
  <c r="O73" i="111" s="1"/>
  <c r="G73" i="111"/>
  <c r="H73" i="111"/>
  <c r="I73" i="111"/>
  <c r="J73" i="111"/>
  <c r="K73" i="111"/>
  <c r="L73" i="111"/>
  <c r="M73" i="111"/>
  <c r="N73" i="111"/>
  <c r="C74" i="111"/>
  <c r="D74" i="111"/>
  <c r="E74" i="111"/>
  <c r="F74" i="111"/>
  <c r="G74" i="111"/>
  <c r="H74" i="111"/>
  <c r="I74" i="111"/>
  <c r="O74" i="111" s="1"/>
  <c r="J74" i="111"/>
  <c r="K74" i="111"/>
  <c r="L74" i="111"/>
  <c r="M74" i="111"/>
  <c r="N74" i="111"/>
  <c r="C75" i="111"/>
  <c r="D75" i="111"/>
  <c r="E75" i="111"/>
  <c r="O75" i="111" s="1"/>
  <c r="F75" i="111"/>
  <c r="G75" i="111"/>
  <c r="H75" i="111"/>
  <c r="I75" i="111"/>
  <c r="J75" i="111"/>
  <c r="K75" i="111"/>
  <c r="L75" i="111"/>
  <c r="M75" i="111"/>
  <c r="N75" i="111"/>
  <c r="C76" i="111"/>
  <c r="D76" i="111"/>
  <c r="E76" i="111"/>
  <c r="F76" i="111"/>
  <c r="G76" i="111"/>
  <c r="H76" i="111"/>
  <c r="I76" i="111"/>
  <c r="O76" i="111" s="1"/>
  <c r="J76" i="111"/>
  <c r="K76" i="111"/>
  <c r="L76" i="111"/>
  <c r="M76" i="111"/>
  <c r="N76" i="111"/>
  <c r="C77" i="111"/>
  <c r="D77" i="111"/>
  <c r="E77" i="111"/>
  <c r="F77" i="111"/>
  <c r="O77" i="111" s="1"/>
  <c r="G77" i="111"/>
  <c r="H77" i="111"/>
  <c r="I77" i="111"/>
  <c r="J77" i="111"/>
  <c r="K77" i="111"/>
  <c r="L77" i="111"/>
  <c r="M77" i="111"/>
  <c r="N77" i="111"/>
  <c r="C78" i="111"/>
  <c r="D78" i="111"/>
  <c r="E78" i="111"/>
  <c r="F78" i="111"/>
  <c r="G78" i="111"/>
  <c r="H78" i="111"/>
  <c r="I78" i="111"/>
  <c r="O78" i="111" s="1"/>
  <c r="J78" i="111"/>
  <c r="K78" i="111"/>
  <c r="L78" i="111"/>
  <c r="M78" i="111"/>
  <c r="N78" i="111"/>
  <c r="C79" i="111"/>
  <c r="D79" i="111"/>
  <c r="E79" i="111"/>
  <c r="O79" i="111" s="1"/>
  <c r="F79" i="111"/>
  <c r="G79" i="111"/>
  <c r="H79" i="111"/>
  <c r="I79" i="111"/>
  <c r="J79" i="111"/>
  <c r="K79" i="111"/>
  <c r="L79" i="111"/>
  <c r="M79" i="111"/>
  <c r="N79" i="111"/>
  <c r="C80" i="111"/>
  <c r="D80" i="111"/>
  <c r="E80" i="111"/>
  <c r="F80" i="111"/>
  <c r="G80" i="111"/>
  <c r="H80" i="111"/>
  <c r="I80" i="111"/>
  <c r="O80" i="111" s="1"/>
  <c r="J80" i="111"/>
  <c r="K80" i="111"/>
  <c r="L80" i="111"/>
  <c r="M80" i="111"/>
  <c r="N80" i="111"/>
  <c r="C81" i="111"/>
  <c r="D81" i="111"/>
  <c r="E81" i="111"/>
  <c r="F81" i="111"/>
  <c r="O81" i="111" s="1"/>
  <c r="G81" i="111"/>
  <c r="H81" i="111"/>
  <c r="I81" i="111"/>
  <c r="J81" i="111"/>
  <c r="K81" i="111"/>
  <c r="L81" i="111"/>
  <c r="M81" i="111"/>
  <c r="N81" i="111"/>
  <c r="C82" i="111"/>
  <c r="D82" i="111"/>
  <c r="E82" i="111"/>
  <c r="F82" i="111"/>
  <c r="G82" i="111"/>
  <c r="H82" i="111"/>
  <c r="I82" i="111"/>
  <c r="O82" i="111" s="1"/>
  <c r="J82" i="111"/>
  <c r="K82" i="111"/>
  <c r="L82" i="111"/>
  <c r="M82" i="111"/>
  <c r="N82" i="111"/>
  <c r="C83" i="111"/>
  <c r="D83" i="111"/>
  <c r="E83" i="111"/>
  <c r="O83" i="111" s="1"/>
  <c r="F83" i="111"/>
  <c r="G83" i="111"/>
  <c r="H83" i="111"/>
  <c r="I83" i="111"/>
  <c r="J83" i="111"/>
  <c r="K83" i="111"/>
  <c r="L83" i="111"/>
  <c r="M83" i="111"/>
  <c r="N83" i="111"/>
  <c r="C84" i="111"/>
  <c r="D84" i="111"/>
  <c r="E84" i="111"/>
  <c r="F84" i="111"/>
  <c r="G84" i="111"/>
  <c r="H84" i="111"/>
  <c r="I84" i="111"/>
  <c r="O84" i="111" s="1"/>
  <c r="J84" i="111"/>
  <c r="K84" i="111"/>
  <c r="L84" i="111"/>
  <c r="M84" i="111"/>
  <c r="N84" i="111"/>
  <c r="C85" i="111"/>
  <c r="D85" i="111"/>
  <c r="E85" i="111"/>
  <c r="F85" i="111"/>
  <c r="O85" i="111" s="1"/>
  <c r="G85" i="111"/>
  <c r="H85" i="111"/>
  <c r="I85" i="111"/>
  <c r="J85" i="111"/>
  <c r="K85" i="111"/>
  <c r="L85" i="111"/>
  <c r="M85" i="111"/>
  <c r="N85" i="111"/>
  <c r="C86" i="111"/>
  <c r="D86" i="111"/>
  <c r="E86" i="111"/>
  <c r="F86" i="111"/>
  <c r="G86" i="111"/>
  <c r="H86" i="111"/>
  <c r="I86" i="111"/>
  <c r="O86" i="111" s="1"/>
  <c r="J86" i="111"/>
  <c r="K86" i="111"/>
  <c r="L86" i="111"/>
  <c r="M86" i="111"/>
  <c r="N86" i="111"/>
  <c r="C87" i="111"/>
  <c r="D87" i="111"/>
  <c r="E87" i="111"/>
  <c r="O87" i="111" s="1"/>
  <c r="F87" i="111"/>
  <c r="G87" i="111"/>
  <c r="H87" i="111"/>
  <c r="I87" i="111"/>
  <c r="J87" i="111"/>
  <c r="K87" i="111"/>
  <c r="L87" i="111"/>
  <c r="M87" i="111"/>
  <c r="N87" i="111"/>
  <c r="C88" i="111"/>
  <c r="D88" i="111"/>
  <c r="E88" i="111"/>
  <c r="F88" i="111"/>
  <c r="G88" i="111"/>
  <c r="H88" i="111"/>
  <c r="I88" i="111"/>
  <c r="O88" i="111" s="1"/>
  <c r="J88" i="111"/>
  <c r="K88" i="111"/>
  <c r="L88" i="111"/>
  <c r="M88" i="111"/>
  <c r="N88" i="111"/>
  <c r="C89" i="111"/>
  <c r="D89" i="111"/>
  <c r="E89" i="111"/>
  <c r="F89" i="111"/>
  <c r="O89" i="111" s="1"/>
  <c r="G89" i="111"/>
  <c r="H89" i="111"/>
  <c r="I89" i="111"/>
  <c r="J89" i="111"/>
  <c r="K89" i="111"/>
  <c r="L89" i="111"/>
  <c r="M89" i="111"/>
  <c r="N89" i="111"/>
  <c r="C90" i="111"/>
  <c r="D90" i="111"/>
  <c r="E90" i="111"/>
  <c r="F90" i="111"/>
  <c r="G90" i="111"/>
  <c r="H90" i="111"/>
  <c r="I90" i="111"/>
  <c r="O90" i="111" s="1"/>
  <c r="J90" i="111"/>
  <c r="K90" i="111"/>
  <c r="L90" i="111"/>
  <c r="M90" i="111"/>
  <c r="N90" i="111"/>
  <c r="C91" i="111"/>
  <c r="D91" i="111"/>
  <c r="E91" i="111"/>
  <c r="O91" i="111" s="1"/>
  <c r="F91" i="111"/>
  <c r="G91" i="111"/>
  <c r="H91" i="111"/>
  <c r="I91" i="111"/>
  <c r="J91" i="111"/>
  <c r="K91" i="111"/>
  <c r="L91" i="111"/>
  <c r="M91" i="111"/>
  <c r="N91" i="111"/>
  <c r="C92" i="111"/>
  <c r="D92" i="111"/>
  <c r="E92" i="111"/>
  <c r="F92" i="111"/>
  <c r="G92" i="111"/>
  <c r="H92" i="111"/>
  <c r="I92" i="111"/>
  <c r="O92" i="111" s="1"/>
  <c r="J92" i="111"/>
  <c r="K92" i="111"/>
  <c r="L92" i="111"/>
  <c r="M92" i="111"/>
  <c r="N92" i="111"/>
  <c r="C93" i="111"/>
  <c r="D93" i="111"/>
  <c r="E93" i="111"/>
  <c r="F93" i="111"/>
  <c r="O93" i="111" s="1"/>
  <c r="G93" i="111"/>
  <c r="H93" i="111"/>
  <c r="I93" i="111"/>
  <c r="J93" i="111"/>
  <c r="K93" i="111"/>
  <c r="L93" i="111"/>
  <c r="M93" i="111"/>
  <c r="N93" i="111"/>
  <c r="C94" i="111"/>
  <c r="D94" i="111"/>
  <c r="E94" i="111"/>
  <c r="F94" i="111"/>
  <c r="G94" i="111"/>
  <c r="H94" i="111"/>
  <c r="I94" i="111"/>
  <c r="O94" i="111" s="1"/>
  <c r="J94" i="111"/>
  <c r="K94" i="111"/>
  <c r="L94" i="111"/>
  <c r="M94" i="111"/>
  <c r="N94" i="111"/>
  <c r="C95" i="111"/>
  <c r="D95" i="111"/>
  <c r="E95" i="111"/>
  <c r="O95" i="111" s="1"/>
  <c r="F95" i="111"/>
  <c r="G95" i="111"/>
  <c r="H95" i="111"/>
  <c r="I95" i="111"/>
  <c r="J95" i="111"/>
  <c r="K95" i="111"/>
  <c r="L95" i="111"/>
  <c r="M95" i="111"/>
  <c r="N95" i="111"/>
  <c r="C96" i="111"/>
  <c r="D96" i="111"/>
  <c r="E96" i="111"/>
  <c r="F96" i="111"/>
  <c r="G96" i="111"/>
  <c r="H96" i="111"/>
  <c r="I96" i="111"/>
  <c r="O96" i="111" s="1"/>
  <c r="J96" i="111"/>
  <c r="K96" i="111"/>
  <c r="L96" i="111"/>
  <c r="M96" i="111"/>
  <c r="N96" i="111"/>
  <c r="C97" i="111"/>
  <c r="D97" i="111"/>
  <c r="E97" i="111"/>
  <c r="F97" i="111"/>
  <c r="O97" i="111" s="1"/>
  <c r="G97" i="111"/>
  <c r="H97" i="111"/>
  <c r="I97" i="111"/>
  <c r="J97" i="111"/>
  <c r="K97" i="111"/>
  <c r="L97" i="111"/>
  <c r="M97" i="111"/>
  <c r="N97" i="111"/>
  <c r="C98" i="111"/>
  <c r="D98" i="111"/>
  <c r="E98" i="111"/>
  <c r="F98" i="111"/>
  <c r="G98" i="111"/>
  <c r="H98" i="111"/>
  <c r="I98" i="111"/>
  <c r="O98" i="111" s="1"/>
  <c r="J98" i="111"/>
  <c r="K98" i="111"/>
  <c r="L98" i="111"/>
  <c r="M98" i="111"/>
  <c r="N98" i="111"/>
  <c r="C99" i="111"/>
  <c r="D99" i="111"/>
  <c r="E99" i="111"/>
  <c r="O99" i="111" s="1"/>
  <c r="F99" i="111"/>
  <c r="G99" i="111"/>
  <c r="H99" i="111"/>
  <c r="I99" i="111"/>
  <c r="J99" i="111"/>
  <c r="K99" i="111"/>
  <c r="L99" i="111"/>
  <c r="M99" i="111"/>
  <c r="N99" i="111"/>
  <c r="C100" i="111"/>
  <c r="D100" i="111"/>
  <c r="E100" i="111"/>
  <c r="F100" i="111"/>
  <c r="G100" i="111"/>
  <c r="H100" i="111"/>
  <c r="I100" i="111"/>
  <c r="O100" i="111" s="1"/>
  <c r="J100" i="111"/>
  <c r="K100" i="111"/>
  <c r="L100" i="111"/>
  <c r="M100" i="111"/>
  <c r="N100" i="111"/>
  <c r="C101" i="111"/>
  <c r="D101" i="111"/>
  <c r="E101" i="111"/>
  <c r="F101" i="111"/>
  <c r="O101" i="111" s="1"/>
  <c r="G101" i="111"/>
  <c r="H101" i="111"/>
  <c r="I101" i="111"/>
  <c r="J101" i="111"/>
  <c r="K101" i="111"/>
  <c r="L101" i="111"/>
  <c r="M101" i="111"/>
  <c r="N101" i="111"/>
  <c r="C102" i="111"/>
  <c r="D102" i="111"/>
  <c r="E102" i="111"/>
  <c r="F102" i="111"/>
  <c r="G102" i="111"/>
  <c r="H102" i="111"/>
  <c r="I102" i="111"/>
  <c r="O102" i="111" s="1"/>
  <c r="J102" i="111"/>
  <c r="K102" i="111"/>
  <c r="L102" i="111"/>
  <c r="M102" i="111"/>
  <c r="N102" i="111"/>
  <c r="C103" i="111"/>
  <c r="D103" i="111"/>
  <c r="E103" i="111"/>
  <c r="O103" i="111" s="1"/>
  <c r="F103" i="111"/>
  <c r="G103" i="111"/>
  <c r="H103" i="111"/>
  <c r="I103" i="111"/>
  <c r="J103" i="111"/>
  <c r="K103" i="111"/>
  <c r="L103" i="111"/>
  <c r="M103" i="111"/>
  <c r="N103" i="111"/>
  <c r="C104" i="111"/>
  <c r="D104" i="111"/>
  <c r="E104" i="111"/>
  <c r="F104" i="111"/>
  <c r="G104" i="111"/>
  <c r="H104" i="111"/>
  <c r="I104" i="111"/>
  <c r="O104" i="111" s="1"/>
  <c r="J104" i="111"/>
  <c r="K104" i="111"/>
  <c r="L104" i="111"/>
  <c r="M104" i="111"/>
  <c r="N104" i="111"/>
  <c r="C105" i="111"/>
  <c r="D105" i="111"/>
  <c r="E105" i="111"/>
  <c r="F105" i="111"/>
  <c r="O105" i="111" s="1"/>
  <c r="G105" i="111"/>
  <c r="H105" i="111"/>
  <c r="I105" i="111"/>
  <c r="J105" i="111"/>
  <c r="K105" i="111"/>
  <c r="L105" i="111"/>
  <c r="M105" i="111"/>
  <c r="N105" i="111"/>
  <c r="P61" i="111"/>
  <c r="P65" i="111"/>
  <c r="P69" i="111"/>
  <c r="P73" i="111"/>
  <c r="P77" i="111"/>
  <c r="P81" i="111"/>
  <c r="P85" i="111"/>
  <c r="P89" i="111"/>
  <c r="P93" i="111"/>
  <c r="P97" i="111"/>
  <c r="P101" i="111"/>
  <c r="P105" i="111"/>
  <c r="AF42" i="108"/>
  <c r="AB42" i="108"/>
  <c r="AA42" i="108"/>
  <c r="Y42" i="108"/>
  <c r="X42" i="108"/>
  <c r="T42" i="108"/>
  <c r="S42" i="108"/>
  <c r="AF41" i="108"/>
  <c r="AE41" i="108"/>
  <c r="AE42" i="108" s="1"/>
  <c r="AD41" i="108"/>
  <c r="AD42" i="108" s="1"/>
  <c r="AC41" i="108"/>
  <c r="AC42" i="108" s="1"/>
  <c r="AB41" i="108"/>
  <c r="AA41" i="108"/>
  <c r="Z41" i="108"/>
  <c r="Z42" i="108" s="1"/>
  <c r="Y41" i="108"/>
  <c r="X41" i="108"/>
  <c r="W41" i="108"/>
  <c r="W42" i="108" s="1"/>
  <c r="V41" i="108"/>
  <c r="V42" i="108" s="1"/>
  <c r="U41" i="108"/>
  <c r="U42" i="108" s="1"/>
  <c r="T41" i="108"/>
  <c r="S41" i="108"/>
  <c r="T22" i="108"/>
  <c r="U22" i="108"/>
  <c r="V22" i="108"/>
  <c r="W22" i="108"/>
  <c r="X22" i="108"/>
  <c r="Y22" i="108"/>
  <c r="Z22" i="108"/>
  <c r="AA22" i="108"/>
  <c r="AB22" i="108"/>
  <c r="AC22" i="108"/>
  <c r="AD22" i="108"/>
  <c r="AE22" i="108"/>
  <c r="AF22" i="108"/>
  <c r="T23" i="108"/>
  <c r="U23" i="108"/>
  <c r="V23" i="108"/>
  <c r="W23" i="108"/>
  <c r="X23" i="108"/>
  <c r="Y23" i="108"/>
  <c r="Z23" i="108"/>
  <c r="AA23" i="108"/>
  <c r="AB23" i="108"/>
  <c r="AC23" i="108"/>
  <c r="AD23" i="108"/>
  <c r="AE23" i="108"/>
  <c r="AF23" i="108"/>
  <c r="T24" i="108"/>
  <c r="U24" i="108"/>
  <c r="V24" i="108"/>
  <c r="W24" i="108"/>
  <c r="X24" i="108"/>
  <c r="Y24" i="108"/>
  <c r="Z24" i="108"/>
  <c r="AA24" i="108"/>
  <c r="AB24" i="108"/>
  <c r="AC24" i="108"/>
  <c r="AD24" i="108"/>
  <c r="AE24" i="108"/>
  <c r="AF24" i="108"/>
  <c r="T25" i="108"/>
  <c r="U25" i="108"/>
  <c r="V25" i="108"/>
  <c r="W25" i="108"/>
  <c r="X25" i="108"/>
  <c r="Y25" i="108"/>
  <c r="Z25" i="108"/>
  <c r="AA25" i="108"/>
  <c r="AB25" i="108"/>
  <c r="AC25" i="108"/>
  <c r="AD25" i="108"/>
  <c r="AE25" i="108"/>
  <c r="AF25" i="108"/>
  <c r="T26" i="108"/>
  <c r="U26" i="108"/>
  <c r="V26" i="108"/>
  <c r="W26" i="108"/>
  <c r="X26" i="108"/>
  <c r="Y26" i="108"/>
  <c r="Z26" i="108"/>
  <c r="AA26" i="108"/>
  <c r="AB26" i="108"/>
  <c r="AC26" i="108"/>
  <c r="AD26" i="108"/>
  <c r="AE26" i="108"/>
  <c r="AF26" i="108"/>
  <c r="T27" i="108"/>
  <c r="U27" i="108"/>
  <c r="V27" i="108"/>
  <c r="W27" i="108"/>
  <c r="X27" i="108"/>
  <c r="Y27" i="108"/>
  <c r="Z27" i="108"/>
  <c r="AA27" i="108"/>
  <c r="AB27" i="108"/>
  <c r="AC27" i="108"/>
  <c r="AD27" i="108"/>
  <c r="AE27" i="108"/>
  <c r="AF27" i="108"/>
  <c r="T28" i="108"/>
  <c r="U28" i="108"/>
  <c r="V28" i="108"/>
  <c r="W28" i="108"/>
  <c r="X28" i="108"/>
  <c r="Y28" i="108"/>
  <c r="Z28" i="108"/>
  <c r="AA28" i="108"/>
  <c r="AB28" i="108"/>
  <c r="AC28" i="108"/>
  <c r="AD28" i="108"/>
  <c r="AE28" i="108"/>
  <c r="AF28" i="108"/>
  <c r="T29" i="108"/>
  <c r="U29" i="108"/>
  <c r="V29" i="108"/>
  <c r="W29" i="108"/>
  <c r="X29" i="108"/>
  <c r="Y29" i="108"/>
  <c r="Z29" i="108"/>
  <c r="AA29" i="108"/>
  <c r="AB29" i="108"/>
  <c r="AC29" i="108"/>
  <c r="AD29" i="108"/>
  <c r="AE29" i="108"/>
  <c r="AF29" i="108"/>
  <c r="T30" i="108"/>
  <c r="U30" i="108"/>
  <c r="V30" i="108"/>
  <c r="W30" i="108"/>
  <c r="X30" i="108"/>
  <c r="Y30" i="108"/>
  <c r="Z30" i="108"/>
  <c r="AA30" i="108"/>
  <c r="AB30" i="108"/>
  <c r="AC30" i="108"/>
  <c r="AD30" i="108"/>
  <c r="AE30" i="108"/>
  <c r="AF30" i="108"/>
  <c r="T31" i="108"/>
  <c r="U31" i="108"/>
  <c r="V31" i="108"/>
  <c r="W31" i="108"/>
  <c r="X31" i="108"/>
  <c r="Y31" i="108"/>
  <c r="Z31" i="108"/>
  <c r="AA31" i="108"/>
  <c r="AB31" i="108"/>
  <c r="AC31" i="108"/>
  <c r="AD31" i="108"/>
  <c r="AE31" i="108"/>
  <c r="AF31" i="108"/>
  <c r="T32" i="108"/>
  <c r="U32" i="108"/>
  <c r="V32" i="108"/>
  <c r="W32" i="108"/>
  <c r="X32" i="108"/>
  <c r="Y32" i="108"/>
  <c r="Z32" i="108"/>
  <c r="AA32" i="108"/>
  <c r="AB32" i="108"/>
  <c r="AC32" i="108"/>
  <c r="AD32" i="108"/>
  <c r="AE32" i="108"/>
  <c r="AF32" i="108"/>
  <c r="T33" i="108"/>
  <c r="U33" i="108"/>
  <c r="V33" i="108"/>
  <c r="W33" i="108"/>
  <c r="X33" i="108"/>
  <c r="Y33" i="108"/>
  <c r="Z33" i="108"/>
  <c r="AA33" i="108"/>
  <c r="AB33" i="108"/>
  <c r="AC33" i="108"/>
  <c r="AD33" i="108"/>
  <c r="AE33" i="108"/>
  <c r="AF33" i="108"/>
  <c r="S33" i="108"/>
  <c r="S32" i="108"/>
  <c r="S31" i="108"/>
  <c r="S30" i="108"/>
  <c r="S29" i="108"/>
  <c r="S28" i="108"/>
  <c r="S27" i="108"/>
  <c r="S26" i="108"/>
  <c r="S25" i="108"/>
  <c r="S24" i="108"/>
  <c r="S23" i="108"/>
  <c r="S22" i="108"/>
  <c r="D106" i="108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O58" i="108"/>
  <c r="P58" i="108"/>
  <c r="O59" i="108"/>
  <c r="P59" i="108"/>
  <c r="O60" i="108"/>
  <c r="P60" i="108"/>
  <c r="O61" i="108"/>
  <c r="P61" i="108"/>
  <c r="O62" i="108"/>
  <c r="P62" i="108"/>
  <c r="O63" i="108"/>
  <c r="P63" i="108"/>
  <c r="O64" i="108"/>
  <c r="P64" i="108"/>
  <c r="O65" i="108"/>
  <c r="P65" i="108"/>
  <c r="O66" i="108"/>
  <c r="P66" i="108"/>
  <c r="O67" i="108"/>
  <c r="P67" i="108"/>
  <c r="O68" i="108"/>
  <c r="P68" i="108"/>
  <c r="O69" i="108"/>
  <c r="P69" i="108"/>
  <c r="O70" i="108"/>
  <c r="P70" i="108"/>
  <c r="O71" i="108"/>
  <c r="P71" i="108"/>
  <c r="O72" i="108"/>
  <c r="P72" i="108"/>
  <c r="O73" i="108"/>
  <c r="P73" i="108"/>
  <c r="O74" i="108"/>
  <c r="P74" i="108"/>
  <c r="O75" i="108"/>
  <c r="P75" i="108"/>
  <c r="O76" i="108"/>
  <c r="P76" i="108"/>
  <c r="O77" i="108"/>
  <c r="P77" i="108"/>
  <c r="O78" i="108"/>
  <c r="P78" i="108"/>
  <c r="O79" i="108"/>
  <c r="P79" i="108"/>
  <c r="O80" i="108"/>
  <c r="P80" i="108"/>
  <c r="O81" i="108"/>
  <c r="P81" i="108"/>
  <c r="O82" i="108"/>
  <c r="P82" i="108"/>
  <c r="O83" i="108"/>
  <c r="P83" i="108"/>
  <c r="O84" i="108"/>
  <c r="P84" i="108"/>
  <c r="O85" i="108"/>
  <c r="P85" i="108"/>
  <c r="O86" i="108"/>
  <c r="P86" i="108"/>
  <c r="O87" i="108"/>
  <c r="P87" i="108"/>
  <c r="O88" i="108"/>
  <c r="P88" i="108"/>
  <c r="O89" i="108"/>
  <c r="P89" i="108"/>
  <c r="O90" i="108"/>
  <c r="P90" i="108"/>
  <c r="O91" i="108"/>
  <c r="P91" i="108"/>
  <c r="O92" i="108"/>
  <c r="P92" i="108"/>
  <c r="O93" i="108"/>
  <c r="P93" i="108"/>
  <c r="O94" i="108"/>
  <c r="P94" i="108"/>
  <c r="O95" i="108"/>
  <c r="P95" i="108"/>
  <c r="O96" i="108"/>
  <c r="P96" i="108"/>
  <c r="O97" i="108"/>
  <c r="P97" i="108"/>
  <c r="O98" i="108"/>
  <c r="P98" i="108"/>
  <c r="O99" i="108"/>
  <c r="P99" i="108"/>
  <c r="O100" i="108"/>
  <c r="P100" i="108"/>
  <c r="O101" i="108"/>
  <c r="P101" i="108"/>
  <c r="O102" i="108"/>
  <c r="P102" i="108"/>
  <c r="O103" i="108"/>
  <c r="P103" i="108"/>
  <c r="O104" i="108"/>
  <c r="P104" i="108"/>
  <c r="O105" i="108"/>
  <c r="P105" i="108"/>
  <c r="C59" i="108"/>
  <c r="D59" i="108"/>
  <c r="E59" i="108"/>
  <c r="F59" i="108"/>
  <c r="G59" i="108"/>
  <c r="H59" i="108"/>
  <c r="I59" i="108"/>
  <c r="J59" i="108"/>
  <c r="K59" i="108"/>
  <c r="L59" i="108"/>
  <c r="M59" i="108"/>
  <c r="N59" i="108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F62" i="108"/>
  <c r="G62" i="108"/>
  <c r="H62" i="108"/>
  <c r="I62" i="108"/>
  <c r="J62" i="108"/>
  <c r="K62" i="108"/>
  <c r="L62" i="108"/>
  <c r="M62" i="108"/>
  <c r="N62" i="108"/>
  <c r="C63" i="108"/>
  <c r="D63" i="108"/>
  <c r="E63" i="108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F66" i="108"/>
  <c r="G66" i="108"/>
  <c r="H66" i="108"/>
  <c r="I66" i="108"/>
  <c r="J66" i="108"/>
  <c r="K66" i="108"/>
  <c r="L66" i="108"/>
  <c r="M66" i="108"/>
  <c r="N66" i="108"/>
  <c r="C67" i="108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E69" i="108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F70" i="108"/>
  <c r="G70" i="108"/>
  <c r="H70" i="108"/>
  <c r="I70" i="108"/>
  <c r="J70" i="108"/>
  <c r="K70" i="108"/>
  <c r="L70" i="108"/>
  <c r="M70" i="108"/>
  <c r="N70" i="108"/>
  <c r="C71" i="108"/>
  <c r="D71" i="108"/>
  <c r="E71" i="108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G74" i="108"/>
  <c r="H74" i="108"/>
  <c r="I74" i="108"/>
  <c r="J74" i="108"/>
  <c r="K74" i="108"/>
  <c r="L74" i="108"/>
  <c r="M74" i="108"/>
  <c r="N74" i="108"/>
  <c r="C75" i="108"/>
  <c r="D75" i="108"/>
  <c r="E75" i="108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F78" i="108"/>
  <c r="G78" i="108"/>
  <c r="H78" i="108"/>
  <c r="I78" i="108"/>
  <c r="J78" i="108"/>
  <c r="K78" i="108"/>
  <c r="L78" i="108"/>
  <c r="M78" i="108"/>
  <c r="N78" i="108"/>
  <c r="C79" i="108"/>
  <c r="D79" i="108"/>
  <c r="E79" i="108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F82" i="108"/>
  <c r="G82" i="108"/>
  <c r="H82" i="108"/>
  <c r="I82" i="108"/>
  <c r="J82" i="108"/>
  <c r="K82" i="108"/>
  <c r="L82" i="108"/>
  <c r="M82" i="108"/>
  <c r="N82" i="108"/>
  <c r="C83" i="108"/>
  <c r="D83" i="108"/>
  <c r="E83" i="108"/>
  <c r="F83" i="108"/>
  <c r="G83" i="108"/>
  <c r="H83" i="108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F86" i="108"/>
  <c r="G86" i="108"/>
  <c r="H86" i="108"/>
  <c r="I86" i="108"/>
  <c r="J86" i="108"/>
  <c r="K86" i="108"/>
  <c r="L86" i="108"/>
  <c r="M86" i="108"/>
  <c r="N86" i="108"/>
  <c r="C87" i="108"/>
  <c r="D87" i="108"/>
  <c r="E87" i="108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E89" i="108"/>
  <c r="F89" i="108"/>
  <c r="G89" i="108"/>
  <c r="H89" i="108"/>
  <c r="I89" i="108"/>
  <c r="J89" i="108"/>
  <c r="K89" i="108"/>
  <c r="L89" i="108"/>
  <c r="M89" i="108"/>
  <c r="N89" i="108"/>
  <c r="C90" i="108"/>
  <c r="D90" i="108"/>
  <c r="E90" i="108"/>
  <c r="F90" i="108"/>
  <c r="G90" i="108"/>
  <c r="H90" i="108"/>
  <c r="I90" i="108"/>
  <c r="J90" i="108"/>
  <c r="K90" i="108"/>
  <c r="L90" i="108"/>
  <c r="M90" i="108"/>
  <c r="N90" i="108"/>
  <c r="C91" i="108"/>
  <c r="D91" i="108"/>
  <c r="E91" i="108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F94" i="108"/>
  <c r="G94" i="108"/>
  <c r="H94" i="108"/>
  <c r="I94" i="108"/>
  <c r="J94" i="108"/>
  <c r="K94" i="108"/>
  <c r="L94" i="108"/>
  <c r="M94" i="108"/>
  <c r="N94" i="108"/>
  <c r="C95" i="108"/>
  <c r="D95" i="108"/>
  <c r="E95" i="108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F98" i="108"/>
  <c r="G98" i="108"/>
  <c r="H98" i="108"/>
  <c r="I98" i="108"/>
  <c r="J98" i="108"/>
  <c r="K98" i="108"/>
  <c r="L98" i="108"/>
  <c r="M98" i="108"/>
  <c r="N98" i="108"/>
  <c r="C99" i="108"/>
  <c r="D99" i="108"/>
  <c r="E99" i="108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C103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D58" i="108"/>
  <c r="E58" i="108"/>
  <c r="F58" i="108"/>
  <c r="G58" i="108"/>
  <c r="H58" i="108"/>
  <c r="I58" i="108"/>
  <c r="J58" i="108"/>
  <c r="K58" i="108"/>
  <c r="L58" i="108"/>
  <c r="M58" i="108"/>
  <c r="N58" i="108"/>
  <c r="C58" i="108"/>
  <c r="AF42" i="107"/>
  <c r="AE42" i="107"/>
  <c r="AD42" i="107"/>
  <c r="Y42" i="107"/>
  <c r="X42" i="107"/>
  <c r="W42" i="107"/>
  <c r="V42" i="107"/>
  <c r="AF41" i="107"/>
  <c r="AE41" i="107"/>
  <c r="AD41" i="107"/>
  <c r="AC41" i="107"/>
  <c r="AC42" i="107" s="1"/>
  <c r="AB41" i="107"/>
  <c r="AB42" i="107" s="1"/>
  <c r="AA41" i="107"/>
  <c r="AA42" i="107" s="1"/>
  <c r="Z41" i="107"/>
  <c r="Z42" i="107" s="1"/>
  <c r="Y41" i="107"/>
  <c r="X41" i="107"/>
  <c r="W41" i="107"/>
  <c r="V41" i="107"/>
  <c r="U41" i="107"/>
  <c r="U42" i="107" s="1"/>
  <c r="T41" i="107"/>
  <c r="T42" i="107" s="1"/>
  <c r="S41" i="107"/>
  <c r="S42" i="107" s="1"/>
  <c r="T22" i="107"/>
  <c r="U22" i="107"/>
  <c r="V22" i="107"/>
  <c r="W22" i="107"/>
  <c r="X22" i="107"/>
  <c r="Y22" i="107"/>
  <c r="Z22" i="107"/>
  <c r="AA22" i="107"/>
  <c r="AB22" i="107"/>
  <c r="AC22" i="107"/>
  <c r="AD22" i="107"/>
  <c r="AE22" i="107"/>
  <c r="AF22" i="107"/>
  <c r="T23" i="107"/>
  <c r="U23" i="107"/>
  <c r="V23" i="107"/>
  <c r="W23" i="107"/>
  <c r="X23" i="107"/>
  <c r="Y23" i="107"/>
  <c r="Z23" i="107"/>
  <c r="AA23" i="107"/>
  <c r="AB23" i="107"/>
  <c r="AC23" i="107"/>
  <c r="AD23" i="107"/>
  <c r="AE23" i="107"/>
  <c r="AF23" i="107"/>
  <c r="T24" i="107"/>
  <c r="U24" i="107"/>
  <c r="V24" i="107"/>
  <c r="W24" i="107"/>
  <c r="X24" i="107"/>
  <c r="Y24" i="107"/>
  <c r="Z24" i="107"/>
  <c r="AA24" i="107"/>
  <c r="AB24" i="107"/>
  <c r="AC24" i="107"/>
  <c r="AD24" i="107"/>
  <c r="AE24" i="107"/>
  <c r="AF24" i="107"/>
  <c r="T25" i="107"/>
  <c r="U25" i="107"/>
  <c r="V25" i="107"/>
  <c r="W25" i="107"/>
  <c r="X25" i="107"/>
  <c r="Y25" i="107"/>
  <c r="Z25" i="107"/>
  <c r="AA25" i="107"/>
  <c r="AB25" i="107"/>
  <c r="AC25" i="107"/>
  <c r="AD25" i="107"/>
  <c r="AE25" i="107"/>
  <c r="AF25" i="107"/>
  <c r="T26" i="107"/>
  <c r="U26" i="107"/>
  <c r="V26" i="107"/>
  <c r="W26" i="107"/>
  <c r="X26" i="107"/>
  <c r="Y26" i="107"/>
  <c r="Z26" i="107"/>
  <c r="AA26" i="107"/>
  <c r="AB26" i="107"/>
  <c r="AC26" i="107"/>
  <c r="AD26" i="107"/>
  <c r="AE26" i="107"/>
  <c r="AF26" i="107"/>
  <c r="T27" i="107"/>
  <c r="U27" i="107"/>
  <c r="V27" i="107"/>
  <c r="W27" i="107"/>
  <c r="X27" i="107"/>
  <c r="Y27" i="107"/>
  <c r="Z27" i="107"/>
  <c r="AA27" i="107"/>
  <c r="AB27" i="107"/>
  <c r="AC27" i="107"/>
  <c r="AD27" i="107"/>
  <c r="AE27" i="107"/>
  <c r="AF27" i="107"/>
  <c r="T28" i="107"/>
  <c r="U28" i="107"/>
  <c r="V28" i="107"/>
  <c r="W28" i="107"/>
  <c r="X28" i="107"/>
  <c r="Y28" i="107"/>
  <c r="Z28" i="107"/>
  <c r="AA28" i="107"/>
  <c r="AB28" i="107"/>
  <c r="AC28" i="107"/>
  <c r="AD28" i="107"/>
  <c r="AE28" i="107"/>
  <c r="AF28" i="107"/>
  <c r="T29" i="107"/>
  <c r="U29" i="107"/>
  <c r="V29" i="107"/>
  <c r="W29" i="107"/>
  <c r="X29" i="107"/>
  <c r="Y29" i="107"/>
  <c r="Z29" i="107"/>
  <c r="AA29" i="107"/>
  <c r="AB29" i="107"/>
  <c r="AC29" i="107"/>
  <c r="AD29" i="107"/>
  <c r="AE29" i="107"/>
  <c r="AF29" i="107"/>
  <c r="T30" i="107"/>
  <c r="U30" i="107"/>
  <c r="V30" i="107"/>
  <c r="W30" i="107"/>
  <c r="X30" i="107"/>
  <c r="Y30" i="107"/>
  <c r="Z30" i="107"/>
  <c r="AA30" i="107"/>
  <c r="AB30" i="107"/>
  <c r="AC30" i="107"/>
  <c r="AD30" i="107"/>
  <c r="AE30" i="107"/>
  <c r="AF30" i="107"/>
  <c r="T31" i="107"/>
  <c r="U31" i="107"/>
  <c r="V31" i="107"/>
  <c r="W31" i="107"/>
  <c r="X31" i="107"/>
  <c r="Y31" i="107"/>
  <c r="Z31" i="107"/>
  <c r="AA31" i="107"/>
  <c r="AB31" i="107"/>
  <c r="AC31" i="107"/>
  <c r="AD31" i="107"/>
  <c r="AE31" i="107"/>
  <c r="AF31" i="107"/>
  <c r="T32" i="107"/>
  <c r="U32" i="107"/>
  <c r="V32" i="107"/>
  <c r="W32" i="107"/>
  <c r="X32" i="107"/>
  <c r="Y32" i="107"/>
  <c r="Z32" i="107"/>
  <c r="AA32" i="107"/>
  <c r="AB32" i="107"/>
  <c r="AC32" i="107"/>
  <c r="AD32" i="107"/>
  <c r="AE32" i="107"/>
  <c r="AF32" i="107"/>
  <c r="T33" i="107"/>
  <c r="U33" i="107"/>
  <c r="V33" i="107"/>
  <c r="W33" i="107"/>
  <c r="X33" i="107"/>
  <c r="Y33" i="107"/>
  <c r="Z33" i="107"/>
  <c r="AA33" i="107"/>
  <c r="AB33" i="107"/>
  <c r="AC33" i="107"/>
  <c r="AD33" i="107"/>
  <c r="AE33" i="107"/>
  <c r="AF33" i="107"/>
  <c r="S22" i="107"/>
  <c r="S33" i="107"/>
  <c r="S32" i="107"/>
  <c r="S31" i="107"/>
  <c r="S30" i="107"/>
  <c r="S29" i="107"/>
  <c r="S28" i="107"/>
  <c r="S27" i="107"/>
  <c r="S26" i="107"/>
  <c r="S25" i="107"/>
  <c r="S24" i="107"/>
  <c r="S23" i="107"/>
  <c r="C59" i="107"/>
  <c r="D59" i="107"/>
  <c r="E59" i="107"/>
  <c r="F59" i="107"/>
  <c r="G59" i="107"/>
  <c r="H59" i="107"/>
  <c r="I59" i="107"/>
  <c r="J59" i="107"/>
  <c r="K59" i="107"/>
  <c r="L59" i="107"/>
  <c r="M59" i="107"/>
  <c r="N59" i="107"/>
  <c r="C60" i="107"/>
  <c r="D60" i="107"/>
  <c r="E60" i="107"/>
  <c r="F60" i="107"/>
  <c r="G60" i="107"/>
  <c r="H60" i="107"/>
  <c r="I60" i="107"/>
  <c r="J60" i="107"/>
  <c r="K60" i="107"/>
  <c r="L60" i="107"/>
  <c r="M60" i="107"/>
  <c r="N60" i="107"/>
  <c r="C61" i="107"/>
  <c r="D61" i="107"/>
  <c r="E61" i="107"/>
  <c r="F61" i="107"/>
  <c r="G61" i="107"/>
  <c r="H61" i="107"/>
  <c r="I61" i="107"/>
  <c r="J61" i="107"/>
  <c r="K61" i="107"/>
  <c r="L61" i="107"/>
  <c r="M61" i="107"/>
  <c r="N61" i="107"/>
  <c r="C62" i="107"/>
  <c r="D62" i="107"/>
  <c r="E62" i="107"/>
  <c r="F62" i="107"/>
  <c r="G62" i="107"/>
  <c r="H62" i="107"/>
  <c r="I62" i="107"/>
  <c r="J62" i="107"/>
  <c r="K62" i="107"/>
  <c r="L62" i="107"/>
  <c r="M62" i="107"/>
  <c r="N62" i="107"/>
  <c r="C63" i="107"/>
  <c r="D63" i="107"/>
  <c r="E63" i="107"/>
  <c r="F63" i="107"/>
  <c r="G63" i="107"/>
  <c r="H63" i="107"/>
  <c r="I63" i="107"/>
  <c r="J63" i="107"/>
  <c r="K63" i="107"/>
  <c r="L63" i="107"/>
  <c r="M63" i="107"/>
  <c r="N63" i="107"/>
  <c r="C64" i="107"/>
  <c r="D64" i="107"/>
  <c r="E64" i="107"/>
  <c r="F64" i="107"/>
  <c r="G64" i="107"/>
  <c r="H64" i="107"/>
  <c r="I64" i="107"/>
  <c r="J64" i="107"/>
  <c r="K64" i="107"/>
  <c r="L64" i="107"/>
  <c r="M64" i="107"/>
  <c r="N64" i="107"/>
  <c r="C65" i="107"/>
  <c r="D65" i="107"/>
  <c r="E65" i="107"/>
  <c r="F65" i="107"/>
  <c r="G65" i="107"/>
  <c r="H65" i="107"/>
  <c r="I65" i="107"/>
  <c r="J65" i="107"/>
  <c r="P65" i="107" s="1"/>
  <c r="K65" i="107"/>
  <c r="L65" i="107"/>
  <c r="M65" i="107"/>
  <c r="N65" i="107"/>
  <c r="C66" i="107"/>
  <c r="D66" i="107"/>
  <c r="E66" i="107"/>
  <c r="F66" i="107"/>
  <c r="G66" i="107"/>
  <c r="H66" i="107"/>
  <c r="I66" i="107"/>
  <c r="J66" i="107"/>
  <c r="K66" i="107"/>
  <c r="L66" i="107"/>
  <c r="M66" i="107"/>
  <c r="N66" i="107"/>
  <c r="C67" i="107"/>
  <c r="D67" i="107"/>
  <c r="E67" i="107"/>
  <c r="F67" i="107"/>
  <c r="G67" i="107"/>
  <c r="H67" i="107"/>
  <c r="I67" i="107"/>
  <c r="J67" i="107"/>
  <c r="K67" i="107"/>
  <c r="L67" i="107"/>
  <c r="M67" i="107"/>
  <c r="N67" i="107"/>
  <c r="C68" i="107"/>
  <c r="D68" i="107"/>
  <c r="E68" i="107"/>
  <c r="F68" i="107"/>
  <c r="G68" i="107"/>
  <c r="H68" i="107"/>
  <c r="I68" i="107"/>
  <c r="J68" i="107"/>
  <c r="K68" i="107"/>
  <c r="L68" i="107"/>
  <c r="M68" i="107"/>
  <c r="N68" i="107"/>
  <c r="C69" i="107"/>
  <c r="D69" i="107"/>
  <c r="E69" i="107"/>
  <c r="F69" i="107"/>
  <c r="G69" i="107"/>
  <c r="H69" i="107"/>
  <c r="I69" i="107"/>
  <c r="J69" i="107"/>
  <c r="K69" i="107"/>
  <c r="L69" i="107"/>
  <c r="M69" i="107"/>
  <c r="N69" i="107"/>
  <c r="C70" i="107"/>
  <c r="D70" i="107"/>
  <c r="E70" i="107"/>
  <c r="F70" i="107"/>
  <c r="G70" i="107"/>
  <c r="H70" i="107"/>
  <c r="I70" i="107"/>
  <c r="J70" i="107"/>
  <c r="K70" i="107"/>
  <c r="L70" i="107"/>
  <c r="M70" i="107"/>
  <c r="N70" i="107"/>
  <c r="C71" i="107"/>
  <c r="D71" i="107"/>
  <c r="E71" i="107"/>
  <c r="F71" i="107"/>
  <c r="G71" i="107"/>
  <c r="H71" i="107"/>
  <c r="I71" i="107"/>
  <c r="J71" i="107"/>
  <c r="K71" i="107"/>
  <c r="L71" i="107"/>
  <c r="M71" i="107"/>
  <c r="N71" i="107"/>
  <c r="C72" i="107"/>
  <c r="D72" i="107"/>
  <c r="E72" i="107"/>
  <c r="F72" i="107"/>
  <c r="G72" i="107"/>
  <c r="H72" i="107"/>
  <c r="I72" i="107"/>
  <c r="J72" i="107"/>
  <c r="K72" i="107"/>
  <c r="L72" i="107"/>
  <c r="M72" i="107"/>
  <c r="N72" i="107"/>
  <c r="C73" i="107"/>
  <c r="D73" i="107"/>
  <c r="E73" i="107"/>
  <c r="F73" i="107"/>
  <c r="G73" i="107"/>
  <c r="H73" i="107"/>
  <c r="I73" i="107"/>
  <c r="J73" i="107"/>
  <c r="K73" i="107"/>
  <c r="L73" i="107"/>
  <c r="M73" i="107"/>
  <c r="N73" i="107"/>
  <c r="C74" i="107"/>
  <c r="D74" i="107"/>
  <c r="E74" i="107"/>
  <c r="F74" i="107"/>
  <c r="G74" i="107"/>
  <c r="H74" i="107"/>
  <c r="I74" i="107"/>
  <c r="J74" i="107"/>
  <c r="K74" i="107"/>
  <c r="L74" i="107"/>
  <c r="M74" i="107"/>
  <c r="N74" i="107"/>
  <c r="C75" i="107"/>
  <c r="D75" i="107"/>
  <c r="E75" i="107"/>
  <c r="F75" i="107"/>
  <c r="G75" i="107"/>
  <c r="H75" i="107"/>
  <c r="I75" i="107"/>
  <c r="J75" i="107"/>
  <c r="K75" i="107"/>
  <c r="L75" i="107"/>
  <c r="M75" i="107"/>
  <c r="N75" i="107"/>
  <c r="C76" i="107"/>
  <c r="D76" i="107"/>
  <c r="E76" i="107"/>
  <c r="F76" i="107"/>
  <c r="G76" i="107"/>
  <c r="H76" i="107"/>
  <c r="I76" i="107"/>
  <c r="J76" i="107"/>
  <c r="K76" i="107"/>
  <c r="L76" i="107"/>
  <c r="M76" i="107"/>
  <c r="N76" i="107"/>
  <c r="C77" i="107"/>
  <c r="D77" i="107"/>
  <c r="E77" i="107"/>
  <c r="F77" i="107"/>
  <c r="G77" i="107"/>
  <c r="H77" i="107"/>
  <c r="I77" i="107"/>
  <c r="J77" i="107"/>
  <c r="K77" i="107"/>
  <c r="L77" i="107"/>
  <c r="M77" i="107"/>
  <c r="N77" i="107"/>
  <c r="C78" i="107"/>
  <c r="D78" i="107"/>
  <c r="E78" i="107"/>
  <c r="F78" i="107"/>
  <c r="G78" i="107"/>
  <c r="H78" i="107"/>
  <c r="I78" i="107"/>
  <c r="J78" i="107"/>
  <c r="K78" i="107"/>
  <c r="L78" i="107"/>
  <c r="M78" i="107"/>
  <c r="N78" i="107"/>
  <c r="C79" i="107"/>
  <c r="D79" i="107"/>
  <c r="E79" i="107"/>
  <c r="F79" i="107"/>
  <c r="G79" i="107"/>
  <c r="H79" i="107"/>
  <c r="I79" i="107"/>
  <c r="J79" i="107"/>
  <c r="K79" i="107"/>
  <c r="L79" i="107"/>
  <c r="M79" i="107"/>
  <c r="N79" i="107"/>
  <c r="C80" i="107"/>
  <c r="D80" i="107"/>
  <c r="E80" i="107"/>
  <c r="F80" i="107"/>
  <c r="G80" i="107"/>
  <c r="H80" i="107"/>
  <c r="I80" i="107"/>
  <c r="J80" i="107"/>
  <c r="K80" i="107"/>
  <c r="L80" i="107"/>
  <c r="M80" i="107"/>
  <c r="N80" i="107"/>
  <c r="C81" i="107"/>
  <c r="D81" i="107"/>
  <c r="E81" i="107"/>
  <c r="F81" i="107"/>
  <c r="G81" i="107"/>
  <c r="H81" i="107"/>
  <c r="I81" i="107"/>
  <c r="J81" i="107"/>
  <c r="K81" i="107"/>
  <c r="L81" i="107"/>
  <c r="M81" i="107"/>
  <c r="N81" i="107"/>
  <c r="C82" i="107"/>
  <c r="D82" i="107"/>
  <c r="E82" i="107"/>
  <c r="F82" i="107"/>
  <c r="G82" i="107"/>
  <c r="H82" i="107"/>
  <c r="I82" i="107"/>
  <c r="J82" i="107"/>
  <c r="K82" i="107"/>
  <c r="L82" i="107"/>
  <c r="M82" i="107"/>
  <c r="N82" i="107"/>
  <c r="C83" i="107"/>
  <c r="D83" i="107"/>
  <c r="E83" i="107"/>
  <c r="F83" i="107"/>
  <c r="G83" i="107"/>
  <c r="H83" i="107"/>
  <c r="I83" i="107"/>
  <c r="J83" i="107"/>
  <c r="K83" i="107"/>
  <c r="L83" i="107"/>
  <c r="M83" i="107"/>
  <c r="N83" i="107"/>
  <c r="C84" i="107"/>
  <c r="D84" i="107"/>
  <c r="E84" i="107"/>
  <c r="F84" i="107"/>
  <c r="G84" i="107"/>
  <c r="H84" i="107"/>
  <c r="I84" i="107"/>
  <c r="J84" i="107"/>
  <c r="K84" i="107"/>
  <c r="L84" i="107"/>
  <c r="M84" i="107"/>
  <c r="N84" i="107"/>
  <c r="C85" i="107"/>
  <c r="D85" i="107"/>
  <c r="E85" i="107"/>
  <c r="F85" i="107"/>
  <c r="G85" i="107"/>
  <c r="H85" i="107"/>
  <c r="I85" i="107"/>
  <c r="J85" i="107"/>
  <c r="K85" i="107"/>
  <c r="L85" i="107"/>
  <c r="M85" i="107"/>
  <c r="N85" i="107"/>
  <c r="C86" i="107"/>
  <c r="D86" i="107"/>
  <c r="E86" i="107"/>
  <c r="F86" i="107"/>
  <c r="G86" i="107"/>
  <c r="H86" i="107"/>
  <c r="I86" i="107"/>
  <c r="J86" i="107"/>
  <c r="K86" i="107"/>
  <c r="L86" i="107"/>
  <c r="M86" i="107"/>
  <c r="N86" i="107"/>
  <c r="C87" i="107"/>
  <c r="D87" i="107"/>
  <c r="E87" i="107"/>
  <c r="F87" i="107"/>
  <c r="G87" i="107"/>
  <c r="H87" i="107"/>
  <c r="I87" i="107"/>
  <c r="J87" i="107"/>
  <c r="K87" i="107"/>
  <c r="L87" i="107"/>
  <c r="M87" i="107"/>
  <c r="N87" i="107"/>
  <c r="C88" i="107"/>
  <c r="D88" i="107"/>
  <c r="E88" i="107"/>
  <c r="F88" i="107"/>
  <c r="G88" i="107"/>
  <c r="H88" i="107"/>
  <c r="I88" i="107"/>
  <c r="J88" i="107"/>
  <c r="K88" i="107"/>
  <c r="L88" i="107"/>
  <c r="M88" i="107"/>
  <c r="N88" i="107"/>
  <c r="C89" i="107"/>
  <c r="D89" i="107"/>
  <c r="P89" i="107" s="1"/>
  <c r="E89" i="107"/>
  <c r="F89" i="107"/>
  <c r="G89" i="107"/>
  <c r="H89" i="107"/>
  <c r="I89" i="107"/>
  <c r="J89" i="107"/>
  <c r="K89" i="107"/>
  <c r="L89" i="107"/>
  <c r="M89" i="107"/>
  <c r="N89" i="107"/>
  <c r="C90" i="107"/>
  <c r="D90" i="107"/>
  <c r="E90" i="107"/>
  <c r="F90" i="107"/>
  <c r="G90" i="107"/>
  <c r="H90" i="107"/>
  <c r="I90" i="107"/>
  <c r="J90" i="107"/>
  <c r="K90" i="107"/>
  <c r="L90" i="107"/>
  <c r="M90" i="107"/>
  <c r="N90" i="107"/>
  <c r="C91" i="107"/>
  <c r="D91" i="107"/>
  <c r="E91" i="107"/>
  <c r="F91" i="107"/>
  <c r="G91" i="107"/>
  <c r="H91" i="107"/>
  <c r="I91" i="107"/>
  <c r="J91" i="107"/>
  <c r="K91" i="107"/>
  <c r="L91" i="107"/>
  <c r="M91" i="107"/>
  <c r="N91" i="107"/>
  <c r="C92" i="107"/>
  <c r="D92" i="107"/>
  <c r="E92" i="107"/>
  <c r="F92" i="107"/>
  <c r="G92" i="107"/>
  <c r="H92" i="107"/>
  <c r="I92" i="107"/>
  <c r="J92" i="107"/>
  <c r="K92" i="107"/>
  <c r="L92" i="107"/>
  <c r="M92" i="107"/>
  <c r="N92" i="107"/>
  <c r="C93" i="107"/>
  <c r="D93" i="107"/>
  <c r="E93" i="107"/>
  <c r="F93" i="107"/>
  <c r="G93" i="107"/>
  <c r="H93" i="107"/>
  <c r="I93" i="107"/>
  <c r="J93" i="107"/>
  <c r="K93" i="107"/>
  <c r="L93" i="107"/>
  <c r="M93" i="107"/>
  <c r="N93" i="107"/>
  <c r="C94" i="107"/>
  <c r="D94" i="107"/>
  <c r="E94" i="107"/>
  <c r="F94" i="107"/>
  <c r="G94" i="107"/>
  <c r="H94" i="107"/>
  <c r="I94" i="107"/>
  <c r="J94" i="107"/>
  <c r="K94" i="107"/>
  <c r="L94" i="107"/>
  <c r="M94" i="107"/>
  <c r="N94" i="107"/>
  <c r="C95" i="107"/>
  <c r="D95" i="107"/>
  <c r="E95" i="107"/>
  <c r="F95" i="107"/>
  <c r="G95" i="107"/>
  <c r="H95" i="107"/>
  <c r="I95" i="107"/>
  <c r="J95" i="107"/>
  <c r="K95" i="107"/>
  <c r="L95" i="107"/>
  <c r="M95" i="107"/>
  <c r="N95" i="107"/>
  <c r="C96" i="107"/>
  <c r="D96" i="107"/>
  <c r="E96" i="107"/>
  <c r="F96" i="107"/>
  <c r="G96" i="107"/>
  <c r="H96" i="107"/>
  <c r="I96" i="107"/>
  <c r="J96" i="107"/>
  <c r="K96" i="107"/>
  <c r="L96" i="107"/>
  <c r="M96" i="107"/>
  <c r="N96" i="107"/>
  <c r="C97" i="107"/>
  <c r="D97" i="107"/>
  <c r="E97" i="107"/>
  <c r="F97" i="107"/>
  <c r="G97" i="107"/>
  <c r="H97" i="107"/>
  <c r="I97" i="107"/>
  <c r="J97" i="107"/>
  <c r="K97" i="107"/>
  <c r="L97" i="107"/>
  <c r="M97" i="107"/>
  <c r="N97" i="107"/>
  <c r="C98" i="107"/>
  <c r="D98" i="107"/>
  <c r="E98" i="107"/>
  <c r="F98" i="107"/>
  <c r="G98" i="107"/>
  <c r="H98" i="107"/>
  <c r="I98" i="107"/>
  <c r="J98" i="107"/>
  <c r="K98" i="107"/>
  <c r="L98" i="107"/>
  <c r="M98" i="107"/>
  <c r="N98" i="107"/>
  <c r="C99" i="107"/>
  <c r="D99" i="107"/>
  <c r="E99" i="107"/>
  <c r="F99" i="107"/>
  <c r="G99" i="107"/>
  <c r="H99" i="107"/>
  <c r="I99" i="107"/>
  <c r="J99" i="107"/>
  <c r="K99" i="107"/>
  <c r="L99" i="107"/>
  <c r="M99" i="107"/>
  <c r="N99" i="107"/>
  <c r="C100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C101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C102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C103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C104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C105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D58" i="107"/>
  <c r="E58" i="107"/>
  <c r="F58" i="107"/>
  <c r="G58" i="107"/>
  <c r="H58" i="107"/>
  <c r="I58" i="107"/>
  <c r="J58" i="107"/>
  <c r="K58" i="107"/>
  <c r="L58" i="107"/>
  <c r="M58" i="107"/>
  <c r="N58" i="107"/>
  <c r="M58" i="101"/>
  <c r="N58" i="101"/>
  <c r="D58" i="101"/>
  <c r="E58" i="101"/>
  <c r="F58" i="101"/>
  <c r="G58" i="101"/>
  <c r="H58" i="101"/>
  <c r="I58" i="101"/>
  <c r="J58" i="101"/>
  <c r="K58" i="101"/>
  <c r="L58" i="101"/>
  <c r="C58" i="101"/>
  <c r="C58" i="107"/>
  <c r="P104" i="111" l="1"/>
  <c r="P100" i="111"/>
  <c r="P96" i="111"/>
  <c r="P92" i="111"/>
  <c r="P88" i="111"/>
  <c r="P84" i="111"/>
  <c r="P80" i="111"/>
  <c r="P76" i="111"/>
  <c r="P72" i="111"/>
  <c r="P68" i="111"/>
  <c r="P60" i="111"/>
  <c r="P103" i="111"/>
  <c r="P99" i="111"/>
  <c r="P95" i="111"/>
  <c r="P91" i="111"/>
  <c r="P87" i="111"/>
  <c r="P83" i="111"/>
  <c r="P79" i="111"/>
  <c r="P75" i="111"/>
  <c r="P71" i="111"/>
  <c r="P67" i="111"/>
  <c r="P63" i="111"/>
  <c r="P59" i="111"/>
  <c r="P102" i="111"/>
  <c r="P98" i="111"/>
  <c r="P94" i="111"/>
  <c r="P90" i="111"/>
  <c r="P86" i="111"/>
  <c r="P82" i="111"/>
  <c r="P78" i="111"/>
  <c r="P74" i="111"/>
  <c r="P70" i="111"/>
  <c r="P66" i="111"/>
  <c r="P62" i="111"/>
  <c r="P58" i="111"/>
  <c r="P104" i="107"/>
  <c r="P100" i="107"/>
  <c r="O97" i="107"/>
  <c r="O95" i="107"/>
  <c r="P92" i="107"/>
  <c r="O91" i="107"/>
  <c r="P88" i="107"/>
  <c r="O87" i="107"/>
  <c r="O85" i="107"/>
  <c r="P84" i="107"/>
  <c r="O83" i="107"/>
  <c r="P80" i="107"/>
  <c r="O79" i="107"/>
  <c r="O77" i="107"/>
  <c r="P76" i="107"/>
  <c r="O75" i="107"/>
  <c r="O73" i="107"/>
  <c r="P72" i="107"/>
  <c r="O69" i="107"/>
  <c r="P68" i="107"/>
  <c r="O65" i="107"/>
  <c r="P64" i="107"/>
  <c r="O61" i="107"/>
  <c r="P60" i="107"/>
  <c r="O101" i="107"/>
  <c r="P96" i="107"/>
  <c r="O93" i="107"/>
  <c r="O89" i="107"/>
  <c r="P85" i="107"/>
  <c r="O103" i="107"/>
  <c r="O99" i="107"/>
  <c r="P95" i="107"/>
  <c r="O105" i="107"/>
  <c r="O81" i="107"/>
  <c r="P81" i="107"/>
  <c r="O104" i="107"/>
  <c r="O102" i="107"/>
  <c r="O100" i="107"/>
  <c r="O98" i="107"/>
  <c r="O96" i="107"/>
  <c r="O94" i="107"/>
  <c r="O92" i="107"/>
  <c r="O90" i="107"/>
  <c r="O88" i="107"/>
  <c r="O86" i="107"/>
  <c r="O84" i="107"/>
  <c r="O82" i="107"/>
  <c r="O80" i="107"/>
  <c r="O78" i="107"/>
  <c r="O76" i="107"/>
  <c r="O74" i="107"/>
  <c r="O72" i="107"/>
  <c r="O71" i="107"/>
  <c r="O70" i="107"/>
  <c r="O68" i="107"/>
  <c r="O67" i="107"/>
  <c r="O66" i="107"/>
  <c r="O64" i="107"/>
  <c r="O63" i="107"/>
  <c r="O62" i="107"/>
  <c r="O60" i="107"/>
  <c r="O59" i="107"/>
  <c r="P77" i="107"/>
  <c r="P61" i="107"/>
  <c r="P73" i="107"/>
  <c r="P105" i="107"/>
  <c r="P101" i="107"/>
  <c r="P69" i="107"/>
  <c r="P97" i="107"/>
  <c r="P93" i="107"/>
  <c r="P103" i="107"/>
  <c r="P99" i="107"/>
  <c r="P91" i="107"/>
  <c r="P87" i="107"/>
  <c r="P83" i="107"/>
  <c r="P79" i="107"/>
  <c r="P75" i="107"/>
  <c r="P71" i="107"/>
  <c r="P67" i="107"/>
  <c r="P63" i="107"/>
  <c r="P59" i="107"/>
  <c r="P102" i="107"/>
  <c r="P98" i="107"/>
  <c r="P94" i="107"/>
  <c r="P90" i="107"/>
  <c r="P86" i="107"/>
  <c r="P82" i="107"/>
  <c r="P78" i="107"/>
  <c r="P74" i="107"/>
  <c r="P70" i="107"/>
  <c r="P66" i="107"/>
  <c r="P62" i="107"/>
  <c r="O58" i="107"/>
  <c r="P58" i="107"/>
  <c r="P30" i="104"/>
  <c r="P31" i="104"/>
  <c r="P32" i="104"/>
  <c r="P33" i="104"/>
  <c r="P34" i="104"/>
  <c r="P35" i="104"/>
  <c r="P36" i="104"/>
  <c r="P37" i="104"/>
  <c r="P38" i="104"/>
  <c r="P39" i="104"/>
  <c r="P40" i="104"/>
  <c r="P41" i="104"/>
  <c r="P42" i="104"/>
  <c r="P43" i="104"/>
  <c r="P44" i="104"/>
  <c r="P45" i="104"/>
  <c r="P46" i="104"/>
  <c r="P47" i="104"/>
  <c r="P48" i="104"/>
  <c r="P49" i="104"/>
  <c r="P50" i="104"/>
  <c r="P51" i="104"/>
  <c r="P52" i="104"/>
  <c r="P53" i="104"/>
  <c r="P54" i="104"/>
  <c r="P55" i="104"/>
  <c r="P56" i="104"/>
  <c r="P57" i="104"/>
  <c r="O30" i="104"/>
  <c r="O31" i="104"/>
  <c r="O32" i="104"/>
  <c r="N106" i="109" l="1"/>
  <c r="D106" i="101"/>
  <c r="E106" i="101"/>
  <c r="F106" i="101"/>
  <c r="G106" i="101"/>
  <c r="H106" i="101"/>
  <c r="I106" i="101"/>
  <c r="J106" i="101"/>
  <c r="K106" i="101"/>
  <c r="L106" i="101"/>
  <c r="M106" i="101"/>
  <c r="N106" i="101"/>
  <c r="C106" i="101"/>
  <c r="D106" i="109"/>
  <c r="C106" i="109"/>
  <c r="K5" i="94" l="1"/>
  <c r="C3" i="94"/>
  <c r="K6" i="98" l="1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7" l="1"/>
  <c r="K6" i="104"/>
  <c r="K6" i="108" s="1"/>
  <c r="K6" i="111" s="1"/>
  <c r="K5" i="104"/>
  <c r="K5" i="108" s="1"/>
  <c r="K5" i="111" s="1"/>
  <c r="K5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Y19" i="105"/>
  <c r="X19" i="105"/>
  <c r="X39" i="105" s="1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B27" i="103" s="1"/>
  <c r="AA19" i="103"/>
  <c r="AA27" i="103" s="1"/>
  <c r="Z19" i="103"/>
  <c r="Z27" i="103" s="1"/>
  <c r="Y19" i="103"/>
  <c r="Y27" i="103" s="1"/>
  <c r="X19" i="103"/>
  <c r="W19" i="103"/>
  <c r="W27" i="103" s="1"/>
  <c r="V19" i="103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AA26" i="95" s="1"/>
  <c r="W13" i="95"/>
  <c r="V13" i="95"/>
  <c r="U13" i="95"/>
  <c r="T13" i="95"/>
  <c r="AD21" i="95"/>
  <c r="AC20" i="95"/>
  <c r="T19" i="95"/>
  <c r="V27" i="103" l="1"/>
  <c r="AD27" i="103"/>
  <c r="Z39" i="105"/>
  <c r="U39" i="109"/>
  <c r="W27" i="99"/>
  <c r="W39" i="101"/>
  <c r="X27" i="103"/>
  <c r="Y39" i="109"/>
  <c r="AA39" i="101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U38" i="110" s="1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X26" i="103" s="1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AA26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U17" i="104"/>
  <c r="Y17" i="104"/>
  <c r="AC17" i="104"/>
  <c r="U19" i="104"/>
  <c r="Y19" i="104"/>
  <c r="AC19" i="104"/>
  <c r="U21" i="104"/>
  <c r="Y21" i="104"/>
  <c r="AC21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6" i="104"/>
  <c r="O40" i="104"/>
  <c r="O44" i="104"/>
  <c r="O48" i="104"/>
  <c r="O52" i="104"/>
  <c r="O56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T15" i="104"/>
  <c r="V15" i="104"/>
  <c r="X15" i="104"/>
  <c r="Z15" i="104"/>
  <c r="AB15" i="104"/>
  <c r="AD15" i="104"/>
  <c r="T16" i="104"/>
  <c r="V16" i="104"/>
  <c r="X16" i="104"/>
  <c r="Z16" i="104"/>
  <c r="AB16" i="104"/>
  <c r="AD16" i="104"/>
  <c r="T17" i="104"/>
  <c r="V17" i="104"/>
  <c r="X17" i="104"/>
  <c r="Z17" i="104"/>
  <c r="AB17" i="104"/>
  <c r="AD17" i="104"/>
  <c r="T18" i="104"/>
  <c r="V18" i="104"/>
  <c r="X18" i="104"/>
  <c r="Z18" i="104"/>
  <c r="AB18" i="104"/>
  <c r="AD18" i="104"/>
  <c r="T19" i="104"/>
  <c r="V19" i="104"/>
  <c r="X19" i="104"/>
  <c r="Z19" i="104"/>
  <c r="AB19" i="104"/>
  <c r="AD19" i="104"/>
  <c r="T20" i="104"/>
  <c r="V20" i="104"/>
  <c r="X20" i="104"/>
  <c r="Z20" i="104"/>
  <c r="AB20" i="104"/>
  <c r="AD20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D106" i="107" s="1"/>
  <c r="E10" i="107"/>
  <c r="F10" i="107"/>
  <c r="F106" i="107" s="1"/>
  <c r="G10" i="107"/>
  <c r="H10" i="107"/>
  <c r="I10" i="107"/>
  <c r="J10" i="107"/>
  <c r="K10" i="107"/>
  <c r="L10" i="107"/>
  <c r="L106" i="107" s="1"/>
  <c r="M10" i="107"/>
  <c r="N10" i="107"/>
  <c r="N106" i="107" s="1"/>
  <c r="C10" i="107"/>
  <c r="T19" i="108" l="1"/>
  <c r="M106" i="107"/>
  <c r="E106" i="107"/>
  <c r="K106" i="107"/>
  <c r="I106" i="107"/>
  <c r="J106" i="107"/>
  <c r="H106" i="107"/>
  <c r="C106" i="107"/>
  <c r="G106" i="107"/>
  <c r="O106" i="101"/>
  <c r="C108" i="101" s="1"/>
  <c r="AF28" i="101"/>
  <c r="AB26" i="98"/>
  <c r="P106" i="101"/>
  <c r="C107" i="101" s="1"/>
  <c r="U38" i="109"/>
  <c r="AF25" i="101"/>
  <c r="V19" i="108"/>
  <c r="S38" i="110"/>
  <c r="X23" i="103"/>
  <c r="AF33" i="101"/>
  <c r="X36" i="101"/>
  <c r="Z26" i="95"/>
  <c r="P58" i="104"/>
  <c r="L59" i="104" s="1"/>
  <c r="V39" i="109"/>
  <c r="O106" i="109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P10" i="107"/>
  <c r="P106" i="107" s="1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Y24" i="99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Y34" i="108" l="1"/>
  <c r="T12" i="111"/>
  <c r="T13" i="111"/>
  <c r="O106" i="107"/>
  <c r="U39" i="107"/>
  <c r="AD12" i="111"/>
  <c r="S36" i="107"/>
  <c r="AD39" i="107"/>
  <c r="AF10" i="108"/>
  <c r="V22" i="93"/>
  <c r="AE24" i="98"/>
  <c r="V39" i="107"/>
  <c r="U36" i="107"/>
  <c r="C108" i="105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D37" i="111" l="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34" i="111" l="1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</calcChain>
</file>

<file path=xl/sharedStrings.xml><?xml version="1.0" encoding="utf-8"?>
<sst xmlns="http://schemas.openxmlformats.org/spreadsheetml/2006/main" count="2324" uniqueCount="177">
  <si>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</si>
  <si>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</si>
  <si>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</si>
  <si>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</si>
  <si>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</si>
  <si>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</si>
  <si>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</si>
  <si>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</si>
  <si>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</si>
  <si>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</si>
  <si>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</si>
  <si>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</si>
  <si>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</si>
  <si>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</si>
  <si>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</si>
  <si>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</si>
  <si>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</si>
  <si>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</si>
  <si>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</si>
  <si>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</si>
  <si>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</si>
  <si>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</si>
  <si>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</si>
  <si>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</si>
  <si>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</si>
  <si>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</si>
  <si>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</si>
  <si>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</si>
  <si>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</si>
  <si>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</si>
  <si>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</si>
  <si>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</si>
  <si>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</si>
  <si>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</si>
  <si>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</si>
  <si>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</si>
  <si>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</si>
  <si>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</si>
  <si>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</si>
  <si>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</si>
  <si>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</si>
  <si>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</si>
  <si>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</si>
  <si>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</si>
  <si>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</si>
  <si>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</si>
  <si>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</si>
  <si>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</si>
  <si>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</si>
  <si>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</si>
  <si>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</si>
  <si>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</si>
  <si>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</si>
  <si>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</si>
  <si>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</si>
  <si>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</si>
  <si>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</si>
  <si>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</si>
  <si>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</si>
  <si>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</si>
  <si>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</si>
  <si>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</si>
  <si>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</si>
  <si>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</si>
  <si>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</si>
  <si>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</si>
  <si>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</si>
  <si>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</si>
  <si>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</si>
  <si>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</si>
  <si>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</si>
  <si>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</si>
  <si>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</si>
  <si>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</si>
  <si>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</si>
  <si>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</si>
  <si>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</si>
  <si>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</si>
  <si>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</si>
  <si>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</si>
  <si>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</si>
  <si>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</si>
  <si>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</si>
  <si>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</si>
  <si>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</si>
  <si>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</si>
  <si>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</si>
  <si>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</si>
  <si>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</si>
  <si>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</si>
  <si>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</si>
  <si>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</si>
  <si>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</si>
  <si>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</si>
  <si>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</si>
  <si>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</si>
  <si>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</si>
  <si>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MCC - C1 - STN01 - MOBUTU ROAD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</si>
  <si>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</si>
  <si>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</si>
  <si>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</si>
  <si>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</si>
  <si>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</si>
  <si>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</si>
  <si>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</si>
  <si>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</si>
  <si>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</si>
  <si>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</si>
  <si>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</si>
  <si>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</si>
  <si>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</si>
  <si>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</si>
  <si>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</si>
  <si>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</si>
  <si>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</si>
  <si>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</si>
  <si>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</si>
  <si>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</si>
  <si>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</si>
  <si>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</si>
  <si>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</si>
  <si>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</si>
  <si>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</si>
  <si>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</si>
  <si>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</si>
  <si>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</si>
  <si>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</si>
  <si>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</si>
  <si>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</si>
  <si>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</si>
  <si>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</si>
  <si>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</si>
  <si>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</si>
  <si>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</si>
  <si>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</si>
  <si>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</si>
  <si>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</si>
  <si>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</si>
  <si>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</si>
  <si>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</si>
  <si>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</si>
  <si>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</si>
  <si>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</si>
  <si>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</si>
  <si>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</si>
  <si>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</si>
  <si>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</si>
  <si>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</si>
  <si>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</si>
  <si>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</si>
  <si>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</si>
  <si>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</si>
  <si>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</si>
  <si>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</si>
  <si>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</si>
  <si>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</si>
  <si>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</si>
  <si>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</si>
  <si>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</si>
  <si>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</si>
  <si>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</si>
  <si>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</si>
  <si>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</si>
  <si>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22.07.19</t>
  </si>
  <si>
    <t>23.07.19</t>
  </si>
  <si>
    <t>24.07.19</t>
  </si>
  <si>
    <t>25.07.19</t>
  </si>
  <si>
    <t>26.07.19</t>
  </si>
  <si>
    <t>27.07.19</t>
  </si>
  <si>
    <t>28.07.19</t>
  </si>
  <si>
    <t>AVERAGE WEEK</t>
  </si>
  <si>
    <t>FUELEX MAKINDYE</t>
  </si>
  <si>
    <t>EMMA</t>
  </si>
  <si>
    <t>KIBUYE</t>
  </si>
  <si>
    <t>MAKINDYE</t>
  </si>
  <si>
    <t>WAKWESA ALLAN/CHEMONGES KENNETH/SSONKO SAMUEL/OWOMUGISHA BRENDA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</si>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</sst>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Kibuye-Makindye'!$AE$9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Kibuye-Makindye'!$AE$10:$AE$21</c:f>
              <c:numCache>
                <c:formatCode>0</c:formatCode>
                <c:ptCount val="12"/>
                <c:pt idx="0">
                  <c:v>138</c:v>
                </c:pt>
                <c:pt idx="1">
                  <c:v>373</c:v>
                </c:pt>
                <c:pt idx="2">
                  <c:v>368</c:v>
                </c:pt>
                <c:pt idx="3">
                  <c:v>323</c:v>
                </c:pt>
                <c:pt idx="4">
                  <c:v>391</c:v>
                </c:pt>
                <c:pt idx="5">
                  <c:v>351</c:v>
                </c:pt>
                <c:pt idx="6">
                  <c:v>382</c:v>
                </c:pt>
                <c:pt idx="7">
                  <c:v>367</c:v>
                </c:pt>
                <c:pt idx="8">
                  <c:v>342</c:v>
                </c:pt>
                <c:pt idx="9">
                  <c:v>488</c:v>
                </c:pt>
                <c:pt idx="10">
                  <c:v>443</c:v>
                </c:pt>
                <c:pt idx="11">
                  <c:v>367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'22.07 Kibuye-Makindye'!$AF$9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Kibuye-Makindye'!$AF$10:$AF$21</c:f>
              <c:numCache>
                <c:formatCode>0</c:formatCode>
                <c:ptCount val="12"/>
                <c:pt idx="0">
                  <c:v>473</c:v>
                </c:pt>
                <c:pt idx="1">
                  <c:v>1293</c:v>
                </c:pt>
                <c:pt idx="2">
                  <c:v>1173</c:v>
                </c:pt>
                <c:pt idx="3">
                  <c:v>893</c:v>
                </c:pt>
                <c:pt idx="4">
                  <c:v>1011</c:v>
                </c:pt>
                <c:pt idx="5">
                  <c:v>1066</c:v>
                </c:pt>
                <c:pt idx="6">
                  <c:v>1082</c:v>
                </c:pt>
                <c:pt idx="7">
                  <c:v>897</c:v>
                </c:pt>
                <c:pt idx="8">
                  <c:v>700</c:v>
                </c:pt>
                <c:pt idx="9">
                  <c:v>1013</c:v>
                </c:pt>
                <c:pt idx="10">
                  <c:v>963</c:v>
                </c:pt>
                <c:pt idx="11">
                  <c:v>922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440536"/>
        <c:axId val="350435048"/>
      </c:lineChart>
      <c:catAx>
        <c:axId val="3504405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435048"/>
        <c:crosses val="autoZero"/>
        <c:auto val="1"/>
        <c:lblAlgn val="ctr"/>
        <c:lblOffset val="100"/>
        <c:noMultiLvlLbl val="0"/>
      </c:catAx>
      <c:valAx>
        <c:axId val="350435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44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Kibuye-Makindye'!$C$9:$N$9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Kibuye-Makindye'!$C$59:$N$59</c:f>
              <c:numCache>
                <c:formatCode>0.0%</c:formatCode>
                <c:ptCount val="12"/>
                <c:pt idx="0">
                  <c:v>0.16803064600383075</c:v>
                </c:pt>
                <c:pt idx="1">
                  <c:v>6.9214696151837021E-2</c:v>
                </c:pt>
                <c:pt idx="2">
                  <c:v>2.664112833014104E-2</c:v>
                </c:pt>
                <c:pt idx="3">
                  <c:v>8.5495385686923206E-2</c:v>
                </c:pt>
                <c:pt idx="4">
                  <c:v>1.3930001741250218E-3</c:v>
                </c:pt>
                <c:pt idx="5">
                  <c:v>3.4825004353125546E-4</c:v>
                </c:pt>
                <c:pt idx="6">
                  <c:v>1.2711126588890823E-2</c:v>
                </c:pt>
                <c:pt idx="7">
                  <c:v>9.4027511753438965E-3</c:v>
                </c:pt>
                <c:pt idx="8">
                  <c:v>3.4825004353125546E-3</c:v>
                </c:pt>
                <c:pt idx="9">
                  <c:v>5.2237506529688319E-4</c:v>
                </c:pt>
                <c:pt idx="10">
                  <c:v>0.62275814034476751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Kibuye-Makindye'!$C$9:$N$9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Kibuye-Makindye'!$C$60:$N$60</c:f>
              <c:numCache>
                <c:formatCode>0.00%</c:formatCode>
                <c:ptCount val="12"/>
                <c:pt idx="0">
                  <c:v>0.44541887837525962</c:v>
                </c:pt>
                <c:pt idx="1">
                  <c:v>0.18347565197322871</c:v>
                </c:pt>
                <c:pt idx="2">
                  <c:v>7.0620816985922E-2</c:v>
                </c:pt>
                <c:pt idx="3">
                  <c:v>0.22663281790906992</c:v>
                </c:pt>
                <c:pt idx="4">
                  <c:v>3.6925917378259868E-3</c:v>
                </c:pt>
                <c:pt idx="5">
                  <c:v>9.231479344564967E-4</c:v>
                </c:pt>
                <c:pt idx="6">
                  <c:v>3.3694899607662129E-2</c:v>
                </c:pt>
                <c:pt idx="7">
                  <c:v>2.492499423032541E-2</c:v>
                </c:pt>
                <c:pt idx="8">
                  <c:v>9.2314793445649659E-3</c:v>
                </c:pt>
                <c:pt idx="9">
                  <c:v>1.3847219016847449E-3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Makindye-Kibuye'!$AE$9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Makindye-Kibuye'!$AE$10:$AE$21</c:f>
              <c:numCache>
                <c:formatCode>0</c:formatCode>
                <c:ptCount val="12"/>
                <c:pt idx="0">
                  <c:v>168</c:v>
                </c:pt>
                <c:pt idx="1">
                  <c:v>314</c:v>
                </c:pt>
                <c:pt idx="2">
                  <c:v>398</c:v>
                </c:pt>
                <c:pt idx="3">
                  <c:v>396</c:v>
                </c:pt>
                <c:pt idx="4">
                  <c:v>404</c:v>
                </c:pt>
                <c:pt idx="5">
                  <c:v>385</c:v>
                </c:pt>
                <c:pt idx="6">
                  <c:v>380</c:v>
                </c:pt>
                <c:pt idx="7">
                  <c:v>350</c:v>
                </c:pt>
                <c:pt idx="8">
                  <c:v>327</c:v>
                </c:pt>
                <c:pt idx="9">
                  <c:v>405</c:v>
                </c:pt>
                <c:pt idx="10">
                  <c:v>271</c:v>
                </c:pt>
                <c:pt idx="11">
                  <c:v>257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'22.07 Makindye-Kibuye'!$AF$9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Makindye-Kibuye'!$AF$10:$AF$21</c:f>
              <c:numCache>
                <c:formatCode>0</c:formatCode>
                <c:ptCount val="12"/>
                <c:pt idx="0">
                  <c:v>738</c:v>
                </c:pt>
                <c:pt idx="1">
                  <c:v>984</c:v>
                </c:pt>
                <c:pt idx="2">
                  <c:v>988</c:v>
                </c:pt>
                <c:pt idx="3">
                  <c:v>1256</c:v>
                </c:pt>
                <c:pt idx="4">
                  <c:v>1209</c:v>
                </c:pt>
                <c:pt idx="5">
                  <c:v>1135</c:v>
                </c:pt>
                <c:pt idx="6">
                  <c:v>1080</c:v>
                </c:pt>
                <c:pt idx="7">
                  <c:v>895</c:v>
                </c:pt>
                <c:pt idx="8">
                  <c:v>643</c:v>
                </c:pt>
                <c:pt idx="9">
                  <c:v>1085</c:v>
                </c:pt>
                <c:pt idx="10">
                  <c:v>606</c:v>
                </c:pt>
                <c:pt idx="11">
                  <c:v>648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437008"/>
        <c:axId val="350446808"/>
      </c:lineChart>
      <c:catAx>
        <c:axId val="350437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446808"/>
        <c:crosses val="autoZero"/>
        <c:auto val="1"/>
        <c:lblAlgn val="ctr"/>
        <c:lblOffset val="100"/>
        <c:noMultiLvlLbl val="0"/>
      </c:catAx>
      <c:valAx>
        <c:axId val="3504468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43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Makindye-Kibuye'!$C$9:$N$9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Makindye-Kibuye'!$C$59:$N$59</c:f>
              <c:numCache>
                <c:formatCode>0.0%</c:formatCode>
                <c:ptCount val="12"/>
                <c:pt idx="0">
                  <c:v>0.18478743232448744</c:v>
                </c:pt>
                <c:pt idx="1">
                  <c:v>1.9614804295730894E-2</c:v>
                </c:pt>
                <c:pt idx="2">
                  <c:v>1.9171030442886306E-2</c:v>
                </c:pt>
                <c:pt idx="3">
                  <c:v>0.11839886393893671</c:v>
                </c:pt>
                <c:pt idx="4">
                  <c:v>8.8754770568918084E-4</c:v>
                </c:pt>
                <c:pt idx="5">
                  <c:v>0</c:v>
                </c:pt>
                <c:pt idx="6">
                  <c:v>8.6979675157539717E-3</c:v>
                </c:pt>
                <c:pt idx="7">
                  <c:v>6.9228721043756098E-3</c:v>
                </c:pt>
                <c:pt idx="8">
                  <c:v>8.8754770568918084E-4</c:v>
                </c:pt>
                <c:pt idx="9">
                  <c:v>4.4377385284459042E-4</c:v>
                </c:pt>
                <c:pt idx="10">
                  <c:v>0.64009940534303722</c:v>
                </c:pt>
                <c:pt idx="11">
                  <c:v>8.8754770568918079E-5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Makindye-Kibuye'!$S$9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Makindye-Kibuye'!$S$10:$S$21</c:f>
              <c:numCache>
                <c:formatCode>0</c:formatCode>
                <c:ptCount val="12"/>
                <c:pt idx="0">
                  <c:v>140</c:v>
                </c:pt>
                <c:pt idx="1">
                  <c:v>233</c:v>
                </c:pt>
                <c:pt idx="2">
                  <c:v>217</c:v>
                </c:pt>
                <c:pt idx="3">
                  <c:v>174</c:v>
                </c:pt>
                <c:pt idx="4">
                  <c:v>178</c:v>
                </c:pt>
                <c:pt idx="5">
                  <c:v>140</c:v>
                </c:pt>
                <c:pt idx="6">
                  <c:v>161</c:v>
                </c:pt>
                <c:pt idx="7">
                  <c:v>160</c:v>
                </c:pt>
                <c:pt idx="8">
                  <c:v>172</c:v>
                </c:pt>
                <c:pt idx="9">
                  <c:v>236</c:v>
                </c:pt>
                <c:pt idx="10">
                  <c:v>160</c:v>
                </c:pt>
                <c:pt idx="11">
                  <c:v>111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'22.07 Makindye-Kibuye'!$T$9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Makindye-Kibuye'!$T$10:$T$21</c:f>
              <c:numCache>
                <c:formatCode>0</c:formatCode>
                <c:ptCount val="12"/>
                <c:pt idx="0">
                  <c:v>13</c:v>
                </c:pt>
                <c:pt idx="1">
                  <c:v>23</c:v>
                </c:pt>
                <c:pt idx="2">
                  <c:v>33</c:v>
                </c:pt>
                <c:pt idx="3">
                  <c:v>21</c:v>
                </c:pt>
                <c:pt idx="4">
                  <c:v>16</c:v>
                </c:pt>
                <c:pt idx="5">
                  <c:v>17</c:v>
                </c:pt>
                <c:pt idx="6">
                  <c:v>11</c:v>
                </c:pt>
                <c:pt idx="7">
                  <c:v>20</c:v>
                </c:pt>
                <c:pt idx="8">
                  <c:v>18</c:v>
                </c:pt>
                <c:pt idx="9">
                  <c:v>29</c:v>
                </c:pt>
                <c:pt idx="10">
                  <c:v>13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'22.07 Makindye-Kibuye'!$U$9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'22.07 Makindye-Kibuye'!$U$10:$U$21</c:f>
              <c:numCache>
                <c:formatCode>0</c:formatCode>
                <c:ptCount val="12"/>
                <c:pt idx="0">
                  <c:v>6</c:v>
                </c:pt>
                <c:pt idx="1">
                  <c:v>24</c:v>
                </c:pt>
                <c:pt idx="2">
                  <c:v>21</c:v>
                </c:pt>
                <c:pt idx="3">
                  <c:v>28</c:v>
                </c:pt>
                <c:pt idx="4">
                  <c:v>25</c:v>
                </c:pt>
                <c:pt idx="5">
                  <c:v>12</c:v>
                </c:pt>
                <c:pt idx="6">
                  <c:v>23</c:v>
                </c:pt>
                <c:pt idx="7">
                  <c:v>13</c:v>
                </c:pt>
                <c:pt idx="8">
                  <c:v>15</c:v>
                </c:pt>
                <c:pt idx="9">
                  <c:v>33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'22.07 Makindye-Kibuye'!$V$9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'22.07 Makindye-Kibuye'!$V$10:$V$21</c:f>
              <c:numCache>
                <c:formatCode>0</c:formatCode>
                <c:ptCount val="12"/>
                <c:pt idx="0">
                  <c:v>3</c:v>
                </c:pt>
                <c:pt idx="1">
                  <c:v>18</c:v>
                </c:pt>
                <c:pt idx="2">
                  <c:v>106</c:v>
                </c:pt>
                <c:pt idx="3">
                  <c:v>156</c:v>
                </c:pt>
                <c:pt idx="4">
                  <c:v>170</c:v>
                </c:pt>
                <c:pt idx="5">
                  <c:v>206</c:v>
                </c:pt>
                <c:pt idx="6">
                  <c:v>159</c:v>
                </c:pt>
                <c:pt idx="7">
                  <c:v>137</c:v>
                </c:pt>
                <c:pt idx="8">
                  <c:v>103</c:v>
                </c:pt>
                <c:pt idx="9">
                  <c:v>87</c:v>
                </c:pt>
                <c:pt idx="10">
                  <c:v>70</c:v>
                </c:pt>
                <c:pt idx="1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'22.07 Makindye-Kibuye'!$W$9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'22.07 Makindye-Kibuye'!$W$10:$W$21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'22.07 Makindye-Kibuye'!$X$9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'22.07 Makindye-Kibuye'!$X$10:$X$21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'22.07 Makindye-Kibuye'!$Y$9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Makindye-Kibuye'!$Y$10:$Y$21</c:f>
              <c:numCache>
                <c:formatCode>0</c:formatCode>
                <c:ptCount val="12"/>
                <c:pt idx="0">
                  <c:v>4</c:v>
                </c:pt>
                <c:pt idx="1">
                  <c:v>8</c:v>
                </c:pt>
                <c:pt idx="2">
                  <c:v>11</c:v>
                </c:pt>
                <c:pt idx="3">
                  <c:v>6</c:v>
                </c:pt>
                <c:pt idx="4">
                  <c:v>10</c:v>
                </c:pt>
                <c:pt idx="5">
                  <c:v>6</c:v>
                </c:pt>
                <c:pt idx="6">
                  <c:v>16</c:v>
                </c:pt>
                <c:pt idx="7">
                  <c:v>11</c:v>
                </c:pt>
                <c:pt idx="8">
                  <c:v>4</c:v>
                </c:pt>
                <c:pt idx="9">
                  <c:v>10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'22.07 Makindye-Kibuye'!$Z$9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Makindye-Kibuye'!$Z$10:$Z$21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9</c:v>
                </c:pt>
                <c:pt idx="4">
                  <c:v>1</c:v>
                </c:pt>
                <c:pt idx="5">
                  <c:v>4</c:v>
                </c:pt>
                <c:pt idx="6">
                  <c:v>8</c:v>
                </c:pt>
                <c:pt idx="7">
                  <c:v>5</c:v>
                </c:pt>
                <c:pt idx="8">
                  <c:v>12</c:v>
                </c:pt>
                <c:pt idx="9">
                  <c:v>9</c:v>
                </c:pt>
                <c:pt idx="10">
                  <c:v>11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'22.07 Makindye-Kibuye'!$AA$9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Makindye-Kibuye'!$AA$10:$AA$21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'22.07 Makindye-Kibuye'!$AB$9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Makindye-Kibuye'!$AB$10:$AB$21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'22.07 Makindye-Kibuye'!$AC$9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Makindye-Kibuye'!$AC$10:$AC$21</c:f>
              <c:numCache>
                <c:formatCode>0</c:formatCode>
                <c:ptCount val="12"/>
                <c:pt idx="0">
                  <c:v>570</c:v>
                </c:pt>
                <c:pt idx="1">
                  <c:v>670</c:v>
                </c:pt>
                <c:pt idx="2">
                  <c:v>590</c:v>
                </c:pt>
                <c:pt idx="3">
                  <c:v>860</c:v>
                </c:pt>
                <c:pt idx="4">
                  <c:v>805</c:v>
                </c:pt>
                <c:pt idx="5">
                  <c:v>750</c:v>
                </c:pt>
                <c:pt idx="6">
                  <c:v>700</c:v>
                </c:pt>
                <c:pt idx="7">
                  <c:v>545</c:v>
                </c:pt>
                <c:pt idx="8">
                  <c:v>316</c:v>
                </c:pt>
                <c:pt idx="9">
                  <c:v>680</c:v>
                </c:pt>
                <c:pt idx="10">
                  <c:v>335</c:v>
                </c:pt>
                <c:pt idx="11">
                  <c:v>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'22.07 Makindye-Kibuye'!$AD$9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Makindye-Kibuye'!$AD$10:$AD$21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438576"/>
        <c:axId val="350440928"/>
      </c:lineChart>
      <c:catAx>
        <c:axId val="35043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440928"/>
        <c:crosses val="autoZero"/>
        <c:auto val="1"/>
        <c:lblAlgn val="ctr"/>
        <c:lblOffset val="100"/>
        <c:noMultiLvlLbl val="0"/>
      </c:catAx>
      <c:valAx>
        <c:axId val="35044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43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Makindye-Kibuye'!$C$9:$N$9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Makindye-Kibuye'!$C$60:$N$60</c:f>
              <c:numCache>
                <c:formatCode>0.00%</c:formatCode>
                <c:ptCount val="12"/>
                <c:pt idx="0">
                  <c:v>0.51344019728729962</c:v>
                </c:pt>
                <c:pt idx="1">
                  <c:v>5.4500616522811345E-2</c:v>
                </c:pt>
                <c:pt idx="2">
                  <c:v>5.3267570900123302E-2</c:v>
                </c:pt>
                <c:pt idx="3">
                  <c:v>0.32897657213316894</c:v>
                </c:pt>
                <c:pt idx="4">
                  <c:v>2.4660912453760789E-3</c:v>
                </c:pt>
                <c:pt idx="5">
                  <c:v>0</c:v>
                </c:pt>
                <c:pt idx="6">
                  <c:v>2.4167694204685574E-2</c:v>
                </c:pt>
                <c:pt idx="7">
                  <c:v>1.9235511713933416E-2</c:v>
                </c:pt>
                <c:pt idx="8">
                  <c:v>2.4660912453760789E-3</c:v>
                </c:pt>
                <c:pt idx="9">
                  <c:v>1.2330456226880395E-3</c:v>
                </c:pt>
                <c:pt idx="11">
                  <c:v>2.4660912453760788E-4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Kibuye-Makindye'!$AE$9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Kibuye-Makindye'!$AE$10:$AE$21</c:f>
              <c:numCache>
                <c:formatCode>0</c:formatCode>
                <c:ptCount val="12"/>
                <c:pt idx="0">
                  <c:v>354</c:v>
                </c:pt>
                <c:pt idx="1">
                  <c:v>350</c:v>
                </c:pt>
                <c:pt idx="2">
                  <c:v>385</c:v>
                </c:pt>
                <c:pt idx="3">
                  <c:v>390</c:v>
                </c:pt>
                <c:pt idx="4">
                  <c:v>345</c:v>
                </c:pt>
                <c:pt idx="5">
                  <c:v>433</c:v>
                </c:pt>
                <c:pt idx="6">
                  <c:v>424</c:v>
                </c:pt>
                <c:pt idx="7">
                  <c:v>456</c:v>
                </c:pt>
                <c:pt idx="8">
                  <c:v>452</c:v>
                </c:pt>
                <c:pt idx="9">
                  <c:v>392</c:v>
                </c:pt>
                <c:pt idx="10">
                  <c:v>481</c:v>
                </c:pt>
                <c:pt idx="11">
                  <c:v>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'23.07 Kibuye-Makindye'!$AF$9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Kibuye-Makindye'!$AF$10:$AF$21</c:f>
              <c:numCache>
                <c:formatCode>0</c:formatCode>
                <c:ptCount val="12"/>
                <c:pt idx="0">
                  <c:v>959</c:v>
                </c:pt>
                <c:pt idx="1">
                  <c:v>980</c:v>
                </c:pt>
                <c:pt idx="2">
                  <c:v>1050</c:v>
                </c:pt>
                <c:pt idx="3">
                  <c:v>1140</c:v>
                </c:pt>
                <c:pt idx="4">
                  <c:v>1030</c:v>
                </c:pt>
                <c:pt idx="5">
                  <c:v>1155</c:v>
                </c:pt>
                <c:pt idx="6">
                  <c:v>1053</c:v>
                </c:pt>
                <c:pt idx="7">
                  <c:v>933</c:v>
                </c:pt>
                <c:pt idx="8">
                  <c:v>1107</c:v>
                </c:pt>
                <c:pt idx="9">
                  <c:v>1032</c:v>
                </c:pt>
                <c:pt idx="10">
                  <c:v>1151</c:v>
                </c:pt>
                <c:pt idx="11">
                  <c:v>859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438968"/>
        <c:axId val="350441320"/>
      </c:lineChart>
      <c:catAx>
        <c:axId val="3504389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441320"/>
        <c:crosses val="autoZero"/>
        <c:auto val="1"/>
        <c:lblAlgn val="ctr"/>
        <c:lblOffset val="100"/>
        <c:noMultiLvlLbl val="0"/>
      </c:catAx>
      <c:valAx>
        <c:axId val="350441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43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Kibuye-Makindye'!$C$9:$N$9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Kibuye-Makindye'!$C$59:$N$59</c:f>
              <c:numCache>
                <c:formatCode>0.0%</c:formatCode>
                <c:ptCount val="12"/>
                <c:pt idx="0">
                  <c:v>0.16499317214234074</c:v>
                </c:pt>
                <c:pt idx="1">
                  <c:v>6.6270383163306287E-2</c:v>
                </c:pt>
                <c:pt idx="2">
                  <c:v>2.8034380271507751E-2</c:v>
                </c:pt>
                <c:pt idx="3">
                  <c:v>9.727688971001687E-2</c:v>
                </c:pt>
                <c:pt idx="4">
                  <c:v>1.6065547433528797E-3</c:v>
                </c:pt>
                <c:pt idx="5">
                  <c:v>1.6065547433528798E-4</c:v>
                </c:pt>
                <c:pt idx="6">
                  <c:v>1.0844244517631938E-2</c:v>
                </c:pt>
                <c:pt idx="7">
                  <c:v>1.0603261306129007E-2</c:v>
                </c:pt>
                <c:pt idx="8">
                  <c:v>2.2491766406940315E-3</c:v>
                </c:pt>
                <c:pt idx="9">
                  <c:v>2.4098321150293196E-4</c:v>
                </c:pt>
                <c:pt idx="10">
                  <c:v>0.61755964334484692</c:v>
                </c:pt>
                <c:pt idx="11">
                  <c:v>1.6065547433528798E-4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Kibuye-Makindye'!$S$9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Kibuye-Makindye'!$S$10:$S$21</c:f>
              <c:numCache>
                <c:formatCode>0</c:formatCode>
                <c:ptCount val="12"/>
                <c:pt idx="0">
                  <c:v>129</c:v>
                </c:pt>
                <c:pt idx="1">
                  <c:v>122</c:v>
                </c:pt>
                <c:pt idx="2">
                  <c:v>155</c:v>
                </c:pt>
                <c:pt idx="3">
                  <c:v>147</c:v>
                </c:pt>
                <c:pt idx="4">
                  <c:v>135</c:v>
                </c:pt>
                <c:pt idx="5">
                  <c:v>206</c:v>
                </c:pt>
                <c:pt idx="6">
                  <c:v>194</c:v>
                </c:pt>
                <c:pt idx="7">
                  <c:v>210</c:v>
                </c:pt>
                <c:pt idx="8">
                  <c:v>206</c:v>
                </c:pt>
                <c:pt idx="9">
                  <c:v>172</c:v>
                </c:pt>
                <c:pt idx="10">
                  <c:v>251</c:v>
                </c:pt>
                <c:pt idx="11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'23.07 Kibuye-Makindye'!$T$9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Kibuye-Makindye'!$T$10:$T$21</c:f>
              <c:numCache>
                <c:formatCode>0</c:formatCode>
                <c:ptCount val="12"/>
                <c:pt idx="0">
                  <c:v>37</c:v>
                </c:pt>
                <c:pt idx="1">
                  <c:v>40</c:v>
                </c:pt>
                <c:pt idx="2">
                  <c:v>51</c:v>
                </c:pt>
                <c:pt idx="3">
                  <c:v>60</c:v>
                </c:pt>
                <c:pt idx="4">
                  <c:v>57</c:v>
                </c:pt>
                <c:pt idx="5">
                  <c:v>73</c:v>
                </c:pt>
                <c:pt idx="6">
                  <c:v>76</c:v>
                </c:pt>
                <c:pt idx="7">
                  <c:v>89</c:v>
                </c:pt>
                <c:pt idx="8">
                  <c:v>90</c:v>
                </c:pt>
                <c:pt idx="9">
                  <c:v>84</c:v>
                </c:pt>
                <c:pt idx="10">
                  <c:v>105</c:v>
                </c:pt>
                <c:pt idx="11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'23.07 Kibuye-Makindye'!$U$9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Kibuye-Makindye'!$U$10:$U$21</c:f>
              <c:numCache>
                <c:formatCode>0</c:formatCode>
                <c:ptCount val="12"/>
                <c:pt idx="0">
                  <c:v>15</c:v>
                </c:pt>
                <c:pt idx="1">
                  <c:v>17</c:v>
                </c:pt>
                <c:pt idx="2">
                  <c:v>20</c:v>
                </c:pt>
                <c:pt idx="3">
                  <c:v>32</c:v>
                </c:pt>
                <c:pt idx="4">
                  <c:v>26</c:v>
                </c:pt>
                <c:pt idx="5">
                  <c:v>27</c:v>
                </c:pt>
                <c:pt idx="6">
                  <c:v>40</c:v>
                </c:pt>
                <c:pt idx="7">
                  <c:v>25</c:v>
                </c:pt>
                <c:pt idx="8">
                  <c:v>45</c:v>
                </c:pt>
                <c:pt idx="9">
                  <c:v>42</c:v>
                </c:pt>
                <c:pt idx="10">
                  <c:v>35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'23.07 Kibuye-Makindye'!$V$9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Kibuye-Makindye'!$V$10:$V$21</c:f>
              <c:numCache>
                <c:formatCode>0</c:formatCode>
                <c:ptCount val="12"/>
                <c:pt idx="0">
                  <c:v>160</c:v>
                </c:pt>
                <c:pt idx="1">
                  <c:v>157</c:v>
                </c:pt>
                <c:pt idx="2">
                  <c:v>131</c:v>
                </c:pt>
                <c:pt idx="3">
                  <c:v>118</c:v>
                </c:pt>
                <c:pt idx="4">
                  <c:v>97</c:v>
                </c:pt>
                <c:pt idx="5">
                  <c:v>100</c:v>
                </c:pt>
                <c:pt idx="6">
                  <c:v>89</c:v>
                </c:pt>
                <c:pt idx="7">
                  <c:v>97</c:v>
                </c:pt>
                <c:pt idx="8">
                  <c:v>81</c:v>
                </c:pt>
                <c:pt idx="9">
                  <c:v>68</c:v>
                </c:pt>
                <c:pt idx="10">
                  <c:v>58</c:v>
                </c:pt>
                <c:pt idx="1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'23.07 Kibuye-Makindye'!$W$9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Kibuye-Makindye'!$W$10:$W$21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'23.07 Kibuye-Makindye'!$X$9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Kibuye-Makindye'!$X$10:$X$21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'23.07 Kibuye-Makindye'!$Y$9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Kibuye-Makindye'!$Y$10:$Y$21</c:f>
              <c:numCache>
                <c:formatCode>0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10</c:v>
                </c:pt>
                <c:pt idx="3">
                  <c:v>13</c:v>
                </c:pt>
                <c:pt idx="4">
                  <c:v>9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14</c:v>
                </c:pt>
                <c:pt idx="9">
                  <c:v>15</c:v>
                </c:pt>
                <c:pt idx="10">
                  <c:v>10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'23.07 Kibuye-Makindye'!$Z$9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Kibuye-Makindye'!$Z$10:$Z$21</c:f>
              <c:numCache>
                <c:formatCode>0</c:formatCode>
                <c:ptCount val="12"/>
                <c:pt idx="0">
                  <c:v>4</c:v>
                </c:pt>
                <c:pt idx="1">
                  <c:v>8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12</c:v>
                </c:pt>
                <c:pt idx="6">
                  <c:v>11</c:v>
                </c:pt>
                <c:pt idx="7">
                  <c:v>15</c:v>
                </c:pt>
                <c:pt idx="8">
                  <c:v>10</c:v>
                </c:pt>
                <c:pt idx="9">
                  <c:v>7</c:v>
                </c:pt>
                <c:pt idx="10">
                  <c:v>10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'23.07 Kibuye-Makindye'!$AA$9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Kibuye-Makindye'!$AA$10:$AA$21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'23.07 Kibuye-Makindye'!$AB$9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Kibuye-Makindye'!$AB$10:$AB$21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'23.07 Kibuye-Makindye'!$AC$9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Kibuye-Makindye'!$AC$10:$AC$21</c:f>
              <c:numCache>
                <c:formatCode>0</c:formatCode>
                <c:ptCount val="12"/>
                <c:pt idx="0">
                  <c:v>605</c:v>
                </c:pt>
                <c:pt idx="1">
                  <c:v>630</c:v>
                </c:pt>
                <c:pt idx="2">
                  <c:v>665</c:v>
                </c:pt>
                <c:pt idx="3">
                  <c:v>750</c:v>
                </c:pt>
                <c:pt idx="4">
                  <c:v>685</c:v>
                </c:pt>
                <c:pt idx="5">
                  <c:v>722</c:v>
                </c:pt>
                <c:pt idx="6">
                  <c:v>629</c:v>
                </c:pt>
                <c:pt idx="7">
                  <c:v>477</c:v>
                </c:pt>
                <c:pt idx="8">
                  <c:v>655</c:v>
                </c:pt>
                <c:pt idx="9">
                  <c:v>640</c:v>
                </c:pt>
                <c:pt idx="10">
                  <c:v>670</c:v>
                </c:pt>
                <c:pt idx="11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'23.07 Kibuye-Makindye'!$AD$9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Kibuye-Makindye'!$AD$10:$AD$21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450336"/>
        <c:axId val="350449944"/>
      </c:lineChart>
      <c:catAx>
        <c:axId val="35045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449944"/>
        <c:crosses val="autoZero"/>
        <c:auto val="1"/>
        <c:lblAlgn val="ctr"/>
        <c:lblOffset val="100"/>
        <c:noMultiLvlLbl val="0"/>
      </c:catAx>
      <c:valAx>
        <c:axId val="35044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45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Kibuye-Makindye'!$C$9:$N$9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Kibuye-Makindye'!$C$60:$N$60</c:f>
              <c:numCache>
                <c:formatCode>0.00%</c:formatCode>
                <c:ptCount val="12"/>
                <c:pt idx="0">
                  <c:v>0.43142197017433315</c:v>
                </c:pt>
                <c:pt idx="1">
                  <c:v>0.17328292375551355</c:v>
                </c:pt>
                <c:pt idx="2">
                  <c:v>7.3303927746271785E-2</c:v>
                </c:pt>
                <c:pt idx="3">
                  <c:v>0.25435832808233566</c:v>
                </c:pt>
                <c:pt idx="4">
                  <c:v>4.2007981516488137E-3</c:v>
                </c:pt>
                <c:pt idx="5">
                  <c:v>4.200798151648813E-4</c:v>
                </c:pt>
                <c:pt idx="6">
                  <c:v>2.835538752362949E-2</c:v>
                </c:pt>
                <c:pt idx="7">
                  <c:v>2.7725267800882167E-2</c:v>
                </c:pt>
                <c:pt idx="8">
                  <c:v>5.8811174123083385E-3</c:v>
                </c:pt>
                <c:pt idx="9">
                  <c:v>6.3011972274732201E-4</c:v>
                </c:pt>
                <c:pt idx="11">
                  <c:v>4.200798151648813E-4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Makindye-Kibuye'!$AE$9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Makindye-Kibuye'!$AE$10:$AE$21</c:f>
              <c:numCache>
                <c:formatCode>0</c:formatCode>
                <c:ptCount val="12"/>
                <c:pt idx="0">
                  <c:v>268</c:v>
                </c:pt>
                <c:pt idx="1">
                  <c:v>307</c:v>
                </c:pt>
                <c:pt idx="2">
                  <c:v>384</c:v>
                </c:pt>
                <c:pt idx="3">
                  <c:v>421</c:v>
                </c:pt>
                <c:pt idx="4">
                  <c:v>411</c:v>
                </c:pt>
                <c:pt idx="5">
                  <c:v>448</c:v>
                </c:pt>
                <c:pt idx="6">
                  <c:v>361</c:v>
                </c:pt>
                <c:pt idx="7">
                  <c:v>378</c:v>
                </c:pt>
                <c:pt idx="8">
                  <c:v>287</c:v>
                </c:pt>
                <c:pt idx="9">
                  <c:v>310</c:v>
                </c:pt>
                <c:pt idx="10">
                  <c:v>249</c:v>
                </c:pt>
                <c:pt idx="11">
                  <c:v>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'23.07 Makindye-Kibuye'!$AF$9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Makindye-Kibuye'!$AF$10:$AF$21</c:f>
              <c:numCache>
                <c:formatCode>0</c:formatCode>
                <c:ptCount val="12"/>
                <c:pt idx="0">
                  <c:v>953</c:v>
                </c:pt>
                <c:pt idx="1">
                  <c:v>1112</c:v>
                </c:pt>
                <c:pt idx="2">
                  <c:v>1209</c:v>
                </c:pt>
                <c:pt idx="3">
                  <c:v>1216</c:v>
                </c:pt>
                <c:pt idx="4">
                  <c:v>936</c:v>
                </c:pt>
                <c:pt idx="5">
                  <c:v>1133</c:v>
                </c:pt>
                <c:pt idx="6">
                  <c:v>996</c:v>
                </c:pt>
                <c:pt idx="7">
                  <c:v>1043</c:v>
                </c:pt>
                <c:pt idx="8">
                  <c:v>912</c:v>
                </c:pt>
                <c:pt idx="9">
                  <c:v>996</c:v>
                </c:pt>
                <c:pt idx="10">
                  <c:v>909</c:v>
                </c:pt>
                <c:pt idx="11">
                  <c:v>778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85696"/>
        <c:axId val="266266384"/>
      </c:lineChart>
      <c:catAx>
        <c:axId val="2663856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6266384"/>
        <c:crosses val="autoZero"/>
        <c:auto val="1"/>
        <c:lblAlgn val="ctr"/>
        <c:lblOffset val="100"/>
        <c:noMultiLvlLbl val="0"/>
      </c:catAx>
      <c:valAx>
        <c:axId val="266266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638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Makindye-Kibuye'!$C$9:$N$9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Makindye-Kibuye'!$C$59:$N$59</c:f>
              <c:numCache>
                <c:formatCode>0.0%</c:formatCode>
                <c:ptCount val="12"/>
                <c:pt idx="0">
                  <c:v>0.145985401459854</c:v>
                </c:pt>
                <c:pt idx="1">
                  <c:v>3.3953907979988519E-2</c:v>
                </c:pt>
                <c:pt idx="2">
                  <c:v>2.2963995735257935E-2</c:v>
                </c:pt>
                <c:pt idx="3">
                  <c:v>0.10235380956286394</c:v>
                </c:pt>
                <c:pt idx="4">
                  <c:v>3.2805708193225621E-4</c:v>
                </c:pt>
                <c:pt idx="5">
                  <c:v>8.2014270483064052E-5</c:v>
                </c:pt>
                <c:pt idx="6">
                  <c:v>1.1646026408595096E-2</c:v>
                </c:pt>
                <c:pt idx="7">
                  <c:v>8.4474698597555974E-3</c:v>
                </c:pt>
                <c:pt idx="8">
                  <c:v>1.3122283277290248E-3</c:v>
                </c:pt>
                <c:pt idx="9">
                  <c:v>2.4604281144919215E-4</c:v>
                </c:pt>
                <c:pt idx="10">
                  <c:v>0.67259903223160833</c:v>
                </c:pt>
                <c:pt idx="11">
                  <c:v>8.2014270483064052E-5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Makindye-Kibuye'!$S$9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Makindye-Kibuye'!$S$10:$S$21</c:f>
              <c:numCache>
                <c:formatCode>0</c:formatCode>
                <c:ptCount val="12"/>
                <c:pt idx="0">
                  <c:v>197</c:v>
                </c:pt>
                <c:pt idx="1">
                  <c:v>195</c:v>
                </c:pt>
                <c:pt idx="2">
                  <c:v>198</c:v>
                </c:pt>
                <c:pt idx="3">
                  <c:v>192</c:v>
                </c:pt>
                <c:pt idx="4">
                  <c:v>163</c:v>
                </c:pt>
                <c:pt idx="5">
                  <c:v>176</c:v>
                </c:pt>
                <c:pt idx="6">
                  <c:v>131</c:v>
                </c:pt>
                <c:pt idx="7">
                  <c:v>135</c:v>
                </c:pt>
                <c:pt idx="8">
                  <c:v>104</c:v>
                </c:pt>
                <c:pt idx="9">
                  <c:v>112</c:v>
                </c:pt>
                <c:pt idx="10">
                  <c:v>107</c:v>
                </c:pt>
                <c:pt idx="11">
                  <c:v>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'23.07 Makindye-Kibuye'!$T$9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Makindye-Kibuye'!$T$10:$T$21</c:f>
              <c:numCache>
                <c:formatCode>0</c:formatCode>
                <c:ptCount val="12"/>
                <c:pt idx="0">
                  <c:v>18</c:v>
                </c:pt>
                <c:pt idx="1">
                  <c:v>23</c:v>
                </c:pt>
                <c:pt idx="2">
                  <c:v>23</c:v>
                </c:pt>
                <c:pt idx="3">
                  <c:v>33</c:v>
                </c:pt>
                <c:pt idx="4">
                  <c:v>48</c:v>
                </c:pt>
                <c:pt idx="5">
                  <c:v>63</c:v>
                </c:pt>
                <c:pt idx="6">
                  <c:v>57</c:v>
                </c:pt>
                <c:pt idx="7">
                  <c:v>42</c:v>
                </c:pt>
                <c:pt idx="8">
                  <c:v>26</c:v>
                </c:pt>
                <c:pt idx="9">
                  <c:v>41</c:v>
                </c:pt>
                <c:pt idx="10">
                  <c:v>22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'23.07 Makindye-Kibuye'!$U$9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Makindye-Kibuye'!$U$10:$U$21</c:f>
              <c:numCache>
                <c:formatCode>0</c:formatCode>
                <c:ptCount val="12"/>
                <c:pt idx="0">
                  <c:v>21</c:v>
                </c:pt>
                <c:pt idx="1">
                  <c:v>26</c:v>
                </c:pt>
                <c:pt idx="2">
                  <c:v>23</c:v>
                </c:pt>
                <c:pt idx="3">
                  <c:v>25</c:v>
                </c:pt>
                <c:pt idx="4">
                  <c:v>26</c:v>
                </c:pt>
                <c:pt idx="5">
                  <c:v>33</c:v>
                </c:pt>
                <c:pt idx="6">
                  <c:v>21</c:v>
                </c:pt>
                <c:pt idx="7">
                  <c:v>30</c:v>
                </c:pt>
                <c:pt idx="8">
                  <c:v>23</c:v>
                </c:pt>
                <c:pt idx="9">
                  <c:v>32</c:v>
                </c:pt>
                <c:pt idx="10">
                  <c:v>12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'23.07 Makindye-Kibuye'!$V$9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Makindye-Kibuye'!$V$10:$V$21</c:f>
              <c:numCache>
                <c:formatCode>0</c:formatCode>
                <c:ptCount val="12"/>
                <c:pt idx="0">
                  <c:v>15</c:v>
                </c:pt>
                <c:pt idx="1">
                  <c:v>46</c:v>
                </c:pt>
                <c:pt idx="2">
                  <c:v>121</c:v>
                </c:pt>
                <c:pt idx="3">
                  <c:v>142</c:v>
                </c:pt>
                <c:pt idx="4">
                  <c:v>151</c:v>
                </c:pt>
                <c:pt idx="5">
                  <c:v>143</c:v>
                </c:pt>
                <c:pt idx="6">
                  <c:v>124</c:v>
                </c:pt>
                <c:pt idx="7">
                  <c:v>141</c:v>
                </c:pt>
                <c:pt idx="8">
                  <c:v>110</c:v>
                </c:pt>
                <c:pt idx="9">
                  <c:v>102</c:v>
                </c:pt>
                <c:pt idx="10">
                  <c:v>94</c:v>
                </c:pt>
                <c:pt idx="1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'23.07 Makindye-Kibuye'!$W$9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Makindye-Kibuye'!$W$10:$W$21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'23.07 Makindye-Kibuye'!$X$9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Makindye-Kibuye'!$X$10:$X$21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'23.07 Makindye-Kibuye'!$Y$9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Makindye-Kibuye'!$Y$10:$Y$21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16</c:v>
                </c:pt>
                <c:pt idx="4">
                  <c:v>14</c:v>
                </c:pt>
                <c:pt idx="5">
                  <c:v>17</c:v>
                </c:pt>
                <c:pt idx="6">
                  <c:v>15</c:v>
                </c:pt>
                <c:pt idx="7">
                  <c:v>17</c:v>
                </c:pt>
                <c:pt idx="8">
                  <c:v>14</c:v>
                </c:pt>
                <c:pt idx="9">
                  <c:v>13</c:v>
                </c:pt>
                <c:pt idx="10">
                  <c:v>4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'23.07 Makindye-Kibuye'!$Z$9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Makindye-Kibuye'!$Z$10:$Z$21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  <c:pt idx="5">
                  <c:v>9</c:v>
                </c:pt>
                <c:pt idx="6">
                  <c:v>12</c:v>
                </c:pt>
                <c:pt idx="7">
                  <c:v>11</c:v>
                </c:pt>
                <c:pt idx="8">
                  <c:v>6</c:v>
                </c:pt>
                <c:pt idx="9">
                  <c:v>9</c:v>
                </c:pt>
                <c:pt idx="10">
                  <c:v>9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'23.07 Makindye-Kibuye'!$AA$9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Makindye-Kibuye'!$AA$10:$AA$21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'23.07 Makindye-Kibuye'!$AB$9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Makindye-Kibuye'!$AB$10:$AB$21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'23.07 Makindye-Kibuye'!$AC$9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Makindye-Kibuye'!$AC$10:$AC$21</c:f>
              <c:numCache>
                <c:formatCode>0</c:formatCode>
                <c:ptCount val="12"/>
                <c:pt idx="0">
                  <c:v>685</c:v>
                </c:pt>
                <c:pt idx="1">
                  <c:v>805</c:v>
                </c:pt>
                <c:pt idx="2">
                  <c:v>825</c:v>
                </c:pt>
                <c:pt idx="3">
                  <c:v>795</c:v>
                </c:pt>
                <c:pt idx="4">
                  <c:v>525</c:v>
                </c:pt>
                <c:pt idx="5">
                  <c:v>685</c:v>
                </c:pt>
                <c:pt idx="6">
                  <c:v>635</c:v>
                </c:pt>
                <c:pt idx="7">
                  <c:v>665</c:v>
                </c:pt>
                <c:pt idx="8">
                  <c:v>625</c:v>
                </c:pt>
                <c:pt idx="9">
                  <c:v>686</c:v>
                </c:pt>
                <c:pt idx="10">
                  <c:v>660</c:v>
                </c:pt>
                <c:pt idx="11">
                  <c:v>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'23.07 Makindye-Kibuye'!$AD$9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Makindye-Kibuye'!$AD$10:$AD$21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265992"/>
        <c:axId val="266265208"/>
      </c:lineChart>
      <c:catAx>
        <c:axId val="266265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6265208"/>
        <c:crosses val="autoZero"/>
        <c:auto val="1"/>
        <c:lblAlgn val="ctr"/>
        <c:lblOffset val="100"/>
        <c:noMultiLvlLbl val="0"/>
      </c:catAx>
      <c:valAx>
        <c:axId val="26626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6265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Makindye-Kibuye'!$C$9:$N$9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Makindye-Kibuye'!$C$60:$N$60</c:f>
              <c:numCache>
                <c:formatCode>0.00%</c:formatCode>
                <c:ptCount val="12"/>
                <c:pt idx="0">
                  <c:v>0.44589178356713427</c:v>
                </c:pt>
                <c:pt idx="1">
                  <c:v>0.10370741482965933</c:v>
                </c:pt>
                <c:pt idx="2">
                  <c:v>7.0140280561122245E-2</c:v>
                </c:pt>
                <c:pt idx="3">
                  <c:v>0.31262525050100198</c:v>
                </c:pt>
                <c:pt idx="4">
                  <c:v>1.002004008016032E-3</c:v>
                </c:pt>
                <c:pt idx="5">
                  <c:v>2.50501002004008E-4</c:v>
                </c:pt>
                <c:pt idx="6">
                  <c:v>3.5571142284569139E-2</c:v>
                </c:pt>
                <c:pt idx="7">
                  <c:v>2.5801603206412827E-2</c:v>
                </c:pt>
                <c:pt idx="8">
                  <c:v>4.0080160320641279E-3</c:v>
                </c:pt>
                <c:pt idx="9">
                  <c:v>7.5150300601202404E-4</c:v>
                </c:pt>
                <c:pt idx="11">
                  <c:v>2.50501002004008E-4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Kibuye-Makindye'!$AE$9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Kibuye-Makindye'!$AE$10:$AE$21</c:f>
              <c:numCache>
                <c:formatCode>0</c:formatCode>
                <c:ptCount val="12"/>
                <c:pt idx="0">
                  <c:v>336</c:v>
                </c:pt>
                <c:pt idx="1">
                  <c:v>498</c:v>
                </c:pt>
                <c:pt idx="2">
                  <c:v>428</c:v>
                </c:pt>
                <c:pt idx="3">
                  <c:v>287</c:v>
                </c:pt>
                <c:pt idx="4">
                  <c:v>387</c:v>
                </c:pt>
                <c:pt idx="5">
                  <c:v>394</c:v>
                </c:pt>
                <c:pt idx="6">
                  <c:v>352</c:v>
                </c:pt>
                <c:pt idx="7">
                  <c:v>363</c:v>
                </c:pt>
                <c:pt idx="8">
                  <c:v>404</c:v>
                </c:pt>
                <c:pt idx="9">
                  <c:v>418</c:v>
                </c:pt>
                <c:pt idx="10">
                  <c:v>533</c:v>
                </c:pt>
                <c:pt idx="11">
                  <c:v>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'24.07 Kibuye-Makindye'!$AF$9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Kibuye-Makindye'!$AF$10:$AF$21</c:f>
              <c:numCache>
                <c:formatCode>0</c:formatCode>
                <c:ptCount val="12"/>
                <c:pt idx="0">
                  <c:v>1031</c:v>
                </c:pt>
                <c:pt idx="1">
                  <c:v>1118</c:v>
                </c:pt>
                <c:pt idx="2">
                  <c:v>1238</c:v>
                </c:pt>
                <c:pt idx="3">
                  <c:v>977</c:v>
                </c:pt>
                <c:pt idx="4">
                  <c:v>1032</c:v>
                </c:pt>
                <c:pt idx="5">
                  <c:v>1010</c:v>
                </c:pt>
                <c:pt idx="6">
                  <c:v>1091</c:v>
                </c:pt>
                <c:pt idx="7">
                  <c:v>977</c:v>
                </c:pt>
                <c:pt idx="8">
                  <c:v>1091</c:v>
                </c:pt>
                <c:pt idx="9">
                  <c:v>1226</c:v>
                </c:pt>
                <c:pt idx="10">
                  <c:v>1326</c:v>
                </c:pt>
                <c:pt idx="11">
                  <c:v>1129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264424"/>
        <c:axId val="266264816"/>
      </c:lineChart>
      <c:catAx>
        <c:axId val="2662644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6264816"/>
        <c:crosses val="autoZero"/>
        <c:auto val="1"/>
        <c:lblAlgn val="ctr"/>
        <c:lblOffset val="100"/>
        <c:noMultiLvlLbl val="0"/>
      </c:catAx>
      <c:valAx>
        <c:axId val="2662648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626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Kibuye-Makindye'!$C$9:$N$9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Kibuye-Makindye'!$C$59:$N$59</c:f>
              <c:numCache>
                <c:formatCode>0.0%</c:formatCode>
                <c:ptCount val="12"/>
                <c:pt idx="0">
                  <c:v>0.17711007096481957</c:v>
                </c:pt>
                <c:pt idx="1">
                  <c:v>5.7224822587951078E-2</c:v>
                </c:pt>
                <c:pt idx="2">
                  <c:v>2.3478786048618451E-2</c:v>
                </c:pt>
                <c:pt idx="3">
                  <c:v>8.7724596104484368E-2</c:v>
                </c:pt>
                <c:pt idx="4">
                  <c:v>8.3043937792541143E-4</c:v>
                </c:pt>
                <c:pt idx="5">
                  <c:v>1.5098897780462027E-4</c:v>
                </c:pt>
                <c:pt idx="6">
                  <c:v>8.3798882681564244E-3</c:v>
                </c:pt>
                <c:pt idx="7">
                  <c:v>9.5123056016910758E-3</c:v>
                </c:pt>
                <c:pt idx="8">
                  <c:v>1.7363732447531329E-3</c:v>
                </c:pt>
                <c:pt idx="9">
                  <c:v>3.7747244451155068E-4</c:v>
                </c:pt>
                <c:pt idx="10">
                  <c:v>0.63339876189038202</c:v>
                </c:pt>
                <c:pt idx="11">
                  <c:v>7.5494488902310135E-5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Kibuye-Makindye'!$S$9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Kibuye-Makindye'!$S$10:$S$21</c:f>
              <c:numCache>
                <c:formatCode>0</c:formatCode>
                <c:ptCount val="12"/>
                <c:pt idx="0">
                  <c:v>141</c:v>
                </c:pt>
                <c:pt idx="1">
                  <c:v>190</c:v>
                </c:pt>
                <c:pt idx="2">
                  <c:v>148</c:v>
                </c:pt>
                <c:pt idx="3">
                  <c:v>114</c:v>
                </c:pt>
                <c:pt idx="4">
                  <c:v>164</c:v>
                </c:pt>
                <c:pt idx="5">
                  <c:v>189</c:v>
                </c:pt>
                <c:pt idx="6">
                  <c:v>196</c:v>
                </c:pt>
                <c:pt idx="7">
                  <c:v>189</c:v>
                </c:pt>
                <c:pt idx="8">
                  <c:v>190</c:v>
                </c:pt>
                <c:pt idx="9">
                  <c:v>199</c:v>
                </c:pt>
                <c:pt idx="10">
                  <c:v>308</c:v>
                </c:pt>
                <c:pt idx="11">
                  <c:v>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'24.07 Kibuye-Makindye'!$T$9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Kibuye-Makindye'!$T$10:$T$21</c:f>
              <c:numCache>
                <c:formatCode>0</c:formatCode>
                <c:ptCount val="12"/>
                <c:pt idx="0">
                  <c:v>35</c:v>
                </c:pt>
                <c:pt idx="1">
                  <c:v>72</c:v>
                </c:pt>
                <c:pt idx="2">
                  <c:v>53</c:v>
                </c:pt>
                <c:pt idx="3">
                  <c:v>36</c:v>
                </c:pt>
                <c:pt idx="4">
                  <c:v>57</c:v>
                </c:pt>
                <c:pt idx="5">
                  <c:v>71</c:v>
                </c:pt>
                <c:pt idx="6">
                  <c:v>45</c:v>
                </c:pt>
                <c:pt idx="7">
                  <c:v>50</c:v>
                </c:pt>
                <c:pt idx="8">
                  <c:v>75</c:v>
                </c:pt>
                <c:pt idx="9">
                  <c:v>92</c:v>
                </c:pt>
                <c:pt idx="10">
                  <c:v>115</c:v>
                </c:pt>
                <c:pt idx="11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'24.07 Kibuye-Makindye'!$U$9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'24.07 Kibuye-Makindye'!$U$10:$U$21</c:f>
              <c:numCache>
                <c:formatCode>0</c:formatCode>
                <c:ptCount val="12"/>
                <c:pt idx="0">
                  <c:v>14</c:v>
                </c:pt>
                <c:pt idx="1">
                  <c:v>20</c:v>
                </c:pt>
                <c:pt idx="2">
                  <c:v>22</c:v>
                </c:pt>
                <c:pt idx="3">
                  <c:v>18</c:v>
                </c:pt>
                <c:pt idx="4">
                  <c:v>29</c:v>
                </c:pt>
                <c:pt idx="5">
                  <c:v>25</c:v>
                </c:pt>
                <c:pt idx="6">
                  <c:v>25</c:v>
                </c:pt>
                <c:pt idx="7">
                  <c:v>26</c:v>
                </c:pt>
                <c:pt idx="8">
                  <c:v>35</c:v>
                </c:pt>
                <c:pt idx="9">
                  <c:v>38</c:v>
                </c:pt>
                <c:pt idx="10">
                  <c:v>40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'24.07 Kibuye-Makindye'!$V$9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'24.07 Kibuye-Makindye'!$V$10:$V$21</c:f>
              <c:numCache>
                <c:formatCode>0</c:formatCode>
                <c:ptCount val="12"/>
                <c:pt idx="0">
                  <c:v>132</c:v>
                </c:pt>
                <c:pt idx="1">
                  <c:v>192</c:v>
                </c:pt>
                <c:pt idx="2">
                  <c:v>168</c:v>
                </c:pt>
                <c:pt idx="3">
                  <c:v>91</c:v>
                </c:pt>
                <c:pt idx="4">
                  <c:v>107</c:v>
                </c:pt>
                <c:pt idx="5">
                  <c:v>89</c:v>
                </c:pt>
                <c:pt idx="6">
                  <c:v>70</c:v>
                </c:pt>
                <c:pt idx="7">
                  <c:v>83</c:v>
                </c:pt>
                <c:pt idx="8">
                  <c:v>70</c:v>
                </c:pt>
                <c:pt idx="9">
                  <c:v>61</c:v>
                </c:pt>
                <c:pt idx="10">
                  <c:v>48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'24.07 Kibuye-Makindye'!$W$9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'24.07 Kibuye-Makindye'!$W$10:$W$21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'24.07 Kibuye-Makindye'!$X$9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'24.07 Kibuye-Makindye'!$X$10:$X$21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'24.07 Kibuye-Makindye'!$Y$9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Kibuye-Makindye'!$Y$10:$Y$21</c:f>
              <c:numCache>
                <c:formatCode>0</c:formatCode>
                <c:ptCount val="12"/>
                <c:pt idx="0">
                  <c:v>4</c:v>
                </c:pt>
                <c:pt idx="1">
                  <c:v>16</c:v>
                </c:pt>
                <c:pt idx="2">
                  <c:v>12</c:v>
                </c:pt>
                <c:pt idx="3">
                  <c:v>12</c:v>
                </c:pt>
                <c:pt idx="4">
                  <c:v>7</c:v>
                </c:pt>
                <c:pt idx="5">
                  <c:v>4</c:v>
                </c:pt>
                <c:pt idx="6">
                  <c:v>6</c:v>
                </c:pt>
                <c:pt idx="7">
                  <c:v>10</c:v>
                </c:pt>
                <c:pt idx="8">
                  <c:v>16</c:v>
                </c:pt>
                <c:pt idx="9">
                  <c:v>11</c:v>
                </c:pt>
                <c:pt idx="10">
                  <c:v>8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'24.07 Kibuye-Makindye'!$Z$9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Kibuye-Makindye'!$Z$10:$Z$21</c:f>
              <c:numCache>
                <c:formatCode>0</c:formatCode>
                <c:ptCount val="12"/>
                <c:pt idx="0">
                  <c:v>8</c:v>
                </c:pt>
                <c:pt idx="1">
                  <c:v>5</c:v>
                </c:pt>
                <c:pt idx="2">
                  <c:v>17</c:v>
                </c:pt>
                <c:pt idx="3">
                  <c:v>10</c:v>
                </c:pt>
                <c:pt idx="4">
                  <c:v>17</c:v>
                </c:pt>
                <c:pt idx="5">
                  <c:v>10</c:v>
                </c:pt>
                <c:pt idx="6">
                  <c:v>8</c:v>
                </c:pt>
                <c:pt idx="7">
                  <c:v>5</c:v>
                </c:pt>
                <c:pt idx="8">
                  <c:v>17</c:v>
                </c:pt>
                <c:pt idx="9">
                  <c:v>13</c:v>
                </c:pt>
                <c:pt idx="10">
                  <c:v>11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'24.07 Kibuye-Makindye'!$AA$9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Kibuye-Makindye'!$AA$10:$AA$21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'24.07 Kibuye-Makindye'!$AB$9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Kibuye-Makindye'!$AB$10:$AB$21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'24.07 Kibuye-Makindye'!$AC$9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Kibuye-Makindye'!$AC$10:$AC$21</c:f>
              <c:numCache>
                <c:formatCode>0</c:formatCode>
                <c:ptCount val="12"/>
                <c:pt idx="0">
                  <c:v>695</c:v>
                </c:pt>
                <c:pt idx="1">
                  <c:v>620</c:v>
                </c:pt>
                <c:pt idx="2">
                  <c:v>810</c:v>
                </c:pt>
                <c:pt idx="3">
                  <c:v>690</c:v>
                </c:pt>
                <c:pt idx="4">
                  <c:v>645</c:v>
                </c:pt>
                <c:pt idx="5">
                  <c:v>616</c:v>
                </c:pt>
                <c:pt idx="6">
                  <c:v>739</c:v>
                </c:pt>
                <c:pt idx="7">
                  <c:v>614</c:v>
                </c:pt>
                <c:pt idx="8">
                  <c:v>687</c:v>
                </c:pt>
                <c:pt idx="9">
                  <c:v>808</c:v>
                </c:pt>
                <c:pt idx="10">
                  <c:v>793</c:v>
                </c:pt>
                <c:pt idx="11">
                  <c:v>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'24.07 Kibuye-Makindye'!$AD$9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Kibuye-Makindye'!$AD$10:$AD$21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117384"/>
        <c:axId val="257116600"/>
      </c:lineChart>
      <c:catAx>
        <c:axId val="257117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7116600"/>
        <c:crosses val="autoZero"/>
        <c:auto val="1"/>
        <c:lblAlgn val="ctr"/>
        <c:lblOffset val="100"/>
        <c:noMultiLvlLbl val="0"/>
      </c:catAx>
      <c:valAx>
        <c:axId val="25711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711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Kibuye-Makindye'!$C$9:$N$9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Kibuye-Makindye'!$C$60:$N$60</c:f>
              <c:numCache>
                <c:formatCode>0.00%</c:formatCode>
                <c:ptCount val="12"/>
                <c:pt idx="0">
                  <c:v>0.48311367380560133</c:v>
                </c:pt>
                <c:pt idx="1">
                  <c:v>0.15609555189456342</c:v>
                </c:pt>
                <c:pt idx="2">
                  <c:v>6.4044481054365734E-2</c:v>
                </c:pt>
                <c:pt idx="3">
                  <c:v>0.23929159802306424</c:v>
                </c:pt>
                <c:pt idx="4">
                  <c:v>2.2652388797364084E-3</c:v>
                </c:pt>
                <c:pt idx="5">
                  <c:v>4.1186161449752884E-4</c:v>
                </c:pt>
                <c:pt idx="6">
                  <c:v>2.2858319604612851E-2</c:v>
                </c:pt>
                <c:pt idx="7">
                  <c:v>2.5947281713344317E-2</c:v>
                </c:pt>
                <c:pt idx="8">
                  <c:v>4.7364085667215812E-3</c:v>
                </c:pt>
                <c:pt idx="9">
                  <c:v>1.029654036243822E-3</c:v>
                </c:pt>
                <c:pt idx="11">
                  <c:v>2.0593080724876442E-4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Makindye-Kibuye'!$AE$9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Makindye-Kibuye'!$AE$10:$AE$21</c:f>
              <c:numCache>
                <c:formatCode>0</c:formatCode>
                <c:ptCount val="12"/>
                <c:pt idx="0">
                  <c:v>228</c:v>
                </c:pt>
                <c:pt idx="1">
                  <c:v>297</c:v>
                </c:pt>
                <c:pt idx="2">
                  <c:v>376</c:v>
                </c:pt>
                <c:pt idx="3">
                  <c:v>357</c:v>
                </c:pt>
                <c:pt idx="4">
                  <c:v>400</c:v>
                </c:pt>
                <c:pt idx="5">
                  <c:v>355</c:v>
                </c:pt>
                <c:pt idx="6">
                  <c:v>406</c:v>
                </c:pt>
                <c:pt idx="7">
                  <c:v>318</c:v>
                </c:pt>
                <c:pt idx="8">
                  <c:v>300</c:v>
                </c:pt>
                <c:pt idx="9">
                  <c:v>299</c:v>
                </c:pt>
                <c:pt idx="10">
                  <c:v>281</c:v>
                </c:pt>
                <c:pt idx="11">
                  <c:v>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'24.07 Makindye-Kibuye'!$AF$9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Makindye-Kibuye'!$AF$10:$AF$21</c:f>
              <c:numCache>
                <c:formatCode>0</c:formatCode>
                <c:ptCount val="12"/>
                <c:pt idx="0">
                  <c:v>993</c:v>
                </c:pt>
                <c:pt idx="1">
                  <c:v>1077</c:v>
                </c:pt>
                <c:pt idx="2">
                  <c:v>1061</c:v>
                </c:pt>
                <c:pt idx="3">
                  <c:v>1127</c:v>
                </c:pt>
                <c:pt idx="4">
                  <c:v>1180</c:v>
                </c:pt>
                <c:pt idx="5">
                  <c:v>1170</c:v>
                </c:pt>
                <c:pt idx="6">
                  <c:v>1526</c:v>
                </c:pt>
                <c:pt idx="7">
                  <c:v>1283</c:v>
                </c:pt>
                <c:pt idx="8">
                  <c:v>1240</c:v>
                </c:pt>
                <c:pt idx="9">
                  <c:v>1219</c:v>
                </c:pt>
                <c:pt idx="10">
                  <c:v>1141</c:v>
                </c:pt>
                <c:pt idx="11">
                  <c:v>1032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115424"/>
        <c:axId val="257115816"/>
      </c:lineChart>
      <c:catAx>
        <c:axId val="2571154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7115816"/>
        <c:crosses val="autoZero"/>
        <c:auto val="1"/>
        <c:lblAlgn val="ctr"/>
        <c:lblOffset val="100"/>
        <c:noMultiLvlLbl val="0"/>
      </c:catAx>
      <c:valAx>
        <c:axId val="2571158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711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Makindye-Kibuye'!$C$9:$N$9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Makindye-Kibuye'!$C$59:$N$59</c:f>
              <c:numCache>
                <c:formatCode>0.0%</c:formatCode>
                <c:ptCount val="12"/>
                <c:pt idx="0">
                  <c:v>0.12705530642750373</c:v>
                </c:pt>
                <c:pt idx="1">
                  <c:v>2.5055164068616985E-2</c:v>
                </c:pt>
                <c:pt idx="2">
                  <c:v>1.7866040287564951E-2</c:v>
                </c:pt>
                <c:pt idx="3">
                  <c:v>8.7550715353405931E-2</c:v>
                </c:pt>
                <c:pt idx="4">
                  <c:v>4.2707666026051675E-4</c:v>
                </c:pt>
                <c:pt idx="5">
                  <c:v>7.1179443376752797E-5</c:v>
                </c:pt>
                <c:pt idx="6">
                  <c:v>1.1032813723396684E-2</c:v>
                </c:pt>
                <c:pt idx="7">
                  <c:v>4.8402021496191903E-3</c:v>
                </c:pt>
                <c:pt idx="8">
                  <c:v>9.2533276389778635E-4</c:v>
                </c:pt>
                <c:pt idx="9">
                  <c:v>2.1353833013025838E-4</c:v>
                </c:pt>
                <c:pt idx="10">
                  <c:v>0.72496263079222723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Makindye-Kibuye'!$C$9:$N$9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Makindye-Kibuye'!$C$60:$N$60</c:f>
              <c:numCache>
                <c:formatCode>0.00%</c:formatCode>
                <c:ptCount val="12"/>
                <c:pt idx="0">
                  <c:v>0.46195652173913043</c:v>
                </c:pt>
                <c:pt idx="1">
                  <c:v>9.1097308488612833E-2</c:v>
                </c:pt>
                <c:pt idx="2">
                  <c:v>6.4958592132505169E-2</c:v>
                </c:pt>
                <c:pt idx="3">
                  <c:v>0.31832298136645965</c:v>
                </c:pt>
                <c:pt idx="4">
                  <c:v>1.5527950310559005E-3</c:v>
                </c:pt>
                <c:pt idx="5">
                  <c:v>2.5879917184265012E-4</c:v>
                </c:pt>
                <c:pt idx="6">
                  <c:v>4.0113871635610768E-2</c:v>
                </c:pt>
                <c:pt idx="7">
                  <c:v>1.7598343685300208E-2</c:v>
                </c:pt>
                <c:pt idx="8">
                  <c:v>3.3643892339544515E-3</c:v>
                </c:pt>
                <c:pt idx="9">
                  <c:v>7.7639751552795026E-4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Kibuye-Makindye'!$AE$9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Kibuye-Makindye'!$AE$10:$AE$21</c:f>
              <c:numCache>
                <c:formatCode>0</c:formatCode>
                <c:ptCount val="12"/>
                <c:pt idx="0">
                  <c:v>441</c:v>
                </c:pt>
                <c:pt idx="1">
                  <c:v>317</c:v>
                </c:pt>
                <c:pt idx="2">
                  <c:v>286</c:v>
                </c:pt>
                <c:pt idx="3">
                  <c:v>311</c:v>
                </c:pt>
                <c:pt idx="4">
                  <c:v>374</c:v>
                </c:pt>
                <c:pt idx="5">
                  <c:v>381</c:v>
                </c:pt>
                <c:pt idx="6">
                  <c:v>366</c:v>
                </c:pt>
                <c:pt idx="7">
                  <c:v>430</c:v>
                </c:pt>
                <c:pt idx="8">
                  <c:v>570</c:v>
                </c:pt>
                <c:pt idx="9">
                  <c:v>434</c:v>
                </c:pt>
                <c:pt idx="10">
                  <c:v>570</c:v>
                </c:pt>
                <c:pt idx="11">
                  <c:v>457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'25.07 Kibuye-Makindye'!$AF$9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Kibuye-Makindye'!$AF$10:$AF$21</c:f>
              <c:numCache>
                <c:formatCode>0</c:formatCode>
                <c:ptCount val="12"/>
                <c:pt idx="0">
                  <c:v>1333</c:v>
                </c:pt>
                <c:pt idx="1">
                  <c:v>1215</c:v>
                </c:pt>
                <c:pt idx="2">
                  <c:v>1277</c:v>
                </c:pt>
                <c:pt idx="3">
                  <c:v>1071</c:v>
                </c:pt>
                <c:pt idx="4">
                  <c:v>1174</c:v>
                </c:pt>
                <c:pt idx="5">
                  <c:v>1184</c:v>
                </c:pt>
                <c:pt idx="6">
                  <c:v>1022</c:v>
                </c:pt>
                <c:pt idx="7">
                  <c:v>1132</c:v>
                </c:pt>
                <c:pt idx="8">
                  <c:v>1160</c:v>
                </c:pt>
                <c:pt idx="9">
                  <c:v>1118</c:v>
                </c:pt>
                <c:pt idx="10">
                  <c:v>1401</c:v>
                </c:pt>
                <c:pt idx="11">
                  <c:v>1187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504328"/>
        <c:axId val="371503152"/>
      </c:lineChart>
      <c:catAx>
        <c:axId val="3715043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1503152"/>
        <c:crosses val="autoZero"/>
        <c:auto val="1"/>
        <c:lblAlgn val="ctr"/>
        <c:lblOffset val="100"/>
        <c:noMultiLvlLbl val="0"/>
      </c:catAx>
      <c:valAx>
        <c:axId val="3715031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150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Kibuye-Makindye'!$C$9:$N$9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Kibuye-Makindye'!$C$59:$N$59</c:f>
              <c:numCache>
                <c:formatCode>0.0%</c:formatCode>
                <c:ptCount val="12"/>
                <c:pt idx="0">
                  <c:v>0.16449488580636121</c:v>
                </c:pt>
                <c:pt idx="1">
                  <c:v>5.562561300266218E-2</c:v>
                </c:pt>
                <c:pt idx="2">
                  <c:v>2.0316659660921957E-2</c:v>
                </c:pt>
                <c:pt idx="3">
                  <c:v>8.9883704637803E-2</c:v>
                </c:pt>
                <c:pt idx="4">
                  <c:v>1.6813787305590584E-3</c:v>
                </c:pt>
                <c:pt idx="5">
                  <c:v>2.8022978842650974E-4</c:v>
                </c:pt>
                <c:pt idx="6">
                  <c:v>6.6554574751296067E-3</c:v>
                </c:pt>
                <c:pt idx="7">
                  <c:v>4.9740787445705483E-3</c:v>
                </c:pt>
                <c:pt idx="8">
                  <c:v>1.8214936247723133E-3</c:v>
                </c:pt>
                <c:pt idx="9">
                  <c:v>1.4011489421325487E-4</c:v>
                </c:pt>
                <c:pt idx="10">
                  <c:v>0.65412638363458031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Kibuye-Makindye'!$S$9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Kibuye-Makindye'!$S$10:$S$21</c:f>
              <c:numCache>
                <c:formatCode>0</c:formatCode>
                <c:ptCount val="12"/>
                <c:pt idx="0">
                  <c:v>193</c:v>
                </c:pt>
                <c:pt idx="1">
                  <c:v>125</c:v>
                </c:pt>
                <c:pt idx="2">
                  <c:v>109</c:v>
                </c:pt>
                <c:pt idx="3">
                  <c:v>131</c:v>
                </c:pt>
                <c:pt idx="4">
                  <c:v>153</c:v>
                </c:pt>
                <c:pt idx="5">
                  <c:v>165</c:v>
                </c:pt>
                <c:pt idx="6">
                  <c:v>198</c:v>
                </c:pt>
                <c:pt idx="7">
                  <c:v>178</c:v>
                </c:pt>
                <c:pt idx="8">
                  <c:v>270</c:v>
                </c:pt>
                <c:pt idx="9">
                  <c:v>219</c:v>
                </c:pt>
                <c:pt idx="10">
                  <c:v>290</c:v>
                </c:pt>
                <c:pt idx="11">
                  <c:v>317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'25.07 Kibuye-Makindye'!$T$9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Kibuye-Makindye'!$T$10:$T$21</c:f>
              <c:numCache>
                <c:formatCode>0</c:formatCode>
                <c:ptCount val="12"/>
                <c:pt idx="0">
                  <c:v>50</c:v>
                </c:pt>
                <c:pt idx="1">
                  <c:v>42</c:v>
                </c:pt>
                <c:pt idx="2">
                  <c:v>42</c:v>
                </c:pt>
                <c:pt idx="3">
                  <c:v>39</c:v>
                </c:pt>
                <c:pt idx="4">
                  <c:v>87</c:v>
                </c:pt>
                <c:pt idx="5">
                  <c:v>62</c:v>
                </c:pt>
                <c:pt idx="6">
                  <c:v>47</c:v>
                </c:pt>
                <c:pt idx="7">
                  <c:v>113</c:v>
                </c:pt>
                <c:pt idx="8">
                  <c:v>105</c:v>
                </c:pt>
                <c:pt idx="9">
                  <c:v>80</c:v>
                </c:pt>
                <c:pt idx="10">
                  <c:v>67</c:v>
                </c:pt>
                <c:pt idx="11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'25.07 Kibuye-Makindye'!$U$9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Kibuye-Makindye'!$U$10:$U$21</c:f>
              <c:numCache>
                <c:formatCode>0</c:formatCode>
                <c:ptCount val="12"/>
                <c:pt idx="0">
                  <c:v>13</c:v>
                </c:pt>
                <c:pt idx="1">
                  <c:v>16</c:v>
                </c:pt>
                <c:pt idx="2">
                  <c:v>21</c:v>
                </c:pt>
                <c:pt idx="3">
                  <c:v>36</c:v>
                </c:pt>
                <c:pt idx="4">
                  <c:v>30</c:v>
                </c:pt>
                <c:pt idx="5">
                  <c:v>39</c:v>
                </c:pt>
                <c:pt idx="6">
                  <c:v>22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31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'25.07 Kibuye-Makindye'!$V$9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Kibuye-Makindye'!$V$10:$V$21</c:f>
              <c:numCache>
                <c:formatCode>0</c:formatCode>
                <c:ptCount val="12"/>
                <c:pt idx="0">
                  <c:v>171</c:v>
                </c:pt>
                <c:pt idx="1">
                  <c:v>114</c:v>
                </c:pt>
                <c:pt idx="2">
                  <c:v>87</c:v>
                </c:pt>
                <c:pt idx="3">
                  <c:v>81</c:v>
                </c:pt>
                <c:pt idx="4">
                  <c:v>82</c:v>
                </c:pt>
                <c:pt idx="5">
                  <c:v>83</c:v>
                </c:pt>
                <c:pt idx="6">
                  <c:v>87</c:v>
                </c:pt>
                <c:pt idx="7">
                  <c:v>115</c:v>
                </c:pt>
                <c:pt idx="8">
                  <c:v>156</c:v>
                </c:pt>
                <c:pt idx="9">
                  <c:v>97</c:v>
                </c:pt>
                <c:pt idx="10">
                  <c:v>167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'25.07 Kibuye-Makindye'!$W$9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Kibuye-Makindye'!$W$10:$W$21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'25.07 Kibuye-Makindye'!$X$9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Kibuye-Makindye'!$X$10:$X$21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'25.07 Kibuye-Makindye'!$Y$9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Kibuye-Makindye'!$Y$10:$Y$21</c:f>
              <c:numCache>
                <c:formatCode>0</c:formatCode>
                <c:ptCount val="12"/>
                <c:pt idx="0">
                  <c:v>9</c:v>
                </c:pt>
                <c:pt idx="1">
                  <c:v>6</c:v>
                </c:pt>
                <c:pt idx="2">
                  <c:v>14</c:v>
                </c:pt>
                <c:pt idx="3">
                  <c:v>13</c:v>
                </c:pt>
                <c:pt idx="4">
                  <c:v>10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10</c:v>
                </c:pt>
                <c:pt idx="9">
                  <c:v>8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'25.07 Kibuye-Makindye'!$Z$9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Kibuye-Makindye'!$Z$10:$Z$21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  <c:pt idx="4">
                  <c:v>9</c:v>
                </c:pt>
                <c:pt idx="5">
                  <c:v>19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'25.07 Kibuye-Makindye'!$AA$9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Kibuye-Makindye'!$AA$10:$AA$21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8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'25.07 Kibuye-Makindye'!$AB$9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Kibuye-Makindye'!$AB$10:$AB$21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'25.07 Kibuye-Makindye'!$AC$9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Kibuye-Makindye'!$AC$10:$AC$21</c:f>
              <c:numCache>
                <c:formatCode>0</c:formatCode>
                <c:ptCount val="12"/>
                <c:pt idx="0">
                  <c:v>892</c:v>
                </c:pt>
                <c:pt idx="1">
                  <c:v>898</c:v>
                </c:pt>
                <c:pt idx="2">
                  <c:v>991</c:v>
                </c:pt>
                <c:pt idx="3">
                  <c:v>760</c:v>
                </c:pt>
                <c:pt idx="4">
                  <c:v>800</c:v>
                </c:pt>
                <c:pt idx="5">
                  <c:v>803</c:v>
                </c:pt>
                <c:pt idx="6">
                  <c:v>656</c:v>
                </c:pt>
                <c:pt idx="7">
                  <c:v>702</c:v>
                </c:pt>
                <c:pt idx="8">
                  <c:v>590</c:v>
                </c:pt>
                <c:pt idx="9">
                  <c:v>684</c:v>
                </c:pt>
                <c:pt idx="10">
                  <c:v>831</c:v>
                </c:pt>
                <c:pt idx="11">
                  <c:v>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'25.07 Kibuye-Makindye'!$AD$9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Kibuye-Makindye'!$AD$10:$AD$21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506680"/>
        <c:axId val="257116208"/>
      </c:lineChart>
      <c:catAx>
        <c:axId val="371506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7116208"/>
        <c:crosses val="autoZero"/>
        <c:auto val="1"/>
        <c:lblAlgn val="ctr"/>
        <c:lblOffset val="100"/>
        <c:noMultiLvlLbl val="0"/>
      </c:catAx>
      <c:valAx>
        <c:axId val="25711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150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Kibuye-Makindye'!$C$9:$N$9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Kibuye-Makindye'!$C$60:$N$60</c:f>
              <c:numCache>
                <c:formatCode>0.00%</c:formatCode>
                <c:ptCount val="12"/>
                <c:pt idx="0">
                  <c:v>0.47559246505975289</c:v>
                </c:pt>
                <c:pt idx="1">
                  <c:v>0.16082641280129634</c:v>
                </c:pt>
                <c:pt idx="2">
                  <c:v>5.8740125582337453E-2</c:v>
                </c:pt>
                <c:pt idx="3">
                  <c:v>0.2598744176625481</c:v>
                </c:pt>
                <c:pt idx="4">
                  <c:v>4.8612517723313755E-3</c:v>
                </c:pt>
                <c:pt idx="5">
                  <c:v>8.1020862872189592E-4</c:v>
                </c:pt>
                <c:pt idx="6">
                  <c:v>1.9242454932145027E-2</c:v>
                </c:pt>
                <c:pt idx="7">
                  <c:v>1.4381203159813652E-2</c:v>
                </c:pt>
                <c:pt idx="8">
                  <c:v>5.2663560866923233E-3</c:v>
                </c:pt>
                <c:pt idx="9">
                  <c:v>4.0510431436094796E-4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Makindye-Kibuye'!$AE$9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Makindye-Kibuye'!$AE$10:$AE$21</c:f>
              <c:numCache>
                <c:formatCode>0</c:formatCode>
                <c:ptCount val="12"/>
                <c:pt idx="0">
                  <c:v>276</c:v>
                </c:pt>
                <c:pt idx="1">
                  <c:v>233</c:v>
                </c:pt>
                <c:pt idx="2">
                  <c:v>342</c:v>
                </c:pt>
                <c:pt idx="3">
                  <c:v>393</c:v>
                </c:pt>
                <c:pt idx="4">
                  <c:v>337</c:v>
                </c:pt>
                <c:pt idx="5">
                  <c:v>281</c:v>
                </c:pt>
                <c:pt idx="6">
                  <c:v>298</c:v>
                </c:pt>
                <c:pt idx="7">
                  <c:v>315</c:v>
                </c:pt>
                <c:pt idx="8">
                  <c:v>274</c:v>
                </c:pt>
                <c:pt idx="9">
                  <c:v>275</c:v>
                </c:pt>
                <c:pt idx="10">
                  <c:v>249</c:v>
                </c:pt>
                <c:pt idx="11">
                  <c:v>235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'25.07 Makindye-Kibuye'!$AF$9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Makindye-Kibuye'!$AF$10:$AF$21</c:f>
              <c:numCache>
                <c:formatCode>0</c:formatCode>
                <c:ptCount val="12"/>
                <c:pt idx="0">
                  <c:v>1241</c:v>
                </c:pt>
                <c:pt idx="1">
                  <c:v>1248</c:v>
                </c:pt>
                <c:pt idx="2">
                  <c:v>1362</c:v>
                </c:pt>
                <c:pt idx="3">
                  <c:v>1413</c:v>
                </c:pt>
                <c:pt idx="4">
                  <c:v>1317</c:v>
                </c:pt>
                <c:pt idx="5">
                  <c:v>1221</c:v>
                </c:pt>
                <c:pt idx="6">
                  <c:v>1203</c:v>
                </c:pt>
                <c:pt idx="7">
                  <c:v>1110</c:v>
                </c:pt>
                <c:pt idx="8">
                  <c:v>1114</c:v>
                </c:pt>
                <c:pt idx="9">
                  <c:v>1170</c:v>
                </c:pt>
                <c:pt idx="10">
                  <c:v>1089</c:v>
                </c:pt>
                <c:pt idx="11">
                  <c:v>1080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444064"/>
        <c:axId val="350448376"/>
      </c:lineChart>
      <c:catAx>
        <c:axId val="350444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448376"/>
        <c:crosses val="autoZero"/>
        <c:auto val="1"/>
        <c:lblAlgn val="ctr"/>
        <c:lblOffset val="100"/>
        <c:noMultiLvlLbl val="0"/>
      </c:catAx>
      <c:valAx>
        <c:axId val="350448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044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Makindye-Kibuye'!$C$9:$N$9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Makindye-Kibuye'!$C$59:$N$59</c:f>
              <c:numCache>
                <c:formatCode>0.0%</c:formatCode>
                <c:ptCount val="12"/>
                <c:pt idx="0">
                  <c:v>0.10344590884129599</c:v>
                </c:pt>
                <c:pt idx="1">
                  <c:v>1.9906644700713894E-2</c:v>
                </c:pt>
                <c:pt idx="2">
                  <c:v>1.613124656781988E-2</c:v>
                </c:pt>
                <c:pt idx="3">
                  <c:v>8.6285008237232286E-2</c:v>
                </c:pt>
                <c:pt idx="4">
                  <c:v>8.2372322899505767E-4</c:v>
                </c:pt>
                <c:pt idx="5">
                  <c:v>2.0593080724876442E-4</c:v>
                </c:pt>
                <c:pt idx="6">
                  <c:v>7.9626578802855577E-3</c:v>
                </c:pt>
                <c:pt idx="7">
                  <c:v>5.3542009884678752E-3</c:v>
                </c:pt>
                <c:pt idx="8">
                  <c:v>4.8050521691378364E-4</c:v>
                </c:pt>
                <c:pt idx="9">
                  <c:v>2.0593080724876442E-4</c:v>
                </c:pt>
                <c:pt idx="10">
                  <c:v>0.75919824272377812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Makindye-Kibuye'!$S$9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Makindye-Kibuye'!$S$10:$S$21</c:f>
              <c:numCache>
                <c:formatCode>0</c:formatCode>
                <c:ptCount val="12"/>
                <c:pt idx="0">
                  <c:v>164</c:v>
                </c:pt>
                <c:pt idx="1">
                  <c:v>136</c:v>
                </c:pt>
                <c:pt idx="2">
                  <c:v>169</c:v>
                </c:pt>
                <c:pt idx="3">
                  <c:v>178</c:v>
                </c:pt>
                <c:pt idx="4">
                  <c:v>145</c:v>
                </c:pt>
                <c:pt idx="5">
                  <c:v>117</c:v>
                </c:pt>
                <c:pt idx="6">
                  <c:v>112</c:v>
                </c:pt>
                <c:pt idx="7">
                  <c:v>124</c:v>
                </c:pt>
                <c:pt idx="8">
                  <c:v>94</c:v>
                </c:pt>
                <c:pt idx="9">
                  <c:v>101</c:v>
                </c:pt>
                <c:pt idx="10">
                  <c:v>88</c:v>
                </c:pt>
                <c:pt idx="11">
                  <c:v>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'25.07 Makindye-Kibuye'!$T$9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Makindye-Kibuye'!$T$10:$T$21</c:f>
              <c:numCache>
                <c:formatCode>0</c:formatCode>
                <c:ptCount val="12"/>
                <c:pt idx="0">
                  <c:v>21</c:v>
                </c:pt>
                <c:pt idx="1">
                  <c:v>18</c:v>
                </c:pt>
                <c:pt idx="2">
                  <c:v>22</c:v>
                </c:pt>
                <c:pt idx="3">
                  <c:v>39</c:v>
                </c:pt>
                <c:pt idx="4">
                  <c:v>21</c:v>
                </c:pt>
                <c:pt idx="5">
                  <c:v>26</c:v>
                </c:pt>
                <c:pt idx="6">
                  <c:v>23</c:v>
                </c:pt>
                <c:pt idx="7">
                  <c:v>66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'25.07 Makindye-Kibuye'!$U$9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Makindye-Kibuye'!$U$10:$U$21</c:f>
              <c:numCache>
                <c:formatCode>0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19</c:v>
                </c:pt>
                <c:pt idx="3">
                  <c:v>36</c:v>
                </c:pt>
                <c:pt idx="4">
                  <c:v>32</c:v>
                </c:pt>
                <c:pt idx="5">
                  <c:v>18</c:v>
                </c:pt>
                <c:pt idx="6">
                  <c:v>12</c:v>
                </c:pt>
                <c:pt idx="7">
                  <c:v>12</c:v>
                </c:pt>
                <c:pt idx="8">
                  <c:v>17</c:v>
                </c:pt>
                <c:pt idx="9">
                  <c:v>20</c:v>
                </c:pt>
                <c:pt idx="10">
                  <c:v>37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'25.07 Makindye-Kibuye'!$V$9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Makindye-Kibuye'!$V$10:$V$21</c:f>
              <c:numCache>
                <c:formatCode>0</c:formatCode>
                <c:ptCount val="12"/>
                <c:pt idx="0">
                  <c:v>58</c:v>
                </c:pt>
                <c:pt idx="1">
                  <c:v>47</c:v>
                </c:pt>
                <c:pt idx="2">
                  <c:v>114</c:v>
                </c:pt>
                <c:pt idx="3">
                  <c:v>111</c:v>
                </c:pt>
                <c:pt idx="4">
                  <c:v>114</c:v>
                </c:pt>
                <c:pt idx="5">
                  <c:v>96</c:v>
                </c:pt>
                <c:pt idx="6">
                  <c:v>126</c:v>
                </c:pt>
                <c:pt idx="7">
                  <c:v>101</c:v>
                </c:pt>
                <c:pt idx="8">
                  <c:v>143</c:v>
                </c:pt>
                <c:pt idx="9">
                  <c:v>125</c:v>
                </c:pt>
                <c:pt idx="10">
                  <c:v>97</c:v>
                </c:pt>
                <c:pt idx="11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'25.07 Makindye-Kibuye'!$W$9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Makindye-Kibuye'!$W$10:$W$21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'25.07 Makindye-Kibuye'!$X$9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Makindye-Kibuye'!$X$10:$X$21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'25.07 Makindye-Kibuye'!$Y$9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Makindye-Kibuye'!$Y$10:$Y$21</c:f>
              <c:numCache>
                <c:formatCode>0</c:formatCode>
                <c:ptCount val="12"/>
                <c:pt idx="0">
                  <c:v>18</c:v>
                </c:pt>
                <c:pt idx="1">
                  <c:v>13</c:v>
                </c:pt>
                <c:pt idx="2">
                  <c:v>10</c:v>
                </c:pt>
                <c:pt idx="3">
                  <c:v>11</c:v>
                </c:pt>
                <c:pt idx="4">
                  <c:v>10</c:v>
                </c:pt>
                <c:pt idx="5">
                  <c:v>15</c:v>
                </c:pt>
                <c:pt idx="6">
                  <c:v>12</c:v>
                </c:pt>
                <c:pt idx="7">
                  <c:v>5</c:v>
                </c:pt>
                <c:pt idx="8">
                  <c:v>0</c:v>
                </c:pt>
                <c:pt idx="9">
                  <c:v>10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'25.07 Makindye-Kibuye'!$Z$9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Makindye-Kibuye'!$Z$10:$Z$21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11</c:v>
                </c:pt>
                <c:pt idx="5">
                  <c:v>8</c:v>
                </c:pt>
                <c:pt idx="6">
                  <c:v>12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'25.07 Makindye-Kibuye'!$AA$9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Makindye-Kibuye'!$AA$10:$AA$21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'25.07 Makindye-Kibuye'!$AB$9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Makindye-Kibuye'!$AB$10:$AB$21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'25.07 Makindye-Kibuye'!$AC$9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Makindye-Kibuye'!$AC$10:$AC$21</c:f>
              <c:numCache>
                <c:formatCode>0</c:formatCode>
                <c:ptCount val="12"/>
                <c:pt idx="0">
                  <c:v>965</c:v>
                </c:pt>
                <c:pt idx="1">
                  <c:v>1015</c:v>
                </c:pt>
                <c:pt idx="2">
                  <c:v>1020</c:v>
                </c:pt>
                <c:pt idx="3">
                  <c:v>1020</c:v>
                </c:pt>
                <c:pt idx="4">
                  <c:v>980</c:v>
                </c:pt>
                <c:pt idx="5">
                  <c:v>940</c:v>
                </c:pt>
                <c:pt idx="6">
                  <c:v>905</c:v>
                </c:pt>
                <c:pt idx="7">
                  <c:v>795</c:v>
                </c:pt>
                <c:pt idx="8">
                  <c:v>840</c:v>
                </c:pt>
                <c:pt idx="9">
                  <c:v>895</c:v>
                </c:pt>
                <c:pt idx="10">
                  <c:v>840</c:v>
                </c:pt>
                <c:pt idx="11">
                  <c:v>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'25.07 Makindye-Kibuye'!$AD$9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Makindye-Kibuye'!$AD$10:$AD$21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162728"/>
        <c:axId val="304167040"/>
      </c:lineChart>
      <c:catAx>
        <c:axId val="304162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4167040"/>
        <c:crosses val="autoZero"/>
        <c:auto val="1"/>
        <c:lblAlgn val="ctr"/>
        <c:lblOffset val="100"/>
        <c:noMultiLvlLbl val="0"/>
      </c:catAx>
      <c:valAx>
        <c:axId val="3041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4162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Makindye-Kibuye'!$C$9:$N$9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Makindye-Kibuye'!$C$60:$N$60</c:f>
              <c:numCache>
                <c:formatCode>0.00%</c:formatCode>
                <c:ptCount val="12"/>
                <c:pt idx="0">
                  <c:v>0.42958950969213228</c:v>
                </c:pt>
                <c:pt idx="1">
                  <c:v>8.2668187001140245E-2</c:v>
                </c:pt>
                <c:pt idx="2">
                  <c:v>6.698973774230331E-2</c:v>
                </c:pt>
                <c:pt idx="3">
                  <c:v>0.35832383124287343</c:v>
                </c:pt>
                <c:pt idx="4">
                  <c:v>3.4207525655644243E-3</c:v>
                </c:pt>
                <c:pt idx="5">
                  <c:v>8.5518814139110607E-4</c:v>
                </c:pt>
                <c:pt idx="6">
                  <c:v>3.3067274800456098E-2</c:v>
                </c:pt>
                <c:pt idx="7">
                  <c:v>2.2234891676168756E-2</c:v>
                </c:pt>
                <c:pt idx="8">
                  <c:v>1.9954389965792475E-3</c:v>
                </c:pt>
                <c:pt idx="9">
                  <c:v>8.5518814139110607E-4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Kibuye-Makindye-24h'!$AE$9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Kibuye-Makindye-24h'!$R$10:$R$33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Kibuye-Makindye-24h'!$AE$10:$AE$33</c:f>
              <c:numCache>
                <c:formatCode>0</c:formatCode>
                <c:ptCount val="24"/>
                <c:pt idx="0">
                  <c:v>331</c:v>
                </c:pt>
                <c:pt idx="1">
                  <c:v>374</c:v>
                </c:pt>
                <c:pt idx="2">
                  <c:v>268</c:v>
                </c:pt>
                <c:pt idx="3">
                  <c:v>332</c:v>
                </c:pt>
                <c:pt idx="4">
                  <c:v>513</c:v>
                </c:pt>
                <c:pt idx="5">
                  <c:v>467</c:v>
                </c:pt>
                <c:pt idx="6">
                  <c:v>305</c:v>
                </c:pt>
                <c:pt idx="7">
                  <c:v>301</c:v>
                </c:pt>
                <c:pt idx="8">
                  <c:v>378</c:v>
                </c:pt>
                <c:pt idx="9">
                  <c:v>368</c:v>
                </c:pt>
                <c:pt idx="10">
                  <c:v>339</c:v>
                </c:pt>
                <c:pt idx="11">
                  <c:v>497</c:v>
                </c:pt>
                <c:pt idx="12">
                  <c:v>351.5</c:v>
                </c:pt>
                <c:pt idx="13">
                  <c:v>304</c:v>
                </c:pt>
                <c:pt idx="14">
                  <c:v>345</c:v>
                </c:pt>
                <c:pt idx="15">
                  <c:v>292</c:v>
                </c:pt>
                <c:pt idx="16">
                  <c:v>189</c:v>
                </c:pt>
                <c:pt idx="17">
                  <c:v>160</c:v>
                </c:pt>
                <c:pt idx="18">
                  <c:v>93</c:v>
                </c:pt>
                <c:pt idx="19">
                  <c:v>53</c:v>
                </c:pt>
                <c:pt idx="20">
                  <c:v>37</c:v>
                </c:pt>
                <c:pt idx="21">
                  <c:v>46</c:v>
                </c:pt>
                <c:pt idx="22">
                  <c:v>45</c:v>
                </c:pt>
                <c:pt idx="23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'26.07 Kibuye-Makindye-24h'!$AF$9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Kibuye-Makindye-24h'!$R$10:$R$33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Kibuye-Makindye-24h'!$AF$10:$AF$33</c:f>
              <c:numCache>
                <c:formatCode>0</c:formatCode>
                <c:ptCount val="24"/>
                <c:pt idx="0">
                  <c:v>1027</c:v>
                </c:pt>
                <c:pt idx="1">
                  <c:v>1124</c:v>
                </c:pt>
                <c:pt idx="2">
                  <c:v>1043</c:v>
                </c:pt>
                <c:pt idx="3">
                  <c:v>1052</c:v>
                </c:pt>
                <c:pt idx="4">
                  <c:v>1243</c:v>
                </c:pt>
                <c:pt idx="5">
                  <c:v>1207</c:v>
                </c:pt>
                <c:pt idx="6">
                  <c:v>1116</c:v>
                </c:pt>
                <c:pt idx="7">
                  <c:v>1142</c:v>
                </c:pt>
                <c:pt idx="8">
                  <c:v>1193</c:v>
                </c:pt>
                <c:pt idx="9">
                  <c:v>1153</c:v>
                </c:pt>
                <c:pt idx="10">
                  <c:v>1189</c:v>
                </c:pt>
                <c:pt idx="11">
                  <c:v>1207</c:v>
                </c:pt>
                <c:pt idx="12">
                  <c:v>754</c:v>
                </c:pt>
                <c:pt idx="13">
                  <c:v>718</c:v>
                </c:pt>
                <c:pt idx="14">
                  <c:v>652</c:v>
                </c:pt>
                <c:pt idx="15">
                  <c:v>624</c:v>
                </c:pt>
                <c:pt idx="16">
                  <c:v>405</c:v>
                </c:pt>
                <c:pt idx="17">
                  <c:v>364</c:v>
                </c:pt>
                <c:pt idx="18">
                  <c:v>219</c:v>
                </c:pt>
                <c:pt idx="19">
                  <c:v>147</c:v>
                </c:pt>
                <c:pt idx="20">
                  <c:v>83</c:v>
                </c:pt>
                <c:pt idx="21">
                  <c:v>109</c:v>
                </c:pt>
                <c:pt idx="22">
                  <c:v>148</c:v>
                </c:pt>
                <c:pt idx="23">
                  <c:v>164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163512"/>
        <c:axId val="304167824"/>
      </c:lineChart>
      <c:catAx>
        <c:axId val="3041635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4167824"/>
        <c:crosses val="autoZero"/>
        <c:auto val="1"/>
        <c:lblAlgn val="ctr"/>
        <c:lblOffset val="100"/>
        <c:noMultiLvlLbl val="0"/>
      </c:catAx>
      <c:valAx>
        <c:axId val="304167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416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Kibuye-Makindye-24h'!$C$9:$N$9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Kibuye-Makindye-24h'!$C$107:$N$107</c:f>
              <c:numCache>
                <c:formatCode>0.0%</c:formatCode>
                <c:ptCount val="12"/>
                <c:pt idx="0">
                  <c:v>0.20137698390753747</c:v>
                </c:pt>
                <c:pt idx="1">
                  <c:v>5.1374218879610682E-2</c:v>
                </c:pt>
                <c:pt idx="2">
                  <c:v>2.3060332909362383E-2</c:v>
                </c:pt>
                <c:pt idx="3">
                  <c:v>6.3955095946469059E-2</c:v>
                </c:pt>
                <c:pt idx="4">
                  <c:v>1.188962008516286E-3</c:v>
                </c:pt>
                <c:pt idx="5">
                  <c:v>6.083061438920533E-4</c:v>
                </c:pt>
                <c:pt idx="6">
                  <c:v>9.4563955095946471E-3</c:v>
                </c:pt>
                <c:pt idx="7">
                  <c:v>3.2350826743350108E-3</c:v>
                </c:pt>
                <c:pt idx="8">
                  <c:v>1.8525687109439805E-3</c:v>
                </c:pt>
                <c:pt idx="9">
                  <c:v>5.5300558535641207E-4</c:v>
                </c:pt>
                <c:pt idx="10">
                  <c:v>0.643339047724382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Kibuye-Makindye-24h'!$C$9:$N$9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Kibuye-Makindye-24h'!$C$108:$N$108</c:f>
              <c:numCache>
                <c:formatCode>0.00%</c:formatCode>
                <c:ptCount val="12"/>
                <c:pt idx="0">
                  <c:v>0.56461741220249628</c:v>
                </c:pt>
                <c:pt idx="1">
                  <c:v>0.14404217381192341</c:v>
                </c:pt>
                <c:pt idx="2">
                  <c:v>6.4656174897278859E-2</c:v>
                </c:pt>
                <c:pt idx="3">
                  <c:v>0.17931622606403597</c:v>
                </c:pt>
                <c:pt idx="4">
                  <c:v>3.3335917512985502E-3</c:v>
                </c:pt>
                <c:pt idx="5">
                  <c:v>1.7055585704318164E-3</c:v>
                </c:pt>
                <c:pt idx="6">
                  <c:v>2.6513683231258238E-2</c:v>
                </c:pt>
                <c:pt idx="7">
                  <c:v>9.0704705791146596E-3</c:v>
                </c:pt>
                <c:pt idx="8">
                  <c:v>5.1942011008605316E-3</c:v>
                </c:pt>
                <c:pt idx="9">
                  <c:v>1.5505077913016514E-3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Makindye-Kibuye-24h'!$AE$9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Makindye-Kibuye-24h'!$R$10:$R$33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Makindye-Kibuye-24h'!$AE$10:$AE$33</c:f>
              <c:numCache>
                <c:formatCode>0</c:formatCode>
                <c:ptCount val="24"/>
                <c:pt idx="0">
                  <c:v>220</c:v>
                </c:pt>
                <c:pt idx="1">
                  <c:v>182</c:v>
                </c:pt>
                <c:pt idx="2">
                  <c:v>279</c:v>
                </c:pt>
                <c:pt idx="3">
                  <c:v>265</c:v>
                </c:pt>
                <c:pt idx="4">
                  <c:v>224</c:v>
                </c:pt>
                <c:pt idx="5">
                  <c:v>357</c:v>
                </c:pt>
                <c:pt idx="6">
                  <c:v>265</c:v>
                </c:pt>
                <c:pt idx="7">
                  <c:v>244</c:v>
                </c:pt>
                <c:pt idx="8">
                  <c:v>305</c:v>
                </c:pt>
                <c:pt idx="9">
                  <c:v>295</c:v>
                </c:pt>
                <c:pt idx="10">
                  <c:v>299</c:v>
                </c:pt>
                <c:pt idx="11">
                  <c:v>184</c:v>
                </c:pt>
                <c:pt idx="12">
                  <c:v>375</c:v>
                </c:pt>
                <c:pt idx="13">
                  <c:v>744</c:v>
                </c:pt>
                <c:pt idx="14">
                  <c:v>347</c:v>
                </c:pt>
                <c:pt idx="15">
                  <c:v>579</c:v>
                </c:pt>
                <c:pt idx="16">
                  <c:v>405</c:v>
                </c:pt>
                <c:pt idx="17">
                  <c:v>119</c:v>
                </c:pt>
                <c:pt idx="18">
                  <c:v>41</c:v>
                </c:pt>
                <c:pt idx="19">
                  <c:v>37</c:v>
                </c:pt>
                <c:pt idx="20">
                  <c:v>46</c:v>
                </c:pt>
                <c:pt idx="21">
                  <c:v>84</c:v>
                </c:pt>
                <c:pt idx="22">
                  <c:v>131</c:v>
                </c:pt>
                <c:pt idx="23">
                  <c:v>571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'26.07 Makindye-Kibuye-24h'!$AF$9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Makindye-Kibuye-24h'!$R$10:$R$33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Makindye-Kibuye-24h'!$AF$10:$AF$33</c:f>
              <c:numCache>
                <c:formatCode>0</c:formatCode>
                <c:ptCount val="24"/>
                <c:pt idx="0">
                  <c:v>931</c:v>
                </c:pt>
                <c:pt idx="1">
                  <c:v>1027</c:v>
                </c:pt>
                <c:pt idx="2">
                  <c:v>1154</c:v>
                </c:pt>
                <c:pt idx="3">
                  <c:v>1110</c:v>
                </c:pt>
                <c:pt idx="4">
                  <c:v>1049</c:v>
                </c:pt>
                <c:pt idx="5">
                  <c:v>1112</c:v>
                </c:pt>
                <c:pt idx="6">
                  <c:v>1060</c:v>
                </c:pt>
                <c:pt idx="7">
                  <c:v>1104</c:v>
                </c:pt>
                <c:pt idx="8">
                  <c:v>1290</c:v>
                </c:pt>
                <c:pt idx="9">
                  <c:v>1010</c:v>
                </c:pt>
                <c:pt idx="10">
                  <c:v>1014</c:v>
                </c:pt>
                <c:pt idx="11">
                  <c:v>824</c:v>
                </c:pt>
                <c:pt idx="12">
                  <c:v>685</c:v>
                </c:pt>
                <c:pt idx="13">
                  <c:v>1285</c:v>
                </c:pt>
                <c:pt idx="14">
                  <c:v>1429</c:v>
                </c:pt>
                <c:pt idx="15">
                  <c:v>1544</c:v>
                </c:pt>
                <c:pt idx="16">
                  <c:v>1100</c:v>
                </c:pt>
                <c:pt idx="17">
                  <c:v>684</c:v>
                </c:pt>
                <c:pt idx="18">
                  <c:v>279</c:v>
                </c:pt>
                <c:pt idx="19">
                  <c:v>121</c:v>
                </c:pt>
                <c:pt idx="20">
                  <c:v>122</c:v>
                </c:pt>
                <c:pt idx="21">
                  <c:v>174</c:v>
                </c:pt>
                <c:pt idx="22">
                  <c:v>346</c:v>
                </c:pt>
                <c:pt idx="23">
                  <c:v>836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163904"/>
        <c:axId val="304159200"/>
      </c:lineChart>
      <c:catAx>
        <c:axId val="304163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4159200"/>
        <c:crosses val="autoZero"/>
        <c:auto val="1"/>
        <c:lblAlgn val="ctr"/>
        <c:lblOffset val="100"/>
        <c:noMultiLvlLbl val="0"/>
      </c:catAx>
      <c:valAx>
        <c:axId val="304159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416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Makindye-Kibuye-24h'!$C$9:$N$9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Makindye-Kibuye-24h'!$C$107:$N$107</c:f>
              <c:numCache>
                <c:formatCode>0.0%</c:formatCode>
                <c:ptCount val="12"/>
                <c:pt idx="0">
                  <c:v>0.14856740253640208</c:v>
                </c:pt>
                <c:pt idx="1">
                  <c:v>1.5312353217472992E-2</c:v>
                </c:pt>
                <c:pt idx="2">
                  <c:v>9.6759041803663685E-3</c:v>
                </c:pt>
                <c:pt idx="3">
                  <c:v>0.12555190230155003</c:v>
                </c:pt>
                <c:pt idx="4">
                  <c:v>5.6364490371066227E-4</c:v>
                </c:pt>
                <c:pt idx="5">
                  <c:v>4.6970408642555191E-5</c:v>
                </c:pt>
                <c:pt idx="6">
                  <c:v>5.7773602630342884E-3</c:v>
                </c:pt>
                <c:pt idx="7">
                  <c:v>3.3818694222639738E-3</c:v>
                </c:pt>
                <c:pt idx="8">
                  <c:v>9.3940817285110385E-4</c:v>
                </c:pt>
                <c:pt idx="9">
                  <c:v>4.6970408642555191E-5</c:v>
                </c:pt>
                <c:pt idx="10">
                  <c:v>0.69008924377642089</c:v>
                </c:pt>
                <c:pt idx="11">
                  <c:v>4.6970408642555191E-5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Makindye-Kibuye-24h'!$C$9:$N$9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Makindye-Kibuye-24h'!$C$108:$N$108</c:f>
              <c:numCache>
                <c:formatCode>0.00%</c:formatCode>
                <c:ptCount val="12"/>
                <c:pt idx="0">
                  <c:v>0.47938769324037589</c:v>
                </c:pt>
                <c:pt idx="1">
                  <c:v>4.9408911791451952E-2</c:v>
                </c:pt>
                <c:pt idx="2">
                  <c:v>3.1221582297665959E-2</c:v>
                </c:pt>
                <c:pt idx="3">
                  <c:v>0.40512276447408307</c:v>
                </c:pt>
                <c:pt idx="4">
                  <c:v>1.8187329493785996E-3</c:v>
                </c:pt>
                <c:pt idx="5">
                  <c:v>1.515610791148833E-4</c:v>
                </c:pt>
                <c:pt idx="6">
                  <c:v>1.8642012731130645E-2</c:v>
                </c:pt>
                <c:pt idx="7">
                  <c:v>1.0912397696271597E-2</c:v>
                </c:pt>
                <c:pt idx="8">
                  <c:v>3.031221582297666E-3</c:v>
                </c:pt>
                <c:pt idx="9">
                  <c:v>1.515610791148833E-4</c:v>
                </c:pt>
                <c:pt idx="11">
                  <c:v>1.515610791148833E-4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Kibuye-Makindye-24h'!$AE$9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Kibuye-Makindye-24h'!$R$10:$R$33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Kibuye-Makindye-24h'!$AE$10:$AE$33</c:f>
              <c:numCache>
                <c:formatCode>0</c:formatCode>
                <c:ptCount val="24"/>
                <c:pt idx="0">
                  <c:v>370</c:v>
                </c:pt>
                <c:pt idx="1">
                  <c:v>347</c:v>
                </c:pt>
                <c:pt idx="2">
                  <c:v>394</c:v>
                </c:pt>
                <c:pt idx="3">
                  <c:v>550</c:v>
                </c:pt>
                <c:pt idx="4">
                  <c:v>504</c:v>
                </c:pt>
                <c:pt idx="5">
                  <c:v>422</c:v>
                </c:pt>
                <c:pt idx="6">
                  <c:v>452</c:v>
                </c:pt>
                <c:pt idx="7">
                  <c:v>438</c:v>
                </c:pt>
                <c:pt idx="8">
                  <c:v>451</c:v>
                </c:pt>
                <c:pt idx="9">
                  <c:v>475</c:v>
                </c:pt>
                <c:pt idx="10">
                  <c:v>587</c:v>
                </c:pt>
                <c:pt idx="11">
                  <c:v>496</c:v>
                </c:pt>
                <c:pt idx="12">
                  <c:v>417</c:v>
                </c:pt>
                <c:pt idx="13">
                  <c:v>371</c:v>
                </c:pt>
                <c:pt idx="14">
                  <c:v>349</c:v>
                </c:pt>
                <c:pt idx="15">
                  <c:v>146</c:v>
                </c:pt>
                <c:pt idx="16">
                  <c:v>269</c:v>
                </c:pt>
                <c:pt idx="17">
                  <c:v>95</c:v>
                </c:pt>
                <c:pt idx="18">
                  <c:v>83</c:v>
                </c:pt>
                <c:pt idx="19">
                  <c:v>134</c:v>
                </c:pt>
                <c:pt idx="20">
                  <c:v>81</c:v>
                </c:pt>
                <c:pt idx="21">
                  <c:v>66</c:v>
                </c:pt>
                <c:pt idx="22">
                  <c:v>48</c:v>
                </c:pt>
                <c:pt idx="23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'27.07 Kibuye-Makindye-24h'!$AF$9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Kibuye-Makindye-24h'!$R$10:$R$33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Kibuye-Makindye-24h'!$AF$10:$AF$33</c:f>
              <c:numCache>
                <c:formatCode>0</c:formatCode>
                <c:ptCount val="24"/>
                <c:pt idx="0">
                  <c:v>1180</c:v>
                </c:pt>
                <c:pt idx="1">
                  <c:v>1292</c:v>
                </c:pt>
                <c:pt idx="2">
                  <c:v>1259</c:v>
                </c:pt>
                <c:pt idx="3">
                  <c:v>1267</c:v>
                </c:pt>
                <c:pt idx="4">
                  <c:v>1461</c:v>
                </c:pt>
                <c:pt idx="5">
                  <c:v>1382</c:v>
                </c:pt>
                <c:pt idx="6">
                  <c:v>1222</c:v>
                </c:pt>
                <c:pt idx="7">
                  <c:v>1183</c:v>
                </c:pt>
                <c:pt idx="8">
                  <c:v>1127</c:v>
                </c:pt>
                <c:pt idx="9">
                  <c:v>1355</c:v>
                </c:pt>
                <c:pt idx="10">
                  <c:v>1330</c:v>
                </c:pt>
                <c:pt idx="11">
                  <c:v>1272</c:v>
                </c:pt>
                <c:pt idx="12">
                  <c:v>910</c:v>
                </c:pt>
                <c:pt idx="13">
                  <c:v>830</c:v>
                </c:pt>
                <c:pt idx="14">
                  <c:v>744</c:v>
                </c:pt>
                <c:pt idx="15">
                  <c:v>352</c:v>
                </c:pt>
                <c:pt idx="16">
                  <c:v>498</c:v>
                </c:pt>
                <c:pt idx="17">
                  <c:v>232</c:v>
                </c:pt>
                <c:pt idx="18">
                  <c:v>227</c:v>
                </c:pt>
                <c:pt idx="19">
                  <c:v>299</c:v>
                </c:pt>
                <c:pt idx="20">
                  <c:v>170</c:v>
                </c:pt>
                <c:pt idx="21">
                  <c:v>131</c:v>
                </c:pt>
                <c:pt idx="22">
                  <c:v>110</c:v>
                </c:pt>
                <c:pt idx="23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160768"/>
        <c:axId val="304166648"/>
      </c:lineChart>
      <c:catAx>
        <c:axId val="3041607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4166648"/>
        <c:crosses val="autoZero"/>
        <c:auto val="1"/>
        <c:lblAlgn val="ctr"/>
        <c:lblOffset val="100"/>
        <c:noMultiLvlLbl val="0"/>
      </c:catAx>
      <c:valAx>
        <c:axId val="304166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416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Kibuye-Makindye-24h'!$C$9:$N$9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Kibuye-Makindye-24h'!$C$107:$N$107</c:f>
              <c:numCache>
                <c:formatCode>0.0%</c:formatCode>
                <c:ptCount val="12"/>
                <c:pt idx="0">
                  <c:v>0.21710096902143897</c:v>
                </c:pt>
                <c:pt idx="1">
                  <c:v>5.1061906913691821E-2</c:v>
                </c:pt>
                <c:pt idx="2">
                  <c:v>2.2443139026961892E-2</c:v>
                </c:pt>
                <c:pt idx="3">
                  <c:v>7.0592960787267164E-2</c:v>
                </c:pt>
                <c:pt idx="4">
                  <c:v>9.5395892955766433E-4</c:v>
                </c:pt>
                <c:pt idx="5">
                  <c:v>8.0333383541698043E-4</c:v>
                </c:pt>
                <c:pt idx="6">
                  <c:v>1.0895215142842798E-2</c:v>
                </c:pt>
                <c:pt idx="7">
                  <c:v>4.820003012501883E-3</c:v>
                </c:pt>
                <c:pt idx="8">
                  <c:v>1.4058342119797158E-3</c:v>
                </c:pt>
                <c:pt idx="9">
                  <c:v>7.029171059898579E-4</c:v>
                </c:pt>
                <c:pt idx="10">
                  <c:v>0.61921976201235129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Kibuye-Makindye-24h'!$C$9:$N$9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Kibuye-Makindye-24h'!$C$108:$N$108</c:f>
              <c:numCache>
                <c:formatCode>0.00%</c:formatCode>
                <c:ptCount val="12"/>
                <c:pt idx="0">
                  <c:v>0.57014767932489452</c:v>
                </c:pt>
                <c:pt idx="1">
                  <c:v>0.13409810126582278</c:v>
                </c:pt>
                <c:pt idx="2">
                  <c:v>5.8939873417721521E-2</c:v>
                </c:pt>
                <c:pt idx="3">
                  <c:v>0.18539029535864979</c:v>
                </c:pt>
                <c:pt idx="4">
                  <c:v>2.5052742616033757E-3</c:v>
                </c:pt>
                <c:pt idx="5">
                  <c:v>2.1097046413502108E-3</c:v>
                </c:pt>
                <c:pt idx="6">
                  <c:v>2.8612869198312237E-2</c:v>
                </c:pt>
                <c:pt idx="7">
                  <c:v>1.2658227848101266E-2</c:v>
                </c:pt>
                <c:pt idx="8">
                  <c:v>3.6919831223628692E-3</c:v>
                </c:pt>
                <c:pt idx="9">
                  <c:v>1.8459915611814346E-3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Makindye-Kibuye-24h'!$AE$9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Makindye-Kibuye-24h'!$R$10:$R$33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Makindye-Kibuye-24h'!$AE$10:$AE$33</c:f>
              <c:numCache>
                <c:formatCode>0</c:formatCode>
                <c:ptCount val="24"/>
                <c:pt idx="0">
                  <c:v>360</c:v>
                </c:pt>
                <c:pt idx="1">
                  <c:v>508</c:v>
                </c:pt>
                <c:pt idx="2">
                  <c:v>541</c:v>
                </c:pt>
                <c:pt idx="3">
                  <c:v>483</c:v>
                </c:pt>
                <c:pt idx="4">
                  <c:v>374</c:v>
                </c:pt>
                <c:pt idx="5">
                  <c:v>394</c:v>
                </c:pt>
                <c:pt idx="6">
                  <c:v>371</c:v>
                </c:pt>
                <c:pt idx="7">
                  <c:v>340</c:v>
                </c:pt>
                <c:pt idx="8">
                  <c:v>359</c:v>
                </c:pt>
                <c:pt idx="9">
                  <c:v>309</c:v>
                </c:pt>
                <c:pt idx="10">
                  <c:v>294</c:v>
                </c:pt>
                <c:pt idx="11">
                  <c:v>290</c:v>
                </c:pt>
                <c:pt idx="12">
                  <c:v>445</c:v>
                </c:pt>
                <c:pt idx="13">
                  <c:v>235</c:v>
                </c:pt>
                <c:pt idx="14">
                  <c:v>203</c:v>
                </c:pt>
                <c:pt idx="15">
                  <c:v>172</c:v>
                </c:pt>
                <c:pt idx="16">
                  <c:v>147</c:v>
                </c:pt>
                <c:pt idx="17">
                  <c:v>107</c:v>
                </c:pt>
                <c:pt idx="18">
                  <c:v>41</c:v>
                </c:pt>
                <c:pt idx="19">
                  <c:v>63</c:v>
                </c:pt>
                <c:pt idx="20">
                  <c:v>25</c:v>
                </c:pt>
                <c:pt idx="21">
                  <c:v>83</c:v>
                </c:pt>
                <c:pt idx="22">
                  <c:v>75</c:v>
                </c:pt>
                <c:pt idx="23">
                  <c:v>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'27.07 Makindye-Kibuye-24h'!$AF$9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Makindye-Kibuye-24h'!$R$10:$R$33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Makindye-Kibuye-24h'!$AF$10:$AF$33</c:f>
              <c:numCache>
                <c:formatCode>0</c:formatCode>
                <c:ptCount val="24"/>
                <c:pt idx="0">
                  <c:v>1240</c:v>
                </c:pt>
                <c:pt idx="1">
                  <c:v>1363</c:v>
                </c:pt>
                <c:pt idx="2">
                  <c:v>1381</c:v>
                </c:pt>
                <c:pt idx="3">
                  <c:v>1388</c:v>
                </c:pt>
                <c:pt idx="4">
                  <c:v>1254</c:v>
                </c:pt>
                <c:pt idx="5">
                  <c:v>1354</c:v>
                </c:pt>
                <c:pt idx="6">
                  <c:v>1221</c:v>
                </c:pt>
                <c:pt idx="7">
                  <c:v>1255</c:v>
                </c:pt>
                <c:pt idx="8">
                  <c:v>1349</c:v>
                </c:pt>
                <c:pt idx="9">
                  <c:v>1289</c:v>
                </c:pt>
                <c:pt idx="10">
                  <c:v>1129</c:v>
                </c:pt>
                <c:pt idx="11">
                  <c:v>1170</c:v>
                </c:pt>
                <c:pt idx="12">
                  <c:v>1482</c:v>
                </c:pt>
                <c:pt idx="13">
                  <c:v>620</c:v>
                </c:pt>
                <c:pt idx="14">
                  <c:v>636</c:v>
                </c:pt>
                <c:pt idx="15">
                  <c:v>447</c:v>
                </c:pt>
                <c:pt idx="16">
                  <c:v>392</c:v>
                </c:pt>
                <c:pt idx="17">
                  <c:v>267</c:v>
                </c:pt>
                <c:pt idx="18">
                  <c:v>271</c:v>
                </c:pt>
                <c:pt idx="19">
                  <c:v>198</c:v>
                </c:pt>
                <c:pt idx="20">
                  <c:v>144</c:v>
                </c:pt>
                <c:pt idx="21">
                  <c:v>243</c:v>
                </c:pt>
                <c:pt idx="22">
                  <c:v>180</c:v>
                </c:pt>
                <c:pt idx="23">
                  <c:v>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14984"/>
        <c:axId val="171713024"/>
      </c:lineChart>
      <c:catAx>
        <c:axId val="1717149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713024"/>
        <c:crosses val="autoZero"/>
        <c:auto val="1"/>
        <c:lblAlgn val="ctr"/>
        <c:lblOffset val="100"/>
        <c:noMultiLvlLbl val="0"/>
      </c:catAx>
      <c:valAx>
        <c:axId val="171713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714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Makindye-Kibuye-24h'!$C$9:$N$9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Makindye-Kibuye-24h'!$C$107:$N$107</c:f>
              <c:numCache>
                <c:formatCode>0.0%</c:formatCode>
                <c:ptCount val="12"/>
                <c:pt idx="0">
                  <c:v>0.1426973940101128</c:v>
                </c:pt>
                <c:pt idx="1">
                  <c:v>1.7891870867366783E-2</c:v>
                </c:pt>
                <c:pt idx="2">
                  <c:v>1.1376896149358226E-2</c:v>
                </c:pt>
                <c:pt idx="3">
                  <c:v>0.12451380785686503</c:v>
                </c:pt>
                <c:pt idx="4">
                  <c:v>4.8619214313496692E-4</c:v>
                </c:pt>
                <c:pt idx="5">
                  <c:v>9.7238428626993388E-5</c:v>
                </c:pt>
                <c:pt idx="6">
                  <c:v>6.9525476468300269E-3</c:v>
                </c:pt>
                <c:pt idx="7">
                  <c:v>3.3547257876312721E-3</c:v>
                </c:pt>
                <c:pt idx="8">
                  <c:v>5.3481135744846368E-4</c:v>
                </c:pt>
                <c:pt idx="9">
                  <c:v>2.9171528588098014E-4</c:v>
                </c:pt>
                <c:pt idx="10">
                  <c:v>0.69180280046674447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Makindye-Kibuye-24h'!$C$9:$N$9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Makindye-Kibuye-24h'!$C$108:$N$108</c:f>
              <c:numCache>
                <c:formatCode>0.00%</c:formatCode>
                <c:ptCount val="12"/>
                <c:pt idx="0">
                  <c:v>0.46300678340432244</c:v>
                </c:pt>
                <c:pt idx="1">
                  <c:v>5.8053320713046225E-2</c:v>
                </c:pt>
                <c:pt idx="2">
                  <c:v>3.6914339801230475E-2</c:v>
                </c:pt>
                <c:pt idx="3">
                  <c:v>0.40400694115791136</c:v>
                </c:pt>
                <c:pt idx="4">
                  <c:v>1.5775358889414735E-3</c:v>
                </c:pt>
                <c:pt idx="5">
                  <c:v>3.1550717778829469E-4</c:v>
                </c:pt>
                <c:pt idx="6">
                  <c:v>2.2558763211863071E-2</c:v>
                </c:pt>
                <c:pt idx="7">
                  <c:v>1.0884997633696167E-2</c:v>
                </c:pt>
                <c:pt idx="8">
                  <c:v>1.7352894778356208E-3</c:v>
                </c:pt>
                <c:pt idx="9">
                  <c:v>9.4652153336488402E-4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Kibuye-Makindye'!$AE$9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Kibuye-Makindye'!$AE$10:$AE$21</c:f>
              <c:numCache>
                <c:formatCode>0</c:formatCode>
                <c:ptCount val="12"/>
                <c:pt idx="0">
                  <c:v>150</c:v>
                </c:pt>
                <c:pt idx="1">
                  <c:v>174</c:v>
                </c:pt>
                <c:pt idx="2">
                  <c:v>231</c:v>
                </c:pt>
                <c:pt idx="3">
                  <c:v>390</c:v>
                </c:pt>
                <c:pt idx="4">
                  <c:v>317</c:v>
                </c:pt>
                <c:pt idx="5">
                  <c:v>369</c:v>
                </c:pt>
                <c:pt idx="6">
                  <c:v>374</c:v>
                </c:pt>
                <c:pt idx="7">
                  <c:v>369</c:v>
                </c:pt>
                <c:pt idx="8">
                  <c:v>408</c:v>
                </c:pt>
                <c:pt idx="9">
                  <c:v>549</c:v>
                </c:pt>
                <c:pt idx="10">
                  <c:v>405</c:v>
                </c:pt>
                <c:pt idx="11">
                  <c:v>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'28.07 Kibuye-Makindye'!$AF$9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Kibuye-Makindye'!$AF$10:$AF$21</c:f>
              <c:numCache>
                <c:formatCode>0</c:formatCode>
                <c:ptCount val="12"/>
                <c:pt idx="0">
                  <c:v>517</c:v>
                </c:pt>
                <c:pt idx="1">
                  <c:v>726</c:v>
                </c:pt>
                <c:pt idx="2">
                  <c:v>901</c:v>
                </c:pt>
                <c:pt idx="3">
                  <c:v>1163</c:v>
                </c:pt>
                <c:pt idx="4">
                  <c:v>1083</c:v>
                </c:pt>
                <c:pt idx="5">
                  <c:v>1154</c:v>
                </c:pt>
                <c:pt idx="6">
                  <c:v>970</c:v>
                </c:pt>
                <c:pt idx="7">
                  <c:v>1134</c:v>
                </c:pt>
                <c:pt idx="8">
                  <c:v>1333</c:v>
                </c:pt>
                <c:pt idx="9">
                  <c:v>1519</c:v>
                </c:pt>
                <c:pt idx="10">
                  <c:v>1270</c:v>
                </c:pt>
                <c:pt idx="11">
                  <c:v>1222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161160"/>
        <c:axId val="304161552"/>
      </c:lineChart>
      <c:catAx>
        <c:axId val="3041611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4161552"/>
        <c:crosses val="autoZero"/>
        <c:auto val="1"/>
        <c:lblAlgn val="ctr"/>
        <c:lblOffset val="100"/>
        <c:noMultiLvlLbl val="0"/>
      </c:catAx>
      <c:valAx>
        <c:axId val="304161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416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Kibuye-Makindye'!$C$9:$N$9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Kibuye-Makindye'!$C$59:$N$59</c:f>
              <c:numCache>
                <c:formatCode>0.0%</c:formatCode>
                <c:ptCount val="12"/>
                <c:pt idx="0">
                  <c:v>0.17241379310344829</c:v>
                </c:pt>
                <c:pt idx="1">
                  <c:v>3.7946428571428568E-2</c:v>
                </c:pt>
                <c:pt idx="2">
                  <c:v>1.9627463054187191E-2</c:v>
                </c:pt>
                <c:pt idx="3">
                  <c:v>7.6585591133004921E-2</c:v>
                </c:pt>
                <c:pt idx="4">
                  <c:v>1.2315270935960591E-3</c:v>
                </c:pt>
                <c:pt idx="5">
                  <c:v>2.3091133004926107E-4</c:v>
                </c:pt>
                <c:pt idx="6">
                  <c:v>6.1576354679802959E-3</c:v>
                </c:pt>
                <c:pt idx="7">
                  <c:v>4.3873152709359604E-3</c:v>
                </c:pt>
                <c:pt idx="8">
                  <c:v>1.3854679802955665E-3</c:v>
                </c:pt>
                <c:pt idx="9">
                  <c:v>1.893472906403941E-2</c:v>
                </c:pt>
                <c:pt idx="10">
                  <c:v>0.66109913793103448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Kibuye-Makindye'!$S$9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Kibuye-Makindye'!$S$10:$S$21</c:f>
              <c:numCache>
                <c:formatCode>0</c:formatCode>
                <c:ptCount val="12"/>
                <c:pt idx="0">
                  <c:v>64</c:v>
                </c:pt>
                <c:pt idx="1">
                  <c:v>70</c:v>
                </c:pt>
                <c:pt idx="2">
                  <c:v>121</c:v>
                </c:pt>
                <c:pt idx="3">
                  <c:v>181</c:v>
                </c:pt>
                <c:pt idx="4">
                  <c:v>166</c:v>
                </c:pt>
                <c:pt idx="5">
                  <c:v>179</c:v>
                </c:pt>
                <c:pt idx="6">
                  <c:v>193</c:v>
                </c:pt>
                <c:pt idx="7">
                  <c:v>185</c:v>
                </c:pt>
                <c:pt idx="8">
                  <c:v>239</c:v>
                </c:pt>
                <c:pt idx="9">
                  <c:v>364</c:v>
                </c:pt>
                <c:pt idx="10">
                  <c:v>254</c:v>
                </c:pt>
                <c:pt idx="11">
                  <c:v>224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'28.07 Kibuye-Makindye'!$T$9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Kibuye-Makindye'!$T$10:$T$21</c:f>
              <c:numCache>
                <c:formatCode>0</c:formatCode>
                <c:ptCount val="12"/>
                <c:pt idx="0">
                  <c:v>14</c:v>
                </c:pt>
                <c:pt idx="1">
                  <c:v>14</c:v>
                </c:pt>
                <c:pt idx="2">
                  <c:v>29</c:v>
                </c:pt>
                <c:pt idx="3">
                  <c:v>48</c:v>
                </c:pt>
                <c:pt idx="4">
                  <c:v>40</c:v>
                </c:pt>
                <c:pt idx="5">
                  <c:v>48</c:v>
                </c:pt>
                <c:pt idx="6">
                  <c:v>53</c:v>
                </c:pt>
                <c:pt idx="7">
                  <c:v>46</c:v>
                </c:pt>
                <c:pt idx="8">
                  <c:v>55</c:v>
                </c:pt>
                <c:pt idx="9">
                  <c:v>62</c:v>
                </c:pt>
                <c:pt idx="10">
                  <c:v>43</c:v>
                </c:pt>
                <c:pt idx="11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'28.07 Kibuye-Makindye'!$U$9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Kibuye-Makindye'!$U$10:$U$21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18</c:v>
                </c:pt>
                <c:pt idx="4">
                  <c:v>16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25</c:v>
                </c:pt>
                <c:pt idx="9">
                  <c:v>32</c:v>
                </c:pt>
                <c:pt idx="10">
                  <c:v>16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'28.07 Kibuye-Makindye'!$V$9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Kibuye-Makindye'!$V$10:$V$21</c:f>
              <c:numCache>
                <c:formatCode>0</c:formatCode>
                <c:ptCount val="12"/>
                <c:pt idx="0">
                  <c:v>53</c:v>
                </c:pt>
                <c:pt idx="1">
                  <c:v>72</c:v>
                </c:pt>
                <c:pt idx="2">
                  <c:v>70</c:v>
                </c:pt>
                <c:pt idx="3">
                  <c:v>119</c:v>
                </c:pt>
                <c:pt idx="4">
                  <c:v>83</c:v>
                </c:pt>
                <c:pt idx="5">
                  <c:v>89</c:v>
                </c:pt>
                <c:pt idx="6">
                  <c:v>82</c:v>
                </c:pt>
                <c:pt idx="7">
                  <c:v>91</c:v>
                </c:pt>
                <c:pt idx="8">
                  <c:v>61</c:v>
                </c:pt>
                <c:pt idx="9">
                  <c:v>84</c:v>
                </c:pt>
                <c:pt idx="10">
                  <c:v>83</c:v>
                </c:pt>
                <c:pt idx="11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'28.07 Kibuye-Makindye'!$W$9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Kibuye-Makindye'!$W$10:$W$21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'28.07 Kibuye-Makindye'!$X$9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Kibuye-Makindye'!$X$10:$X$21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'28.07 Kibuye-Makindye'!$Y$9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Kibuye-Makindye'!$Y$10:$Y$21</c:f>
              <c:numCache>
                <c:formatCode>0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10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8</c:v>
                </c:pt>
                <c:pt idx="8">
                  <c:v>13</c:v>
                </c:pt>
                <c:pt idx="9">
                  <c:v>4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'28.07 Kibuye-Makindye'!$Z$9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Kibuye-Makindye'!$Z$10:$Z$21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10</c:v>
                </c:pt>
                <c:pt idx="4">
                  <c:v>3</c:v>
                </c:pt>
                <c:pt idx="5">
                  <c:v>10</c:v>
                </c:pt>
                <c:pt idx="6">
                  <c:v>2</c:v>
                </c:pt>
                <c:pt idx="7">
                  <c:v>3</c:v>
                </c:pt>
                <c:pt idx="8">
                  <c:v>12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'28.07 Kibuye-Makindye'!$AA$9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Kibuye-Makindye'!$AA$10:$AA$21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'28.07 Kibuye-Makindye'!$AB$9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Kibuye-Makindye'!$AB$10:$AB$21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'28.07 Kibuye-Makindye'!$AC$9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Kibuye-Makindye'!$AC$10:$AC$21</c:f>
              <c:numCache>
                <c:formatCode>0</c:formatCode>
                <c:ptCount val="12"/>
                <c:pt idx="0">
                  <c:v>367</c:v>
                </c:pt>
                <c:pt idx="1">
                  <c:v>552</c:v>
                </c:pt>
                <c:pt idx="2">
                  <c:v>670</c:v>
                </c:pt>
                <c:pt idx="3">
                  <c:v>773</c:v>
                </c:pt>
                <c:pt idx="4">
                  <c:v>766</c:v>
                </c:pt>
                <c:pt idx="5">
                  <c:v>785</c:v>
                </c:pt>
                <c:pt idx="6">
                  <c:v>596</c:v>
                </c:pt>
                <c:pt idx="7">
                  <c:v>765</c:v>
                </c:pt>
                <c:pt idx="8">
                  <c:v>925</c:v>
                </c:pt>
                <c:pt idx="9">
                  <c:v>970</c:v>
                </c:pt>
                <c:pt idx="10">
                  <c:v>865</c:v>
                </c:pt>
                <c:pt idx="11">
                  <c:v>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'28.07 Kibuye-Makindye'!$AD$9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Kibuye-Makindye'!$AD$10:$AD$21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172528"/>
        <c:axId val="304171744"/>
      </c:lineChart>
      <c:catAx>
        <c:axId val="30417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4171744"/>
        <c:crosses val="autoZero"/>
        <c:auto val="1"/>
        <c:lblAlgn val="ctr"/>
        <c:lblOffset val="100"/>
        <c:noMultiLvlLbl val="0"/>
      </c:catAx>
      <c:valAx>
        <c:axId val="30417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417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Kibuye-Makindye'!$C$9:$N$9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Kibuye-Makindye'!$C$60:$N$60</c:f>
              <c:numCache>
                <c:formatCode>0.00%</c:formatCode>
                <c:ptCount val="12"/>
                <c:pt idx="0">
                  <c:v>0.50874403815580282</c:v>
                </c:pt>
                <c:pt idx="1">
                  <c:v>0.11196911196911197</c:v>
                </c:pt>
                <c:pt idx="2">
                  <c:v>5.7915057915057917E-2</c:v>
                </c:pt>
                <c:pt idx="3">
                  <c:v>0.22598228480581423</c:v>
                </c:pt>
                <c:pt idx="4">
                  <c:v>3.6338859868271633E-3</c:v>
                </c:pt>
                <c:pt idx="5">
                  <c:v>6.8135362253009312E-4</c:v>
                </c:pt>
                <c:pt idx="6">
                  <c:v>1.8169429934135818E-2</c:v>
                </c:pt>
                <c:pt idx="7">
                  <c:v>1.2945718828071769E-2</c:v>
                </c:pt>
                <c:pt idx="8">
                  <c:v>4.0881217351805589E-3</c:v>
                </c:pt>
                <c:pt idx="9">
                  <c:v>5.5870997047467633E-2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Makindye-Kibuye'!$AE$9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Makindye-Kibuye'!$AE$10:$AE$21</c:f>
              <c:numCache>
                <c:formatCode>0</c:formatCode>
                <c:ptCount val="12"/>
                <c:pt idx="0">
                  <c:v>318</c:v>
                </c:pt>
                <c:pt idx="1">
                  <c:v>417</c:v>
                </c:pt>
                <c:pt idx="2">
                  <c:v>458</c:v>
                </c:pt>
                <c:pt idx="3">
                  <c:v>541</c:v>
                </c:pt>
                <c:pt idx="4">
                  <c:v>538</c:v>
                </c:pt>
                <c:pt idx="5">
                  <c:v>383</c:v>
                </c:pt>
                <c:pt idx="6">
                  <c:v>341</c:v>
                </c:pt>
                <c:pt idx="7">
                  <c:v>260</c:v>
                </c:pt>
                <c:pt idx="8">
                  <c:v>326</c:v>
                </c:pt>
                <c:pt idx="9">
                  <c:v>416</c:v>
                </c:pt>
                <c:pt idx="10">
                  <c:v>372</c:v>
                </c:pt>
                <c:pt idx="11">
                  <c:v>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'28.07 Makindye-Kibuye'!$AF$9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Makindye-Kibuye'!$AF$10:$AF$21</c:f>
              <c:numCache>
                <c:formatCode>0</c:formatCode>
                <c:ptCount val="12"/>
                <c:pt idx="0">
                  <c:v>968</c:v>
                </c:pt>
                <c:pt idx="1">
                  <c:v>1252</c:v>
                </c:pt>
                <c:pt idx="2">
                  <c:v>1303</c:v>
                </c:pt>
                <c:pt idx="3">
                  <c:v>1476</c:v>
                </c:pt>
                <c:pt idx="4">
                  <c:v>1548</c:v>
                </c:pt>
                <c:pt idx="5">
                  <c:v>1288</c:v>
                </c:pt>
                <c:pt idx="6">
                  <c:v>1211</c:v>
                </c:pt>
                <c:pt idx="7">
                  <c:v>1090</c:v>
                </c:pt>
                <c:pt idx="8">
                  <c:v>1231</c:v>
                </c:pt>
                <c:pt idx="9">
                  <c:v>1261</c:v>
                </c:pt>
                <c:pt idx="10">
                  <c:v>1282</c:v>
                </c:pt>
                <c:pt idx="11">
                  <c:v>1194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905424"/>
        <c:axId val="280902680"/>
      </c:lineChart>
      <c:catAx>
        <c:axId val="2809054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0902680"/>
        <c:crosses val="autoZero"/>
        <c:auto val="1"/>
        <c:lblAlgn val="ctr"/>
        <c:lblOffset val="100"/>
        <c:noMultiLvlLbl val="0"/>
      </c:catAx>
      <c:valAx>
        <c:axId val="2809026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090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Makindye-Kibuye'!$C$9:$N$9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Makindye-Kibuye'!$C$59:$N$59</c:f>
              <c:numCache>
                <c:formatCode>0.0%</c:formatCode>
                <c:ptCount val="12"/>
                <c:pt idx="0">
                  <c:v>0.13724841101694915</c:v>
                </c:pt>
                <c:pt idx="1">
                  <c:v>2.2113347457627119E-2</c:v>
                </c:pt>
                <c:pt idx="2">
                  <c:v>1.2778072033898306E-2</c:v>
                </c:pt>
                <c:pt idx="3">
                  <c:v>0.12903866525423729</c:v>
                </c:pt>
                <c:pt idx="4">
                  <c:v>7.2828389830508476E-4</c:v>
                </c:pt>
                <c:pt idx="5">
                  <c:v>6.6207627118644068E-5</c:v>
                </c:pt>
                <c:pt idx="6">
                  <c:v>6.2235169491525423E-3</c:v>
                </c:pt>
                <c:pt idx="7">
                  <c:v>1.6551906779661016E-3</c:v>
                </c:pt>
                <c:pt idx="8">
                  <c:v>5.2966101694915254E-4</c:v>
                </c:pt>
                <c:pt idx="9">
                  <c:v>6.6207627118644068E-5</c:v>
                </c:pt>
                <c:pt idx="10">
                  <c:v>0.68955243644067798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Makindye-Kibuye'!$S$9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Makindye-Kibuye'!$S$10:$S$21</c:f>
              <c:numCache>
                <c:formatCode>0</c:formatCode>
                <c:ptCount val="12"/>
                <c:pt idx="0">
                  <c:v>95</c:v>
                </c:pt>
                <c:pt idx="1">
                  <c:v>146</c:v>
                </c:pt>
                <c:pt idx="2">
                  <c:v>173</c:v>
                </c:pt>
                <c:pt idx="3">
                  <c:v>227</c:v>
                </c:pt>
                <c:pt idx="4">
                  <c:v>338</c:v>
                </c:pt>
                <c:pt idx="5">
                  <c:v>171</c:v>
                </c:pt>
                <c:pt idx="6">
                  <c:v>146</c:v>
                </c:pt>
                <c:pt idx="7">
                  <c:v>112</c:v>
                </c:pt>
                <c:pt idx="8">
                  <c:v>145</c:v>
                </c:pt>
                <c:pt idx="9">
                  <c:v>207</c:v>
                </c:pt>
                <c:pt idx="10">
                  <c:v>160</c:v>
                </c:pt>
                <c:pt idx="11">
                  <c:v>153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'28.07 Makindye-Kibuye'!$T$9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Makindye-Kibuye'!$R$10:$R$21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Makindye-Kibuye'!$T$10:$T$21</c:f>
              <c:numCache>
                <c:formatCode>0</c:formatCode>
                <c:ptCount val="12"/>
                <c:pt idx="0">
                  <c:v>14</c:v>
                </c:pt>
                <c:pt idx="1">
                  <c:v>26</c:v>
                </c:pt>
                <c:pt idx="2">
                  <c:v>35</c:v>
                </c:pt>
                <c:pt idx="3">
                  <c:v>49</c:v>
                </c:pt>
                <c:pt idx="4">
                  <c:v>53</c:v>
                </c:pt>
                <c:pt idx="5">
                  <c:v>25</c:v>
                </c:pt>
                <c:pt idx="6">
                  <c:v>19</c:v>
                </c:pt>
                <c:pt idx="7">
                  <c:v>19</c:v>
                </c:pt>
                <c:pt idx="8">
                  <c:v>23</c:v>
                </c:pt>
                <c:pt idx="9">
                  <c:v>22</c:v>
                </c:pt>
                <c:pt idx="10">
                  <c:v>33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'28.07 Makindye-Kibuye'!$U$9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Makindye-Kibuye'!$U$10:$U$21</c:f>
              <c:numCache>
                <c:formatCode>0</c:formatCode>
                <c:ptCount val="12"/>
                <c:pt idx="0">
                  <c:v>22</c:v>
                </c:pt>
                <c:pt idx="1">
                  <c:v>18</c:v>
                </c:pt>
                <c:pt idx="2">
                  <c:v>32</c:v>
                </c:pt>
                <c:pt idx="3">
                  <c:v>32</c:v>
                </c:pt>
                <c:pt idx="4">
                  <c:v>23</c:v>
                </c:pt>
                <c:pt idx="5">
                  <c:v>22</c:v>
                </c:pt>
                <c:pt idx="6">
                  <c:v>5</c:v>
                </c:pt>
                <c:pt idx="7">
                  <c:v>6</c:v>
                </c:pt>
                <c:pt idx="8">
                  <c:v>0</c:v>
                </c:pt>
                <c:pt idx="9">
                  <c:v>11</c:v>
                </c:pt>
                <c:pt idx="10">
                  <c:v>18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'28.07 Makindye-Kibuye'!$V$9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Makindye-Kibuye'!$V$10:$V$21</c:f>
              <c:numCache>
                <c:formatCode>0</c:formatCode>
                <c:ptCount val="12"/>
                <c:pt idx="0">
                  <c:v>175</c:v>
                </c:pt>
                <c:pt idx="1">
                  <c:v>215</c:v>
                </c:pt>
                <c:pt idx="2">
                  <c:v>204</c:v>
                </c:pt>
                <c:pt idx="3">
                  <c:v>209</c:v>
                </c:pt>
                <c:pt idx="4">
                  <c:v>113</c:v>
                </c:pt>
                <c:pt idx="5">
                  <c:v>154</c:v>
                </c:pt>
                <c:pt idx="6">
                  <c:v>162</c:v>
                </c:pt>
                <c:pt idx="7">
                  <c:v>113</c:v>
                </c:pt>
                <c:pt idx="8">
                  <c:v>149</c:v>
                </c:pt>
                <c:pt idx="9">
                  <c:v>164</c:v>
                </c:pt>
                <c:pt idx="10">
                  <c:v>152</c:v>
                </c:pt>
                <c:pt idx="11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'28.07 Makindye-Kibuye'!$W$9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Makindye-Kibuye'!$W$10:$W$21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'28.07 Makindye-Kibuye'!$X$9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Makindye-Kibuye'!$X$10:$X$21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'28.07 Makindye-Kibuye'!$Y$9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Makindye-Kibuye'!$Y$10:$Y$21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12</c:v>
                </c:pt>
                <c:pt idx="3">
                  <c:v>17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7</c:v>
                </c:pt>
                <c:pt idx="8">
                  <c:v>5</c:v>
                </c:pt>
                <c:pt idx="9">
                  <c:v>9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'28.07 Makindye-Kibuye'!$Z$9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Makindye-Kibuye'!$Z$10:$Z$21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'28.07 Makindye-Kibuye'!$AA$9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Makindye-Kibuye'!$AA$10:$AA$21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'28.07 Makindye-Kibuye'!$AB$9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Makindye-Kibuye'!$AB$10:$AB$21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'28.07 Makindye-Kibuye'!$AC$9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Makindye-Kibuye'!$AC$10:$AC$21</c:f>
              <c:numCache>
                <c:formatCode>0</c:formatCode>
                <c:ptCount val="12"/>
                <c:pt idx="0">
                  <c:v>650</c:v>
                </c:pt>
                <c:pt idx="1">
                  <c:v>835</c:v>
                </c:pt>
                <c:pt idx="2">
                  <c:v>845</c:v>
                </c:pt>
                <c:pt idx="3">
                  <c:v>935</c:v>
                </c:pt>
                <c:pt idx="4">
                  <c:v>1010</c:v>
                </c:pt>
                <c:pt idx="5">
                  <c:v>905</c:v>
                </c:pt>
                <c:pt idx="6">
                  <c:v>870</c:v>
                </c:pt>
                <c:pt idx="7">
                  <c:v>830</c:v>
                </c:pt>
                <c:pt idx="8">
                  <c:v>905</c:v>
                </c:pt>
                <c:pt idx="9">
                  <c:v>845</c:v>
                </c:pt>
                <c:pt idx="10">
                  <c:v>910</c:v>
                </c:pt>
                <c:pt idx="11">
                  <c:v>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'28.07 Makindye-Kibuye'!$AD$9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Makindye-Kibuye'!$AD$10:$AD$21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904248"/>
        <c:axId val="280905032"/>
      </c:lineChart>
      <c:catAx>
        <c:axId val="280904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0905032"/>
        <c:crosses val="autoZero"/>
        <c:auto val="1"/>
        <c:lblAlgn val="ctr"/>
        <c:lblOffset val="100"/>
        <c:noMultiLvlLbl val="0"/>
      </c:catAx>
      <c:valAx>
        <c:axId val="28090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090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Makindye-Kibuye'!$C$9:$N$9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Makindye-Kibuye'!$C$60:$N$60</c:f>
              <c:numCache>
                <c:formatCode>0.00%</c:formatCode>
                <c:ptCount val="12"/>
                <c:pt idx="0">
                  <c:v>0.44209852847088932</c:v>
                </c:pt>
                <c:pt idx="1">
                  <c:v>7.1230539560673919E-2</c:v>
                </c:pt>
                <c:pt idx="2">
                  <c:v>4.1160162081467264E-2</c:v>
                </c:pt>
                <c:pt idx="3">
                  <c:v>0.41565365749626787</c:v>
                </c:pt>
                <c:pt idx="4">
                  <c:v>2.3459159735551289E-3</c:v>
                </c:pt>
                <c:pt idx="5">
                  <c:v>2.1326508850501172E-4</c:v>
                </c:pt>
                <c:pt idx="6">
                  <c:v>2.0046918319471103E-2</c:v>
                </c:pt>
                <c:pt idx="7">
                  <c:v>5.3316272126252935E-3</c:v>
                </c:pt>
                <c:pt idx="8">
                  <c:v>1.7061207080400938E-3</c:v>
                </c:pt>
                <c:pt idx="9">
                  <c:v>2.1326508850501172E-4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Kibuye-Makindye'!$AE$9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Kibuye-Makindye'!$AE$10:$AE$21</c:f>
              <c:numCache>
                <c:formatCode>0</c:formatCode>
                <c:ptCount val="12"/>
                <c:pt idx="0">
                  <c:v>302.85714285714289</c:v>
                </c:pt>
                <c:pt idx="1">
                  <c:v>347.57142857142861</c:v>
                </c:pt>
                <c:pt idx="2">
                  <c:v>337.14285714285711</c:v>
                </c:pt>
                <c:pt idx="3">
                  <c:v>369</c:v>
                </c:pt>
                <c:pt idx="4">
                  <c:v>404.42857142857139</c:v>
                </c:pt>
                <c:pt idx="5">
                  <c:v>402.4285714285715</c:v>
                </c:pt>
                <c:pt idx="6">
                  <c:v>379.28571428571428</c:v>
                </c:pt>
                <c:pt idx="7">
                  <c:v>389.14285714285711</c:v>
                </c:pt>
                <c:pt idx="8">
                  <c:v>429.28571428571428</c:v>
                </c:pt>
                <c:pt idx="9">
                  <c:v>446.28571428571428</c:v>
                </c:pt>
                <c:pt idx="10">
                  <c:v>479.71428571428567</c:v>
                </c:pt>
                <c:pt idx="11">
                  <c:v>462.71428571428578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Kibuye-Makindye'!$AF$9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Kibuye-Makindye'!$R$10:$R$21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Kibuye-Makindye'!$AF$10:$AF$21</c:f>
              <c:numCache>
                <c:formatCode>0</c:formatCode>
                <c:ptCount val="12"/>
                <c:pt idx="0">
                  <c:v>931.42857142857133</c:v>
                </c:pt>
                <c:pt idx="1">
                  <c:v>1106.8571428571429</c:v>
                </c:pt>
                <c:pt idx="2">
                  <c:v>1134.4285714285713</c:v>
                </c:pt>
                <c:pt idx="3">
                  <c:v>1080.4285714285716</c:v>
                </c:pt>
                <c:pt idx="4">
                  <c:v>1147.7142857142858</c:v>
                </c:pt>
                <c:pt idx="5">
                  <c:v>1165.4285714285713</c:v>
                </c:pt>
                <c:pt idx="6">
                  <c:v>1079.4285714285713</c:v>
                </c:pt>
                <c:pt idx="7">
                  <c:v>1056.8571428571429</c:v>
                </c:pt>
                <c:pt idx="8">
                  <c:v>1101.5714285714287</c:v>
                </c:pt>
                <c:pt idx="9">
                  <c:v>1202.2857142857142</c:v>
                </c:pt>
                <c:pt idx="10">
                  <c:v>1232.8571428571429</c:v>
                </c:pt>
                <c:pt idx="11">
                  <c:v>1114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905816"/>
        <c:axId val="280906208"/>
      </c:lineChart>
      <c:catAx>
        <c:axId val="2809058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0906208"/>
        <c:crosses val="autoZero"/>
        <c:auto val="1"/>
        <c:lblAlgn val="ctr"/>
        <c:lblOffset val="100"/>
        <c:noMultiLvlLbl val="0"/>
      </c:catAx>
      <c:valAx>
        <c:axId val="280906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090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Kibuye-Makindye'!$C$9:$N$9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Kibuye-Makindye'!$C$107:$N$107</c:f>
              <c:numCache>
                <c:formatCode>0.0%</c:formatCode>
                <c:ptCount val="12"/>
                <c:pt idx="0">
                  <c:v>0.2004672410755754</c:v>
                </c:pt>
                <c:pt idx="1">
                  <c:v>5.8202943578738335E-2</c:v>
                </c:pt>
                <c:pt idx="2">
                  <c:v>2.4202847488028697E-2</c:v>
                </c:pt>
                <c:pt idx="3">
                  <c:v>7.476457776140677E-2</c:v>
                </c:pt>
                <c:pt idx="4">
                  <c:v>1.0710110344164892E-3</c:v>
                </c:pt>
                <c:pt idx="5">
                  <c:v>6.3660095129802524E-4</c:v>
                </c:pt>
                <c:pt idx="6">
                  <c:v>1.1050431607437419E-2</c:v>
                </c:pt>
                <c:pt idx="7">
                  <c:v>5.8034784836886013E-3</c:v>
                </c:pt>
                <c:pt idx="8">
                  <c:v>1.8237215931839652E-3</c:v>
                </c:pt>
                <c:pt idx="9">
                  <c:v>2.390256402043529E-3</c:v>
                </c:pt>
                <c:pt idx="10">
                  <c:v>0.61956286734677557</c:v>
                </c:pt>
                <c:pt idx="11">
                  <c:v>2.4022677407472653E-5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Kibuye-Makindye'!$C$9:$N$9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Kibuye-Makindye'!$C$108:$N$108</c:f>
              <c:numCache>
                <c:formatCode>0.00%</c:formatCode>
                <c:ptCount val="12"/>
                <c:pt idx="0">
                  <c:v>0.52693920721536103</c:v>
                </c:pt>
                <c:pt idx="1">
                  <c:v>0.15298964949299879</c:v>
                </c:pt>
                <c:pt idx="2">
                  <c:v>6.3618520408968662E-2</c:v>
                </c:pt>
                <c:pt idx="3">
                  <c:v>0.19652281900031043</c:v>
                </c:pt>
                <c:pt idx="4">
                  <c:v>2.8152116144580844E-3</c:v>
                </c:pt>
                <c:pt idx="5">
                  <c:v>1.673340735322749E-3</c:v>
                </c:pt>
                <c:pt idx="6">
                  <c:v>2.9046669367866585E-2</c:v>
                </c:pt>
                <c:pt idx="7">
                  <c:v>1.5254763495913991E-2</c:v>
                </c:pt>
                <c:pt idx="8">
                  <c:v>4.7937528612547933E-3</c:v>
                </c:pt>
                <c:pt idx="9">
                  <c:v>6.2829208741363596E-3</c:v>
                </c:pt>
                <c:pt idx="11">
                  <c:v>6.3144933408405625E-5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Makindye-Kibuye'!$AE$9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Makindye-Kibuye'!$R$10:$R$33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Makindye-Kibuye'!$AE$10:$AE$33</c:f>
              <c:numCache>
                <c:formatCode>0</c:formatCode>
                <c:ptCount val="24"/>
                <c:pt idx="0">
                  <c:v>262.57142857142856</c:v>
                </c:pt>
                <c:pt idx="1">
                  <c:v>322.57142857142856</c:v>
                </c:pt>
                <c:pt idx="2">
                  <c:v>396.85714285714283</c:v>
                </c:pt>
                <c:pt idx="3">
                  <c:v>407.99999999999994</c:v>
                </c:pt>
                <c:pt idx="4">
                  <c:v>384</c:v>
                </c:pt>
                <c:pt idx="5">
                  <c:v>371.85714285714289</c:v>
                </c:pt>
                <c:pt idx="6">
                  <c:v>346</c:v>
                </c:pt>
                <c:pt idx="7">
                  <c:v>315</c:v>
                </c:pt>
                <c:pt idx="8">
                  <c:v>311.14285714285711</c:v>
                </c:pt>
                <c:pt idx="9">
                  <c:v>329.85714285714283</c:v>
                </c:pt>
                <c:pt idx="10">
                  <c:v>287.85714285714289</c:v>
                </c:pt>
                <c:pt idx="11">
                  <c:v>242.85714285714286</c:v>
                </c:pt>
                <c:pt idx="12">
                  <c:v>410</c:v>
                </c:pt>
                <c:pt idx="13">
                  <c:v>489.5</c:v>
                </c:pt>
                <c:pt idx="14">
                  <c:v>275</c:v>
                </c:pt>
                <c:pt idx="15">
                  <c:v>375.5</c:v>
                </c:pt>
                <c:pt idx="16">
                  <c:v>276</c:v>
                </c:pt>
                <c:pt idx="17">
                  <c:v>113</c:v>
                </c:pt>
                <c:pt idx="18">
                  <c:v>41</c:v>
                </c:pt>
                <c:pt idx="19">
                  <c:v>50</c:v>
                </c:pt>
                <c:pt idx="20">
                  <c:v>35.5</c:v>
                </c:pt>
                <c:pt idx="21">
                  <c:v>83.5</c:v>
                </c:pt>
                <c:pt idx="22">
                  <c:v>103</c:v>
                </c:pt>
                <c:pt idx="23">
                  <c:v>345.5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Makindye-Kibuye'!$AF$9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Makindye-Kibuye'!$R$10:$R$33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Makindye-Kibuye'!$AF$10:$AF$33</c:f>
              <c:numCache>
                <c:formatCode>0</c:formatCode>
                <c:ptCount val="24"/>
                <c:pt idx="0">
                  <c:v>1009.1428571428572</c:v>
                </c:pt>
                <c:pt idx="1">
                  <c:v>1151.8571428571427</c:v>
                </c:pt>
                <c:pt idx="2">
                  <c:v>1208.2857142857142</c:v>
                </c:pt>
                <c:pt idx="3">
                  <c:v>1283.7142857142856</c:v>
                </c:pt>
                <c:pt idx="4">
                  <c:v>1213.2857142857142</c:v>
                </c:pt>
                <c:pt idx="5">
                  <c:v>1201.8571428571429</c:v>
                </c:pt>
                <c:pt idx="6">
                  <c:v>1185.2857142857142</c:v>
                </c:pt>
                <c:pt idx="7">
                  <c:v>1111.4285714285716</c:v>
                </c:pt>
                <c:pt idx="8">
                  <c:v>1111.2857142857142</c:v>
                </c:pt>
                <c:pt idx="9">
                  <c:v>1147.1428571428571</c:v>
                </c:pt>
                <c:pt idx="10">
                  <c:v>1024.2857142857142</c:v>
                </c:pt>
                <c:pt idx="11">
                  <c:v>960.85714285714289</c:v>
                </c:pt>
                <c:pt idx="12">
                  <c:v>1083.5</c:v>
                </c:pt>
                <c:pt idx="13">
                  <c:v>952.5</c:v>
                </c:pt>
                <c:pt idx="14">
                  <c:v>1032.5</c:v>
                </c:pt>
                <c:pt idx="15">
                  <c:v>995.5</c:v>
                </c:pt>
                <c:pt idx="16">
                  <c:v>746</c:v>
                </c:pt>
                <c:pt idx="17">
                  <c:v>475.5</c:v>
                </c:pt>
                <c:pt idx="18">
                  <c:v>275</c:v>
                </c:pt>
                <c:pt idx="19">
                  <c:v>159.5</c:v>
                </c:pt>
                <c:pt idx="20">
                  <c:v>133</c:v>
                </c:pt>
                <c:pt idx="21">
                  <c:v>208.5</c:v>
                </c:pt>
                <c:pt idx="22">
                  <c:v>263</c:v>
                </c:pt>
                <c:pt idx="23">
                  <c:v>565.5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566624"/>
        <c:axId val="254574464"/>
      </c:lineChart>
      <c:catAx>
        <c:axId val="2545666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4574464"/>
        <c:crosses val="autoZero"/>
        <c:auto val="1"/>
        <c:lblAlgn val="ctr"/>
        <c:lblOffset val="100"/>
        <c:noMultiLvlLbl val="0"/>
      </c:catAx>
      <c:valAx>
        <c:axId val="254574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456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8937723693629213E-3"/>
          <c:y val="0.1609821423679034"/>
          <c:w val="0.82166700071581966"/>
          <c:h val="0.7582167573520950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Makindye-Kibuye'!$C$9:$N$9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Makindye-Kibuye'!$C$107:$N$107</c:f>
              <c:numCache>
                <c:formatCode>0.0%</c:formatCode>
                <c:ptCount val="12"/>
                <c:pt idx="0">
                  <c:v>0.15344381799301687</c:v>
                </c:pt>
                <c:pt idx="1">
                  <c:v>1.8729658719483726E-2</c:v>
                </c:pt>
                <c:pt idx="2">
                  <c:v>1.2788436744280044E-2</c:v>
                </c:pt>
                <c:pt idx="3">
                  <c:v>0.12350772533086157</c:v>
                </c:pt>
                <c:pt idx="4">
                  <c:v>5.9237990368599688E-4</c:v>
                </c:pt>
                <c:pt idx="5">
                  <c:v>8.0145516381046618E-5</c:v>
                </c:pt>
                <c:pt idx="6">
                  <c:v>6.8193380677264454E-3</c:v>
                </c:pt>
                <c:pt idx="7">
                  <c:v>3.8887998383151309E-3</c:v>
                </c:pt>
                <c:pt idx="8">
                  <c:v>7.1434047209193742E-4</c:v>
                </c:pt>
                <c:pt idx="9">
                  <c:v>2.0559067245572827E-4</c:v>
                </c:pt>
                <c:pt idx="10">
                  <c:v>0.67919143627734524</c:v>
                </c:pt>
                <c:pt idx="11">
                  <c:v>3.8330464356152733E-5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927011297500856"/>
          <c:y val="0.23916831024278981"/>
          <c:w val="0.82034176162762262"/>
          <c:h val="0.7580538888115814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Makindye-Kibuye'!$C$9:$N$9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Makindye-Kibuye'!$C$108:$N$108</c:f>
              <c:numCache>
                <c:formatCode>0.00%</c:formatCode>
                <c:ptCount val="12"/>
                <c:pt idx="0">
                  <c:v>0.47830337261717254</c:v>
                </c:pt>
                <c:pt idx="1">
                  <c:v>5.8382664421875854E-2</c:v>
                </c:pt>
                <c:pt idx="2">
                  <c:v>3.9863140172704051E-2</c:v>
                </c:pt>
                <c:pt idx="3">
                  <c:v>0.38498886656166831</c:v>
                </c:pt>
                <c:pt idx="4">
                  <c:v>1.8465214793895617E-3</c:v>
                </c:pt>
                <c:pt idx="5">
                  <c:v>2.4982349427035244E-4</c:v>
                </c:pt>
                <c:pt idx="6">
                  <c:v>2.125672079509042E-2</c:v>
                </c:pt>
                <c:pt idx="7">
                  <c:v>1.2121870417639707E-2</c:v>
                </c:pt>
                <c:pt idx="8">
                  <c:v>2.2266876663227068E-3</c:v>
                </c:pt>
                <c:pt idx="9">
                  <c:v>6.408515722587301E-4</c:v>
                </c:pt>
                <c:pt idx="11">
                  <c:v>1.1948080160755986E-4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0770273806408643E-3"/>
          <c:y val="0.10537024335372712"/>
          <c:w val="0.82182781835050078"/>
          <c:h val="0.75805404812203347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Makindye-Kibuye-2Dir'!$C$9:$N$9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Makindye-Kibuye-2Dir'!$C$107:$N$107</c:f>
              <c:numCache>
                <c:formatCode>0.0%</c:formatCode>
                <c:ptCount val="12"/>
                <c:pt idx="0">
                  <c:v>0.17532538910687073</c:v>
                </c:pt>
                <c:pt idx="1">
                  <c:v>3.7097898059030229E-2</c:v>
                </c:pt>
                <c:pt idx="2">
                  <c:v>1.8099943734606206E-2</c:v>
                </c:pt>
                <c:pt idx="3">
                  <c:v>0.10082590890968104</c:v>
                </c:pt>
                <c:pt idx="4">
                  <c:v>8.1510297312302775E-4</c:v>
                </c:pt>
                <c:pt idx="5">
                  <c:v>3.3908283681917953E-4</c:v>
                </c:pt>
                <c:pt idx="6">
                  <c:v>8.7882073696487328E-3</c:v>
                </c:pt>
                <c:pt idx="7">
                  <c:v>4.7797638343934348E-3</c:v>
                </c:pt>
                <c:pt idx="8">
                  <c:v>1.2305726028520223E-3</c:v>
                </c:pt>
                <c:pt idx="9">
                  <c:v>1.2221886865570427E-3</c:v>
                </c:pt>
                <c:pt idx="10">
                  <c:v>0.65144426931374877</c:v>
                </c:pt>
                <c:pt idx="11">
                  <c:v>3.1672572669923361E-5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573246769697525E-2"/>
          <c:y val="0.20215255837303081"/>
          <c:w val="0.82169905553762324"/>
          <c:h val="0.75870261539552875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Makindye-Kibuye-2Dir'!$C$9:$N$9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Makindye-Kibuye-2Dir'!$C$108:$N$108</c:f>
              <c:numCache>
                <c:formatCode>0.00%</c:formatCode>
                <c:ptCount val="12"/>
                <c:pt idx="0">
                  <c:v>0.50300532647012441</c:v>
                </c:pt>
                <c:pt idx="1">
                  <c:v>0.10643318928077954</c:v>
                </c:pt>
                <c:pt idx="2">
                  <c:v>5.192840668254186E-2</c:v>
                </c:pt>
                <c:pt idx="3">
                  <c:v>0.28926768385408735</c:v>
                </c:pt>
                <c:pt idx="4">
                  <c:v>2.3385154836450912E-3</c:v>
                </c:pt>
                <c:pt idx="5">
                  <c:v>9.728224411963578E-4</c:v>
                </c:pt>
                <c:pt idx="6">
                  <c:v>2.5213205797380324E-2</c:v>
                </c:pt>
                <c:pt idx="7">
                  <c:v>1.3713054796094816E-2</c:v>
                </c:pt>
                <c:pt idx="8">
                  <c:v>3.5304902330230456E-3</c:v>
                </c:pt>
                <c:pt idx="9">
                  <c:v>3.506436930905554E-3</c:v>
                </c:pt>
                <c:pt idx="11">
                  <c:v>9.0868030221637812E-5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Makindye-Kibuye-2Dir'!$AE$9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Makindye-Kibuye-2Dir'!$R$10:$R$33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Makindye-Kibuye-2Dir'!$AE$10:$AE$33</c:f>
              <c:numCache>
                <c:formatCode>0</c:formatCode>
                <c:ptCount val="24"/>
                <c:pt idx="0">
                  <c:v>565.42857142857144</c:v>
                </c:pt>
                <c:pt idx="1">
                  <c:v>670.14285714285711</c:v>
                </c:pt>
                <c:pt idx="2">
                  <c:v>734</c:v>
                </c:pt>
                <c:pt idx="3">
                  <c:v>777</c:v>
                </c:pt>
                <c:pt idx="4">
                  <c:v>788.42857142857133</c:v>
                </c:pt>
                <c:pt idx="5">
                  <c:v>774.28571428571433</c:v>
                </c:pt>
                <c:pt idx="6">
                  <c:v>725.28571428571422</c:v>
                </c:pt>
                <c:pt idx="7">
                  <c:v>704.142857142857</c:v>
                </c:pt>
                <c:pt idx="8">
                  <c:v>740.42857142857133</c:v>
                </c:pt>
                <c:pt idx="9">
                  <c:v>776.14285714285711</c:v>
                </c:pt>
                <c:pt idx="10">
                  <c:v>767.57142857142856</c:v>
                </c:pt>
                <c:pt idx="11">
                  <c:v>705.57142857142856</c:v>
                </c:pt>
                <c:pt idx="12">
                  <c:v>794.25</c:v>
                </c:pt>
                <c:pt idx="13">
                  <c:v>827</c:v>
                </c:pt>
                <c:pt idx="14">
                  <c:v>622</c:v>
                </c:pt>
                <c:pt idx="15">
                  <c:v>594.5</c:v>
                </c:pt>
                <c:pt idx="16">
                  <c:v>505</c:v>
                </c:pt>
                <c:pt idx="17">
                  <c:v>240.5</c:v>
                </c:pt>
                <c:pt idx="18">
                  <c:v>129</c:v>
                </c:pt>
                <c:pt idx="19">
                  <c:v>143.5</c:v>
                </c:pt>
                <c:pt idx="20">
                  <c:v>94.5</c:v>
                </c:pt>
                <c:pt idx="21">
                  <c:v>139.5</c:v>
                </c:pt>
                <c:pt idx="22">
                  <c:v>149.5</c:v>
                </c:pt>
                <c:pt idx="23">
                  <c:v>395.5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EB-4DE9-886C-3D0883AECE8D}"/>
            </c:ext>
          </c:extLst>
        </c:ser>
        <c:ser>
          <c:idx val="1"/>
          <c:order val="1"/>
          <c:tx>
            <c:strRef>
              <c:f>'Avg Week Makindye-Kibuye-2Dir'!$AF$9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Makindye-Kibuye-2Dir'!$R$10:$R$33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Makindye-Kibuye-2Dir'!$AF$10:$AF$33</c:f>
              <c:numCache>
                <c:formatCode>0</c:formatCode>
                <c:ptCount val="24"/>
                <c:pt idx="0">
                  <c:v>1940.5714285714284</c:v>
                </c:pt>
                <c:pt idx="1">
                  <c:v>2258.7142857142858</c:v>
                </c:pt>
                <c:pt idx="2">
                  <c:v>2342.7142857142858</c:v>
                </c:pt>
                <c:pt idx="3">
                  <c:v>2364.1428571428569</c:v>
                </c:pt>
                <c:pt idx="4">
                  <c:v>2361</c:v>
                </c:pt>
                <c:pt idx="5">
                  <c:v>2367.2857142857142</c:v>
                </c:pt>
                <c:pt idx="6">
                  <c:v>2264.7142857142858</c:v>
                </c:pt>
                <c:pt idx="7">
                  <c:v>2168.2857142857142</c:v>
                </c:pt>
                <c:pt idx="8">
                  <c:v>2212.8571428571431</c:v>
                </c:pt>
                <c:pt idx="9">
                  <c:v>2349.4285714285711</c:v>
                </c:pt>
                <c:pt idx="10">
                  <c:v>2257.1428571428573</c:v>
                </c:pt>
                <c:pt idx="11">
                  <c:v>2074.8571428571431</c:v>
                </c:pt>
                <c:pt idx="12">
                  <c:v>1915.5</c:v>
                </c:pt>
                <c:pt idx="13">
                  <c:v>1726.5</c:v>
                </c:pt>
                <c:pt idx="14">
                  <c:v>1730.5</c:v>
                </c:pt>
                <c:pt idx="15">
                  <c:v>1483.5</c:v>
                </c:pt>
                <c:pt idx="16">
                  <c:v>1197.5</c:v>
                </c:pt>
                <c:pt idx="17">
                  <c:v>773.5</c:v>
                </c:pt>
                <c:pt idx="18">
                  <c:v>498</c:v>
                </c:pt>
                <c:pt idx="19">
                  <c:v>382.5</c:v>
                </c:pt>
                <c:pt idx="20">
                  <c:v>259.5</c:v>
                </c:pt>
                <c:pt idx="21">
                  <c:v>328.5</c:v>
                </c:pt>
                <c:pt idx="22">
                  <c:v>392</c:v>
                </c:pt>
                <c:pt idx="23">
                  <c:v>689.5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EB-4DE9-886C-3D0883AECE8D}"/>
            </c:ext>
          </c:extLst>
        </c:ser>
        <c:ser>
          <c:idx val="5"/>
          <c:order val="2"/>
          <c:tx>
            <c:strRef>
              <c:f>'Avg Week Makindye-Kibuye-2Dir'!$AC$9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Makindye-Kibuye-2Dir'!$R$10:$R$33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Makindye-Kibuye-2Dir'!$AC$10:$AC$33</c:f>
              <c:numCache>
                <c:formatCode>0</c:formatCode>
                <c:ptCount val="24"/>
                <c:pt idx="0">
                  <c:v>1375.1428571428571</c:v>
                </c:pt>
                <c:pt idx="1">
                  <c:v>1588.5714285714284</c:v>
                </c:pt>
                <c:pt idx="2">
                  <c:v>1608.7142857142858</c:v>
                </c:pt>
                <c:pt idx="3">
                  <c:v>1587.1428571428571</c:v>
                </c:pt>
                <c:pt idx="4">
                  <c:v>1572.5714285714284</c:v>
                </c:pt>
                <c:pt idx="5">
                  <c:v>1593</c:v>
                </c:pt>
                <c:pt idx="6">
                  <c:v>1539.4285714285713</c:v>
                </c:pt>
                <c:pt idx="7">
                  <c:v>1464.1428571428571</c:v>
                </c:pt>
                <c:pt idx="8">
                  <c:v>1472.4285714285716</c:v>
                </c:pt>
                <c:pt idx="9">
                  <c:v>1573.2857142857142</c:v>
                </c:pt>
                <c:pt idx="10">
                  <c:v>1489.5714285714284</c:v>
                </c:pt>
                <c:pt idx="11">
                  <c:v>1369.2857142857142</c:v>
                </c:pt>
                <c:pt idx="12">
                  <c:v>1121.25</c:v>
                </c:pt>
                <c:pt idx="13">
                  <c:v>899.5</c:v>
                </c:pt>
                <c:pt idx="14">
                  <c:v>1108.5</c:v>
                </c:pt>
                <c:pt idx="15">
                  <c:v>889</c:v>
                </c:pt>
                <c:pt idx="16">
                  <c:v>692.5</c:v>
                </c:pt>
                <c:pt idx="17">
                  <c:v>533</c:v>
                </c:pt>
                <c:pt idx="18">
                  <c:v>369</c:v>
                </c:pt>
                <c:pt idx="19">
                  <c:v>239</c:v>
                </c:pt>
                <c:pt idx="20">
                  <c:v>165</c:v>
                </c:pt>
                <c:pt idx="21">
                  <c:v>189</c:v>
                </c:pt>
                <c:pt idx="22">
                  <c:v>242.5</c:v>
                </c:pt>
                <c:pt idx="23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EB-4DE9-886C-3D0883AEC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Makindye-Kibuye-2Dir'!$S$9:$AF$9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Makindye-Kibuye-2Dir'!$S$41:$AF$41</c:f>
              <c:numCache>
                <c:formatCode>_-* #,##0_-;\-* #,##0_-;_-* "-"_-;_-@_-</c:formatCode>
                <c:ptCount val="14"/>
                <c:pt idx="0">
                  <c:v>6721.7500000000009</c:v>
                </c:pt>
                <c:pt idx="1">
                  <c:v>1422.2857142857144</c:v>
                </c:pt>
                <c:pt idx="2">
                  <c:v>693.92857142857144</c:v>
                </c:pt>
                <c:pt idx="3">
                  <c:v>3865.5357142857147</c:v>
                </c:pt>
                <c:pt idx="4">
                  <c:v>31.249999999999996</c:v>
                </c:pt>
                <c:pt idx="5">
                  <c:v>13</c:v>
                </c:pt>
                <c:pt idx="6">
                  <c:v>336.92857142857144</c:v>
                </c:pt>
                <c:pt idx="7">
                  <c:v>183.25</c:v>
                </c:pt>
                <c:pt idx="8">
                  <c:v>47.178571428571431</c:v>
                </c:pt>
                <c:pt idx="9">
                  <c:v>46.857142857142861</c:v>
                </c:pt>
                <c:pt idx="10">
                  <c:v>24975.53571428571</c:v>
                </c:pt>
                <c:pt idx="11">
                  <c:v>1.2142857142857142</c:v>
                </c:pt>
                <c:pt idx="12">
                  <c:v>13363.178571428572</c:v>
                </c:pt>
                <c:pt idx="13">
                  <c:v>38338.71428571429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3-4F17-A082-99C8F38DE5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Makindye-Kibuye-2Dir'!$S$9:$AF$9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Makindye-Kibuye-2Dir'!$S$42:$AF$42</c:f>
              <c:numCache>
                <c:formatCode>0.000</c:formatCode>
                <c:ptCount val="14"/>
                <c:pt idx="0">
                  <c:v>1.6185287743799661</c:v>
                </c:pt>
                <c:pt idx="1">
                  <c:v>1.4022535211267606</c:v>
                </c:pt>
                <c:pt idx="2">
                  <c:v>1.3333790831732089</c:v>
                </c:pt>
                <c:pt idx="3">
                  <c:v>1.5198983317418411</c:v>
                </c:pt>
                <c:pt idx="4">
                  <c:v>1.2019230769230769</c:v>
                </c:pt>
                <c:pt idx="5">
                  <c:v>2.6</c:v>
                </c:pt>
                <c:pt idx="6">
                  <c:v>1.4621822690638564</c:v>
                </c:pt>
                <c:pt idx="7">
                  <c:v>1.1822580645161291</c:v>
                </c:pt>
                <c:pt idx="8">
                  <c:v>1.2604961832061068</c:v>
                </c:pt>
                <c:pt idx="9">
                  <c:v>1.0933333333333333</c:v>
                </c:pt>
                <c:pt idx="10">
                  <c:v>1.369777016915688</c:v>
                </c:pt>
                <c:pt idx="11">
                  <c:v>1.7000000000000002</c:v>
                </c:pt>
                <c:pt idx="12">
                  <c:v>1.5309947789652858</c:v>
                </c:pt>
                <c:pt idx="13">
                  <c:v>1.4219687175465738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3-4068-8A16-F2A318EFFF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22224</xdr:rowOff>
    </xdr:from>
    <xdr:to>
      <xdr:col>28</xdr:col>
      <xdr:colOff>63499</xdr:colOff>
      <xdr:row>58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9526</xdr:rowOff>
    </xdr:from>
    <xdr:to>
      <xdr:col>24</xdr:col>
      <xdr:colOff>15875</xdr:colOff>
      <xdr:row>73</xdr:row>
      <xdr:rowOff>47626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</xdr:colOff>
      <xdr:row>59</xdr:row>
      <xdr:rowOff>15876</xdr:rowOff>
    </xdr:from>
    <xdr:to>
      <xdr:col>31</xdr:col>
      <xdr:colOff>650875</xdr:colOff>
      <xdr:row>73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0</xdr:rowOff>
    </xdr:from>
    <xdr:to>
      <xdr:col>28</xdr:col>
      <xdr:colOff>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9525</xdr:rowOff>
    </xdr:from>
    <xdr:to>
      <xdr:col>24</xdr:col>
      <xdr:colOff>0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</xdr:colOff>
      <xdr:row>59</xdr:row>
      <xdr:rowOff>15878</xdr:rowOff>
    </xdr:from>
    <xdr:to>
      <xdr:col>31</xdr:col>
      <xdr:colOff>825501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71</xdr:row>
      <xdr:rowOff>63500</xdr:rowOff>
    </xdr:from>
    <xdr:to>
      <xdr:col>24</xdr:col>
      <xdr:colOff>0</xdr:colOff>
      <xdr:row>87</xdr:row>
      <xdr:rowOff>47625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155574</xdr:colOff>
      <xdr:row>56</xdr:row>
      <xdr:rowOff>276225</xdr:rowOff>
    </xdr:from>
    <xdr:to>
      <xdr:col>23</xdr:col>
      <xdr:colOff>698500</xdr:colOff>
      <xdr:row>71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19051</xdr:colOff>
      <xdr:row>43</xdr:row>
      <xdr:rowOff>11907</xdr:rowOff>
    </xdr:from>
    <xdr:to>
      <xdr:col>28</xdr:col>
      <xdr:colOff>15876</xdr:colOff>
      <xdr:row>56</xdr:row>
      <xdr:rowOff>254000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E3640FA-F888-402F-BDF4-C5CC8694D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56</xdr:row>
      <xdr:rowOff>269875</xdr:rowOff>
    </xdr:from>
    <xdr:to>
      <xdr:col>31</xdr:col>
      <xdr:colOff>95250</xdr:colOff>
      <xdr:row>71</xdr:row>
      <xdr:rowOff>63500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9E2FA12-335F-4A3F-94EF-03B5DDB2C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704849</xdr:colOff>
      <xdr:row>71</xdr:row>
      <xdr:rowOff>69850</xdr:rowOff>
    </xdr:from>
    <xdr:to>
      <xdr:col>31</xdr:col>
      <xdr:colOff>95249</xdr:colOff>
      <xdr:row>87</xdr:row>
      <xdr:rowOff>47625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2618FC8-C3A4-4D33-84AF-FC30899DF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97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54" t="s">
        <v>171</v>
      </c>
      <c r="H5" s="55"/>
      <c r="I5" s="14"/>
      <c r="J5" s="2" t="s">
        <v>5</v>
      </c>
      <c r="K5" s="54" t="s">
        <v>175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173</v>
      </c>
      <c r="E6" s="55"/>
      <c r="F6" s="2" t="s">
        <v>2</v>
      </c>
      <c r="G6" s="54" t="s">
        <v>174</v>
      </c>
      <c r="H6" s="55"/>
      <c r="J6" s="2" t="s">
        <v>21</v>
      </c>
      <c r="K6" s="54" t="s">
        <v>172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57</v>
      </c>
      <c r="T10" s="17">
        <f t="shared" si="2"/>
        <v>10</v>
      </c>
      <c r="U10" s="17">
        <f t="shared" si="2"/>
        <v>11</v>
      </c>
      <c r="V10" s="17">
        <f t="shared" si="2"/>
        <v>52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3</v>
      </c>
      <c r="AA10" s="17">
        <f t="shared" si="2"/>
        <v>0</v>
      </c>
      <c r="AB10" s="17">
        <f t="shared" si="2"/>
        <v>1</v>
      </c>
      <c r="AC10" s="17">
        <f t="shared" si="2"/>
        <v>335</v>
      </c>
      <c r="AD10" s="17">
        <f t="shared" si="2"/>
        <v>0</v>
      </c>
      <c r="AE10" s="31">
        <f t="shared" si="2"/>
        <v>138</v>
      </c>
      <c r="AF10" s="31">
        <f t="shared" si="2"/>
        <v>473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141</v>
      </c>
      <c r="T11" s="17">
        <f t="shared" si="3"/>
        <v>47</v>
      </c>
      <c r="U11" s="17">
        <f t="shared" si="3"/>
        <v>21</v>
      </c>
      <c r="V11" s="17">
        <f t="shared" si="3"/>
        <v>145</v>
      </c>
      <c r="W11" s="17">
        <f t="shared" si="3"/>
        <v>2</v>
      </c>
      <c r="X11" s="17">
        <f t="shared" si="3"/>
        <v>0</v>
      </c>
      <c r="Y11" s="17">
        <f t="shared" si="3"/>
        <v>8</v>
      </c>
      <c r="Z11" s="17">
        <f t="shared" si="3"/>
        <v>8</v>
      </c>
      <c r="AA11" s="17">
        <f t="shared" si="3"/>
        <v>1</v>
      </c>
      <c r="AB11" s="17">
        <f t="shared" si="3"/>
        <v>0</v>
      </c>
      <c r="AC11" s="17">
        <f t="shared" si="3"/>
        <v>920</v>
      </c>
      <c r="AD11" s="17">
        <f t="shared" si="3"/>
        <v>0</v>
      </c>
      <c r="AE11" s="31">
        <f t="shared" si="3"/>
        <v>373</v>
      </c>
      <c r="AF11" s="31">
        <f t="shared" si="3"/>
        <v>1293</v>
      </c>
    </row>
    <row r="12" spans="2:32" ht="23.1" customHeight="1" x14ac:dyDescent="0.25">
      <c r="B12" s="23" t="s">
        <v>39</v>
      </c>
      <c r="C12" s="50">
        <v>22</v>
      </c>
      <c r="D12" s="50">
        <v>4</v>
      </c>
      <c r="E12" s="50">
        <v>3</v>
      </c>
      <c r="F12" s="50">
        <v>12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185</v>
      </c>
      <c r="N12" s="50">
        <v>0</v>
      </c>
      <c r="O12" s="15">
        <f t="shared" si="0"/>
        <v>44</v>
      </c>
      <c r="P12" s="15">
        <f t="shared" si="1"/>
        <v>229</v>
      </c>
      <c r="R12" s="1" t="s">
        <v>8</v>
      </c>
      <c r="S12" s="17">
        <f t="shared" ref="S12:AF12" si="4">SUM(C18:C21)</f>
        <v>130</v>
      </c>
      <c r="T12" s="17">
        <f t="shared" si="4"/>
        <v>75</v>
      </c>
      <c r="U12" s="17">
        <f t="shared" si="4"/>
        <v>26</v>
      </c>
      <c r="V12" s="17">
        <f t="shared" si="4"/>
        <v>111</v>
      </c>
      <c r="W12" s="17">
        <f t="shared" si="4"/>
        <v>1</v>
      </c>
      <c r="X12" s="17">
        <f t="shared" si="4"/>
        <v>1</v>
      </c>
      <c r="Y12" s="17">
        <f t="shared" si="4"/>
        <v>8</v>
      </c>
      <c r="Z12" s="17">
        <f t="shared" si="4"/>
        <v>10</v>
      </c>
      <c r="AA12" s="17">
        <f t="shared" si="4"/>
        <v>5</v>
      </c>
      <c r="AB12" s="17">
        <f t="shared" si="4"/>
        <v>1</v>
      </c>
      <c r="AC12" s="17">
        <f t="shared" si="4"/>
        <v>805</v>
      </c>
      <c r="AD12" s="17">
        <f t="shared" si="4"/>
        <v>0</v>
      </c>
      <c r="AE12" s="31">
        <f t="shared" si="4"/>
        <v>368</v>
      </c>
      <c r="AF12" s="31">
        <f t="shared" si="4"/>
        <v>1173</v>
      </c>
    </row>
    <row r="13" spans="2:32" ht="23.1" customHeight="1" x14ac:dyDescent="0.25">
      <c r="B13" s="23" t="s">
        <v>40</v>
      </c>
      <c r="C13" s="50">
        <v>35</v>
      </c>
      <c r="D13" s="50">
        <v>6</v>
      </c>
      <c r="E13" s="50">
        <v>8</v>
      </c>
      <c r="F13" s="50">
        <v>40</v>
      </c>
      <c r="G13" s="50">
        <v>0</v>
      </c>
      <c r="H13" s="50">
        <v>0</v>
      </c>
      <c r="I13" s="50">
        <v>1</v>
      </c>
      <c r="J13" s="50">
        <v>3</v>
      </c>
      <c r="K13" s="50">
        <v>0</v>
      </c>
      <c r="L13" s="50">
        <v>1</v>
      </c>
      <c r="M13" s="50">
        <v>150</v>
      </c>
      <c r="N13" s="50">
        <v>0</v>
      </c>
      <c r="O13" s="15">
        <f t="shared" si="0"/>
        <v>94</v>
      </c>
      <c r="P13" s="15">
        <f t="shared" si="1"/>
        <v>244</v>
      </c>
      <c r="R13" s="1" t="s">
        <v>9</v>
      </c>
      <c r="S13" s="17">
        <f t="shared" ref="S13:AF13" si="5">SUM(C22:C25)</f>
        <v>122</v>
      </c>
      <c r="T13" s="17">
        <f t="shared" si="5"/>
        <v>48</v>
      </c>
      <c r="U13" s="17">
        <f t="shared" si="5"/>
        <v>35</v>
      </c>
      <c r="V13" s="17">
        <f t="shared" si="5"/>
        <v>88</v>
      </c>
      <c r="W13" s="17">
        <f t="shared" si="5"/>
        <v>4</v>
      </c>
      <c r="X13" s="17">
        <f t="shared" si="5"/>
        <v>1</v>
      </c>
      <c r="Y13" s="17">
        <f t="shared" si="5"/>
        <v>12</v>
      </c>
      <c r="Z13" s="17">
        <f t="shared" si="5"/>
        <v>9</v>
      </c>
      <c r="AA13" s="17">
        <f t="shared" si="5"/>
        <v>3</v>
      </c>
      <c r="AB13" s="17">
        <f t="shared" si="5"/>
        <v>1</v>
      </c>
      <c r="AC13" s="17">
        <f t="shared" si="5"/>
        <v>570</v>
      </c>
      <c r="AD13" s="17">
        <f t="shared" si="5"/>
        <v>0</v>
      </c>
      <c r="AE13" s="31">
        <f t="shared" si="5"/>
        <v>323</v>
      </c>
      <c r="AF13" s="31">
        <f t="shared" si="5"/>
        <v>893</v>
      </c>
    </row>
    <row r="14" spans="2:32" ht="23.1" customHeight="1" x14ac:dyDescent="0.25">
      <c r="B14" s="23" t="s">
        <v>41</v>
      </c>
      <c r="C14" s="50">
        <v>40</v>
      </c>
      <c r="D14" s="50">
        <v>7</v>
      </c>
      <c r="E14" s="50">
        <v>5</v>
      </c>
      <c r="F14" s="50">
        <v>39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240</v>
      </c>
      <c r="N14" s="50">
        <v>0</v>
      </c>
      <c r="O14" s="15">
        <f t="shared" si="0"/>
        <v>93</v>
      </c>
      <c r="P14" s="15">
        <f t="shared" si="1"/>
        <v>333</v>
      </c>
      <c r="R14" s="1" t="s">
        <v>10</v>
      </c>
      <c r="S14" s="17">
        <f t="shared" ref="S14:AF14" si="6">SUM(C26:C29)</f>
        <v>157</v>
      </c>
      <c r="T14" s="17">
        <f t="shared" si="6"/>
        <v>67</v>
      </c>
      <c r="U14" s="17">
        <f t="shared" si="6"/>
        <v>27</v>
      </c>
      <c r="V14" s="17">
        <f t="shared" si="6"/>
        <v>101</v>
      </c>
      <c r="W14" s="17">
        <f t="shared" si="6"/>
        <v>0</v>
      </c>
      <c r="X14" s="17">
        <f t="shared" si="6"/>
        <v>0</v>
      </c>
      <c r="Y14" s="17">
        <f t="shared" si="6"/>
        <v>16</v>
      </c>
      <c r="Z14" s="17">
        <f t="shared" si="6"/>
        <v>14</v>
      </c>
      <c r="AA14" s="17">
        <f t="shared" si="6"/>
        <v>9</v>
      </c>
      <c r="AB14" s="17">
        <f t="shared" si="6"/>
        <v>0</v>
      </c>
      <c r="AC14" s="17">
        <f t="shared" si="6"/>
        <v>620</v>
      </c>
      <c r="AD14" s="17">
        <f t="shared" si="6"/>
        <v>0</v>
      </c>
      <c r="AE14" s="31">
        <f t="shared" si="6"/>
        <v>391</v>
      </c>
      <c r="AF14" s="31">
        <f t="shared" si="6"/>
        <v>1011</v>
      </c>
    </row>
    <row r="15" spans="2:32" ht="23.1" customHeight="1" x14ac:dyDescent="0.25">
      <c r="B15" s="23" t="s">
        <v>42</v>
      </c>
      <c r="C15" s="50">
        <v>30</v>
      </c>
      <c r="D15" s="50">
        <v>11</v>
      </c>
      <c r="E15" s="50">
        <v>10</v>
      </c>
      <c r="F15" s="50">
        <v>33</v>
      </c>
      <c r="G15" s="50">
        <v>1</v>
      </c>
      <c r="H15" s="50">
        <v>0</v>
      </c>
      <c r="I15" s="50">
        <v>1</v>
      </c>
      <c r="J15" s="50">
        <v>2</v>
      </c>
      <c r="K15" s="50">
        <v>0</v>
      </c>
      <c r="L15" s="50">
        <v>0</v>
      </c>
      <c r="M15" s="50">
        <v>245</v>
      </c>
      <c r="N15" s="50">
        <v>0</v>
      </c>
      <c r="O15" s="15">
        <f t="shared" si="0"/>
        <v>88</v>
      </c>
      <c r="P15" s="15">
        <f t="shared" si="1"/>
        <v>333</v>
      </c>
      <c r="R15" s="1" t="s">
        <v>11</v>
      </c>
      <c r="S15" s="17">
        <f t="shared" ref="S15:AF15" si="7">SUM(C30:C33)</f>
        <v>123</v>
      </c>
      <c r="T15" s="17">
        <f t="shared" si="7"/>
        <v>73</v>
      </c>
      <c r="U15" s="17">
        <f t="shared" si="7"/>
        <v>20</v>
      </c>
      <c r="V15" s="17">
        <f t="shared" si="7"/>
        <v>97</v>
      </c>
      <c r="W15" s="17">
        <f t="shared" si="7"/>
        <v>0</v>
      </c>
      <c r="X15" s="17">
        <f t="shared" si="7"/>
        <v>0</v>
      </c>
      <c r="Y15" s="17">
        <f t="shared" si="7"/>
        <v>19</v>
      </c>
      <c r="Z15" s="17">
        <f t="shared" si="7"/>
        <v>14</v>
      </c>
      <c r="AA15" s="17">
        <f t="shared" si="7"/>
        <v>4</v>
      </c>
      <c r="AB15" s="17">
        <f t="shared" si="7"/>
        <v>1</v>
      </c>
      <c r="AC15" s="17">
        <f t="shared" si="7"/>
        <v>715</v>
      </c>
      <c r="AD15" s="17">
        <f t="shared" si="7"/>
        <v>0</v>
      </c>
      <c r="AE15" s="31">
        <f t="shared" si="7"/>
        <v>351</v>
      </c>
      <c r="AF15" s="31">
        <f t="shared" si="7"/>
        <v>1066</v>
      </c>
    </row>
    <row r="16" spans="2:32" ht="23.1" customHeight="1" x14ac:dyDescent="0.25">
      <c r="B16" s="23" t="s">
        <v>43</v>
      </c>
      <c r="C16" s="50">
        <v>29</v>
      </c>
      <c r="D16" s="50">
        <v>14</v>
      </c>
      <c r="E16" s="50">
        <v>1</v>
      </c>
      <c r="F16" s="50">
        <v>38</v>
      </c>
      <c r="G16" s="50">
        <v>0</v>
      </c>
      <c r="H16" s="50">
        <v>0</v>
      </c>
      <c r="I16" s="50">
        <v>4</v>
      </c>
      <c r="J16" s="50">
        <v>2</v>
      </c>
      <c r="K16" s="50">
        <v>1</v>
      </c>
      <c r="L16" s="50">
        <v>0</v>
      </c>
      <c r="M16" s="50">
        <v>230</v>
      </c>
      <c r="N16" s="50">
        <v>0</v>
      </c>
      <c r="O16" s="15">
        <f t="shared" si="0"/>
        <v>89</v>
      </c>
      <c r="P16" s="15">
        <f t="shared" si="1"/>
        <v>319</v>
      </c>
      <c r="R16" s="1" t="s">
        <v>12</v>
      </c>
      <c r="S16" s="17">
        <f t="shared" ref="S16:AF16" si="8">SUM(C34:C37)</f>
        <v>160</v>
      </c>
      <c r="T16" s="17">
        <f t="shared" si="8"/>
        <v>73</v>
      </c>
      <c r="U16" s="17">
        <f t="shared" si="8"/>
        <v>32</v>
      </c>
      <c r="V16" s="17">
        <f t="shared" si="8"/>
        <v>92</v>
      </c>
      <c r="W16" s="17">
        <f t="shared" si="8"/>
        <v>0</v>
      </c>
      <c r="X16" s="17">
        <f t="shared" si="8"/>
        <v>0</v>
      </c>
      <c r="Y16" s="17">
        <f t="shared" si="8"/>
        <v>13</v>
      </c>
      <c r="Z16" s="17">
        <f t="shared" si="8"/>
        <v>8</v>
      </c>
      <c r="AA16" s="17">
        <f t="shared" si="8"/>
        <v>4</v>
      </c>
      <c r="AB16" s="17">
        <f t="shared" si="8"/>
        <v>0</v>
      </c>
      <c r="AC16" s="17">
        <f t="shared" si="8"/>
        <v>700</v>
      </c>
      <c r="AD16" s="17">
        <f t="shared" si="8"/>
        <v>0</v>
      </c>
      <c r="AE16" s="31">
        <f t="shared" si="8"/>
        <v>382</v>
      </c>
      <c r="AF16" s="31">
        <f t="shared" si="8"/>
        <v>1082</v>
      </c>
    </row>
    <row r="17" spans="2:32" ht="23.1" customHeight="1" x14ac:dyDescent="0.25">
      <c r="B17" s="23" t="s">
        <v>44</v>
      </c>
      <c r="C17" s="50">
        <v>42</v>
      </c>
      <c r="D17" s="50">
        <v>15</v>
      </c>
      <c r="E17" s="50">
        <v>5</v>
      </c>
      <c r="F17" s="50">
        <v>35</v>
      </c>
      <c r="G17" s="50">
        <v>1</v>
      </c>
      <c r="H17" s="50">
        <v>0</v>
      </c>
      <c r="I17" s="50">
        <v>2</v>
      </c>
      <c r="J17" s="50">
        <v>3</v>
      </c>
      <c r="K17" s="50">
        <v>0</v>
      </c>
      <c r="L17" s="50">
        <v>0</v>
      </c>
      <c r="M17" s="50">
        <v>205</v>
      </c>
      <c r="N17" s="50">
        <v>0</v>
      </c>
      <c r="O17" s="15">
        <f t="shared" si="0"/>
        <v>103</v>
      </c>
      <c r="P17" s="15">
        <f t="shared" si="1"/>
        <v>308</v>
      </c>
      <c r="R17" s="1" t="s">
        <v>13</v>
      </c>
      <c r="S17" s="17">
        <f t="shared" ref="S17:AF17" si="9">SUM(C38:C41)</f>
        <v>162</v>
      </c>
      <c r="T17" s="17">
        <f t="shared" si="9"/>
        <v>68</v>
      </c>
      <c r="U17" s="17">
        <f t="shared" si="9"/>
        <v>27</v>
      </c>
      <c r="V17" s="17">
        <f t="shared" si="9"/>
        <v>83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10</v>
      </c>
      <c r="AA17" s="17">
        <f t="shared" si="9"/>
        <v>4</v>
      </c>
      <c r="AB17" s="17">
        <f t="shared" si="9"/>
        <v>1</v>
      </c>
      <c r="AC17" s="17">
        <f t="shared" si="9"/>
        <v>530</v>
      </c>
      <c r="AD17" s="17">
        <f t="shared" si="9"/>
        <v>0</v>
      </c>
      <c r="AE17" s="31">
        <f t="shared" si="9"/>
        <v>367</v>
      </c>
      <c r="AF17" s="31">
        <f t="shared" si="9"/>
        <v>897</v>
      </c>
    </row>
    <row r="18" spans="2:32" ht="23.1" customHeight="1" x14ac:dyDescent="0.25">
      <c r="B18" s="23" t="s">
        <v>45</v>
      </c>
      <c r="C18" s="50">
        <v>37</v>
      </c>
      <c r="D18" s="50">
        <v>20</v>
      </c>
      <c r="E18" s="50">
        <v>8</v>
      </c>
      <c r="F18" s="50">
        <v>32</v>
      </c>
      <c r="G18" s="50">
        <v>1</v>
      </c>
      <c r="H18" s="50">
        <v>1</v>
      </c>
      <c r="I18" s="50">
        <v>2</v>
      </c>
      <c r="J18" s="50">
        <v>1</v>
      </c>
      <c r="K18" s="50">
        <v>0</v>
      </c>
      <c r="L18" s="50">
        <v>1</v>
      </c>
      <c r="M18" s="50">
        <v>250</v>
      </c>
      <c r="N18" s="50">
        <v>0</v>
      </c>
      <c r="O18" s="15">
        <f t="shared" si="0"/>
        <v>103</v>
      </c>
      <c r="P18" s="15">
        <f t="shared" si="1"/>
        <v>353</v>
      </c>
      <c r="R18" s="1" t="s">
        <v>14</v>
      </c>
      <c r="S18" s="17">
        <f t="shared" ref="S18:AF18" si="10">SUM(C42:C45)</f>
        <v>172</v>
      </c>
      <c r="T18" s="17">
        <f t="shared" si="10"/>
        <v>82</v>
      </c>
      <c r="U18" s="17">
        <f t="shared" si="10"/>
        <v>22</v>
      </c>
      <c r="V18" s="17">
        <f t="shared" si="10"/>
        <v>37</v>
      </c>
      <c r="W18" s="17">
        <f t="shared" si="10"/>
        <v>1</v>
      </c>
      <c r="X18" s="17">
        <f t="shared" si="10"/>
        <v>0</v>
      </c>
      <c r="Y18" s="17">
        <f t="shared" si="10"/>
        <v>16</v>
      </c>
      <c r="Z18" s="17">
        <f t="shared" si="10"/>
        <v>7</v>
      </c>
      <c r="AA18" s="17">
        <f t="shared" si="10"/>
        <v>5</v>
      </c>
      <c r="AB18" s="17">
        <f t="shared" si="10"/>
        <v>0</v>
      </c>
      <c r="AC18" s="17">
        <f t="shared" si="10"/>
        <v>358</v>
      </c>
      <c r="AD18" s="17">
        <f t="shared" si="10"/>
        <v>0</v>
      </c>
      <c r="AE18" s="31">
        <f t="shared" si="10"/>
        <v>342</v>
      </c>
      <c r="AF18" s="31">
        <f t="shared" si="10"/>
        <v>700</v>
      </c>
    </row>
    <row r="19" spans="2:32" ht="23.1" customHeight="1" x14ac:dyDescent="0.25">
      <c r="B19" s="23" t="s">
        <v>46</v>
      </c>
      <c r="C19" s="50">
        <v>34</v>
      </c>
      <c r="D19" s="50">
        <v>15</v>
      </c>
      <c r="E19" s="50">
        <v>8</v>
      </c>
      <c r="F19" s="50">
        <v>29</v>
      </c>
      <c r="G19" s="50">
        <v>0</v>
      </c>
      <c r="H19" s="50">
        <v>0</v>
      </c>
      <c r="I19" s="50">
        <v>1</v>
      </c>
      <c r="J19" s="50">
        <v>3</v>
      </c>
      <c r="K19" s="50">
        <v>1</v>
      </c>
      <c r="L19" s="50">
        <v>0</v>
      </c>
      <c r="M19" s="50">
        <v>135</v>
      </c>
      <c r="N19" s="50">
        <v>0</v>
      </c>
      <c r="O19" s="15">
        <f t="shared" si="0"/>
        <v>91</v>
      </c>
      <c r="P19" s="15">
        <f t="shared" si="1"/>
        <v>226</v>
      </c>
      <c r="R19" s="1" t="s">
        <v>15</v>
      </c>
      <c r="S19" s="17">
        <f t="shared" ref="S19:AF19" si="11">SUM(C46:C49)</f>
        <v>267</v>
      </c>
      <c r="T19" s="17">
        <f t="shared" si="11"/>
        <v>101</v>
      </c>
      <c r="U19" s="17">
        <f t="shared" si="11"/>
        <v>29</v>
      </c>
      <c r="V19" s="17">
        <f t="shared" si="11"/>
        <v>72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8</v>
      </c>
      <c r="AA19" s="17">
        <f t="shared" si="11"/>
        <v>0</v>
      </c>
      <c r="AB19" s="17">
        <f t="shared" si="11"/>
        <v>0</v>
      </c>
      <c r="AC19" s="17">
        <f t="shared" si="11"/>
        <v>525</v>
      </c>
      <c r="AD19" s="17">
        <f t="shared" si="11"/>
        <v>0</v>
      </c>
      <c r="AE19" s="31">
        <f t="shared" si="11"/>
        <v>488</v>
      </c>
      <c r="AF19" s="31">
        <f t="shared" si="11"/>
        <v>1013</v>
      </c>
    </row>
    <row r="20" spans="2:32" ht="23.1" customHeight="1" x14ac:dyDescent="0.25">
      <c r="B20" s="23" t="s">
        <v>47</v>
      </c>
      <c r="C20" s="50">
        <v>22</v>
      </c>
      <c r="D20" s="50">
        <v>25</v>
      </c>
      <c r="E20" s="50">
        <v>4</v>
      </c>
      <c r="F20" s="50">
        <v>27</v>
      </c>
      <c r="G20" s="50">
        <v>0</v>
      </c>
      <c r="H20" s="50">
        <v>0</v>
      </c>
      <c r="I20" s="50">
        <v>2</v>
      </c>
      <c r="J20" s="50">
        <v>3</v>
      </c>
      <c r="K20" s="50">
        <v>3</v>
      </c>
      <c r="L20" s="50">
        <v>0</v>
      </c>
      <c r="M20" s="50">
        <v>220</v>
      </c>
      <c r="N20" s="50">
        <v>0</v>
      </c>
      <c r="O20" s="15">
        <f t="shared" si="0"/>
        <v>86</v>
      </c>
      <c r="P20" s="15">
        <f t="shared" si="1"/>
        <v>306</v>
      </c>
      <c r="R20" s="1" t="s">
        <v>16</v>
      </c>
      <c r="S20" s="17">
        <f t="shared" ref="S20:AF20" si="12">SUM(C50:C53)</f>
        <v>241</v>
      </c>
      <c r="T20" s="17">
        <f t="shared" si="12"/>
        <v>79</v>
      </c>
      <c r="U20" s="17">
        <f t="shared" si="12"/>
        <v>32</v>
      </c>
      <c r="V20" s="17">
        <f t="shared" si="12"/>
        <v>54</v>
      </c>
      <c r="W20" s="17">
        <f t="shared" si="12"/>
        <v>4</v>
      </c>
      <c r="X20" s="17">
        <f t="shared" si="12"/>
        <v>2</v>
      </c>
      <c r="Y20" s="17">
        <f t="shared" si="12"/>
        <v>16</v>
      </c>
      <c r="Z20" s="17">
        <f t="shared" si="12"/>
        <v>10</v>
      </c>
      <c r="AA20" s="17">
        <f t="shared" si="12"/>
        <v>4</v>
      </c>
      <c r="AB20" s="17">
        <f t="shared" si="12"/>
        <v>1</v>
      </c>
      <c r="AC20" s="17">
        <f t="shared" si="12"/>
        <v>520</v>
      </c>
      <c r="AD20" s="17">
        <f t="shared" si="12"/>
        <v>0</v>
      </c>
      <c r="AE20" s="31">
        <f t="shared" si="12"/>
        <v>443</v>
      </c>
      <c r="AF20" s="31">
        <f t="shared" si="12"/>
        <v>963</v>
      </c>
    </row>
    <row r="21" spans="2:32" ht="23.1" customHeight="1" x14ac:dyDescent="0.25">
      <c r="B21" s="23" t="s">
        <v>48</v>
      </c>
      <c r="C21" s="50">
        <v>37</v>
      </c>
      <c r="D21" s="50">
        <v>15</v>
      </c>
      <c r="E21" s="50">
        <v>6</v>
      </c>
      <c r="F21" s="50">
        <v>23</v>
      </c>
      <c r="G21" s="50">
        <v>0</v>
      </c>
      <c r="H21" s="50">
        <v>0</v>
      </c>
      <c r="I21" s="50">
        <v>3</v>
      </c>
      <c r="J21" s="50">
        <v>3</v>
      </c>
      <c r="K21" s="50">
        <v>1</v>
      </c>
      <c r="L21" s="50">
        <v>0</v>
      </c>
      <c r="M21" s="50">
        <v>200</v>
      </c>
      <c r="N21" s="50">
        <v>0</v>
      </c>
      <c r="O21" s="15">
        <f t="shared" si="0"/>
        <v>88</v>
      </c>
      <c r="P21" s="15">
        <f t="shared" si="1"/>
        <v>288</v>
      </c>
      <c r="R21" s="36" t="s">
        <v>20</v>
      </c>
      <c r="S21" s="34">
        <f t="shared" ref="S21:AF21" si="13">SUM(C54:C57)</f>
        <v>198</v>
      </c>
      <c r="T21" s="17">
        <f t="shared" si="13"/>
        <v>72</v>
      </c>
      <c r="U21" s="17">
        <f t="shared" si="13"/>
        <v>24</v>
      </c>
      <c r="V21" s="17">
        <f t="shared" si="13"/>
        <v>50</v>
      </c>
      <c r="W21" s="17">
        <f t="shared" si="13"/>
        <v>4</v>
      </c>
      <c r="X21" s="17">
        <f t="shared" si="13"/>
        <v>0</v>
      </c>
      <c r="Y21" s="17">
        <f t="shared" si="13"/>
        <v>11</v>
      </c>
      <c r="Z21" s="17">
        <f t="shared" si="13"/>
        <v>7</v>
      </c>
      <c r="AA21" s="17">
        <f t="shared" si="13"/>
        <v>1</v>
      </c>
      <c r="AB21" s="17">
        <f t="shared" si="13"/>
        <v>0</v>
      </c>
      <c r="AC21" s="17">
        <f t="shared" si="13"/>
        <v>555</v>
      </c>
      <c r="AD21" s="17">
        <f t="shared" si="13"/>
        <v>0</v>
      </c>
      <c r="AE21" s="31">
        <f t="shared" si="13"/>
        <v>367</v>
      </c>
      <c r="AF21" s="31">
        <f t="shared" si="13"/>
        <v>922</v>
      </c>
    </row>
    <row r="22" spans="2:32" ht="23.1" customHeight="1" x14ac:dyDescent="0.25">
      <c r="B22" s="23" t="s">
        <v>49</v>
      </c>
      <c r="C22" s="50">
        <v>42</v>
      </c>
      <c r="D22" s="50">
        <v>18</v>
      </c>
      <c r="E22" s="50">
        <v>16</v>
      </c>
      <c r="F22" s="50">
        <v>22</v>
      </c>
      <c r="G22" s="50">
        <v>2</v>
      </c>
      <c r="H22" s="50">
        <v>0</v>
      </c>
      <c r="I22" s="50">
        <v>5</v>
      </c>
      <c r="J22" s="50">
        <v>2</v>
      </c>
      <c r="K22" s="50">
        <v>1</v>
      </c>
      <c r="L22" s="50">
        <v>0</v>
      </c>
      <c r="M22" s="50">
        <v>170</v>
      </c>
      <c r="N22" s="50">
        <v>0</v>
      </c>
      <c r="O22" s="15">
        <f t="shared" si="0"/>
        <v>108</v>
      </c>
      <c r="P22" s="15">
        <f t="shared" si="1"/>
        <v>278</v>
      </c>
      <c r="R22" s="38" t="s">
        <v>90</v>
      </c>
      <c r="S22" s="39">
        <f>MAX(S10:S12)</f>
        <v>141</v>
      </c>
      <c r="T22" s="39">
        <f t="shared" ref="T22:AF22" si="14">MAX(T10:T12)</f>
        <v>75</v>
      </c>
      <c r="U22" s="39">
        <f t="shared" si="14"/>
        <v>26</v>
      </c>
      <c r="V22" s="39">
        <f t="shared" si="14"/>
        <v>145</v>
      </c>
      <c r="W22" s="39">
        <f t="shared" si="14"/>
        <v>2</v>
      </c>
      <c r="X22" s="39">
        <f t="shared" si="14"/>
        <v>1</v>
      </c>
      <c r="Y22" s="39">
        <f t="shared" si="14"/>
        <v>8</v>
      </c>
      <c r="Z22" s="39">
        <f t="shared" si="14"/>
        <v>10</v>
      </c>
      <c r="AA22" s="39">
        <f t="shared" si="14"/>
        <v>5</v>
      </c>
      <c r="AB22" s="39">
        <f t="shared" si="14"/>
        <v>1</v>
      </c>
      <c r="AC22" s="39">
        <f t="shared" si="14"/>
        <v>920</v>
      </c>
      <c r="AD22" s="39">
        <f t="shared" si="14"/>
        <v>0</v>
      </c>
      <c r="AE22" s="40">
        <f t="shared" si="14"/>
        <v>373</v>
      </c>
      <c r="AF22" s="40">
        <f t="shared" si="14"/>
        <v>1293</v>
      </c>
    </row>
    <row r="23" spans="2:32" ht="23.1" customHeight="1" x14ac:dyDescent="0.25">
      <c r="B23" s="23" t="s">
        <v>50</v>
      </c>
      <c r="C23" s="50">
        <v>28</v>
      </c>
      <c r="D23" s="50">
        <v>10</v>
      </c>
      <c r="E23" s="50">
        <v>2</v>
      </c>
      <c r="F23" s="50">
        <v>16</v>
      </c>
      <c r="G23" s="50">
        <v>1</v>
      </c>
      <c r="H23" s="50">
        <v>0</v>
      </c>
      <c r="I23" s="50">
        <v>1</v>
      </c>
      <c r="J23" s="50">
        <v>3</v>
      </c>
      <c r="K23" s="50">
        <v>0</v>
      </c>
      <c r="L23" s="50">
        <v>1</v>
      </c>
      <c r="M23" s="50">
        <v>140</v>
      </c>
      <c r="N23" s="50">
        <v>0</v>
      </c>
      <c r="O23" s="15">
        <f t="shared" si="0"/>
        <v>62</v>
      </c>
      <c r="P23" s="15">
        <f t="shared" si="1"/>
        <v>202</v>
      </c>
      <c r="R23" s="38" t="s">
        <v>91</v>
      </c>
      <c r="S23" s="39">
        <f>MAX(S13:S18)</f>
        <v>172</v>
      </c>
      <c r="T23" s="39">
        <f t="shared" ref="T23:AF23" si="15">MAX(T13:T18)</f>
        <v>82</v>
      </c>
      <c r="U23" s="39">
        <f t="shared" si="15"/>
        <v>35</v>
      </c>
      <c r="V23" s="39">
        <f t="shared" si="15"/>
        <v>101</v>
      </c>
      <c r="W23" s="39">
        <f t="shared" si="15"/>
        <v>4</v>
      </c>
      <c r="X23" s="39">
        <f t="shared" si="15"/>
        <v>1</v>
      </c>
      <c r="Y23" s="39">
        <f t="shared" si="15"/>
        <v>19</v>
      </c>
      <c r="Z23" s="39">
        <f t="shared" si="15"/>
        <v>14</v>
      </c>
      <c r="AA23" s="39">
        <f t="shared" si="15"/>
        <v>9</v>
      </c>
      <c r="AB23" s="39">
        <f t="shared" si="15"/>
        <v>1</v>
      </c>
      <c r="AC23" s="39">
        <f t="shared" si="15"/>
        <v>715</v>
      </c>
      <c r="AD23" s="39">
        <f t="shared" si="15"/>
        <v>0</v>
      </c>
      <c r="AE23" s="40">
        <f t="shared" si="15"/>
        <v>391</v>
      </c>
      <c r="AF23" s="40">
        <f t="shared" si="15"/>
        <v>1082</v>
      </c>
    </row>
    <row r="24" spans="2:32" ht="23.1" customHeight="1" x14ac:dyDescent="0.25">
      <c r="B24" s="23" t="s">
        <v>51</v>
      </c>
      <c r="C24" s="50">
        <v>22</v>
      </c>
      <c r="D24" s="50">
        <v>7</v>
      </c>
      <c r="E24" s="50">
        <v>5</v>
      </c>
      <c r="F24" s="50">
        <v>24</v>
      </c>
      <c r="G24" s="50">
        <v>1</v>
      </c>
      <c r="H24" s="50">
        <v>1</v>
      </c>
      <c r="I24" s="50">
        <v>3</v>
      </c>
      <c r="J24" s="50">
        <v>2</v>
      </c>
      <c r="K24" s="50">
        <v>1</v>
      </c>
      <c r="L24" s="50">
        <v>0</v>
      </c>
      <c r="M24" s="50">
        <v>110</v>
      </c>
      <c r="N24" s="50">
        <v>0</v>
      </c>
      <c r="O24" s="15">
        <f t="shared" si="0"/>
        <v>66</v>
      </c>
      <c r="P24" s="15">
        <f t="shared" si="1"/>
        <v>176</v>
      </c>
      <c r="R24" s="38" t="s">
        <v>92</v>
      </c>
      <c r="S24" s="39">
        <f>MAX(S19:S21)</f>
        <v>267</v>
      </c>
      <c r="T24" s="39">
        <f t="shared" ref="T24:AF24" si="16">MAX(T19:T21)</f>
        <v>101</v>
      </c>
      <c r="U24" s="39">
        <f t="shared" si="16"/>
        <v>32</v>
      </c>
      <c r="V24" s="39">
        <f t="shared" si="16"/>
        <v>72</v>
      </c>
      <c r="W24" s="39">
        <f t="shared" si="16"/>
        <v>4</v>
      </c>
      <c r="X24" s="39">
        <f t="shared" si="16"/>
        <v>2</v>
      </c>
      <c r="Y24" s="39">
        <f t="shared" si="16"/>
        <v>16</v>
      </c>
      <c r="Z24" s="39">
        <f t="shared" si="16"/>
        <v>10</v>
      </c>
      <c r="AA24" s="39">
        <f t="shared" si="16"/>
        <v>4</v>
      </c>
      <c r="AB24" s="39">
        <f t="shared" si="16"/>
        <v>1</v>
      </c>
      <c r="AC24" s="39">
        <f t="shared" si="16"/>
        <v>555</v>
      </c>
      <c r="AD24" s="39">
        <f t="shared" si="16"/>
        <v>0</v>
      </c>
      <c r="AE24" s="40">
        <f t="shared" si="16"/>
        <v>488</v>
      </c>
      <c r="AF24" s="40">
        <f t="shared" si="16"/>
        <v>1013</v>
      </c>
    </row>
    <row r="25" spans="2:32" ht="23.1" customHeight="1" x14ac:dyDescent="0.25">
      <c r="B25" s="23" t="s">
        <v>52</v>
      </c>
      <c r="C25" s="50">
        <v>30</v>
      </c>
      <c r="D25" s="50">
        <v>13</v>
      </c>
      <c r="E25" s="50">
        <v>12</v>
      </c>
      <c r="F25" s="50">
        <v>26</v>
      </c>
      <c r="G25" s="50">
        <v>0</v>
      </c>
      <c r="H25" s="50">
        <v>0</v>
      </c>
      <c r="I25" s="50">
        <v>3</v>
      </c>
      <c r="J25" s="50">
        <v>2</v>
      </c>
      <c r="K25" s="50">
        <v>1</v>
      </c>
      <c r="L25" s="50">
        <v>0</v>
      </c>
      <c r="M25" s="50">
        <v>150</v>
      </c>
      <c r="N25" s="50">
        <v>0</v>
      </c>
      <c r="O25" s="15">
        <f t="shared" si="0"/>
        <v>87</v>
      </c>
      <c r="P25" s="15">
        <f t="shared" si="1"/>
        <v>237</v>
      </c>
      <c r="R25" s="37" t="s">
        <v>85</v>
      </c>
      <c r="S25" s="35">
        <f t="shared" ref="S25:AF25" si="17">SUM(S10:S12)</f>
        <v>328</v>
      </c>
      <c r="T25" s="16">
        <f t="shared" si="17"/>
        <v>132</v>
      </c>
      <c r="U25" s="16">
        <f t="shared" si="17"/>
        <v>58</v>
      </c>
      <c r="V25" s="16">
        <f t="shared" si="17"/>
        <v>308</v>
      </c>
      <c r="W25" s="16">
        <f t="shared" si="17"/>
        <v>3</v>
      </c>
      <c r="X25" s="16">
        <f t="shared" si="17"/>
        <v>1</v>
      </c>
      <c r="Y25" s="16">
        <f t="shared" si="17"/>
        <v>20</v>
      </c>
      <c r="Z25" s="16">
        <f t="shared" si="17"/>
        <v>21</v>
      </c>
      <c r="AA25" s="16">
        <f t="shared" si="17"/>
        <v>6</v>
      </c>
      <c r="AB25" s="16">
        <f t="shared" si="17"/>
        <v>2</v>
      </c>
      <c r="AC25" s="16">
        <f t="shared" si="17"/>
        <v>2060</v>
      </c>
      <c r="AD25" s="16">
        <f t="shared" si="17"/>
        <v>0</v>
      </c>
      <c r="AE25" s="32">
        <f t="shared" si="17"/>
        <v>879</v>
      </c>
      <c r="AF25" s="32">
        <f t="shared" si="17"/>
        <v>2939</v>
      </c>
    </row>
    <row r="26" spans="2:32" ht="23.1" customHeight="1" x14ac:dyDescent="0.25">
      <c r="B26" s="23" t="s">
        <v>53</v>
      </c>
      <c r="C26" s="50">
        <v>42</v>
      </c>
      <c r="D26" s="50">
        <v>11</v>
      </c>
      <c r="E26" s="50">
        <v>7</v>
      </c>
      <c r="F26" s="50">
        <v>30</v>
      </c>
      <c r="G26" s="50">
        <v>0</v>
      </c>
      <c r="H26" s="50">
        <v>0</v>
      </c>
      <c r="I26" s="50">
        <v>3</v>
      </c>
      <c r="J26" s="50">
        <v>3</v>
      </c>
      <c r="K26" s="50">
        <v>4</v>
      </c>
      <c r="L26" s="50">
        <v>0</v>
      </c>
      <c r="M26" s="50">
        <v>150</v>
      </c>
      <c r="N26" s="50">
        <v>0</v>
      </c>
      <c r="O26" s="15">
        <f t="shared" si="0"/>
        <v>100</v>
      </c>
      <c r="P26" s="15">
        <f t="shared" si="1"/>
        <v>250</v>
      </c>
      <c r="R26" s="28" t="s">
        <v>86</v>
      </c>
      <c r="S26" s="16">
        <f t="shared" ref="S26:AF26" si="18">SUM(S13:S18)</f>
        <v>896</v>
      </c>
      <c r="T26" s="16">
        <f t="shared" si="18"/>
        <v>411</v>
      </c>
      <c r="U26" s="16">
        <f t="shared" si="18"/>
        <v>163</v>
      </c>
      <c r="V26" s="16">
        <f t="shared" si="18"/>
        <v>498</v>
      </c>
      <c r="W26" s="16">
        <f t="shared" si="18"/>
        <v>5</v>
      </c>
      <c r="X26" s="16">
        <f t="shared" si="18"/>
        <v>1</v>
      </c>
      <c r="Y26" s="16">
        <f t="shared" si="18"/>
        <v>88</v>
      </c>
      <c r="Z26" s="16">
        <f t="shared" si="18"/>
        <v>62</v>
      </c>
      <c r="AA26" s="16">
        <f t="shared" si="18"/>
        <v>29</v>
      </c>
      <c r="AB26" s="16">
        <f t="shared" si="18"/>
        <v>3</v>
      </c>
      <c r="AC26" s="16">
        <f t="shared" si="18"/>
        <v>3493</v>
      </c>
      <c r="AD26" s="16">
        <f t="shared" si="18"/>
        <v>0</v>
      </c>
      <c r="AE26" s="32">
        <f t="shared" si="18"/>
        <v>2156</v>
      </c>
      <c r="AF26" s="32">
        <f t="shared" si="18"/>
        <v>5649</v>
      </c>
    </row>
    <row r="27" spans="2:32" ht="23.1" customHeight="1" x14ac:dyDescent="0.25">
      <c r="B27" s="23" t="s">
        <v>54</v>
      </c>
      <c r="C27" s="50">
        <v>39</v>
      </c>
      <c r="D27" s="50">
        <v>26</v>
      </c>
      <c r="E27" s="50">
        <v>7</v>
      </c>
      <c r="F27" s="50">
        <v>25</v>
      </c>
      <c r="G27" s="50">
        <v>0</v>
      </c>
      <c r="H27" s="50">
        <v>0</v>
      </c>
      <c r="I27" s="50">
        <v>9</v>
      </c>
      <c r="J27" s="50">
        <v>4</v>
      </c>
      <c r="K27" s="50">
        <v>1</v>
      </c>
      <c r="L27" s="50">
        <v>0</v>
      </c>
      <c r="M27" s="50">
        <v>175</v>
      </c>
      <c r="N27" s="50">
        <v>0</v>
      </c>
      <c r="O27" s="15">
        <f t="shared" si="0"/>
        <v>111</v>
      </c>
      <c r="P27" s="15">
        <f t="shared" si="1"/>
        <v>286</v>
      </c>
      <c r="R27" s="29" t="s">
        <v>87</v>
      </c>
      <c r="S27" s="16">
        <f t="shared" ref="S27:AF27" si="19">SUM(S19:S21)</f>
        <v>706</v>
      </c>
      <c r="T27" s="16">
        <f t="shared" si="19"/>
        <v>252</v>
      </c>
      <c r="U27" s="16">
        <f t="shared" si="19"/>
        <v>85</v>
      </c>
      <c r="V27" s="16">
        <f t="shared" si="19"/>
        <v>176</v>
      </c>
      <c r="W27" s="16">
        <f t="shared" si="19"/>
        <v>8</v>
      </c>
      <c r="X27" s="16">
        <f t="shared" si="19"/>
        <v>2</v>
      </c>
      <c r="Y27" s="16">
        <f t="shared" si="19"/>
        <v>38</v>
      </c>
      <c r="Z27" s="16">
        <f t="shared" si="19"/>
        <v>25</v>
      </c>
      <c r="AA27" s="16">
        <f t="shared" si="19"/>
        <v>5</v>
      </c>
      <c r="AB27" s="16">
        <f t="shared" si="19"/>
        <v>1</v>
      </c>
      <c r="AC27" s="16">
        <f t="shared" si="19"/>
        <v>1600</v>
      </c>
      <c r="AD27" s="16">
        <f t="shared" si="19"/>
        <v>0</v>
      </c>
      <c r="AE27" s="32">
        <f t="shared" si="19"/>
        <v>1298</v>
      </c>
      <c r="AF27" s="32">
        <f t="shared" si="19"/>
        <v>2898</v>
      </c>
    </row>
    <row r="28" spans="2:32" ht="23.1" customHeight="1" x14ac:dyDescent="0.25">
      <c r="B28" s="23" t="s">
        <v>55</v>
      </c>
      <c r="C28" s="50">
        <v>32</v>
      </c>
      <c r="D28" s="50">
        <v>17</v>
      </c>
      <c r="E28" s="50">
        <v>8</v>
      </c>
      <c r="F28" s="50">
        <v>25</v>
      </c>
      <c r="G28" s="50">
        <v>0</v>
      </c>
      <c r="H28" s="50">
        <v>0</v>
      </c>
      <c r="I28" s="50">
        <v>2</v>
      </c>
      <c r="J28" s="50">
        <v>3</v>
      </c>
      <c r="K28" s="50">
        <v>2</v>
      </c>
      <c r="L28" s="50">
        <v>0</v>
      </c>
      <c r="M28" s="50">
        <v>185</v>
      </c>
      <c r="N28" s="50">
        <v>0</v>
      </c>
      <c r="O28" s="15">
        <f t="shared" si="0"/>
        <v>89</v>
      </c>
      <c r="P28" s="15">
        <f t="shared" si="1"/>
        <v>274</v>
      </c>
      <c r="R28" s="5" t="s">
        <v>17</v>
      </c>
      <c r="S28" s="16">
        <f t="shared" ref="S28:AF28" si="20">SUM(S10:S21)</f>
        <v>1930</v>
      </c>
      <c r="T28" s="16">
        <f t="shared" si="20"/>
        <v>795</v>
      </c>
      <c r="U28" s="16">
        <f t="shared" si="20"/>
        <v>306</v>
      </c>
      <c r="V28" s="16">
        <f t="shared" si="20"/>
        <v>982</v>
      </c>
      <c r="W28" s="16">
        <f t="shared" si="20"/>
        <v>16</v>
      </c>
      <c r="X28" s="16">
        <f t="shared" si="20"/>
        <v>4</v>
      </c>
      <c r="Y28" s="16">
        <f t="shared" si="20"/>
        <v>146</v>
      </c>
      <c r="Z28" s="16">
        <f t="shared" si="20"/>
        <v>108</v>
      </c>
      <c r="AA28" s="16">
        <f t="shared" si="20"/>
        <v>40</v>
      </c>
      <c r="AB28" s="16">
        <f t="shared" si="20"/>
        <v>6</v>
      </c>
      <c r="AC28" s="16">
        <f t="shared" si="20"/>
        <v>7153</v>
      </c>
      <c r="AD28" s="16">
        <f t="shared" si="20"/>
        <v>0</v>
      </c>
      <c r="AE28" s="32">
        <f t="shared" si="20"/>
        <v>4333</v>
      </c>
      <c r="AF28" s="32">
        <f t="shared" si="20"/>
        <v>11486</v>
      </c>
    </row>
    <row r="29" spans="2:32" ht="23.1" customHeight="1" x14ac:dyDescent="0.25">
      <c r="B29" s="23" t="s">
        <v>56</v>
      </c>
      <c r="C29" s="50">
        <v>44</v>
      </c>
      <c r="D29" s="50">
        <v>13</v>
      </c>
      <c r="E29" s="50">
        <v>5</v>
      </c>
      <c r="F29" s="50">
        <v>21</v>
      </c>
      <c r="G29" s="50">
        <v>0</v>
      </c>
      <c r="H29" s="50">
        <v>0</v>
      </c>
      <c r="I29" s="50">
        <v>2</v>
      </c>
      <c r="J29" s="50">
        <v>4</v>
      </c>
      <c r="K29" s="50">
        <v>2</v>
      </c>
      <c r="L29" s="50">
        <v>0</v>
      </c>
      <c r="M29" s="50">
        <v>110</v>
      </c>
      <c r="N29" s="50">
        <v>0</v>
      </c>
      <c r="O29" s="15">
        <f t="shared" si="0"/>
        <v>91</v>
      </c>
      <c r="P29" s="15">
        <f t="shared" si="1"/>
        <v>201</v>
      </c>
      <c r="R29"/>
      <c r="S29" s="20"/>
      <c r="T29" s="19"/>
    </row>
    <row r="30" spans="2:32" ht="23.1" customHeight="1" x14ac:dyDescent="0.25">
      <c r="B30" s="23" t="s">
        <v>57</v>
      </c>
      <c r="C30" s="50">
        <v>35</v>
      </c>
      <c r="D30" s="50">
        <v>20</v>
      </c>
      <c r="E30" s="50">
        <v>4</v>
      </c>
      <c r="F30" s="50">
        <v>41</v>
      </c>
      <c r="G30" s="50">
        <v>0</v>
      </c>
      <c r="H30" s="50">
        <v>0</v>
      </c>
      <c r="I30" s="50">
        <v>6</v>
      </c>
      <c r="J30" s="50">
        <v>2</v>
      </c>
      <c r="K30" s="50">
        <v>2</v>
      </c>
      <c r="L30" s="50">
        <v>0</v>
      </c>
      <c r="M30" s="50">
        <v>205</v>
      </c>
      <c r="N30" s="50">
        <v>0</v>
      </c>
      <c r="O30" s="15">
        <f t="shared" si="0"/>
        <v>110</v>
      </c>
      <c r="P30" s="15">
        <f t="shared" si="1"/>
        <v>315</v>
      </c>
    </row>
    <row r="31" spans="2:32" ht="23.1" customHeight="1" x14ac:dyDescent="0.25">
      <c r="B31" s="24" t="s">
        <v>58</v>
      </c>
      <c r="C31" s="50">
        <v>33</v>
      </c>
      <c r="D31" s="50">
        <v>17</v>
      </c>
      <c r="E31" s="50">
        <v>5</v>
      </c>
      <c r="F31" s="50">
        <v>28</v>
      </c>
      <c r="G31" s="50">
        <v>0</v>
      </c>
      <c r="H31" s="50">
        <v>0</v>
      </c>
      <c r="I31" s="50">
        <v>3</v>
      </c>
      <c r="J31" s="50">
        <v>5</v>
      </c>
      <c r="K31" s="50">
        <v>1</v>
      </c>
      <c r="L31" s="50">
        <v>1</v>
      </c>
      <c r="M31" s="50">
        <v>165</v>
      </c>
      <c r="N31" s="50">
        <v>0</v>
      </c>
      <c r="O31" s="15">
        <f t="shared" si="0"/>
        <v>93</v>
      </c>
      <c r="P31" s="15">
        <f t="shared" si="1"/>
        <v>258</v>
      </c>
    </row>
    <row r="32" spans="2:32" ht="23.1" customHeight="1" x14ac:dyDescent="0.25">
      <c r="B32" s="24" t="s">
        <v>59</v>
      </c>
      <c r="C32" s="50">
        <v>30</v>
      </c>
      <c r="D32" s="50">
        <v>24</v>
      </c>
      <c r="E32" s="50">
        <v>8</v>
      </c>
      <c r="F32" s="50">
        <v>15</v>
      </c>
      <c r="G32" s="50">
        <v>0</v>
      </c>
      <c r="H32" s="50">
        <v>0</v>
      </c>
      <c r="I32" s="50">
        <v>5</v>
      </c>
      <c r="J32" s="50">
        <v>2</v>
      </c>
      <c r="K32" s="50">
        <v>1</v>
      </c>
      <c r="L32" s="50">
        <v>0</v>
      </c>
      <c r="M32" s="50">
        <v>185</v>
      </c>
      <c r="N32" s="50">
        <v>0</v>
      </c>
      <c r="O32" s="15">
        <f t="shared" si="0"/>
        <v>85</v>
      </c>
      <c r="P32" s="15">
        <f t="shared" si="1"/>
        <v>270</v>
      </c>
    </row>
    <row r="33" spans="2:20" ht="23.1" customHeight="1" x14ac:dyDescent="0.25">
      <c r="B33" s="23" t="s">
        <v>60</v>
      </c>
      <c r="C33" s="50">
        <v>25</v>
      </c>
      <c r="D33" s="50">
        <v>12</v>
      </c>
      <c r="E33" s="50">
        <v>3</v>
      </c>
      <c r="F33" s="50">
        <v>13</v>
      </c>
      <c r="G33" s="50">
        <v>0</v>
      </c>
      <c r="H33" s="50">
        <v>0</v>
      </c>
      <c r="I33" s="50">
        <v>5</v>
      </c>
      <c r="J33" s="50">
        <v>5</v>
      </c>
      <c r="K33" s="50">
        <v>0</v>
      </c>
      <c r="L33" s="50">
        <v>0</v>
      </c>
      <c r="M33" s="50">
        <v>160</v>
      </c>
      <c r="N33" s="50">
        <v>0</v>
      </c>
      <c r="O33" s="15">
        <f t="shared" si="0"/>
        <v>63</v>
      </c>
      <c r="P33" s="15">
        <f t="shared" si="1"/>
        <v>223</v>
      </c>
    </row>
    <row r="34" spans="2:20" ht="23.1" customHeight="1" x14ac:dyDescent="0.25">
      <c r="B34" s="24" t="s">
        <v>61</v>
      </c>
      <c r="C34" s="50">
        <v>25</v>
      </c>
      <c r="D34" s="50">
        <v>19</v>
      </c>
      <c r="E34" s="50">
        <v>7</v>
      </c>
      <c r="F34" s="50">
        <v>24</v>
      </c>
      <c r="G34" s="50">
        <v>0</v>
      </c>
      <c r="H34" s="50">
        <v>0</v>
      </c>
      <c r="I34" s="50">
        <v>0</v>
      </c>
      <c r="J34" s="50">
        <v>2</v>
      </c>
      <c r="K34" s="50">
        <v>1</v>
      </c>
      <c r="L34" s="50">
        <v>0</v>
      </c>
      <c r="M34" s="50">
        <v>210</v>
      </c>
      <c r="N34" s="50">
        <v>0</v>
      </c>
      <c r="O34" s="15">
        <f t="shared" si="0"/>
        <v>78</v>
      </c>
      <c r="P34" s="15">
        <f t="shared" si="1"/>
        <v>288</v>
      </c>
    </row>
    <row r="35" spans="2:20" ht="23.1" customHeight="1" x14ac:dyDescent="0.25">
      <c r="B35" s="24" t="s">
        <v>62</v>
      </c>
      <c r="C35" s="50">
        <v>47</v>
      </c>
      <c r="D35" s="50">
        <v>19</v>
      </c>
      <c r="E35" s="50">
        <v>10</v>
      </c>
      <c r="F35" s="50">
        <v>19</v>
      </c>
      <c r="G35" s="50">
        <v>0</v>
      </c>
      <c r="H35" s="50">
        <v>0</v>
      </c>
      <c r="I35" s="50">
        <v>5</v>
      </c>
      <c r="J35" s="50">
        <v>3</v>
      </c>
      <c r="K35" s="50">
        <v>1</v>
      </c>
      <c r="L35" s="50">
        <v>0</v>
      </c>
      <c r="M35" s="50">
        <v>175</v>
      </c>
      <c r="N35" s="50">
        <v>0</v>
      </c>
      <c r="O35" s="15">
        <f t="shared" si="0"/>
        <v>104</v>
      </c>
      <c r="P35" s="15">
        <f t="shared" si="1"/>
        <v>279</v>
      </c>
    </row>
    <row r="36" spans="2:20" ht="23.1" customHeight="1" x14ac:dyDescent="0.25">
      <c r="B36" s="24" t="s">
        <v>63</v>
      </c>
      <c r="C36" s="50">
        <v>45</v>
      </c>
      <c r="D36" s="50">
        <v>26</v>
      </c>
      <c r="E36" s="50">
        <v>10</v>
      </c>
      <c r="F36" s="50">
        <v>27</v>
      </c>
      <c r="G36" s="50">
        <v>0</v>
      </c>
      <c r="H36" s="50">
        <v>0</v>
      </c>
      <c r="I36" s="50">
        <v>6</v>
      </c>
      <c r="J36" s="50">
        <v>1</v>
      </c>
      <c r="K36" s="50">
        <v>0</v>
      </c>
      <c r="L36" s="50">
        <v>0</v>
      </c>
      <c r="M36" s="50">
        <v>165</v>
      </c>
      <c r="N36" s="50">
        <v>0</v>
      </c>
      <c r="O36" s="15">
        <f t="shared" si="0"/>
        <v>115</v>
      </c>
      <c r="P36" s="15">
        <f t="shared" si="1"/>
        <v>280</v>
      </c>
    </row>
    <row r="37" spans="2:20" ht="23.1" customHeight="1" x14ac:dyDescent="0.25">
      <c r="B37" s="23" t="s">
        <v>64</v>
      </c>
      <c r="C37" s="50">
        <v>43</v>
      </c>
      <c r="D37" s="50">
        <v>9</v>
      </c>
      <c r="E37" s="50">
        <v>5</v>
      </c>
      <c r="F37" s="50">
        <v>22</v>
      </c>
      <c r="G37" s="50">
        <v>0</v>
      </c>
      <c r="H37" s="50">
        <v>0</v>
      </c>
      <c r="I37" s="50">
        <v>2</v>
      </c>
      <c r="J37" s="50">
        <v>2</v>
      </c>
      <c r="K37" s="50">
        <v>2</v>
      </c>
      <c r="L37" s="50">
        <v>0</v>
      </c>
      <c r="M37" s="50">
        <v>150</v>
      </c>
      <c r="N37" s="50">
        <v>0</v>
      </c>
      <c r="O37" s="15">
        <f t="shared" si="0"/>
        <v>85</v>
      </c>
      <c r="P37" s="15">
        <f t="shared" si="1"/>
        <v>235</v>
      </c>
    </row>
    <row r="38" spans="2:20" ht="23.1" customHeight="1" x14ac:dyDescent="0.25">
      <c r="B38" s="24" t="s">
        <v>65</v>
      </c>
      <c r="C38" s="50">
        <v>37</v>
      </c>
      <c r="D38" s="50">
        <v>20</v>
      </c>
      <c r="E38" s="50">
        <v>8</v>
      </c>
      <c r="F38" s="50">
        <v>19</v>
      </c>
      <c r="G38" s="50">
        <v>0</v>
      </c>
      <c r="H38" s="50">
        <v>0</v>
      </c>
      <c r="I38" s="50">
        <v>4</v>
      </c>
      <c r="J38" s="50">
        <v>5</v>
      </c>
      <c r="K38" s="50">
        <v>0</v>
      </c>
      <c r="L38" s="50">
        <v>1</v>
      </c>
      <c r="M38" s="50">
        <v>145</v>
      </c>
      <c r="N38" s="50">
        <v>0</v>
      </c>
      <c r="O38" s="15">
        <f t="shared" si="0"/>
        <v>94</v>
      </c>
      <c r="P38" s="15">
        <f t="shared" si="1"/>
        <v>239</v>
      </c>
    </row>
    <row r="39" spans="2:20" ht="23.1" customHeight="1" x14ac:dyDescent="0.25">
      <c r="B39" s="24" t="s">
        <v>66</v>
      </c>
      <c r="C39" s="50">
        <v>44</v>
      </c>
      <c r="D39" s="50">
        <v>19</v>
      </c>
      <c r="E39" s="50">
        <v>6</v>
      </c>
      <c r="F39" s="50">
        <v>26</v>
      </c>
      <c r="G39" s="50">
        <v>0</v>
      </c>
      <c r="H39" s="50">
        <v>0</v>
      </c>
      <c r="I39" s="50">
        <v>4</v>
      </c>
      <c r="J39" s="50">
        <v>4</v>
      </c>
      <c r="K39" s="50">
        <v>1</v>
      </c>
      <c r="L39" s="50">
        <v>0</v>
      </c>
      <c r="M39" s="50">
        <v>135</v>
      </c>
      <c r="N39" s="50">
        <v>0</v>
      </c>
      <c r="O39" s="15">
        <f t="shared" si="0"/>
        <v>104</v>
      </c>
      <c r="P39" s="15">
        <f t="shared" si="1"/>
        <v>239</v>
      </c>
    </row>
    <row r="40" spans="2:20" ht="23.1" customHeight="1" x14ac:dyDescent="0.25">
      <c r="B40" s="24" t="s">
        <v>67</v>
      </c>
      <c r="C40" s="50">
        <v>48</v>
      </c>
      <c r="D40" s="50">
        <v>17</v>
      </c>
      <c r="E40" s="50">
        <v>9</v>
      </c>
      <c r="F40" s="50">
        <v>24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120</v>
      </c>
      <c r="N40" s="50">
        <v>0</v>
      </c>
      <c r="O40" s="15">
        <f t="shared" si="0"/>
        <v>100</v>
      </c>
      <c r="P40" s="15">
        <f t="shared" si="1"/>
        <v>220</v>
      </c>
    </row>
    <row r="41" spans="2:20" ht="23.1" customHeight="1" x14ac:dyDescent="0.25">
      <c r="B41" s="23" t="s">
        <v>68</v>
      </c>
      <c r="C41" s="50">
        <v>33</v>
      </c>
      <c r="D41" s="50">
        <v>12</v>
      </c>
      <c r="E41" s="50">
        <v>4</v>
      </c>
      <c r="F41" s="50">
        <v>14</v>
      </c>
      <c r="G41" s="50">
        <v>0</v>
      </c>
      <c r="H41" s="50">
        <v>0</v>
      </c>
      <c r="I41" s="50">
        <v>2</v>
      </c>
      <c r="J41" s="50">
        <v>1</v>
      </c>
      <c r="K41" s="50">
        <v>3</v>
      </c>
      <c r="L41" s="50">
        <v>0</v>
      </c>
      <c r="M41" s="50">
        <v>130</v>
      </c>
      <c r="N41" s="50">
        <v>0</v>
      </c>
      <c r="O41" s="15">
        <f t="shared" si="0"/>
        <v>69</v>
      </c>
      <c r="P41" s="15">
        <f t="shared" si="1"/>
        <v>199</v>
      </c>
    </row>
    <row r="42" spans="2:20" ht="23.1" customHeight="1" x14ac:dyDescent="0.25">
      <c r="B42" s="24" t="s">
        <v>69</v>
      </c>
      <c r="C42" s="50">
        <v>38</v>
      </c>
      <c r="D42" s="50">
        <v>20</v>
      </c>
      <c r="E42" s="50">
        <v>7</v>
      </c>
      <c r="F42" s="50">
        <v>12</v>
      </c>
      <c r="G42" s="50">
        <v>0</v>
      </c>
      <c r="H42" s="50">
        <v>0</v>
      </c>
      <c r="I42" s="50">
        <v>6</v>
      </c>
      <c r="J42" s="50">
        <v>1</v>
      </c>
      <c r="K42" s="50">
        <v>0</v>
      </c>
      <c r="L42" s="50">
        <v>0</v>
      </c>
      <c r="M42" s="50">
        <v>135</v>
      </c>
      <c r="N42" s="50">
        <v>0</v>
      </c>
      <c r="O42" s="15">
        <f t="shared" si="0"/>
        <v>84</v>
      </c>
      <c r="P42" s="15">
        <f t="shared" si="1"/>
        <v>219</v>
      </c>
    </row>
    <row r="43" spans="2:20" ht="23.1" customHeight="1" x14ac:dyDescent="0.25">
      <c r="B43" s="23" t="s">
        <v>70</v>
      </c>
      <c r="C43" s="50">
        <v>42</v>
      </c>
      <c r="D43" s="50">
        <v>18</v>
      </c>
      <c r="E43" s="50">
        <v>4</v>
      </c>
      <c r="F43" s="50">
        <v>4</v>
      </c>
      <c r="G43" s="50">
        <v>0</v>
      </c>
      <c r="H43" s="50">
        <v>0</v>
      </c>
      <c r="I43" s="50">
        <v>3</v>
      </c>
      <c r="J43" s="50">
        <v>1</v>
      </c>
      <c r="K43" s="50">
        <v>0</v>
      </c>
      <c r="L43" s="50">
        <v>0</v>
      </c>
      <c r="M43" s="50">
        <v>110</v>
      </c>
      <c r="N43" s="50">
        <v>0</v>
      </c>
      <c r="O43" s="15">
        <f t="shared" si="0"/>
        <v>72</v>
      </c>
      <c r="P43" s="15">
        <f t="shared" si="1"/>
        <v>182</v>
      </c>
    </row>
    <row r="44" spans="2:20" ht="23.1" customHeight="1" x14ac:dyDescent="0.25">
      <c r="B44" s="25" t="s">
        <v>71</v>
      </c>
      <c r="C44" s="50">
        <v>46</v>
      </c>
      <c r="D44" s="50">
        <v>20</v>
      </c>
      <c r="E44" s="50">
        <v>4</v>
      </c>
      <c r="F44" s="50">
        <v>10</v>
      </c>
      <c r="G44" s="50">
        <v>1</v>
      </c>
      <c r="H44" s="50">
        <v>0</v>
      </c>
      <c r="I44" s="50">
        <v>6</v>
      </c>
      <c r="J44" s="50">
        <v>2</v>
      </c>
      <c r="K44" s="50">
        <v>2</v>
      </c>
      <c r="L44" s="50">
        <v>0</v>
      </c>
      <c r="M44" s="50">
        <v>38</v>
      </c>
      <c r="N44" s="50">
        <v>0</v>
      </c>
      <c r="O44" s="15">
        <f t="shared" si="0"/>
        <v>91</v>
      </c>
      <c r="P44" s="15">
        <f t="shared" si="1"/>
        <v>129</v>
      </c>
    </row>
    <row r="45" spans="2:20" ht="23.1" customHeight="1" x14ac:dyDescent="0.25">
      <c r="B45" s="23" t="s">
        <v>72</v>
      </c>
      <c r="C45" s="50">
        <v>46</v>
      </c>
      <c r="D45" s="50">
        <v>24</v>
      </c>
      <c r="E45" s="50">
        <v>7</v>
      </c>
      <c r="F45" s="50">
        <v>11</v>
      </c>
      <c r="G45" s="50">
        <v>0</v>
      </c>
      <c r="H45" s="50">
        <v>0</v>
      </c>
      <c r="I45" s="50">
        <v>1</v>
      </c>
      <c r="J45" s="50">
        <v>3</v>
      </c>
      <c r="K45" s="50">
        <v>3</v>
      </c>
      <c r="L45" s="50">
        <v>0</v>
      </c>
      <c r="M45" s="50">
        <v>75</v>
      </c>
      <c r="N45" s="50">
        <v>0</v>
      </c>
      <c r="O45" s="15">
        <f t="shared" si="0"/>
        <v>95</v>
      </c>
      <c r="P45" s="15">
        <f t="shared" si="1"/>
        <v>170</v>
      </c>
    </row>
    <row r="46" spans="2:20" ht="23.1" customHeight="1" x14ac:dyDescent="0.25">
      <c r="B46" s="24" t="s">
        <v>73</v>
      </c>
      <c r="C46" s="50">
        <v>51</v>
      </c>
      <c r="D46" s="50">
        <v>18</v>
      </c>
      <c r="E46" s="50">
        <v>11</v>
      </c>
      <c r="F46" s="50">
        <v>18</v>
      </c>
      <c r="G46" s="50">
        <v>0</v>
      </c>
      <c r="H46" s="50">
        <v>0</v>
      </c>
      <c r="I46" s="50">
        <v>2</v>
      </c>
      <c r="J46" s="50">
        <v>3</v>
      </c>
      <c r="K46" s="50">
        <v>0</v>
      </c>
      <c r="L46" s="50">
        <v>0</v>
      </c>
      <c r="M46" s="50">
        <v>135</v>
      </c>
      <c r="N46" s="50">
        <v>0</v>
      </c>
      <c r="O46" s="15">
        <f t="shared" si="0"/>
        <v>103</v>
      </c>
      <c r="P46" s="15">
        <f t="shared" si="1"/>
        <v>238</v>
      </c>
      <c r="R46" s="8"/>
      <c r="T46"/>
    </row>
    <row r="47" spans="2:20" ht="23.1" customHeight="1" x14ac:dyDescent="0.25">
      <c r="B47" s="24" t="s">
        <v>74</v>
      </c>
      <c r="C47" s="50">
        <v>60</v>
      </c>
      <c r="D47" s="50">
        <v>35</v>
      </c>
      <c r="E47" s="50">
        <v>9</v>
      </c>
      <c r="F47" s="50">
        <v>19</v>
      </c>
      <c r="G47" s="50">
        <v>0</v>
      </c>
      <c r="H47" s="50">
        <v>0</v>
      </c>
      <c r="I47" s="50">
        <v>4</v>
      </c>
      <c r="J47" s="50">
        <v>2</v>
      </c>
      <c r="K47" s="50">
        <v>0</v>
      </c>
      <c r="L47" s="50">
        <v>0</v>
      </c>
      <c r="M47" s="50">
        <v>125</v>
      </c>
      <c r="N47" s="50">
        <v>0</v>
      </c>
      <c r="O47" s="15">
        <f t="shared" si="0"/>
        <v>129</v>
      </c>
      <c r="P47" s="15">
        <f t="shared" si="1"/>
        <v>254</v>
      </c>
      <c r="R47" s="8"/>
      <c r="T47"/>
    </row>
    <row r="48" spans="2:20" ht="23.1" customHeight="1" x14ac:dyDescent="0.25">
      <c r="B48" s="24" t="s">
        <v>75</v>
      </c>
      <c r="C48" s="50">
        <v>75</v>
      </c>
      <c r="D48" s="50">
        <v>20</v>
      </c>
      <c r="E48" s="50">
        <v>3</v>
      </c>
      <c r="F48" s="50">
        <v>15</v>
      </c>
      <c r="G48" s="50">
        <v>0</v>
      </c>
      <c r="H48" s="50">
        <v>0</v>
      </c>
      <c r="I48" s="50">
        <v>3</v>
      </c>
      <c r="J48" s="50">
        <v>1</v>
      </c>
      <c r="K48" s="50">
        <v>0</v>
      </c>
      <c r="L48" s="50">
        <v>0</v>
      </c>
      <c r="M48" s="50">
        <v>145</v>
      </c>
      <c r="N48" s="50">
        <v>0</v>
      </c>
      <c r="O48" s="15">
        <f t="shared" si="0"/>
        <v>117</v>
      </c>
      <c r="P48" s="15">
        <f t="shared" si="1"/>
        <v>262</v>
      </c>
      <c r="R48" s="8"/>
      <c r="T48"/>
    </row>
    <row r="49" spans="2:20" ht="23.1" customHeight="1" x14ac:dyDescent="0.25">
      <c r="B49" s="23" t="s">
        <v>76</v>
      </c>
      <c r="C49" s="50">
        <v>81</v>
      </c>
      <c r="D49" s="50">
        <v>28</v>
      </c>
      <c r="E49" s="50">
        <v>6</v>
      </c>
      <c r="F49" s="50">
        <v>20</v>
      </c>
      <c r="G49" s="50">
        <v>0</v>
      </c>
      <c r="H49" s="50">
        <v>0</v>
      </c>
      <c r="I49" s="50">
        <v>2</v>
      </c>
      <c r="J49" s="50">
        <v>2</v>
      </c>
      <c r="K49" s="50">
        <v>0</v>
      </c>
      <c r="L49" s="50">
        <v>0</v>
      </c>
      <c r="M49" s="50">
        <v>120</v>
      </c>
      <c r="N49" s="50">
        <v>0</v>
      </c>
      <c r="O49" s="15">
        <f t="shared" si="0"/>
        <v>139</v>
      </c>
      <c r="P49" s="15">
        <f t="shared" si="1"/>
        <v>259</v>
      </c>
      <c r="R49" s="8"/>
      <c r="T49"/>
    </row>
    <row r="50" spans="2:20" ht="23.1" customHeight="1" x14ac:dyDescent="0.25">
      <c r="B50" s="24" t="s">
        <v>77</v>
      </c>
      <c r="C50" s="50">
        <v>74</v>
      </c>
      <c r="D50" s="50">
        <v>22</v>
      </c>
      <c r="E50" s="50">
        <v>6</v>
      </c>
      <c r="F50" s="50">
        <v>15</v>
      </c>
      <c r="G50" s="50">
        <v>0</v>
      </c>
      <c r="H50" s="50">
        <v>0</v>
      </c>
      <c r="I50" s="50">
        <v>5</v>
      </c>
      <c r="J50" s="50">
        <v>4</v>
      </c>
      <c r="K50" s="50">
        <v>0</v>
      </c>
      <c r="L50" s="50">
        <v>0</v>
      </c>
      <c r="M50" s="50">
        <v>155</v>
      </c>
      <c r="N50" s="50">
        <v>0</v>
      </c>
      <c r="O50" s="15">
        <f t="shared" si="0"/>
        <v>126</v>
      </c>
      <c r="P50" s="15">
        <f t="shared" si="1"/>
        <v>281</v>
      </c>
      <c r="R50" s="8"/>
      <c r="T50"/>
    </row>
    <row r="51" spans="2:20" ht="23.1" customHeight="1" x14ac:dyDescent="0.25">
      <c r="B51" s="24" t="s">
        <v>78</v>
      </c>
      <c r="C51" s="50">
        <v>71</v>
      </c>
      <c r="D51" s="50">
        <v>34</v>
      </c>
      <c r="E51" s="50">
        <v>16</v>
      </c>
      <c r="F51" s="50">
        <v>17</v>
      </c>
      <c r="G51" s="50">
        <v>2</v>
      </c>
      <c r="H51" s="50">
        <v>1</v>
      </c>
      <c r="I51" s="50">
        <v>5</v>
      </c>
      <c r="J51" s="50">
        <v>4</v>
      </c>
      <c r="K51" s="50">
        <v>2</v>
      </c>
      <c r="L51" s="50">
        <v>0</v>
      </c>
      <c r="M51" s="50">
        <v>140</v>
      </c>
      <c r="N51" s="50">
        <v>0</v>
      </c>
      <c r="O51" s="15">
        <f t="shared" si="0"/>
        <v>152</v>
      </c>
      <c r="P51" s="15">
        <f t="shared" si="1"/>
        <v>292</v>
      </c>
      <c r="R51" s="8"/>
      <c r="T51"/>
    </row>
    <row r="52" spans="2:20" ht="23.1" customHeight="1" x14ac:dyDescent="0.25">
      <c r="B52" s="24" t="s">
        <v>79</v>
      </c>
      <c r="C52" s="50">
        <v>59</v>
      </c>
      <c r="D52" s="50">
        <v>10</v>
      </c>
      <c r="E52" s="50">
        <v>4</v>
      </c>
      <c r="F52" s="50">
        <v>11</v>
      </c>
      <c r="G52" s="50">
        <v>1</v>
      </c>
      <c r="H52" s="50">
        <v>0</v>
      </c>
      <c r="I52" s="50">
        <v>3</v>
      </c>
      <c r="J52" s="50">
        <v>1</v>
      </c>
      <c r="K52" s="50">
        <v>1</v>
      </c>
      <c r="L52" s="50">
        <v>0</v>
      </c>
      <c r="M52" s="50">
        <v>130</v>
      </c>
      <c r="N52" s="50">
        <v>0</v>
      </c>
      <c r="O52" s="15">
        <f t="shared" si="0"/>
        <v>90</v>
      </c>
      <c r="P52" s="15">
        <f t="shared" si="1"/>
        <v>220</v>
      </c>
      <c r="R52" s="8"/>
      <c r="T52"/>
    </row>
    <row r="53" spans="2:20" ht="23.1" customHeight="1" x14ac:dyDescent="0.25">
      <c r="B53" s="23" t="s">
        <v>80</v>
      </c>
      <c r="C53" s="50">
        <v>37</v>
      </c>
      <c r="D53" s="50">
        <v>13</v>
      </c>
      <c r="E53" s="50">
        <v>6</v>
      </c>
      <c r="F53" s="50">
        <v>11</v>
      </c>
      <c r="G53" s="50">
        <v>1</v>
      </c>
      <c r="H53" s="50">
        <v>1</v>
      </c>
      <c r="I53" s="50">
        <v>3</v>
      </c>
      <c r="J53" s="50">
        <v>1</v>
      </c>
      <c r="K53" s="50">
        <v>1</v>
      </c>
      <c r="L53" s="50">
        <v>1</v>
      </c>
      <c r="M53" s="50">
        <v>95</v>
      </c>
      <c r="N53" s="50">
        <v>0</v>
      </c>
      <c r="O53" s="15">
        <f t="shared" si="0"/>
        <v>75</v>
      </c>
      <c r="P53" s="15">
        <f t="shared" si="1"/>
        <v>170</v>
      </c>
      <c r="R53" s="8"/>
      <c r="T53"/>
    </row>
    <row r="54" spans="2:20" ht="23.1" customHeight="1" x14ac:dyDescent="0.25">
      <c r="B54" s="23" t="s">
        <v>81</v>
      </c>
      <c r="C54" s="50">
        <v>74</v>
      </c>
      <c r="D54" s="50">
        <v>22</v>
      </c>
      <c r="E54" s="50">
        <v>10</v>
      </c>
      <c r="F54" s="50">
        <v>16</v>
      </c>
      <c r="G54" s="50">
        <v>0</v>
      </c>
      <c r="H54" s="50">
        <v>0</v>
      </c>
      <c r="I54" s="50">
        <v>3</v>
      </c>
      <c r="J54" s="50">
        <v>2</v>
      </c>
      <c r="K54" s="50">
        <v>0</v>
      </c>
      <c r="L54" s="50">
        <v>0</v>
      </c>
      <c r="M54" s="50">
        <v>170</v>
      </c>
      <c r="N54" s="50">
        <v>0</v>
      </c>
      <c r="O54" s="15">
        <f t="shared" si="0"/>
        <v>127</v>
      </c>
      <c r="P54" s="15">
        <f t="shared" si="1"/>
        <v>297</v>
      </c>
      <c r="R54" s="8"/>
      <c r="T54"/>
    </row>
    <row r="55" spans="2:20" ht="23.1" customHeight="1" x14ac:dyDescent="0.25">
      <c r="B55" s="23" t="s">
        <v>82</v>
      </c>
      <c r="C55" s="50">
        <v>46</v>
      </c>
      <c r="D55" s="50">
        <v>23</v>
      </c>
      <c r="E55" s="50">
        <v>8</v>
      </c>
      <c r="F55" s="50">
        <v>9</v>
      </c>
      <c r="G55" s="50">
        <v>1</v>
      </c>
      <c r="H55" s="50">
        <v>0</v>
      </c>
      <c r="I55" s="50">
        <v>4</v>
      </c>
      <c r="J55" s="50">
        <v>4</v>
      </c>
      <c r="K55" s="50">
        <v>0</v>
      </c>
      <c r="L55" s="50">
        <v>0</v>
      </c>
      <c r="M55" s="50">
        <v>140</v>
      </c>
      <c r="N55" s="50">
        <v>0</v>
      </c>
      <c r="O55" s="15">
        <f t="shared" si="0"/>
        <v>95</v>
      </c>
      <c r="P55" s="15">
        <f t="shared" si="1"/>
        <v>235</v>
      </c>
      <c r="R55" s="8"/>
      <c r="T55"/>
    </row>
    <row r="56" spans="2:20" ht="23.1" customHeight="1" x14ac:dyDescent="0.25">
      <c r="B56" s="23" t="s">
        <v>83</v>
      </c>
      <c r="C56" s="50">
        <v>38</v>
      </c>
      <c r="D56" s="50">
        <v>11</v>
      </c>
      <c r="E56" s="50">
        <v>0</v>
      </c>
      <c r="F56" s="50">
        <v>8</v>
      </c>
      <c r="G56" s="50">
        <v>2</v>
      </c>
      <c r="H56" s="50">
        <v>0</v>
      </c>
      <c r="I56" s="50">
        <v>3</v>
      </c>
      <c r="J56" s="50">
        <v>1</v>
      </c>
      <c r="K56" s="50">
        <v>1</v>
      </c>
      <c r="L56" s="50">
        <v>0</v>
      </c>
      <c r="M56" s="50">
        <v>115</v>
      </c>
      <c r="N56" s="50">
        <v>0</v>
      </c>
      <c r="O56" s="15">
        <f t="shared" si="0"/>
        <v>64</v>
      </c>
      <c r="P56" s="15">
        <f t="shared" si="1"/>
        <v>179</v>
      </c>
      <c r="R56" s="8"/>
      <c r="T56"/>
    </row>
    <row r="57" spans="2:20" ht="23.1" customHeight="1" x14ac:dyDescent="0.25">
      <c r="B57" s="23" t="s">
        <v>84</v>
      </c>
      <c r="C57" s="50">
        <v>40</v>
      </c>
      <c r="D57" s="50">
        <v>16</v>
      </c>
      <c r="E57" s="50">
        <v>6</v>
      </c>
      <c r="F57" s="50">
        <v>17</v>
      </c>
      <c r="G57" s="50">
        <v>1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130</v>
      </c>
      <c r="N57" s="50">
        <v>0</v>
      </c>
      <c r="O57" s="15">
        <f t="shared" si="0"/>
        <v>81</v>
      </c>
      <c r="P57" s="15">
        <f t="shared" si="1"/>
        <v>211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1930</v>
      </c>
      <c r="D58" s="16">
        <f t="shared" si="21"/>
        <v>795</v>
      </c>
      <c r="E58" s="16">
        <f t="shared" si="21"/>
        <v>306</v>
      </c>
      <c r="F58" s="16">
        <f t="shared" si="21"/>
        <v>982</v>
      </c>
      <c r="G58" s="16">
        <f t="shared" si="21"/>
        <v>16</v>
      </c>
      <c r="H58" s="16">
        <f t="shared" si="21"/>
        <v>4</v>
      </c>
      <c r="I58" s="16">
        <f t="shared" si="21"/>
        <v>146</v>
      </c>
      <c r="J58" s="16">
        <f t="shared" si="21"/>
        <v>108</v>
      </c>
      <c r="K58" s="16">
        <f t="shared" si="21"/>
        <v>40</v>
      </c>
      <c r="L58" s="16">
        <f t="shared" si="21"/>
        <v>6</v>
      </c>
      <c r="M58" s="16">
        <f t="shared" si="21"/>
        <v>7153</v>
      </c>
      <c r="N58" s="16">
        <f t="shared" si="21"/>
        <v>0</v>
      </c>
      <c r="O58" s="16">
        <f t="shared" si="21"/>
        <v>4333</v>
      </c>
      <c r="P58" s="16">
        <f t="shared" si="21"/>
        <v>11486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0.16803064600383075</v>
      </c>
      <c r="D59" s="43">
        <f t="shared" si="22"/>
        <v>6.9214696151837021E-2</v>
      </c>
      <c r="E59" s="43">
        <f t="shared" si="22"/>
        <v>2.664112833014104E-2</v>
      </c>
      <c r="F59" s="43">
        <f t="shared" si="22"/>
        <v>8.5495385686923206E-2</v>
      </c>
      <c r="G59" s="43">
        <f t="shared" si="22"/>
        <v>1.3930001741250218E-3</v>
      </c>
      <c r="H59" s="43">
        <f t="shared" si="22"/>
        <v>3.4825004353125546E-4</v>
      </c>
      <c r="I59" s="43">
        <f t="shared" si="22"/>
        <v>1.2711126588890823E-2</v>
      </c>
      <c r="J59" s="43">
        <f t="shared" si="22"/>
        <v>9.4027511753438965E-3</v>
      </c>
      <c r="K59" s="43">
        <f t="shared" si="22"/>
        <v>3.4825004353125546E-3</v>
      </c>
      <c r="L59" s="43">
        <f t="shared" si="22"/>
        <v>5.2237506529688319E-4</v>
      </c>
      <c r="M59" s="43">
        <f t="shared" si="22"/>
        <v>0.62275814034476751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0.44541887837525962</v>
      </c>
      <c r="D60" s="44">
        <f t="shared" ref="D60:N60" si="23">D58/$O$58</f>
        <v>0.18347565197322871</v>
      </c>
      <c r="E60" s="44">
        <f t="shared" si="23"/>
        <v>7.0620816985922E-2</v>
      </c>
      <c r="F60" s="44">
        <f t="shared" si="23"/>
        <v>0.22663281790906992</v>
      </c>
      <c r="G60" s="44">
        <f t="shared" si="23"/>
        <v>3.6925917378259868E-3</v>
      </c>
      <c r="H60" s="44">
        <f t="shared" si="23"/>
        <v>9.231479344564967E-4</v>
      </c>
      <c r="I60" s="44">
        <f t="shared" si="23"/>
        <v>3.3694899607662129E-2</v>
      </c>
      <c r="J60" s="44">
        <f t="shared" si="23"/>
        <v>2.492499423032541E-2</v>
      </c>
      <c r="K60" s="44">
        <f t="shared" si="23"/>
        <v>9.2314793445649659E-3</v>
      </c>
      <c r="L60" s="44">
        <f t="shared" si="23"/>
        <v>1.3847219016847449E-3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G7" sqref="G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Kibuye-Makindye'!C3:G3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'22.07 Kibuye-Makindye'!D5</f>
        <v>22.07.19</v>
      </c>
      <c r="E5" s="3"/>
      <c r="F5" s="41" t="s">
        <v>1</v>
      </c>
      <c r="G5" s="60" t="str">
        <f>'22.07 Kibuye-Makindye'!G5:H5</f>
        <v>FUELEX MAKINDYE</v>
      </c>
      <c r="H5" s="61"/>
      <c r="I5" s="14"/>
      <c r="J5" s="2" t="s">
        <v>5</v>
      </c>
      <c r="K5" s="60" t="str">
        <f>'22.07 Kibuye-Makindye'!K5:L5</f>
        <v>WAKWESA ALLAN/CHEMONGES KENNETH/SSONKO SAMUEL/OWOMUGISHA BRENDA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174</v>
      </c>
      <c r="E6" s="55"/>
      <c r="F6" s="2" t="s">
        <v>2</v>
      </c>
      <c r="G6" s="54" t="s">
        <v>173</v>
      </c>
      <c r="H6" s="55"/>
      <c r="J6" s="2" t="s">
        <v>21</v>
      </c>
      <c r="K6" s="60" t="str">
        <f>'22.07 Kibuye-Makindye'!K6:L6</f>
        <v>EMMA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35</v>
      </c>
      <c r="D10" s="50">
        <v>3</v>
      </c>
      <c r="E10" s="50">
        <v>3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120</v>
      </c>
      <c r="N10" s="50">
        <v>0</v>
      </c>
      <c r="O10" s="15">
        <f t="shared" ref="O10:O57" si="0">SUM(C10:L10,N10)</f>
        <v>43</v>
      </c>
      <c r="P10" s="15">
        <f t="shared" ref="P10:P57" si="1">SUM(C10:N10)</f>
        <v>163</v>
      </c>
      <c r="R10" s="1" t="s">
        <v>6</v>
      </c>
      <c r="S10" s="17">
        <f t="shared" ref="S10:AF10" si="2">SUM(C10:C13)</f>
        <v>140</v>
      </c>
      <c r="T10" s="17">
        <f t="shared" si="2"/>
        <v>13</v>
      </c>
      <c r="U10" s="17">
        <f t="shared" si="2"/>
        <v>6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570</v>
      </c>
      <c r="AD10" s="17">
        <f t="shared" si="2"/>
        <v>0</v>
      </c>
      <c r="AE10" s="31">
        <f t="shared" si="2"/>
        <v>168</v>
      </c>
      <c r="AF10" s="31">
        <f t="shared" si="2"/>
        <v>738</v>
      </c>
    </row>
    <row r="11" spans="2:32" s="6" customFormat="1" ht="23.1" customHeight="1" x14ac:dyDescent="0.25">
      <c r="B11" s="23" t="s">
        <v>38</v>
      </c>
      <c r="C11" s="50">
        <v>45</v>
      </c>
      <c r="D11" s="50">
        <v>2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125</v>
      </c>
      <c r="N11" s="50">
        <v>0</v>
      </c>
      <c r="O11" s="15">
        <f t="shared" si="0"/>
        <v>48</v>
      </c>
      <c r="P11" s="15">
        <f t="shared" si="1"/>
        <v>173</v>
      </c>
      <c r="R11" s="1" t="s">
        <v>7</v>
      </c>
      <c r="S11" s="17">
        <f t="shared" ref="S11:AF11" si="3">SUM(C14:C17)</f>
        <v>233</v>
      </c>
      <c r="T11" s="17">
        <f t="shared" si="3"/>
        <v>23</v>
      </c>
      <c r="U11" s="17">
        <f t="shared" si="3"/>
        <v>24</v>
      </c>
      <c r="V11" s="17">
        <f t="shared" si="3"/>
        <v>18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6</v>
      </c>
      <c r="AA11" s="17">
        <f t="shared" si="3"/>
        <v>2</v>
      </c>
      <c r="AB11" s="17">
        <f t="shared" si="3"/>
        <v>0</v>
      </c>
      <c r="AC11" s="17">
        <f t="shared" si="3"/>
        <v>670</v>
      </c>
      <c r="AD11" s="17">
        <f t="shared" si="3"/>
        <v>0</v>
      </c>
      <c r="AE11" s="31">
        <f t="shared" si="3"/>
        <v>314</v>
      </c>
      <c r="AF11" s="31">
        <f t="shared" si="3"/>
        <v>984</v>
      </c>
    </row>
    <row r="12" spans="2:32" ht="23.1" customHeight="1" x14ac:dyDescent="0.25">
      <c r="B12" s="23" t="s">
        <v>39</v>
      </c>
      <c r="C12" s="50">
        <v>16</v>
      </c>
      <c r="D12" s="50">
        <v>2</v>
      </c>
      <c r="E12" s="50">
        <v>0</v>
      </c>
      <c r="F12" s="50">
        <v>1</v>
      </c>
      <c r="G12" s="50">
        <v>0</v>
      </c>
      <c r="H12" s="50">
        <v>0</v>
      </c>
      <c r="I12" s="50">
        <v>1</v>
      </c>
      <c r="J12" s="50">
        <v>2</v>
      </c>
      <c r="K12" s="50">
        <v>0</v>
      </c>
      <c r="L12" s="50">
        <v>0</v>
      </c>
      <c r="M12" s="50">
        <v>150</v>
      </c>
      <c r="N12" s="50">
        <v>0</v>
      </c>
      <c r="O12" s="15">
        <f t="shared" si="0"/>
        <v>22</v>
      </c>
      <c r="P12" s="15">
        <f t="shared" si="1"/>
        <v>172</v>
      </c>
      <c r="R12" s="1" t="s">
        <v>8</v>
      </c>
      <c r="S12" s="17">
        <f t="shared" ref="S12:AF12" si="4">SUM(C18:C21)</f>
        <v>217</v>
      </c>
      <c r="T12" s="17">
        <f t="shared" si="4"/>
        <v>33</v>
      </c>
      <c r="U12" s="17">
        <f t="shared" si="4"/>
        <v>21</v>
      </c>
      <c r="V12" s="17">
        <f t="shared" si="4"/>
        <v>106</v>
      </c>
      <c r="W12" s="17">
        <f t="shared" si="4"/>
        <v>0</v>
      </c>
      <c r="X12" s="17">
        <f t="shared" si="4"/>
        <v>0</v>
      </c>
      <c r="Y12" s="17">
        <f t="shared" si="4"/>
        <v>11</v>
      </c>
      <c r="Z12" s="17">
        <f t="shared" si="4"/>
        <v>9</v>
      </c>
      <c r="AA12" s="17">
        <f t="shared" si="4"/>
        <v>1</v>
      </c>
      <c r="AB12" s="17">
        <f t="shared" si="4"/>
        <v>0</v>
      </c>
      <c r="AC12" s="17">
        <f t="shared" si="4"/>
        <v>590</v>
      </c>
      <c r="AD12" s="17">
        <f t="shared" si="4"/>
        <v>0</v>
      </c>
      <c r="AE12" s="31">
        <f t="shared" si="4"/>
        <v>398</v>
      </c>
      <c r="AF12" s="31">
        <f t="shared" si="4"/>
        <v>988</v>
      </c>
    </row>
    <row r="13" spans="2:32" ht="23.1" customHeight="1" x14ac:dyDescent="0.25">
      <c r="B13" s="23" t="s">
        <v>40</v>
      </c>
      <c r="C13" s="50">
        <v>44</v>
      </c>
      <c r="D13" s="50">
        <v>6</v>
      </c>
      <c r="E13" s="50">
        <v>2</v>
      </c>
      <c r="F13" s="50">
        <v>0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175</v>
      </c>
      <c r="N13" s="50">
        <v>0</v>
      </c>
      <c r="O13" s="15">
        <f t="shared" si="0"/>
        <v>55</v>
      </c>
      <c r="P13" s="15">
        <f t="shared" si="1"/>
        <v>230</v>
      </c>
      <c r="R13" s="1" t="s">
        <v>9</v>
      </c>
      <c r="S13" s="17">
        <f t="shared" ref="S13:AF13" si="5">SUM(C22:C25)</f>
        <v>174</v>
      </c>
      <c r="T13" s="17">
        <f t="shared" si="5"/>
        <v>21</v>
      </c>
      <c r="U13" s="17">
        <f t="shared" si="5"/>
        <v>28</v>
      </c>
      <c r="V13" s="17">
        <f t="shared" si="5"/>
        <v>156</v>
      </c>
      <c r="W13" s="17">
        <f t="shared" si="5"/>
        <v>2</v>
      </c>
      <c r="X13" s="17">
        <f t="shared" si="5"/>
        <v>0</v>
      </c>
      <c r="Y13" s="17">
        <f t="shared" si="5"/>
        <v>6</v>
      </c>
      <c r="Z13" s="17">
        <f t="shared" si="5"/>
        <v>9</v>
      </c>
      <c r="AA13" s="17">
        <f t="shared" si="5"/>
        <v>0</v>
      </c>
      <c r="AB13" s="17">
        <f t="shared" si="5"/>
        <v>0</v>
      </c>
      <c r="AC13" s="17">
        <f t="shared" si="5"/>
        <v>860</v>
      </c>
      <c r="AD13" s="17">
        <f t="shared" si="5"/>
        <v>0</v>
      </c>
      <c r="AE13" s="31">
        <f t="shared" si="5"/>
        <v>396</v>
      </c>
      <c r="AF13" s="31">
        <f t="shared" si="5"/>
        <v>1256</v>
      </c>
    </row>
    <row r="14" spans="2:32" ht="23.1" customHeight="1" x14ac:dyDescent="0.25">
      <c r="B14" s="23" t="s">
        <v>41</v>
      </c>
      <c r="C14" s="50">
        <v>36</v>
      </c>
      <c r="D14" s="50">
        <v>2</v>
      </c>
      <c r="E14" s="50">
        <v>6</v>
      </c>
      <c r="F14" s="50">
        <v>3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65</v>
      </c>
      <c r="N14" s="50">
        <v>0</v>
      </c>
      <c r="O14" s="15">
        <f t="shared" si="0"/>
        <v>49</v>
      </c>
      <c r="P14" s="15">
        <f t="shared" si="1"/>
        <v>114</v>
      </c>
      <c r="R14" s="1" t="s">
        <v>10</v>
      </c>
      <c r="S14" s="17">
        <f t="shared" ref="S14:AF14" si="6">SUM(C26:C29)</f>
        <v>178</v>
      </c>
      <c r="T14" s="17">
        <f t="shared" si="6"/>
        <v>16</v>
      </c>
      <c r="U14" s="17">
        <f t="shared" si="6"/>
        <v>25</v>
      </c>
      <c r="V14" s="17">
        <f t="shared" si="6"/>
        <v>170</v>
      </c>
      <c r="W14" s="17">
        <f t="shared" si="6"/>
        <v>1</v>
      </c>
      <c r="X14" s="17">
        <f t="shared" si="6"/>
        <v>0</v>
      </c>
      <c r="Y14" s="17">
        <f t="shared" si="6"/>
        <v>10</v>
      </c>
      <c r="Z14" s="17">
        <f t="shared" si="6"/>
        <v>1</v>
      </c>
      <c r="AA14" s="17">
        <f t="shared" si="6"/>
        <v>2</v>
      </c>
      <c r="AB14" s="17">
        <f t="shared" si="6"/>
        <v>1</v>
      </c>
      <c r="AC14" s="17">
        <f t="shared" si="6"/>
        <v>805</v>
      </c>
      <c r="AD14" s="17">
        <f t="shared" si="6"/>
        <v>0</v>
      </c>
      <c r="AE14" s="31">
        <f t="shared" si="6"/>
        <v>404</v>
      </c>
      <c r="AF14" s="31">
        <f t="shared" si="6"/>
        <v>1209</v>
      </c>
    </row>
    <row r="15" spans="2:32" ht="23.1" customHeight="1" x14ac:dyDescent="0.25">
      <c r="B15" s="23" t="s">
        <v>42</v>
      </c>
      <c r="C15" s="50">
        <v>61</v>
      </c>
      <c r="D15" s="50">
        <v>5</v>
      </c>
      <c r="E15" s="50">
        <v>5</v>
      </c>
      <c r="F15" s="50">
        <v>2</v>
      </c>
      <c r="G15" s="50">
        <v>0</v>
      </c>
      <c r="H15" s="50">
        <v>0</v>
      </c>
      <c r="I15" s="50">
        <v>1</v>
      </c>
      <c r="J15" s="50">
        <v>2</v>
      </c>
      <c r="K15" s="50">
        <v>1</v>
      </c>
      <c r="L15" s="50">
        <v>0</v>
      </c>
      <c r="M15" s="50">
        <v>210</v>
      </c>
      <c r="N15" s="50">
        <v>0</v>
      </c>
      <c r="O15" s="15">
        <f t="shared" si="0"/>
        <v>77</v>
      </c>
      <c r="P15" s="15">
        <f t="shared" si="1"/>
        <v>287</v>
      </c>
      <c r="R15" s="1" t="s">
        <v>11</v>
      </c>
      <c r="S15" s="17">
        <f t="shared" ref="S15:AF15" si="7">SUM(C30:C33)</f>
        <v>140</v>
      </c>
      <c r="T15" s="17">
        <f t="shared" si="7"/>
        <v>17</v>
      </c>
      <c r="U15" s="17">
        <f t="shared" si="7"/>
        <v>12</v>
      </c>
      <c r="V15" s="17">
        <f t="shared" si="7"/>
        <v>206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4</v>
      </c>
      <c r="AA15" s="17">
        <f t="shared" si="7"/>
        <v>0</v>
      </c>
      <c r="AB15" s="17">
        <f t="shared" si="7"/>
        <v>0</v>
      </c>
      <c r="AC15" s="17">
        <f t="shared" si="7"/>
        <v>750</v>
      </c>
      <c r="AD15" s="17">
        <f t="shared" si="7"/>
        <v>0</v>
      </c>
      <c r="AE15" s="31">
        <f t="shared" si="7"/>
        <v>385</v>
      </c>
      <c r="AF15" s="31">
        <f t="shared" si="7"/>
        <v>1135</v>
      </c>
    </row>
    <row r="16" spans="2:32" ht="23.1" customHeight="1" x14ac:dyDescent="0.25">
      <c r="B16" s="23" t="s">
        <v>43</v>
      </c>
      <c r="C16" s="50">
        <v>71</v>
      </c>
      <c r="D16" s="50">
        <v>5</v>
      </c>
      <c r="E16" s="50">
        <v>7</v>
      </c>
      <c r="F16" s="50">
        <v>6</v>
      </c>
      <c r="G16" s="50">
        <v>0</v>
      </c>
      <c r="H16" s="50">
        <v>0</v>
      </c>
      <c r="I16" s="50">
        <v>3</v>
      </c>
      <c r="J16" s="50">
        <v>3</v>
      </c>
      <c r="K16" s="50">
        <v>0</v>
      </c>
      <c r="L16" s="50">
        <v>0</v>
      </c>
      <c r="M16" s="50">
        <v>210</v>
      </c>
      <c r="N16" s="50">
        <v>0</v>
      </c>
      <c r="O16" s="15">
        <f t="shared" si="0"/>
        <v>95</v>
      </c>
      <c r="P16" s="15">
        <f t="shared" si="1"/>
        <v>305</v>
      </c>
      <c r="R16" s="1" t="s">
        <v>12</v>
      </c>
      <c r="S16" s="17">
        <f t="shared" ref="S16:AF16" si="8">SUM(C34:C37)</f>
        <v>161</v>
      </c>
      <c r="T16" s="17">
        <f t="shared" si="8"/>
        <v>11</v>
      </c>
      <c r="U16" s="17">
        <f t="shared" si="8"/>
        <v>23</v>
      </c>
      <c r="V16" s="17">
        <f t="shared" si="8"/>
        <v>159</v>
      </c>
      <c r="W16" s="17">
        <f t="shared" si="8"/>
        <v>0</v>
      </c>
      <c r="X16" s="17">
        <f t="shared" si="8"/>
        <v>0</v>
      </c>
      <c r="Y16" s="17">
        <f t="shared" si="8"/>
        <v>16</v>
      </c>
      <c r="Z16" s="17">
        <f t="shared" si="8"/>
        <v>8</v>
      </c>
      <c r="AA16" s="17">
        <f t="shared" si="8"/>
        <v>0</v>
      </c>
      <c r="AB16" s="17">
        <f t="shared" si="8"/>
        <v>1</v>
      </c>
      <c r="AC16" s="17">
        <f t="shared" si="8"/>
        <v>700</v>
      </c>
      <c r="AD16" s="17">
        <f t="shared" si="8"/>
        <v>1</v>
      </c>
      <c r="AE16" s="31">
        <f t="shared" si="8"/>
        <v>380</v>
      </c>
      <c r="AF16" s="31">
        <f t="shared" si="8"/>
        <v>1080</v>
      </c>
    </row>
    <row r="17" spans="2:32" ht="23.1" customHeight="1" x14ac:dyDescent="0.25">
      <c r="B17" s="23" t="s">
        <v>44</v>
      </c>
      <c r="C17" s="50">
        <v>65</v>
      </c>
      <c r="D17" s="50">
        <v>11</v>
      </c>
      <c r="E17" s="50">
        <v>6</v>
      </c>
      <c r="F17" s="50">
        <v>7</v>
      </c>
      <c r="G17" s="50">
        <v>0</v>
      </c>
      <c r="H17" s="50">
        <v>0</v>
      </c>
      <c r="I17" s="50">
        <v>2</v>
      </c>
      <c r="J17" s="50">
        <v>1</v>
      </c>
      <c r="K17" s="50">
        <v>1</v>
      </c>
      <c r="L17" s="50">
        <v>0</v>
      </c>
      <c r="M17" s="50">
        <v>185</v>
      </c>
      <c r="N17" s="50">
        <v>0</v>
      </c>
      <c r="O17" s="15">
        <f t="shared" si="0"/>
        <v>93</v>
      </c>
      <c r="P17" s="15">
        <f t="shared" si="1"/>
        <v>278</v>
      </c>
      <c r="R17" s="1" t="s">
        <v>13</v>
      </c>
      <c r="S17" s="17">
        <f t="shared" ref="S17:AF17" si="9">SUM(C38:C41)</f>
        <v>160</v>
      </c>
      <c r="T17" s="17">
        <f t="shared" si="9"/>
        <v>20</v>
      </c>
      <c r="U17" s="17">
        <f t="shared" si="9"/>
        <v>13</v>
      </c>
      <c r="V17" s="17">
        <f t="shared" si="9"/>
        <v>137</v>
      </c>
      <c r="W17" s="17">
        <f t="shared" si="9"/>
        <v>3</v>
      </c>
      <c r="X17" s="17">
        <f t="shared" si="9"/>
        <v>0</v>
      </c>
      <c r="Y17" s="17">
        <f t="shared" si="9"/>
        <v>11</v>
      </c>
      <c r="Z17" s="17">
        <f t="shared" si="9"/>
        <v>5</v>
      </c>
      <c r="AA17" s="17">
        <f t="shared" si="9"/>
        <v>1</v>
      </c>
      <c r="AB17" s="17">
        <f t="shared" si="9"/>
        <v>0</v>
      </c>
      <c r="AC17" s="17">
        <f t="shared" si="9"/>
        <v>545</v>
      </c>
      <c r="AD17" s="17">
        <f t="shared" si="9"/>
        <v>0</v>
      </c>
      <c r="AE17" s="31">
        <f t="shared" si="9"/>
        <v>350</v>
      </c>
      <c r="AF17" s="31">
        <f t="shared" si="9"/>
        <v>895</v>
      </c>
    </row>
    <row r="18" spans="2:32" ht="23.1" customHeight="1" x14ac:dyDescent="0.25">
      <c r="B18" s="23" t="s">
        <v>45</v>
      </c>
      <c r="C18" s="50">
        <v>52</v>
      </c>
      <c r="D18" s="50">
        <v>4</v>
      </c>
      <c r="E18" s="50">
        <v>5</v>
      </c>
      <c r="F18" s="50">
        <v>19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140</v>
      </c>
      <c r="N18" s="50">
        <v>0</v>
      </c>
      <c r="O18" s="15">
        <f t="shared" si="0"/>
        <v>82</v>
      </c>
      <c r="P18" s="15">
        <f t="shared" si="1"/>
        <v>222</v>
      </c>
      <c r="R18" s="1" t="s">
        <v>14</v>
      </c>
      <c r="S18" s="17">
        <f t="shared" ref="S18:AF18" si="10">SUM(C42:C45)</f>
        <v>172</v>
      </c>
      <c r="T18" s="17">
        <f t="shared" si="10"/>
        <v>18</v>
      </c>
      <c r="U18" s="17">
        <f t="shared" si="10"/>
        <v>15</v>
      </c>
      <c r="V18" s="17">
        <f t="shared" si="10"/>
        <v>103</v>
      </c>
      <c r="W18" s="17">
        <f t="shared" si="10"/>
        <v>1</v>
      </c>
      <c r="X18" s="17">
        <f t="shared" si="10"/>
        <v>0</v>
      </c>
      <c r="Y18" s="17">
        <f t="shared" si="10"/>
        <v>4</v>
      </c>
      <c r="Z18" s="17">
        <f t="shared" si="10"/>
        <v>12</v>
      </c>
      <c r="AA18" s="17">
        <f t="shared" si="10"/>
        <v>2</v>
      </c>
      <c r="AB18" s="17">
        <f t="shared" si="10"/>
        <v>0</v>
      </c>
      <c r="AC18" s="17">
        <f t="shared" si="10"/>
        <v>316</v>
      </c>
      <c r="AD18" s="17">
        <f t="shared" si="10"/>
        <v>0</v>
      </c>
      <c r="AE18" s="31">
        <f t="shared" si="10"/>
        <v>327</v>
      </c>
      <c r="AF18" s="31">
        <f t="shared" si="10"/>
        <v>643</v>
      </c>
    </row>
    <row r="19" spans="2:32" ht="23.1" customHeight="1" x14ac:dyDescent="0.25">
      <c r="B19" s="23" t="s">
        <v>46</v>
      </c>
      <c r="C19" s="50">
        <v>72</v>
      </c>
      <c r="D19" s="50">
        <v>10</v>
      </c>
      <c r="E19" s="50">
        <v>9</v>
      </c>
      <c r="F19" s="50">
        <v>24</v>
      </c>
      <c r="G19" s="50">
        <v>0</v>
      </c>
      <c r="H19" s="50">
        <v>0</v>
      </c>
      <c r="I19" s="50">
        <v>3</v>
      </c>
      <c r="J19" s="50">
        <v>3</v>
      </c>
      <c r="K19" s="50">
        <v>0</v>
      </c>
      <c r="L19" s="50">
        <v>0</v>
      </c>
      <c r="M19" s="50">
        <v>135</v>
      </c>
      <c r="N19" s="50">
        <v>0</v>
      </c>
      <c r="O19" s="15">
        <f t="shared" si="0"/>
        <v>121</v>
      </c>
      <c r="P19" s="15">
        <f t="shared" si="1"/>
        <v>256</v>
      </c>
      <c r="R19" s="1" t="s">
        <v>15</v>
      </c>
      <c r="S19" s="17">
        <f t="shared" ref="S19:AF19" si="11">SUM(C46:C49)</f>
        <v>236</v>
      </c>
      <c r="T19" s="17">
        <f t="shared" si="11"/>
        <v>29</v>
      </c>
      <c r="U19" s="17">
        <f t="shared" si="11"/>
        <v>33</v>
      </c>
      <c r="V19" s="17">
        <f t="shared" si="11"/>
        <v>87</v>
      </c>
      <c r="W19" s="17">
        <f t="shared" si="11"/>
        <v>1</v>
      </c>
      <c r="X19" s="17">
        <f t="shared" si="11"/>
        <v>0</v>
      </c>
      <c r="Y19" s="17">
        <f t="shared" si="11"/>
        <v>10</v>
      </c>
      <c r="Z19" s="17">
        <f t="shared" si="11"/>
        <v>9</v>
      </c>
      <c r="AA19" s="17">
        <f t="shared" si="11"/>
        <v>0</v>
      </c>
      <c r="AB19" s="17">
        <f t="shared" si="11"/>
        <v>0</v>
      </c>
      <c r="AC19" s="17">
        <f t="shared" si="11"/>
        <v>680</v>
      </c>
      <c r="AD19" s="17">
        <f t="shared" si="11"/>
        <v>0</v>
      </c>
      <c r="AE19" s="31">
        <f t="shared" si="11"/>
        <v>405</v>
      </c>
      <c r="AF19" s="31">
        <f t="shared" si="11"/>
        <v>1085</v>
      </c>
    </row>
    <row r="20" spans="2:32" ht="23.1" customHeight="1" x14ac:dyDescent="0.25">
      <c r="B20" s="23" t="s">
        <v>47</v>
      </c>
      <c r="C20" s="50">
        <v>46</v>
      </c>
      <c r="D20" s="50">
        <v>9</v>
      </c>
      <c r="E20" s="50">
        <v>6</v>
      </c>
      <c r="F20" s="50">
        <v>28</v>
      </c>
      <c r="G20" s="50">
        <v>0</v>
      </c>
      <c r="H20" s="50">
        <v>0</v>
      </c>
      <c r="I20" s="50">
        <v>3</v>
      </c>
      <c r="J20" s="50">
        <v>6</v>
      </c>
      <c r="K20" s="50">
        <v>0</v>
      </c>
      <c r="L20" s="50">
        <v>0</v>
      </c>
      <c r="M20" s="50">
        <v>105</v>
      </c>
      <c r="N20" s="50">
        <v>0</v>
      </c>
      <c r="O20" s="15">
        <f t="shared" si="0"/>
        <v>98</v>
      </c>
      <c r="P20" s="15">
        <f t="shared" si="1"/>
        <v>203</v>
      </c>
      <c r="R20" s="1" t="s">
        <v>16</v>
      </c>
      <c r="S20" s="17">
        <f t="shared" ref="S20:AF20" si="12">SUM(C50:C53)</f>
        <v>160</v>
      </c>
      <c r="T20" s="17">
        <f t="shared" si="12"/>
        <v>13</v>
      </c>
      <c r="U20" s="17">
        <f t="shared" si="12"/>
        <v>8</v>
      </c>
      <c r="V20" s="17">
        <f t="shared" si="12"/>
        <v>70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11</v>
      </c>
      <c r="AA20" s="17">
        <f t="shared" si="12"/>
        <v>1</v>
      </c>
      <c r="AB20" s="17">
        <f t="shared" si="12"/>
        <v>2</v>
      </c>
      <c r="AC20" s="17">
        <f t="shared" si="12"/>
        <v>335</v>
      </c>
      <c r="AD20" s="17">
        <f t="shared" si="12"/>
        <v>0</v>
      </c>
      <c r="AE20" s="31">
        <f t="shared" si="12"/>
        <v>271</v>
      </c>
      <c r="AF20" s="31">
        <f t="shared" si="12"/>
        <v>606</v>
      </c>
    </row>
    <row r="21" spans="2:32" ht="23.1" customHeight="1" x14ac:dyDescent="0.25">
      <c r="B21" s="23" t="s">
        <v>48</v>
      </c>
      <c r="C21" s="50">
        <v>47</v>
      </c>
      <c r="D21" s="50">
        <v>10</v>
      </c>
      <c r="E21" s="50">
        <v>1</v>
      </c>
      <c r="F21" s="50">
        <v>35</v>
      </c>
      <c r="G21" s="50">
        <v>0</v>
      </c>
      <c r="H21" s="50">
        <v>0</v>
      </c>
      <c r="I21" s="50">
        <v>3</v>
      </c>
      <c r="J21" s="50">
        <v>0</v>
      </c>
      <c r="K21" s="50">
        <v>1</v>
      </c>
      <c r="L21" s="50">
        <v>0</v>
      </c>
      <c r="M21" s="50">
        <v>210</v>
      </c>
      <c r="N21" s="50">
        <v>0</v>
      </c>
      <c r="O21" s="15">
        <f t="shared" si="0"/>
        <v>97</v>
      </c>
      <c r="P21" s="15">
        <f t="shared" si="1"/>
        <v>307</v>
      </c>
      <c r="R21" s="36" t="s">
        <v>20</v>
      </c>
      <c r="S21" s="34">
        <f t="shared" ref="S21:AF21" si="13">SUM(C54:C57)</f>
        <v>111</v>
      </c>
      <c r="T21" s="17">
        <f t="shared" si="13"/>
        <v>7</v>
      </c>
      <c r="U21" s="17">
        <f t="shared" si="13"/>
        <v>8</v>
      </c>
      <c r="V21" s="17">
        <f t="shared" si="13"/>
        <v>119</v>
      </c>
      <c r="W21" s="17">
        <f t="shared" si="13"/>
        <v>2</v>
      </c>
      <c r="X21" s="17">
        <f t="shared" si="13"/>
        <v>0</v>
      </c>
      <c r="Y21" s="17">
        <f t="shared" si="13"/>
        <v>6</v>
      </c>
      <c r="Z21" s="17">
        <f t="shared" si="13"/>
        <v>2</v>
      </c>
      <c r="AA21" s="17">
        <f t="shared" si="13"/>
        <v>1</v>
      </c>
      <c r="AB21" s="17">
        <f t="shared" si="13"/>
        <v>1</v>
      </c>
      <c r="AC21" s="17">
        <f t="shared" si="13"/>
        <v>391</v>
      </c>
      <c r="AD21" s="17">
        <f t="shared" si="13"/>
        <v>0</v>
      </c>
      <c r="AE21" s="31">
        <f t="shared" si="13"/>
        <v>257</v>
      </c>
      <c r="AF21" s="31">
        <f t="shared" si="13"/>
        <v>648</v>
      </c>
    </row>
    <row r="22" spans="2:32" ht="23.1" customHeight="1" x14ac:dyDescent="0.25">
      <c r="B22" s="23" t="s">
        <v>49</v>
      </c>
      <c r="C22" s="50">
        <v>38</v>
      </c>
      <c r="D22" s="50">
        <v>4</v>
      </c>
      <c r="E22" s="50">
        <v>9</v>
      </c>
      <c r="F22" s="50">
        <v>30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235</v>
      </c>
      <c r="N22" s="50">
        <v>0</v>
      </c>
      <c r="O22" s="15">
        <f t="shared" si="0"/>
        <v>83</v>
      </c>
      <c r="P22" s="15">
        <f t="shared" si="1"/>
        <v>318</v>
      </c>
      <c r="R22" s="38" t="s">
        <v>90</v>
      </c>
      <c r="S22" s="39">
        <f>MAX(S10:S12)</f>
        <v>233</v>
      </c>
      <c r="T22" s="39">
        <f t="shared" ref="T22:AF22" si="14">MAX(T10:T12)</f>
        <v>33</v>
      </c>
      <c r="U22" s="39">
        <f t="shared" si="14"/>
        <v>24</v>
      </c>
      <c r="V22" s="39">
        <f t="shared" si="14"/>
        <v>106</v>
      </c>
      <c r="W22" s="39">
        <f t="shared" si="14"/>
        <v>0</v>
      </c>
      <c r="X22" s="39">
        <f t="shared" si="14"/>
        <v>0</v>
      </c>
      <c r="Y22" s="39">
        <f t="shared" si="14"/>
        <v>11</v>
      </c>
      <c r="Z22" s="39">
        <f t="shared" si="14"/>
        <v>9</v>
      </c>
      <c r="AA22" s="39">
        <f t="shared" si="14"/>
        <v>2</v>
      </c>
      <c r="AB22" s="39">
        <f t="shared" si="14"/>
        <v>0</v>
      </c>
      <c r="AC22" s="39">
        <f t="shared" si="14"/>
        <v>670</v>
      </c>
      <c r="AD22" s="39">
        <f t="shared" si="14"/>
        <v>0</v>
      </c>
      <c r="AE22" s="40">
        <f t="shared" si="14"/>
        <v>398</v>
      </c>
      <c r="AF22" s="40">
        <f t="shared" si="14"/>
        <v>988</v>
      </c>
    </row>
    <row r="23" spans="2:32" ht="23.1" customHeight="1" x14ac:dyDescent="0.25">
      <c r="B23" s="23" t="s">
        <v>50</v>
      </c>
      <c r="C23" s="50">
        <v>61</v>
      </c>
      <c r="D23" s="50">
        <v>10</v>
      </c>
      <c r="E23" s="50">
        <v>9</v>
      </c>
      <c r="F23" s="50">
        <v>57</v>
      </c>
      <c r="G23" s="50">
        <v>0</v>
      </c>
      <c r="H23" s="50">
        <v>0</v>
      </c>
      <c r="I23" s="50">
        <v>0</v>
      </c>
      <c r="J23" s="50">
        <v>3</v>
      </c>
      <c r="K23" s="50">
        <v>0</v>
      </c>
      <c r="L23" s="50">
        <v>0</v>
      </c>
      <c r="M23" s="50">
        <v>205</v>
      </c>
      <c r="N23" s="50">
        <v>0</v>
      </c>
      <c r="O23" s="15">
        <f t="shared" si="0"/>
        <v>140</v>
      </c>
      <c r="P23" s="15">
        <f t="shared" si="1"/>
        <v>345</v>
      </c>
      <c r="R23" s="38" t="s">
        <v>91</v>
      </c>
      <c r="S23" s="39">
        <f>MAX(S13:S18)</f>
        <v>178</v>
      </c>
      <c r="T23" s="39">
        <f t="shared" ref="T23:AF23" si="15">MAX(T13:T18)</f>
        <v>21</v>
      </c>
      <c r="U23" s="39">
        <f t="shared" si="15"/>
        <v>28</v>
      </c>
      <c r="V23" s="39">
        <f t="shared" si="15"/>
        <v>206</v>
      </c>
      <c r="W23" s="39">
        <f t="shared" si="15"/>
        <v>3</v>
      </c>
      <c r="X23" s="39">
        <f t="shared" si="15"/>
        <v>0</v>
      </c>
      <c r="Y23" s="39">
        <f t="shared" si="15"/>
        <v>16</v>
      </c>
      <c r="Z23" s="39">
        <f t="shared" si="15"/>
        <v>12</v>
      </c>
      <c r="AA23" s="39">
        <f t="shared" si="15"/>
        <v>2</v>
      </c>
      <c r="AB23" s="39">
        <f t="shared" si="15"/>
        <v>1</v>
      </c>
      <c r="AC23" s="39">
        <f t="shared" si="15"/>
        <v>860</v>
      </c>
      <c r="AD23" s="39">
        <f t="shared" si="15"/>
        <v>1</v>
      </c>
      <c r="AE23" s="40">
        <f t="shared" si="15"/>
        <v>404</v>
      </c>
      <c r="AF23" s="40">
        <f t="shared" si="15"/>
        <v>1256</v>
      </c>
    </row>
    <row r="24" spans="2:32" ht="23.1" customHeight="1" x14ac:dyDescent="0.25">
      <c r="B24" s="23" t="s">
        <v>51</v>
      </c>
      <c r="C24" s="50">
        <v>35</v>
      </c>
      <c r="D24" s="50">
        <v>3</v>
      </c>
      <c r="E24" s="50">
        <v>5</v>
      </c>
      <c r="F24" s="50">
        <v>47</v>
      </c>
      <c r="G24" s="50">
        <v>1</v>
      </c>
      <c r="H24" s="50">
        <v>0</v>
      </c>
      <c r="I24" s="50">
        <v>0</v>
      </c>
      <c r="J24" s="50">
        <v>2</v>
      </c>
      <c r="K24" s="50">
        <v>0</v>
      </c>
      <c r="L24" s="50">
        <v>0</v>
      </c>
      <c r="M24" s="50">
        <v>210</v>
      </c>
      <c r="N24" s="50">
        <v>0</v>
      </c>
      <c r="O24" s="15">
        <f t="shared" si="0"/>
        <v>93</v>
      </c>
      <c r="P24" s="15">
        <f t="shared" si="1"/>
        <v>303</v>
      </c>
      <c r="R24" s="38" t="s">
        <v>92</v>
      </c>
      <c r="S24" s="39">
        <f>MAX(S19:S21)</f>
        <v>236</v>
      </c>
      <c r="T24" s="39">
        <f t="shared" ref="T24:AF24" si="16">MAX(T19:T21)</f>
        <v>29</v>
      </c>
      <c r="U24" s="39">
        <f t="shared" si="16"/>
        <v>33</v>
      </c>
      <c r="V24" s="39">
        <f t="shared" si="16"/>
        <v>119</v>
      </c>
      <c r="W24" s="39">
        <f t="shared" si="16"/>
        <v>2</v>
      </c>
      <c r="X24" s="39">
        <f t="shared" si="16"/>
        <v>0</v>
      </c>
      <c r="Y24" s="39">
        <f t="shared" si="16"/>
        <v>10</v>
      </c>
      <c r="Z24" s="39">
        <f t="shared" si="16"/>
        <v>11</v>
      </c>
      <c r="AA24" s="39">
        <f t="shared" si="16"/>
        <v>1</v>
      </c>
      <c r="AB24" s="39">
        <f t="shared" si="16"/>
        <v>2</v>
      </c>
      <c r="AC24" s="39">
        <f t="shared" si="16"/>
        <v>680</v>
      </c>
      <c r="AD24" s="39">
        <f t="shared" si="16"/>
        <v>0</v>
      </c>
      <c r="AE24" s="40">
        <f t="shared" si="16"/>
        <v>405</v>
      </c>
      <c r="AF24" s="40">
        <f t="shared" si="16"/>
        <v>1085</v>
      </c>
    </row>
    <row r="25" spans="2:32" ht="23.1" customHeight="1" x14ac:dyDescent="0.25">
      <c r="B25" s="23" t="s">
        <v>52</v>
      </c>
      <c r="C25" s="50">
        <v>40</v>
      </c>
      <c r="D25" s="50">
        <v>4</v>
      </c>
      <c r="E25" s="50">
        <v>5</v>
      </c>
      <c r="F25" s="50">
        <v>22</v>
      </c>
      <c r="G25" s="50">
        <v>1</v>
      </c>
      <c r="H25" s="50">
        <v>0</v>
      </c>
      <c r="I25" s="50">
        <v>4</v>
      </c>
      <c r="J25" s="50">
        <v>4</v>
      </c>
      <c r="K25" s="50">
        <v>0</v>
      </c>
      <c r="L25" s="50">
        <v>0</v>
      </c>
      <c r="M25" s="50">
        <v>210</v>
      </c>
      <c r="N25" s="50">
        <v>0</v>
      </c>
      <c r="O25" s="15">
        <f t="shared" si="0"/>
        <v>80</v>
      </c>
      <c r="P25" s="15">
        <f t="shared" si="1"/>
        <v>290</v>
      </c>
      <c r="R25" s="37" t="s">
        <v>85</v>
      </c>
      <c r="S25" s="35">
        <f t="shared" ref="S25:AF25" si="17">SUM(S10:S12)</f>
        <v>590</v>
      </c>
      <c r="T25" s="16">
        <f t="shared" si="17"/>
        <v>69</v>
      </c>
      <c r="U25" s="16">
        <f t="shared" si="17"/>
        <v>51</v>
      </c>
      <c r="V25" s="16">
        <f t="shared" si="17"/>
        <v>127</v>
      </c>
      <c r="W25" s="16">
        <f t="shared" si="17"/>
        <v>0</v>
      </c>
      <c r="X25" s="16">
        <f t="shared" si="17"/>
        <v>0</v>
      </c>
      <c r="Y25" s="16">
        <f t="shared" si="17"/>
        <v>23</v>
      </c>
      <c r="Z25" s="16">
        <f t="shared" si="17"/>
        <v>17</v>
      </c>
      <c r="AA25" s="16">
        <f t="shared" si="17"/>
        <v>3</v>
      </c>
      <c r="AB25" s="16">
        <f t="shared" si="17"/>
        <v>0</v>
      </c>
      <c r="AC25" s="16">
        <f t="shared" si="17"/>
        <v>1830</v>
      </c>
      <c r="AD25" s="16">
        <f t="shared" si="17"/>
        <v>0</v>
      </c>
      <c r="AE25" s="32">
        <f t="shared" si="17"/>
        <v>880</v>
      </c>
      <c r="AF25" s="32">
        <f t="shared" si="17"/>
        <v>2710</v>
      </c>
    </row>
    <row r="26" spans="2:32" ht="23.1" customHeight="1" x14ac:dyDescent="0.25">
      <c r="B26" s="23" t="s">
        <v>53</v>
      </c>
      <c r="C26" s="50">
        <v>50</v>
      </c>
      <c r="D26" s="50">
        <v>4</v>
      </c>
      <c r="E26" s="50">
        <v>7</v>
      </c>
      <c r="F26" s="50">
        <v>36</v>
      </c>
      <c r="G26" s="50">
        <v>0</v>
      </c>
      <c r="H26" s="50">
        <v>0</v>
      </c>
      <c r="I26" s="50">
        <v>3</v>
      </c>
      <c r="J26" s="50">
        <v>1</v>
      </c>
      <c r="K26" s="50">
        <v>0</v>
      </c>
      <c r="L26" s="50">
        <v>0</v>
      </c>
      <c r="M26" s="50">
        <v>195</v>
      </c>
      <c r="N26" s="50">
        <v>0</v>
      </c>
      <c r="O26" s="15">
        <f t="shared" si="0"/>
        <v>101</v>
      </c>
      <c r="P26" s="15">
        <f t="shared" si="1"/>
        <v>296</v>
      </c>
      <c r="R26" s="28" t="s">
        <v>86</v>
      </c>
      <c r="S26" s="16">
        <f t="shared" ref="S26:AF26" si="18">SUM(S13:S18)</f>
        <v>985</v>
      </c>
      <c r="T26" s="16">
        <f t="shared" si="18"/>
        <v>103</v>
      </c>
      <c r="U26" s="16">
        <f t="shared" si="18"/>
        <v>116</v>
      </c>
      <c r="V26" s="16">
        <f t="shared" si="18"/>
        <v>931</v>
      </c>
      <c r="W26" s="16">
        <f t="shared" si="18"/>
        <v>7</v>
      </c>
      <c r="X26" s="16">
        <f t="shared" si="18"/>
        <v>0</v>
      </c>
      <c r="Y26" s="16">
        <f t="shared" si="18"/>
        <v>53</v>
      </c>
      <c r="Z26" s="16">
        <f t="shared" si="18"/>
        <v>39</v>
      </c>
      <c r="AA26" s="16">
        <f t="shared" si="18"/>
        <v>5</v>
      </c>
      <c r="AB26" s="16">
        <f t="shared" si="18"/>
        <v>2</v>
      </c>
      <c r="AC26" s="16">
        <f t="shared" si="18"/>
        <v>3976</v>
      </c>
      <c r="AD26" s="16">
        <f t="shared" si="18"/>
        <v>1</v>
      </c>
      <c r="AE26" s="32">
        <f t="shared" si="18"/>
        <v>2242</v>
      </c>
      <c r="AF26" s="32">
        <f t="shared" si="18"/>
        <v>6218</v>
      </c>
    </row>
    <row r="27" spans="2:32" ht="23.1" customHeight="1" x14ac:dyDescent="0.25">
      <c r="B27" s="23" t="s">
        <v>54</v>
      </c>
      <c r="C27" s="50">
        <v>51</v>
      </c>
      <c r="D27" s="50">
        <v>3</v>
      </c>
      <c r="E27" s="50">
        <v>8</v>
      </c>
      <c r="F27" s="50">
        <v>45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1</v>
      </c>
      <c r="M27" s="50">
        <v>205</v>
      </c>
      <c r="N27" s="50">
        <v>0</v>
      </c>
      <c r="O27" s="15">
        <f t="shared" si="0"/>
        <v>110</v>
      </c>
      <c r="P27" s="15">
        <f t="shared" si="1"/>
        <v>315</v>
      </c>
      <c r="R27" s="29" t="s">
        <v>87</v>
      </c>
      <c r="S27" s="16">
        <f t="shared" ref="S27:AF27" si="19">SUM(S19:S21)</f>
        <v>507</v>
      </c>
      <c r="T27" s="16">
        <f t="shared" si="19"/>
        <v>49</v>
      </c>
      <c r="U27" s="16">
        <f t="shared" si="19"/>
        <v>49</v>
      </c>
      <c r="V27" s="16">
        <f t="shared" si="19"/>
        <v>276</v>
      </c>
      <c r="W27" s="16">
        <f t="shared" si="19"/>
        <v>3</v>
      </c>
      <c r="X27" s="16">
        <f t="shared" si="19"/>
        <v>0</v>
      </c>
      <c r="Y27" s="16">
        <f t="shared" si="19"/>
        <v>22</v>
      </c>
      <c r="Z27" s="16">
        <f t="shared" si="19"/>
        <v>22</v>
      </c>
      <c r="AA27" s="16">
        <f t="shared" si="19"/>
        <v>2</v>
      </c>
      <c r="AB27" s="16">
        <f t="shared" si="19"/>
        <v>3</v>
      </c>
      <c r="AC27" s="16">
        <f t="shared" si="19"/>
        <v>1406</v>
      </c>
      <c r="AD27" s="16">
        <f t="shared" si="19"/>
        <v>0</v>
      </c>
      <c r="AE27" s="32">
        <f t="shared" si="19"/>
        <v>933</v>
      </c>
      <c r="AF27" s="32">
        <f t="shared" si="19"/>
        <v>2339</v>
      </c>
    </row>
    <row r="28" spans="2:32" ht="23.1" customHeight="1" x14ac:dyDescent="0.25">
      <c r="B28" s="23" t="s">
        <v>55</v>
      </c>
      <c r="C28" s="50">
        <v>51</v>
      </c>
      <c r="D28" s="50">
        <v>4</v>
      </c>
      <c r="E28" s="50">
        <v>6</v>
      </c>
      <c r="F28" s="50">
        <v>40</v>
      </c>
      <c r="G28" s="50">
        <v>1</v>
      </c>
      <c r="H28" s="50">
        <v>0</v>
      </c>
      <c r="I28" s="50">
        <v>2</v>
      </c>
      <c r="J28" s="50">
        <v>0</v>
      </c>
      <c r="K28" s="50">
        <v>1</v>
      </c>
      <c r="L28" s="50">
        <v>0</v>
      </c>
      <c r="M28" s="50">
        <v>210</v>
      </c>
      <c r="N28" s="50">
        <v>0</v>
      </c>
      <c r="O28" s="15">
        <f t="shared" si="0"/>
        <v>105</v>
      </c>
      <c r="P28" s="15">
        <f t="shared" si="1"/>
        <v>315</v>
      </c>
      <c r="R28" s="5" t="s">
        <v>17</v>
      </c>
      <c r="S28" s="16">
        <f t="shared" ref="S28:AF28" si="20">SUM(S10:S21)</f>
        <v>2082</v>
      </c>
      <c r="T28" s="16">
        <f t="shared" si="20"/>
        <v>221</v>
      </c>
      <c r="U28" s="16">
        <f t="shared" si="20"/>
        <v>216</v>
      </c>
      <c r="V28" s="16">
        <f t="shared" si="20"/>
        <v>1334</v>
      </c>
      <c r="W28" s="16">
        <f t="shared" si="20"/>
        <v>10</v>
      </c>
      <c r="X28" s="16">
        <f t="shared" si="20"/>
        <v>0</v>
      </c>
      <c r="Y28" s="16">
        <f t="shared" si="20"/>
        <v>98</v>
      </c>
      <c r="Z28" s="16">
        <f t="shared" si="20"/>
        <v>78</v>
      </c>
      <c r="AA28" s="16">
        <f t="shared" si="20"/>
        <v>10</v>
      </c>
      <c r="AB28" s="16">
        <f t="shared" si="20"/>
        <v>5</v>
      </c>
      <c r="AC28" s="16">
        <f t="shared" si="20"/>
        <v>7212</v>
      </c>
      <c r="AD28" s="16">
        <f t="shared" si="20"/>
        <v>1</v>
      </c>
      <c r="AE28" s="32">
        <f t="shared" si="20"/>
        <v>4055</v>
      </c>
      <c r="AF28" s="32">
        <f t="shared" si="20"/>
        <v>11267</v>
      </c>
    </row>
    <row r="29" spans="2:32" ht="23.1" customHeight="1" x14ac:dyDescent="0.25">
      <c r="B29" s="23" t="s">
        <v>56</v>
      </c>
      <c r="C29" s="50">
        <v>26</v>
      </c>
      <c r="D29" s="50">
        <v>5</v>
      </c>
      <c r="E29" s="50">
        <v>4</v>
      </c>
      <c r="F29" s="50">
        <v>49</v>
      </c>
      <c r="G29" s="50">
        <v>0</v>
      </c>
      <c r="H29" s="50">
        <v>0</v>
      </c>
      <c r="I29" s="50">
        <v>3</v>
      </c>
      <c r="J29" s="50">
        <v>0</v>
      </c>
      <c r="K29" s="50">
        <v>1</v>
      </c>
      <c r="L29" s="50">
        <v>0</v>
      </c>
      <c r="M29" s="50">
        <v>195</v>
      </c>
      <c r="N29" s="50">
        <v>0</v>
      </c>
      <c r="O29" s="15">
        <f t="shared" si="0"/>
        <v>88</v>
      </c>
      <c r="P29" s="15">
        <f t="shared" si="1"/>
        <v>283</v>
      </c>
      <c r="R29"/>
      <c r="S29" s="20"/>
      <c r="T29" s="19"/>
    </row>
    <row r="30" spans="2:32" ht="23.1" customHeight="1" x14ac:dyDescent="0.25">
      <c r="B30" s="23" t="s">
        <v>57</v>
      </c>
      <c r="C30" s="50">
        <v>36</v>
      </c>
      <c r="D30" s="50">
        <v>4</v>
      </c>
      <c r="E30" s="50">
        <v>3</v>
      </c>
      <c r="F30" s="50">
        <v>49</v>
      </c>
      <c r="G30" s="50">
        <v>0</v>
      </c>
      <c r="H30" s="50">
        <v>0</v>
      </c>
      <c r="I30" s="50">
        <v>2</v>
      </c>
      <c r="J30" s="50">
        <v>2</v>
      </c>
      <c r="K30" s="50">
        <v>0</v>
      </c>
      <c r="L30" s="50">
        <v>0</v>
      </c>
      <c r="M30" s="50">
        <v>210</v>
      </c>
      <c r="N30" s="50">
        <v>0</v>
      </c>
      <c r="O30" s="15">
        <f t="shared" si="0"/>
        <v>96</v>
      </c>
      <c r="P30" s="15">
        <f t="shared" si="1"/>
        <v>306</v>
      </c>
    </row>
    <row r="31" spans="2:32" ht="23.1" customHeight="1" x14ac:dyDescent="0.25">
      <c r="B31" s="24" t="s">
        <v>58</v>
      </c>
      <c r="C31" s="50">
        <v>39</v>
      </c>
      <c r="D31" s="50">
        <v>5</v>
      </c>
      <c r="E31" s="50">
        <v>4</v>
      </c>
      <c r="F31" s="50">
        <v>47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210</v>
      </c>
      <c r="N31" s="50">
        <v>0</v>
      </c>
      <c r="O31" s="15">
        <f t="shared" si="0"/>
        <v>97</v>
      </c>
      <c r="P31" s="15">
        <f t="shared" si="1"/>
        <v>307</v>
      </c>
    </row>
    <row r="32" spans="2:32" ht="23.1" customHeight="1" x14ac:dyDescent="0.25">
      <c r="B32" s="24" t="s">
        <v>59</v>
      </c>
      <c r="C32" s="50">
        <v>30</v>
      </c>
      <c r="D32" s="50">
        <v>4</v>
      </c>
      <c r="E32" s="50">
        <v>3</v>
      </c>
      <c r="F32" s="50">
        <v>49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210</v>
      </c>
      <c r="N32" s="50">
        <v>0</v>
      </c>
      <c r="O32" s="15">
        <f t="shared" si="0"/>
        <v>88</v>
      </c>
      <c r="P32" s="15">
        <f t="shared" si="1"/>
        <v>298</v>
      </c>
    </row>
    <row r="33" spans="2:20" ht="23.1" customHeight="1" x14ac:dyDescent="0.25">
      <c r="B33" s="23" t="s">
        <v>60</v>
      </c>
      <c r="C33" s="50">
        <v>35</v>
      </c>
      <c r="D33" s="50">
        <v>4</v>
      </c>
      <c r="E33" s="50">
        <v>2</v>
      </c>
      <c r="F33" s="50">
        <v>61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120</v>
      </c>
      <c r="N33" s="50">
        <v>0</v>
      </c>
      <c r="O33" s="15">
        <f t="shared" si="0"/>
        <v>104</v>
      </c>
      <c r="P33" s="15">
        <f t="shared" si="1"/>
        <v>224</v>
      </c>
    </row>
    <row r="34" spans="2:20" ht="23.1" customHeight="1" x14ac:dyDescent="0.25">
      <c r="B34" s="24" t="s">
        <v>61</v>
      </c>
      <c r="C34" s="50">
        <v>46</v>
      </c>
      <c r="D34" s="50">
        <v>3</v>
      </c>
      <c r="E34" s="50">
        <v>5</v>
      </c>
      <c r="F34" s="50">
        <v>55</v>
      </c>
      <c r="G34" s="50">
        <v>0</v>
      </c>
      <c r="H34" s="50">
        <v>0</v>
      </c>
      <c r="I34" s="50">
        <v>4</v>
      </c>
      <c r="J34" s="50">
        <v>1</v>
      </c>
      <c r="K34" s="50">
        <v>0</v>
      </c>
      <c r="L34" s="50">
        <v>0</v>
      </c>
      <c r="M34" s="50">
        <v>210</v>
      </c>
      <c r="N34" s="50">
        <v>0</v>
      </c>
      <c r="O34" s="15">
        <f t="shared" si="0"/>
        <v>114</v>
      </c>
      <c r="P34" s="15">
        <f t="shared" si="1"/>
        <v>324</v>
      </c>
    </row>
    <row r="35" spans="2:20" ht="23.1" customHeight="1" x14ac:dyDescent="0.25">
      <c r="B35" s="24" t="s">
        <v>62</v>
      </c>
      <c r="C35" s="50">
        <v>39</v>
      </c>
      <c r="D35" s="50">
        <v>3</v>
      </c>
      <c r="E35" s="50">
        <v>6</v>
      </c>
      <c r="F35" s="50">
        <v>26</v>
      </c>
      <c r="G35" s="50">
        <v>0</v>
      </c>
      <c r="H35" s="50">
        <v>0</v>
      </c>
      <c r="I35" s="50">
        <v>3</v>
      </c>
      <c r="J35" s="50">
        <v>4</v>
      </c>
      <c r="K35" s="50">
        <v>0</v>
      </c>
      <c r="L35" s="50">
        <v>0</v>
      </c>
      <c r="M35" s="50">
        <v>120</v>
      </c>
      <c r="N35" s="50">
        <v>0</v>
      </c>
      <c r="O35" s="15">
        <f t="shared" si="0"/>
        <v>81</v>
      </c>
      <c r="P35" s="15">
        <f t="shared" si="1"/>
        <v>201</v>
      </c>
    </row>
    <row r="36" spans="2:20" ht="23.1" customHeight="1" x14ac:dyDescent="0.25">
      <c r="B36" s="24" t="s">
        <v>63</v>
      </c>
      <c r="C36" s="50">
        <v>39</v>
      </c>
      <c r="D36" s="50">
        <v>2</v>
      </c>
      <c r="E36" s="50">
        <v>3</v>
      </c>
      <c r="F36" s="50">
        <v>56</v>
      </c>
      <c r="G36" s="50">
        <v>0</v>
      </c>
      <c r="H36" s="50">
        <v>0</v>
      </c>
      <c r="I36" s="50">
        <v>2</v>
      </c>
      <c r="J36" s="50">
        <v>2</v>
      </c>
      <c r="K36" s="50">
        <v>0</v>
      </c>
      <c r="L36" s="50">
        <v>0</v>
      </c>
      <c r="M36" s="50">
        <v>210</v>
      </c>
      <c r="N36" s="50">
        <v>0</v>
      </c>
      <c r="O36" s="15">
        <f t="shared" si="0"/>
        <v>104</v>
      </c>
      <c r="P36" s="15">
        <f t="shared" si="1"/>
        <v>314</v>
      </c>
    </row>
    <row r="37" spans="2:20" ht="23.1" customHeight="1" x14ac:dyDescent="0.25">
      <c r="B37" s="23" t="s">
        <v>64</v>
      </c>
      <c r="C37" s="50">
        <v>37</v>
      </c>
      <c r="D37" s="50">
        <v>3</v>
      </c>
      <c r="E37" s="50">
        <v>9</v>
      </c>
      <c r="F37" s="50">
        <v>22</v>
      </c>
      <c r="G37" s="50">
        <v>0</v>
      </c>
      <c r="H37" s="50">
        <v>0</v>
      </c>
      <c r="I37" s="50">
        <v>7</v>
      </c>
      <c r="J37" s="50">
        <v>1</v>
      </c>
      <c r="K37" s="50">
        <v>0</v>
      </c>
      <c r="L37" s="50">
        <v>1</v>
      </c>
      <c r="M37" s="50">
        <v>160</v>
      </c>
      <c r="N37" s="50">
        <v>1</v>
      </c>
      <c r="O37" s="15">
        <f t="shared" si="0"/>
        <v>81</v>
      </c>
      <c r="P37" s="15">
        <f t="shared" si="1"/>
        <v>241</v>
      </c>
    </row>
    <row r="38" spans="2:20" ht="23.1" customHeight="1" x14ac:dyDescent="0.25">
      <c r="B38" s="24" t="s">
        <v>65</v>
      </c>
      <c r="C38" s="50">
        <v>45</v>
      </c>
      <c r="D38" s="50">
        <v>4</v>
      </c>
      <c r="E38" s="50">
        <v>2</v>
      </c>
      <c r="F38" s="50">
        <v>34</v>
      </c>
      <c r="G38" s="50">
        <v>0</v>
      </c>
      <c r="H38" s="50">
        <v>0</v>
      </c>
      <c r="I38" s="50">
        <v>6</v>
      </c>
      <c r="J38" s="50">
        <v>3</v>
      </c>
      <c r="K38" s="50">
        <v>0</v>
      </c>
      <c r="L38" s="50">
        <v>0</v>
      </c>
      <c r="M38" s="50">
        <v>140</v>
      </c>
      <c r="N38" s="50">
        <v>0</v>
      </c>
      <c r="O38" s="15">
        <f t="shared" si="0"/>
        <v>94</v>
      </c>
      <c r="P38" s="15">
        <f t="shared" si="1"/>
        <v>234</v>
      </c>
    </row>
    <row r="39" spans="2:20" ht="23.1" customHeight="1" x14ac:dyDescent="0.25">
      <c r="B39" s="24" t="s">
        <v>66</v>
      </c>
      <c r="C39" s="50">
        <v>36</v>
      </c>
      <c r="D39" s="50">
        <v>10</v>
      </c>
      <c r="E39" s="50">
        <v>8</v>
      </c>
      <c r="F39" s="50">
        <v>45</v>
      </c>
      <c r="G39" s="50">
        <v>1</v>
      </c>
      <c r="H39" s="50">
        <v>0</v>
      </c>
      <c r="I39" s="50">
        <v>1</v>
      </c>
      <c r="J39" s="50">
        <v>1</v>
      </c>
      <c r="K39" s="50">
        <v>1</v>
      </c>
      <c r="L39" s="50">
        <v>0</v>
      </c>
      <c r="M39" s="50">
        <v>105</v>
      </c>
      <c r="N39" s="50">
        <v>0</v>
      </c>
      <c r="O39" s="15">
        <f t="shared" si="0"/>
        <v>103</v>
      </c>
      <c r="P39" s="15">
        <f t="shared" si="1"/>
        <v>208</v>
      </c>
    </row>
    <row r="40" spans="2:20" ht="23.1" customHeight="1" x14ac:dyDescent="0.25">
      <c r="B40" s="24" t="s">
        <v>67</v>
      </c>
      <c r="C40" s="50">
        <v>66</v>
      </c>
      <c r="D40" s="50">
        <v>4</v>
      </c>
      <c r="E40" s="50">
        <v>2</v>
      </c>
      <c r="F40" s="50">
        <v>48</v>
      </c>
      <c r="G40" s="50">
        <v>2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210</v>
      </c>
      <c r="N40" s="50">
        <v>0</v>
      </c>
      <c r="O40" s="15">
        <f t="shared" si="0"/>
        <v>125</v>
      </c>
      <c r="P40" s="15">
        <f t="shared" si="1"/>
        <v>335</v>
      </c>
    </row>
    <row r="41" spans="2:20" ht="23.1" customHeight="1" x14ac:dyDescent="0.25">
      <c r="B41" s="23" t="s">
        <v>68</v>
      </c>
      <c r="C41" s="50">
        <v>13</v>
      </c>
      <c r="D41" s="50">
        <v>2</v>
      </c>
      <c r="E41" s="50">
        <v>1</v>
      </c>
      <c r="F41" s="50">
        <v>10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90</v>
      </c>
      <c r="N41" s="50">
        <v>0</v>
      </c>
      <c r="O41" s="15">
        <f t="shared" si="0"/>
        <v>28</v>
      </c>
      <c r="P41" s="15">
        <f t="shared" si="1"/>
        <v>118</v>
      </c>
    </row>
    <row r="42" spans="2:20" ht="23.1" customHeight="1" x14ac:dyDescent="0.25">
      <c r="B42" s="24" t="s">
        <v>69</v>
      </c>
      <c r="C42" s="50">
        <v>39</v>
      </c>
      <c r="D42" s="50">
        <v>2</v>
      </c>
      <c r="E42" s="50">
        <v>2</v>
      </c>
      <c r="F42" s="50">
        <v>20</v>
      </c>
      <c r="G42" s="50">
        <v>0</v>
      </c>
      <c r="H42" s="50">
        <v>0</v>
      </c>
      <c r="I42" s="50">
        <v>2</v>
      </c>
      <c r="J42" s="50">
        <v>2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67</v>
      </c>
      <c r="P42" s="15">
        <f t="shared" si="1"/>
        <v>72</v>
      </c>
    </row>
    <row r="43" spans="2:20" ht="23.1" customHeight="1" x14ac:dyDescent="0.25">
      <c r="B43" s="23" t="s">
        <v>70</v>
      </c>
      <c r="C43" s="50">
        <v>40</v>
      </c>
      <c r="D43" s="50">
        <v>5</v>
      </c>
      <c r="E43" s="50">
        <v>3</v>
      </c>
      <c r="F43" s="50">
        <v>20</v>
      </c>
      <c r="G43" s="50">
        <v>0</v>
      </c>
      <c r="H43" s="50">
        <v>0</v>
      </c>
      <c r="I43" s="50">
        <v>1</v>
      </c>
      <c r="J43" s="50">
        <v>1</v>
      </c>
      <c r="K43" s="50">
        <v>1</v>
      </c>
      <c r="L43" s="50">
        <v>0</v>
      </c>
      <c r="M43" s="50">
        <v>11</v>
      </c>
      <c r="N43" s="50">
        <v>0</v>
      </c>
      <c r="O43" s="15">
        <f t="shared" si="0"/>
        <v>71</v>
      </c>
      <c r="P43" s="15">
        <f t="shared" si="1"/>
        <v>82</v>
      </c>
    </row>
    <row r="44" spans="2:20" ht="23.1" customHeight="1" x14ac:dyDescent="0.25">
      <c r="B44" s="25" t="s">
        <v>71</v>
      </c>
      <c r="C44" s="50">
        <v>32</v>
      </c>
      <c r="D44" s="50">
        <v>4</v>
      </c>
      <c r="E44" s="50">
        <v>7</v>
      </c>
      <c r="F44" s="50">
        <v>45</v>
      </c>
      <c r="G44" s="50">
        <v>0</v>
      </c>
      <c r="H44" s="50">
        <v>0</v>
      </c>
      <c r="I44" s="50">
        <v>1</v>
      </c>
      <c r="J44" s="50">
        <v>4</v>
      </c>
      <c r="K44" s="50">
        <v>0</v>
      </c>
      <c r="L44" s="50">
        <v>0</v>
      </c>
      <c r="M44" s="50">
        <v>150</v>
      </c>
      <c r="N44" s="50">
        <v>0</v>
      </c>
      <c r="O44" s="15">
        <f t="shared" si="0"/>
        <v>93</v>
      </c>
      <c r="P44" s="15">
        <f t="shared" si="1"/>
        <v>243</v>
      </c>
    </row>
    <row r="45" spans="2:20" ht="23.1" customHeight="1" x14ac:dyDescent="0.25">
      <c r="B45" s="23" t="s">
        <v>72</v>
      </c>
      <c r="C45" s="50">
        <v>61</v>
      </c>
      <c r="D45" s="50">
        <v>7</v>
      </c>
      <c r="E45" s="50">
        <v>3</v>
      </c>
      <c r="F45" s="50">
        <v>18</v>
      </c>
      <c r="G45" s="50">
        <v>1</v>
      </c>
      <c r="H45" s="50">
        <v>0</v>
      </c>
      <c r="I45" s="50">
        <v>0</v>
      </c>
      <c r="J45" s="50">
        <v>5</v>
      </c>
      <c r="K45" s="50">
        <v>1</v>
      </c>
      <c r="L45" s="50">
        <v>0</v>
      </c>
      <c r="M45" s="50">
        <v>150</v>
      </c>
      <c r="N45" s="50">
        <v>0</v>
      </c>
      <c r="O45" s="15">
        <f t="shared" si="0"/>
        <v>96</v>
      </c>
      <c r="P45" s="15">
        <f t="shared" si="1"/>
        <v>246</v>
      </c>
    </row>
    <row r="46" spans="2:20" ht="23.1" customHeight="1" x14ac:dyDescent="0.25">
      <c r="B46" s="24" t="s">
        <v>73</v>
      </c>
      <c r="C46" s="50">
        <v>60</v>
      </c>
      <c r="D46" s="50">
        <v>10</v>
      </c>
      <c r="E46" s="50">
        <v>14</v>
      </c>
      <c r="F46" s="50">
        <v>26</v>
      </c>
      <c r="G46" s="50">
        <v>0</v>
      </c>
      <c r="H46" s="50">
        <v>0</v>
      </c>
      <c r="I46" s="50">
        <v>4</v>
      </c>
      <c r="J46" s="50">
        <v>2</v>
      </c>
      <c r="K46" s="50">
        <v>0</v>
      </c>
      <c r="L46" s="50">
        <v>0</v>
      </c>
      <c r="M46" s="50">
        <v>160</v>
      </c>
      <c r="N46" s="50">
        <v>0</v>
      </c>
      <c r="O46" s="15">
        <f t="shared" si="0"/>
        <v>116</v>
      </c>
      <c r="P46" s="15">
        <f t="shared" si="1"/>
        <v>276</v>
      </c>
      <c r="R46" s="8"/>
      <c r="T46"/>
    </row>
    <row r="47" spans="2:20" ht="23.1" customHeight="1" x14ac:dyDescent="0.25">
      <c r="B47" s="24" t="s">
        <v>74</v>
      </c>
      <c r="C47" s="50">
        <v>50</v>
      </c>
      <c r="D47" s="50">
        <v>6</v>
      </c>
      <c r="E47" s="50">
        <v>5</v>
      </c>
      <c r="F47" s="50">
        <v>20</v>
      </c>
      <c r="G47" s="50">
        <v>1</v>
      </c>
      <c r="H47" s="50">
        <v>0</v>
      </c>
      <c r="I47" s="50">
        <v>0</v>
      </c>
      <c r="J47" s="50">
        <v>3</v>
      </c>
      <c r="K47" s="50">
        <v>0</v>
      </c>
      <c r="L47" s="50">
        <v>0</v>
      </c>
      <c r="M47" s="50">
        <v>210</v>
      </c>
      <c r="N47" s="50">
        <v>0</v>
      </c>
      <c r="O47" s="15">
        <f t="shared" si="0"/>
        <v>85</v>
      </c>
      <c r="P47" s="15">
        <f t="shared" si="1"/>
        <v>295</v>
      </c>
      <c r="R47" s="8"/>
      <c r="T47"/>
    </row>
    <row r="48" spans="2:20" ht="23.1" customHeight="1" x14ac:dyDescent="0.25">
      <c r="B48" s="24" t="s">
        <v>75</v>
      </c>
      <c r="C48" s="50">
        <v>75</v>
      </c>
      <c r="D48" s="50">
        <v>9</v>
      </c>
      <c r="E48" s="50">
        <v>8</v>
      </c>
      <c r="F48" s="50">
        <v>23</v>
      </c>
      <c r="G48" s="50">
        <v>0</v>
      </c>
      <c r="H48" s="50">
        <v>0</v>
      </c>
      <c r="I48" s="50">
        <v>6</v>
      </c>
      <c r="J48" s="50">
        <v>4</v>
      </c>
      <c r="K48" s="50">
        <v>0</v>
      </c>
      <c r="L48" s="50">
        <v>0</v>
      </c>
      <c r="M48" s="50">
        <v>160</v>
      </c>
      <c r="N48" s="50">
        <v>0</v>
      </c>
      <c r="O48" s="15">
        <f t="shared" si="0"/>
        <v>125</v>
      </c>
      <c r="P48" s="15">
        <f t="shared" si="1"/>
        <v>285</v>
      </c>
      <c r="R48" s="8"/>
      <c r="T48"/>
    </row>
    <row r="49" spans="2:20" ht="23.1" customHeight="1" x14ac:dyDescent="0.25">
      <c r="B49" s="23" t="s">
        <v>76</v>
      </c>
      <c r="C49" s="50">
        <v>51</v>
      </c>
      <c r="D49" s="50">
        <v>4</v>
      </c>
      <c r="E49" s="50">
        <v>6</v>
      </c>
      <c r="F49" s="50">
        <v>18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150</v>
      </c>
      <c r="N49" s="50">
        <v>0</v>
      </c>
      <c r="O49" s="15">
        <f t="shared" si="0"/>
        <v>79</v>
      </c>
      <c r="P49" s="15">
        <f t="shared" si="1"/>
        <v>229</v>
      </c>
      <c r="R49" s="8"/>
      <c r="T49"/>
    </row>
    <row r="50" spans="2:20" ht="23.1" customHeight="1" x14ac:dyDescent="0.25">
      <c r="B50" s="24" t="s">
        <v>77</v>
      </c>
      <c r="C50" s="50">
        <v>60</v>
      </c>
      <c r="D50" s="50">
        <v>6</v>
      </c>
      <c r="E50" s="50">
        <v>2</v>
      </c>
      <c r="F50" s="50">
        <v>25</v>
      </c>
      <c r="G50" s="50">
        <v>0</v>
      </c>
      <c r="H50" s="50">
        <v>0</v>
      </c>
      <c r="I50" s="50">
        <v>1</v>
      </c>
      <c r="J50" s="50">
        <v>3</v>
      </c>
      <c r="K50" s="50">
        <v>1</v>
      </c>
      <c r="L50" s="50">
        <v>0</v>
      </c>
      <c r="M50" s="50">
        <v>55</v>
      </c>
      <c r="N50" s="50">
        <v>0</v>
      </c>
      <c r="O50" s="15">
        <f t="shared" si="0"/>
        <v>98</v>
      </c>
      <c r="P50" s="15">
        <f t="shared" si="1"/>
        <v>153</v>
      </c>
      <c r="R50" s="8"/>
      <c r="T50"/>
    </row>
    <row r="51" spans="2:20" ht="23.1" customHeight="1" x14ac:dyDescent="0.25">
      <c r="B51" s="24" t="s">
        <v>78</v>
      </c>
      <c r="C51" s="50">
        <v>62</v>
      </c>
      <c r="D51" s="50">
        <v>7</v>
      </c>
      <c r="E51" s="50">
        <v>3</v>
      </c>
      <c r="F51" s="50">
        <v>22</v>
      </c>
      <c r="G51" s="50">
        <v>0</v>
      </c>
      <c r="H51" s="50">
        <v>0</v>
      </c>
      <c r="I51" s="50">
        <v>3</v>
      </c>
      <c r="J51" s="50">
        <v>2</v>
      </c>
      <c r="K51" s="50">
        <v>0</v>
      </c>
      <c r="L51" s="50">
        <v>2</v>
      </c>
      <c r="M51" s="50">
        <v>80</v>
      </c>
      <c r="N51" s="50">
        <v>0</v>
      </c>
      <c r="O51" s="15">
        <f t="shared" si="0"/>
        <v>101</v>
      </c>
      <c r="P51" s="15">
        <f t="shared" si="1"/>
        <v>181</v>
      </c>
      <c r="R51" s="8"/>
      <c r="T51"/>
    </row>
    <row r="52" spans="2:20" ht="23.1" customHeight="1" x14ac:dyDescent="0.25">
      <c r="B52" s="24" t="s">
        <v>79</v>
      </c>
      <c r="C52" s="50">
        <v>21</v>
      </c>
      <c r="D52" s="50">
        <v>0</v>
      </c>
      <c r="E52" s="50">
        <v>2</v>
      </c>
      <c r="F52" s="50">
        <v>14</v>
      </c>
      <c r="G52" s="50">
        <v>0</v>
      </c>
      <c r="H52" s="50">
        <v>0</v>
      </c>
      <c r="I52" s="50">
        <v>2</v>
      </c>
      <c r="J52" s="50">
        <v>4</v>
      </c>
      <c r="K52" s="50">
        <v>0</v>
      </c>
      <c r="L52" s="50">
        <v>0</v>
      </c>
      <c r="M52" s="50">
        <v>75</v>
      </c>
      <c r="N52" s="50">
        <v>0</v>
      </c>
      <c r="O52" s="15">
        <f t="shared" si="0"/>
        <v>43</v>
      </c>
      <c r="P52" s="15">
        <f t="shared" si="1"/>
        <v>118</v>
      </c>
      <c r="R52" s="8"/>
      <c r="T52"/>
    </row>
    <row r="53" spans="2:20" ht="23.1" customHeight="1" x14ac:dyDescent="0.25">
      <c r="B53" s="23" t="s">
        <v>80</v>
      </c>
      <c r="C53" s="50">
        <v>17</v>
      </c>
      <c r="D53" s="50">
        <v>0</v>
      </c>
      <c r="E53" s="50">
        <v>1</v>
      </c>
      <c r="F53" s="50">
        <v>9</v>
      </c>
      <c r="G53" s="50">
        <v>0</v>
      </c>
      <c r="H53" s="50">
        <v>0</v>
      </c>
      <c r="I53" s="50">
        <v>0</v>
      </c>
      <c r="J53" s="50">
        <v>2</v>
      </c>
      <c r="K53" s="50">
        <v>0</v>
      </c>
      <c r="L53" s="50">
        <v>0</v>
      </c>
      <c r="M53" s="50">
        <v>125</v>
      </c>
      <c r="N53" s="50">
        <v>0</v>
      </c>
      <c r="O53" s="15">
        <f t="shared" si="0"/>
        <v>29</v>
      </c>
      <c r="P53" s="15">
        <f t="shared" si="1"/>
        <v>154</v>
      </c>
      <c r="R53" s="8"/>
      <c r="T53"/>
    </row>
    <row r="54" spans="2:20" ht="23.1" customHeight="1" x14ac:dyDescent="0.25">
      <c r="B54" s="23" t="s">
        <v>81</v>
      </c>
      <c r="C54" s="50">
        <v>21</v>
      </c>
      <c r="D54" s="50">
        <v>1</v>
      </c>
      <c r="E54" s="50">
        <v>3</v>
      </c>
      <c r="F54" s="50">
        <v>32</v>
      </c>
      <c r="G54" s="50">
        <v>1</v>
      </c>
      <c r="H54" s="50">
        <v>0</v>
      </c>
      <c r="I54" s="50">
        <v>1</v>
      </c>
      <c r="J54" s="50">
        <v>0</v>
      </c>
      <c r="K54" s="50">
        <v>1</v>
      </c>
      <c r="L54" s="50">
        <v>0</v>
      </c>
      <c r="M54" s="50">
        <v>71</v>
      </c>
      <c r="N54" s="50">
        <v>0</v>
      </c>
      <c r="O54" s="15">
        <f t="shared" si="0"/>
        <v>60</v>
      </c>
      <c r="P54" s="15">
        <f t="shared" si="1"/>
        <v>131</v>
      </c>
      <c r="R54" s="8"/>
      <c r="T54"/>
    </row>
    <row r="55" spans="2:20" ht="23.1" customHeight="1" x14ac:dyDescent="0.25">
      <c r="B55" s="23" t="s">
        <v>82</v>
      </c>
      <c r="C55" s="50">
        <v>25</v>
      </c>
      <c r="D55" s="50">
        <v>1</v>
      </c>
      <c r="E55" s="50">
        <v>1</v>
      </c>
      <c r="F55" s="50">
        <v>35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1</v>
      </c>
      <c r="M55" s="50">
        <v>50</v>
      </c>
      <c r="N55" s="50">
        <v>0</v>
      </c>
      <c r="O55" s="15">
        <f t="shared" si="0"/>
        <v>65</v>
      </c>
      <c r="P55" s="15">
        <f t="shared" si="1"/>
        <v>115</v>
      </c>
      <c r="R55" s="8"/>
      <c r="T55"/>
    </row>
    <row r="56" spans="2:20" ht="23.1" customHeight="1" x14ac:dyDescent="0.25">
      <c r="B56" s="23" t="s">
        <v>83</v>
      </c>
      <c r="C56" s="50">
        <v>35</v>
      </c>
      <c r="D56" s="50">
        <v>3</v>
      </c>
      <c r="E56" s="50">
        <v>1</v>
      </c>
      <c r="F56" s="50">
        <v>25</v>
      </c>
      <c r="G56" s="50">
        <v>1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150</v>
      </c>
      <c r="N56" s="50">
        <v>0</v>
      </c>
      <c r="O56" s="15">
        <f t="shared" si="0"/>
        <v>67</v>
      </c>
      <c r="P56" s="15">
        <f t="shared" si="1"/>
        <v>217</v>
      </c>
      <c r="R56" s="8"/>
      <c r="T56"/>
    </row>
    <row r="57" spans="2:20" ht="23.1" customHeight="1" x14ac:dyDescent="0.25">
      <c r="B57" s="23" t="s">
        <v>84</v>
      </c>
      <c r="C57" s="50">
        <v>30</v>
      </c>
      <c r="D57" s="50">
        <v>2</v>
      </c>
      <c r="E57" s="50">
        <v>3</v>
      </c>
      <c r="F57" s="50">
        <v>27</v>
      </c>
      <c r="G57" s="50">
        <v>0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120</v>
      </c>
      <c r="N57" s="50">
        <v>0</v>
      </c>
      <c r="O57" s="15">
        <f t="shared" si="0"/>
        <v>65</v>
      </c>
      <c r="P57" s="15">
        <f t="shared" si="1"/>
        <v>185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2082</v>
      </c>
      <c r="D58" s="16">
        <f t="shared" si="21"/>
        <v>221</v>
      </c>
      <c r="E58" s="16">
        <f t="shared" si="21"/>
        <v>216</v>
      </c>
      <c r="F58" s="16">
        <f t="shared" si="21"/>
        <v>1334</v>
      </c>
      <c r="G58" s="16">
        <f t="shared" si="21"/>
        <v>10</v>
      </c>
      <c r="H58" s="16">
        <f t="shared" si="21"/>
        <v>0</v>
      </c>
      <c r="I58" s="16">
        <f t="shared" si="21"/>
        <v>98</v>
      </c>
      <c r="J58" s="16">
        <f t="shared" si="21"/>
        <v>78</v>
      </c>
      <c r="K58" s="16">
        <f t="shared" si="21"/>
        <v>10</v>
      </c>
      <c r="L58" s="16">
        <f t="shared" si="21"/>
        <v>5</v>
      </c>
      <c r="M58" s="16">
        <f t="shared" si="21"/>
        <v>7212</v>
      </c>
      <c r="N58" s="16">
        <f t="shared" si="21"/>
        <v>1</v>
      </c>
      <c r="O58" s="16">
        <f t="shared" si="21"/>
        <v>4055</v>
      </c>
      <c r="P58" s="16">
        <f t="shared" si="21"/>
        <v>11267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0.18478743232448744</v>
      </c>
      <c r="D59" s="43">
        <f t="shared" si="22"/>
        <v>1.9614804295730894E-2</v>
      </c>
      <c r="E59" s="43">
        <f t="shared" si="22"/>
        <v>1.9171030442886306E-2</v>
      </c>
      <c r="F59" s="43">
        <f t="shared" si="22"/>
        <v>0.11839886393893671</v>
      </c>
      <c r="G59" s="43">
        <f t="shared" si="22"/>
        <v>8.8754770568918084E-4</v>
      </c>
      <c r="H59" s="43">
        <f t="shared" si="22"/>
        <v>0</v>
      </c>
      <c r="I59" s="43">
        <f t="shared" si="22"/>
        <v>8.6979675157539717E-3</v>
      </c>
      <c r="J59" s="43">
        <f t="shared" si="22"/>
        <v>6.9228721043756098E-3</v>
      </c>
      <c r="K59" s="43">
        <f t="shared" si="22"/>
        <v>8.8754770568918084E-4</v>
      </c>
      <c r="L59" s="43">
        <f t="shared" si="22"/>
        <v>4.4377385284459042E-4</v>
      </c>
      <c r="M59" s="43">
        <f t="shared" si="22"/>
        <v>0.64009940534303722</v>
      </c>
      <c r="N59" s="43">
        <f t="shared" si="22"/>
        <v>8.8754770568918079E-5</v>
      </c>
      <c r="R59" s="8"/>
      <c r="T59"/>
    </row>
    <row r="60" spans="2:20" ht="23.1" customHeight="1" x14ac:dyDescent="0.25">
      <c r="B60" s="42" t="s">
        <v>94</v>
      </c>
      <c r="C60" s="44">
        <f>C58/$O$58</f>
        <v>0.51344019728729962</v>
      </c>
      <c r="D60" s="44">
        <f t="shared" ref="D60:N60" si="23">D58/$O$58</f>
        <v>5.4500616522811345E-2</v>
      </c>
      <c r="E60" s="44">
        <f t="shared" si="23"/>
        <v>5.3267570900123302E-2</v>
      </c>
      <c r="F60" s="44">
        <f t="shared" si="23"/>
        <v>0.32897657213316894</v>
      </c>
      <c r="G60" s="44">
        <f t="shared" si="23"/>
        <v>2.4660912453760789E-3</v>
      </c>
      <c r="H60" s="44">
        <f t="shared" si="23"/>
        <v>0</v>
      </c>
      <c r="I60" s="44">
        <f t="shared" si="23"/>
        <v>2.4167694204685574E-2</v>
      </c>
      <c r="J60" s="44">
        <f t="shared" si="23"/>
        <v>1.9235511713933416E-2</v>
      </c>
      <c r="K60" s="44">
        <f t="shared" si="23"/>
        <v>2.4660912453760789E-3</v>
      </c>
      <c r="L60" s="44">
        <f t="shared" si="23"/>
        <v>1.2330456226880395E-3</v>
      </c>
      <c r="M60" s="44"/>
      <c r="N60" s="44">
        <f t="shared" si="23"/>
        <v>2.4660912453760788E-4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N43" sqref="N4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Kibuye-Makindye'!C3:G3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3" t="str">
        <f>'22.07 Kibuye-Makindye'!G5:H5</f>
        <v>FUELEX MAKINDYE</v>
      </c>
      <c r="H5" s="64"/>
      <c r="I5" s="14"/>
      <c r="J5" s="2" t="s">
        <v>5</v>
      </c>
      <c r="K5" s="63" t="str">
        <f>'22.07 Kibuye-Makindye'!K5:L5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Kibuye-Makindye'!D6:E6</f>
        <v>KIBUYE</v>
      </c>
      <c r="E6" s="64"/>
      <c r="F6" s="2" t="s">
        <v>2</v>
      </c>
      <c r="G6" s="63" t="str">
        <f>'22.07 Kibuye-Makindye'!G6:H6</f>
        <v>MAKINDYE</v>
      </c>
      <c r="H6" s="64"/>
      <c r="J6" s="2" t="s">
        <v>21</v>
      </c>
      <c r="K6" s="63" t="str">
        <f>'22.07 Kibuye-Makindye'!K6:L6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16</v>
      </c>
      <c r="D10" s="50">
        <v>2</v>
      </c>
      <c r="E10" s="50">
        <v>1</v>
      </c>
      <c r="F10" s="50">
        <v>30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180</v>
      </c>
      <c r="N10" s="50">
        <v>0</v>
      </c>
      <c r="O10" s="15">
        <f t="shared" ref="O10:O57" si="0">SUM(C10:L10,N10)</f>
        <v>51</v>
      </c>
      <c r="P10" s="15">
        <f t="shared" ref="P10:P57" si="1">SUM(C10:N10)</f>
        <v>231</v>
      </c>
      <c r="R10" s="1" t="s">
        <v>6</v>
      </c>
      <c r="S10" s="17">
        <f t="shared" ref="S10:AF10" si="2">SUM(C10:C13)</f>
        <v>129</v>
      </c>
      <c r="T10" s="17">
        <f t="shared" si="2"/>
        <v>37</v>
      </c>
      <c r="U10" s="17">
        <f t="shared" si="2"/>
        <v>15</v>
      </c>
      <c r="V10" s="17">
        <f t="shared" si="2"/>
        <v>160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4</v>
      </c>
      <c r="AA10" s="17">
        <f t="shared" si="2"/>
        <v>2</v>
      </c>
      <c r="AB10" s="17">
        <f t="shared" si="2"/>
        <v>0</v>
      </c>
      <c r="AC10" s="17">
        <f t="shared" si="2"/>
        <v>605</v>
      </c>
      <c r="AD10" s="17">
        <f t="shared" si="2"/>
        <v>0</v>
      </c>
      <c r="AE10" s="31">
        <f t="shared" si="2"/>
        <v>354</v>
      </c>
      <c r="AF10" s="31">
        <f t="shared" si="2"/>
        <v>959</v>
      </c>
    </row>
    <row r="11" spans="2:32" s="6" customFormat="1" ht="23.1" customHeight="1" x14ac:dyDescent="0.25">
      <c r="B11" s="23" t="s">
        <v>38</v>
      </c>
      <c r="C11" s="50">
        <v>46</v>
      </c>
      <c r="D11" s="50">
        <v>16</v>
      </c>
      <c r="E11" s="50">
        <v>5</v>
      </c>
      <c r="F11" s="50">
        <v>38</v>
      </c>
      <c r="G11" s="50">
        <v>0</v>
      </c>
      <c r="H11" s="50">
        <v>0</v>
      </c>
      <c r="I11" s="50">
        <v>2</v>
      </c>
      <c r="J11" s="50">
        <v>0</v>
      </c>
      <c r="K11" s="50">
        <v>1</v>
      </c>
      <c r="L11" s="50">
        <v>0</v>
      </c>
      <c r="M11" s="50">
        <v>145</v>
      </c>
      <c r="N11" s="50">
        <v>0</v>
      </c>
      <c r="O11" s="15">
        <f t="shared" si="0"/>
        <v>108</v>
      </c>
      <c r="P11" s="15">
        <f t="shared" si="1"/>
        <v>253</v>
      </c>
      <c r="R11" s="1" t="s">
        <v>7</v>
      </c>
      <c r="S11" s="17">
        <f t="shared" ref="S11:AF11" si="3">SUM(C14:C17)</f>
        <v>122</v>
      </c>
      <c r="T11" s="17">
        <f t="shared" si="3"/>
        <v>40</v>
      </c>
      <c r="U11" s="17">
        <f t="shared" si="3"/>
        <v>17</v>
      </c>
      <c r="V11" s="17">
        <f t="shared" si="3"/>
        <v>157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8</v>
      </c>
      <c r="AA11" s="17">
        <f t="shared" si="3"/>
        <v>1</v>
      </c>
      <c r="AB11" s="17">
        <f t="shared" si="3"/>
        <v>0</v>
      </c>
      <c r="AC11" s="17">
        <f t="shared" si="3"/>
        <v>630</v>
      </c>
      <c r="AD11" s="17">
        <f t="shared" si="3"/>
        <v>0</v>
      </c>
      <c r="AE11" s="31">
        <f t="shared" si="3"/>
        <v>350</v>
      </c>
      <c r="AF11" s="31">
        <f t="shared" si="3"/>
        <v>980</v>
      </c>
    </row>
    <row r="12" spans="2:32" ht="23.1" customHeight="1" x14ac:dyDescent="0.25">
      <c r="B12" s="23" t="s">
        <v>39</v>
      </c>
      <c r="C12" s="50">
        <v>28</v>
      </c>
      <c r="D12" s="50">
        <v>7</v>
      </c>
      <c r="E12" s="50">
        <v>5</v>
      </c>
      <c r="F12" s="50">
        <v>43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135</v>
      </c>
      <c r="N12" s="50">
        <v>0</v>
      </c>
      <c r="O12" s="15">
        <f t="shared" si="0"/>
        <v>85</v>
      </c>
      <c r="P12" s="15">
        <f t="shared" si="1"/>
        <v>220</v>
      </c>
      <c r="R12" s="1" t="s">
        <v>8</v>
      </c>
      <c r="S12" s="17">
        <f t="shared" ref="S12:AF12" si="4">SUM(C18:C21)</f>
        <v>155</v>
      </c>
      <c r="T12" s="17">
        <f t="shared" si="4"/>
        <v>51</v>
      </c>
      <c r="U12" s="17">
        <f t="shared" si="4"/>
        <v>20</v>
      </c>
      <c r="V12" s="17">
        <f t="shared" si="4"/>
        <v>131</v>
      </c>
      <c r="W12" s="17">
        <f t="shared" si="4"/>
        <v>0</v>
      </c>
      <c r="X12" s="17">
        <f t="shared" si="4"/>
        <v>1</v>
      </c>
      <c r="Y12" s="17">
        <f t="shared" si="4"/>
        <v>10</v>
      </c>
      <c r="Z12" s="17">
        <f t="shared" si="4"/>
        <v>14</v>
      </c>
      <c r="AA12" s="17">
        <f t="shared" si="4"/>
        <v>3</v>
      </c>
      <c r="AB12" s="17">
        <f t="shared" si="4"/>
        <v>0</v>
      </c>
      <c r="AC12" s="17">
        <f t="shared" si="4"/>
        <v>665</v>
      </c>
      <c r="AD12" s="17">
        <f t="shared" si="4"/>
        <v>0</v>
      </c>
      <c r="AE12" s="31">
        <f t="shared" si="4"/>
        <v>385</v>
      </c>
      <c r="AF12" s="31">
        <f t="shared" si="4"/>
        <v>1050</v>
      </c>
    </row>
    <row r="13" spans="2:32" ht="23.1" customHeight="1" x14ac:dyDescent="0.25">
      <c r="B13" s="23" t="s">
        <v>40</v>
      </c>
      <c r="C13" s="50">
        <v>39</v>
      </c>
      <c r="D13" s="50">
        <v>12</v>
      </c>
      <c r="E13" s="50">
        <v>4</v>
      </c>
      <c r="F13" s="50">
        <v>49</v>
      </c>
      <c r="G13" s="50">
        <v>1</v>
      </c>
      <c r="H13" s="50">
        <v>0</v>
      </c>
      <c r="I13" s="50">
        <v>1</v>
      </c>
      <c r="J13" s="50">
        <v>3</v>
      </c>
      <c r="K13" s="50">
        <v>1</v>
      </c>
      <c r="L13" s="50">
        <v>0</v>
      </c>
      <c r="M13" s="50">
        <v>145</v>
      </c>
      <c r="N13" s="50">
        <v>0</v>
      </c>
      <c r="O13" s="15">
        <f t="shared" si="0"/>
        <v>110</v>
      </c>
      <c r="P13" s="15">
        <f t="shared" si="1"/>
        <v>255</v>
      </c>
      <c r="R13" s="1" t="s">
        <v>9</v>
      </c>
      <c r="S13" s="17">
        <f t="shared" ref="S13:AF13" si="5">SUM(C22:C25)</f>
        <v>147</v>
      </c>
      <c r="T13" s="17">
        <f t="shared" si="5"/>
        <v>60</v>
      </c>
      <c r="U13" s="17">
        <f t="shared" si="5"/>
        <v>32</v>
      </c>
      <c r="V13" s="17">
        <f t="shared" si="5"/>
        <v>118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16</v>
      </c>
      <c r="AA13" s="17">
        <f t="shared" si="5"/>
        <v>4</v>
      </c>
      <c r="AB13" s="17">
        <f t="shared" si="5"/>
        <v>0</v>
      </c>
      <c r="AC13" s="17">
        <f t="shared" si="5"/>
        <v>750</v>
      </c>
      <c r="AD13" s="17">
        <f t="shared" si="5"/>
        <v>0</v>
      </c>
      <c r="AE13" s="31">
        <f t="shared" si="5"/>
        <v>390</v>
      </c>
      <c r="AF13" s="31">
        <f t="shared" si="5"/>
        <v>1140</v>
      </c>
    </row>
    <row r="14" spans="2:32" ht="23.1" customHeight="1" x14ac:dyDescent="0.25">
      <c r="B14" s="23" t="s">
        <v>41</v>
      </c>
      <c r="C14" s="50">
        <v>29</v>
      </c>
      <c r="D14" s="50">
        <v>12</v>
      </c>
      <c r="E14" s="50">
        <v>3</v>
      </c>
      <c r="F14" s="50">
        <v>37</v>
      </c>
      <c r="G14" s="50">
        <v>0</v>
      </c>
      <c r="H14" s="50">
        <v>0</v>
      </c>
      <c r="I14" s="50">
        <v>2</v>
      </c>
      <c r="J14" s="50">
        <v>2</v>
      </c>
      <c r="K14" s="50">
        <v>1</v>
      </c>
      <c r="L14" s="50">
        <v>0</v>
      </c>
      <c r="M14" s="50">
        <v>160</v>
      </c>
      <c r="N14" s="50">
        <v>0</v>
      </c>
      <c r="O14" s="15">
        <f t="shared" si="0"/>
        <v>86</v>
      </c>
      <c r="P14" s="15">
        <f t="shared" si="1"/>
        <v>246</v>
      </c>
      <c r="R14" s="1" t="s">
        <v>10</v>
      </c>
      <c r="S14" s="17">
        <f t="shared" ref="S14:AF14" si="6">SUM(C26:C29)</f>
        <v>135</v>
      </c>
      <c r="T14" s="17">
        <f t="shared" si="6"/>
        <v>57</v>
      </c>
      <c r="U14" s="17">
        <f t="shared" si="6"/>
        <v>26</v>
      </c>
      <c r="V14" s="17">
        <f t="shared" si="6"/>
        <v>97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18</v>
      </c>
      <c r="AA14" s="17">
        <f t="shared" si="6"/>
        <v>3</v>
      </c>
      <c r="AB14" s="17">
        <f t="shared" si="6"/>
        <v>0</v>
      </c>
      <c r="AC14" s="17">
        <f t="shared" si="6"/>
        <v>685</v>
      </c>
      <c r="AD14" s="17">
        <f t="shared" si="6"/>
        <v>0</v>
      </c>
      <c r="AE14" s="31">
        <f t="shared" si="6"/>
        <v>345</v>
      </c>
      <c r="AF14" s="31">
        <f t="shared" si="6"/>
        <v>1030</v>
      </c>
    </row>
    <row r="15" spans="2:32" ht="23.1" customHeight="1" x14ac:dyDescent="0.25">
      <c r="B15" s="23" t="s">
        <v>42</v>
      </c>
      <c r="C15" s="50">
        <v>32</v>
      </c>
      <c r="D15" s="50">
        <v>5</v>
      </c>
      <c r="E15" s="50">
        <v>2</v>
      </c>
      <c r="F15" s="50">
        <v>45</v>
      </c>
      <c r="G15" s="50">
        <v>0</v>
      </c>
      <c r="H15" s="50">
        <v>0</v>
      </c>
      <c r="I15" s="50">
        <v>1</v>
      </c>
      <c r="J15" s="50">
        <v>2</v>
      </c>
      <c r="K15" s="50">
        <v>0</v>
      </c>
      <c r="L15" s="50">
        <v>0</v>
      </c>
      <c r="M15" s="50">
        <v>155</v>
      </c>
      <c r="N15" s="50">
        <v>0</v>
      </c>
      <c r="O15" s="15">
        <f t="shared" si="0"/>
        <v>87</v>
      </c>
      <c r="P15" s="15">
        <f t="shared" si="1"/>
        <v>242</v>
      </c>
      <c r="R15" s="1" t="s">
        <v>11</v>
      </c>
      <c r="S15" s="17">
        <f t="shared" ref="S15:AF15" si="7">SUM(C30:C33)</f>
        <v>206</v>
      </c>
      <c r="T15" s="17">
        <f t="shared" si="7"/>
        <v>73</v>
      </c>
      <c r="U15" s="17">
        <f t="shared" si="7"/>
        <v>27</v>
      </c>
      <c r="V15" s="17">
        <f t="shared" si="7"/>
        <v>100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12</v>
      </c>
      <c r="AA15" s="17">
        <f t="shared" si="7"/>
        <v>3</v>
      </c>
      <c r="AB15" s="17">
        <f t="shared" si="7"/>
        <v>0</v>
      </c>
      <c r="AC15" s="17">
        <f t="shared" si="7"/>
        <v>722</v>
      </c>
      <c r="AD15" s="17">
        <f t="shared" si="7"/>
        <v>1</v>
      </c>
      <c r="AE15" s="31">
        <f t="shared" si="7"/>
        <v>433</v>
      </c>
      <c r="AF15" s="31">
        <f t="shared" si="7"/>
        <v>1155</v>
      </c>
    </row>
    <row r="16" spans="2:32" ht="23.1" customHeight="1" x14ac:dyDescent="0.25">
      <c r="B16" s="23" t="s">
        <v>43</v>
      </c>
      <c r="C16" s="50">
        <v>40</v>
      </c>
      <c r="D16" s="50">
        <v>11</v>
      </c>
      <c r="E16" s="50">
        <v>7</v>
      </c>
      <c r="F16" s="50">
        <v>48</v>
      </c>
      <c r="G16" s="50">
        <v>0</v>
      </c>
      <c r="H16" s="50">
        <v>0</v>
      </c>
      <c r="I16" s="50">
        <v>1</v>
      </c>
      <c r="J16" s="50">
        <v>3</v>
      </c>
      <c r="K16" s="50">
        <v>0</v>
      </c>
      <c r="L16" s="50">
        <v>0</v>
      </c>
      <c r="M16" s="50">
        <v>160</v>
      </c>
      <c r="N16" s="50">
        <v>0</v>
      </c>
      <c r="O16" s="15">
        <f t="shared" si="0"/>
        <v>110</v>
      </c>
      <c r="P16" s="15">
        <f t="shared" si="1"/>
        <v>270</v>
      </c>
      <c r="R16" s="1" t="s">
        <v>12</v>
      </c>
      <c r="S16" s="17">
        <f t="shared" ref="S16:AF16" si="8">SUM(C34:C37)</f>
        <v>194</v>
      </c>
      <c r="T16" s="17">
        <f t="shared" si="8"/>
        <v>76</v>
      </c>
      <c r="U16" s="17">
        <f t="shared" si="8"/>
        <v>40</v>
      </c>
      <c r="V16" s="17">
        <f t="shared" si="8"/>
        <v>89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11</v>
      </c>
      <c r="AA16" s="17">
        <f t="shared" si="8"/>
        <v>2</v>
      </c>
      <c r="AB16" s="17">
        <f t="shared" si="8"/>
        <v>0</v>
      </c>
      <c r="AC16" s="17">
        <f t="shared" si="8"/>
        <v>629</v>
      </c>
      <c r="AD16" s="17">
        <f t="shared" si="8"/>
        <v>0</v>
      </c>
      <c r="AE16" s="31">
        <f t="shared" si="8"/>
        <v>424</v>
      </c>
      <c r="AF16" s="31">
        <f t="shared" si="8"/>
        <v>1053</v>
      </c>
    </row>
    <row r="17" spans="2:32" ht="23.1" customHeight="1" x14ac:dyDescent="0.25">
      <c r="B17" s="23" t="s">
        <v>44</v>
      </c>
      <c r="C17" s="50">
        <v>21</v>
      </c>
      <c r="D17" s="50">
        <v>12</v>
      </c>
      <c r="E17" s="50">
        <v>5</v>
      </c>
      <c r="F17" s="50">
        <v>27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155</v>
      </c>
      <c r="N17" s="50">
        <v>0</v>
      </c>
      <c r="O17" s="15">
        <f t="shared" si="0"/>
        <v>67</v>
      </c>
      <c r="P17" s="15">
        <f t="shared" si="1"/>
        <v>222</v>
      </c>
      <c r="R17" s="1" t="s">
        <v>13</v>
      </c>
      <c r="S17" s="17">
        <f t="shared" ref="S17:AF17" si="9">SUM(C38:C41)</f>
        <v>210</v>
      </c>
      <c r="T17" s="17">
        <f t="shared" si="9"/>
        <v>89</v>
      </c>
      <c r="U17" s="17">
        <f t="shared" si="9"/>
        <v>25</v>
      </c>
      <c r="V17" s="17">
        <f t="shared" si="9"/>
        <v>97</v>
      </c>
      <c r="W17" s="17">
        <f t="shared" si="9"/>
        <v>1</v>
      </c>
      <c r="X17" s="17">
        <f t="shared" si="9"/>
        <v>0</v>
      </c>
      <c r="Y17" s="17">
        <f t="shared" si="9"/>
        <v>17</v>
      </c>
      <c r="Z17" s="17">
        <f t="shared" si="9"/>
        <v>15</v>
      </c>
      <c r="AA17" s="17">
        <f t="shared" si="9"/>
        <v>2</v>
      </c>
      <c r="AB17" s="17">
        <f t="shared" si="9"/>
        <v>0</v>
      </c>
      <c r="AC17" s="17">
        <f t="shared" si="9"/>
        <v>477</v>
      </c>
      <c r="AD17" s="17">
        <f t="shared" si="9"/>
        <v>0</v>
      </c>
      <c r="AE17" s="31">
        <f t="shared" si="9"/>
        <v>456</v>
      </c>
      <c r="AF17" s="31">
        <f t="shared" si="9"/>
        <v>933</v>
      </c>
    </row>
    <row r="18" spans="2:32" ht="23.1" customHeight="1" x14ac:dyDescent="0.25">
      <c r="B18" s="23" t="s">
        <v>45</v>
      </c>
      <c r="C18" s="50">
        <v>54</v>
      </c>
      <c r="D18" s="50">
        <v>18</v>
      </c>
      <c r="E18" s="50">
        <v>4</v>
      </c>
      <c r="F18" s="50">
        <v>31</v>
      </c>
      <c r="G18" s="50">
        <v>0</v>
      </c>
      <c r="H18" s="50">
        <v>0</v>
      </c>
      <c r="I18" s="50">
        <v>2</v>
      </c>
      <c r="J18" s="50">
        <v>2</v>
      </c>
      <c r="K18" s="50">
        <v>1</v>
      </c>
      <c r="L18" s="50">
        <v>0</v>
      </c>
      <c r="M18" s="50">
        <v>165</v>
      </c>
      <c r="N18" s="50">
        <v>0</v>
      </c>
      <c r="O18" s="15">
        <f t="shared" si="0"/>
        <v>112</v>
      </c>
      <c r="P18" s="15">
        <f t="shared" si="1"/>
        <v>277</v>
      </c>
      <c r="R18" s="1" t="s">
        <v>14</v>
      </c>
      <c r="S18" s="17">
        <f t="shared" ref="S18:AF18" si="10">SUM(C42:C45)</f>
        <v>206</v>
      </c>
      <c r="T18" s="17">
        <f t="shared" si="10"/>
        <v>90</v>
      </c>
      <c r="U18" s="17">
        <f t="shared" si="10"/>
        <v>45</v>
      </c>
      <c r="V18" s="17">
        <f t="shared" si="10"/>
        <v>81</v>
      </c>
      <c r="W18" s="17">
        <f t="shared" si="10"/>
        <v>1</v>
      </c>
      <c r="X18" s="17">
        <f t="shared" si="10"/>
        <v>0</v>
      </c>
      <c r="Y18" s="17">
        <f t="shared" si="10"/>
        <v>14</v>
      </c>
      <c r="Z18" s="17">
        <f t="shared" si="10"/>
        <v>10</v>
      </c>
      <c r="AA18" s="17">
        <f t="shared" si="10"/>
        <v>3</v>
      </c>
      <c r="AB18" s="17">
        <f t="shared" si="10"/>
        <v>1</v>
      </c>
      <c r="AC18" s="17">
        <f t="shared" si="10"/>
        <v>655</v>
      </c>
      <c r="AD18" s="17">
        <f t="shared" si="10"/>
        <v>1</v>
      </c>
      <c r="AE18" s="31">
        <f t="shared" si="10"/>
        <v>452</v>
      </c>
      <c r="AF18" s="31">
        <f t="shared" si="10"/>
        <v>1107</v>
      </c>
    </row>
    <row r="19" spans="2:32" ht="23.1" customHeight="1" x14ac:dyDescent="0.25">
      <c r="B19" s="23" t="s">
        <v>46</v>
      </c>
      <c r="C19" s="50">
        <v>36</v>
      </c>
      <c r="D19" s="50">
        <v>7</v>
      </c>
      <c r="E19" s="50">
        <v>2</v>
      </c>
      <c r="F19" s="50">
        <v>34</v>
      </c>
      <c r="G19" s="50">
        <v>0</v>
      </c>
      <c r="H19" s="50">
        <v>1</v>
      </c>
      <c r="I19" s="50">
        <v>2</v>
      </c>
      <c r="J19" s="50">
        <v>5</v>
      </c>
      <c r="K19" s="50">
        <v>1</v>
      </c>
      <c r="L19" s="50">
        <v>0</v>
      </c>
      <c r="M19" s="50">
        <v>175</v>
      </c>
      <c r="N19" s="50">
        <v>0</v>
      </c>
      <c r="O19" s="15">
        <f t="shared" si="0"/>
        <v>88</v>
      </c>
      <c r="P19" s="15">
        <f t="shared" si="1"/>
        <v>263</v>
      </c>
      <c r="R19" s="1" t="s">
        <v>15</v>
      </c>
      <c r="S19" s="17">
        <f t="shared" ref="S19:AF19" si="11">SUM(C46:C49)</f>
        <v>172</v>
      </c>
      <c r="T19" s="17">
        <f t="shared" si="11"/>
        <v>84</v>
      </c>
      <c r="U19" s="17">
        <f t="shared" si="11"/>
        <v>42</v>
      </c>
      <c r="V19" s="17">
        <f t="shared" si="11"/>
        <v>68</v>
      </c>
      <c r="W19" s="17">
        <f t="shared" si="11"/>
        <v>3</v>
      </c>
      <c r="X19" s="17">
        <f t="shared" si="11"/>
        <v>0</v>
      </c>
      <c r="Y19" s="17">
        <f t="shared" si="11"/>
        <v>15</v>
      </c>
      <c r="Z19" s="17">
        <f t="shared" si="11"/>
        <v>7</v>
      </c>
      <c r="AA19" s="17">
        <f t="shared" si="11"/>
        <v>1</v>
      </c>
      <c r="AB19" s="17">
        <f t="shared" si="11"/>
        <v>0</v>
      </c>
      <c r="AC19" s="17">
        <f t="shared" si="11"/>
        <v>640</v>
      </c>
      <c r="AD19" s="17">
        <f t="shared" si="11"/>
        <v>0</v>
      </c>
      <c r="AE19" s="31">
        <f t="shared" si="11"/>
        <v>392</v>
      </c>
      <c r="AF19" s="31">
        <f t="shared" si="11"/>
        <v>1032</v>
      </c>
    </row>
    <row r="20" spans="2:32" ht="23.1" customHeight="1" x14ac:dyDescent="0.25">
      <c r="B20" s="23" t="s">
        <v>47</v>
      </c>
      <c r="C20" s="50">
        <v>37</v>
      </c>
      <c r="D20" s="50">
        <v>16</v>
      </c>
      <c r="E20" s="50">
        <v>5</v>
      </c>
      <c r="F20" s="50">
        <v>34</v>
      </c>
      <c r="G20" s="50">
        <v>0</v>
      </c>
      <c r="H20" s="50">
        <v>0</v>
      </c>
      <c r="I20" s="50">
        <v>2</v>
      </c>
      <c r="J20" s="50">
        <v>5</v>
      </c>
      <c r="K20" s="50">
        <v>1</v>
      </c>
      <c r="L20" s="50">
        <v>0</v>
      </c>
      <c r="M20" s="50">
        <v>145</v>
      </c>
      <c r="N20" s="50">
        <v>0</v>
      </c>
      <c r="O20" s="15">
        <f t="shared" si="0"/>
        <v>100</v>
      </c>
      <c r="P20" s="15">
        <f t="shared" si="1"/>
        <v>245</v>
      </c>
      <c r="R20" s="1" t="s">
        <v>16</v>
      </c>
      <c r="S20" s="17">
        <f t="shared" ref="S20:AF20" si="12">SUM(C50:C53)</f>
        <v>251</v>
      </c>
      <c r="T20" s="17">
        <f t="shared" si="12"/>
        <v>105</v>
      </c>
      <c r="U20" s="17">
        <f t="shared" si="12"/>
        <v>35</v>
      </c>
      <c r="V20" s="17">
        <f t="shared" si="12"/>
        <v>58</v>
      </c>
      <c r="W20" s="17">
        <f t="shared" si="12"/>
        <v>7</v>
      </c>
      <c r="X20" s="17">
        <f t="shared" si="12"/>
        <v>0</v>
      </c>
      <c r="Y20" s="17">
        <f t="shared" si="12"/>
        <v>10</v>
      </c>
      <c r="Z20" s="17">
        <f t="shared" si="12"/>
        <v>10</v>
      </c>
      <c r="AA20" s="17">
        <f t="shared" si="12"/>
        <v>4</v>
      </c>
      <c r="AB20" s="17">
        <f t="shared" si="12"/>
        <v>1</v>
      </c>
      <c r="AC20" s="17">
        <f t="shared" si="12"/>
        <v>670</v>
      </c>
      <c r="AD20" s="17">
        <f t="shared" si="12"/>
        <v>0</v>
      </c>
      <c r="AE20" s="31">
        <f t="shared" si="12"/>
        <v>481</v>
      </c>
      <c r="AF20" s="31">
        <f t="shared" si="12"/>
        <v>1151</v>
      </c>
    </row>
    <row r="21" spans="2:32" ht="23.1" customHeight="1" x14ac:dyDescent="0.25">
      <c r="B21" s="23" t="s">
        <v>48</v>
      </c>
      <c r="C21" s="50">
        <v>28</v>
      </c>
      <c r="D21" s="50">
        <v>10</v>
      </c>
      <c r="E21" s="50">
        <v>9</v>
      </c>
      <c r="F21" s="50">
        <v>32</v>
      </c>
      <c r="G21" s="50">
        <v>0</v>
      </c>
      <c r="H21" s="50">
        <v>0</v>
      </c>
      <c r="I21" s="50">
        <v>4</v>
      </c>
      <c r="J21" s="50">
        <v>2</v>
      </c>
      <c r="K21" s="50">
        <v>0</v>
      </c>
      <c r="L21" s="50">
        <v>0</v>
      </c>
      <c r="M21" s="50">
        <v>180</v>
      </c>
      <c r="N21" s="50">
        <v>0</v>
      </c>
      <c r="O21" s="15">
        <f t="shared" si="0"/>
        <v>85</v>
      </c>
      <c r="P21" s="15">
        <f t="shared" si="1"/>
        <v>265</v>
      </c>
      <c r="R21" s="36" t="s">
        <v>20</v>
      </c>
      <c r="S21" s="34">
        <f t="shared" ref="S21:AF21" si="13">SUM(C54:C57)</f>
        <v>127</v>
      </c>
      <c r="T21" s="17">
        <f t="shared" si="13"/>
        <v>63</v>
      </c>
      <c r="U21" s="17">
        <f t="shared" si="13"/>
        <v>25</v>
      </c>
      <c r="V21" s="17">
        <f t="shared" si="13"/>
        <v>55</v>
      </c>
      <c r="W21" s="17">
        <f t="shared" si="13"/>
        <v>7</v>
      </c>
      <c r="X21" s="17">
        <f t="shared" si="13"/>
        <v>1</v>
      </c>
      <c r="Y21" s="17">
        <f t="shared" si="13"/>
        <v>13</v>
      </c>
      <c r="Z21" s="17">
        <f t="shared" si="13"/>
        <v>7</v>
      </c>
      <c r="AA21" s="17">
        <f t="shared" si="13"/>
        <v>0</v>
      </c>
      <c r="AB21" s="17">
        <f t="shared" si="13"/>
        <v>1</v>
      </c>
      <c r="AC21" s="17">
        <f t="shared" si="13"/>
        <v>560</v>
      </c>
      <c r="AD21" s="17">
        <f t="shared" si="13"/>
        <v>0</v>
      </c>
      <c r="AE21" s="31">
        <f t="shared" si="13"/>
        <v>299</v>
      </c>
      <c r="AF21" s="31">
        <f t="shared" si="13"/>
        <v>859</v>
      </c>
    </row>
    <row r="22" spans="2:32" ht="23.1" customHeight="1" x14ac:dyDescent="0.25">
      <c r="B22" s="23" t="s">
        <v>49</v>
      </c>
      <c r="C22" s="50">
        <v>32</v>
      </c>
      <c r="D22" s="50">
        <v>13</v>
      </c>
      <c r="E22" s="50">
        <v>7</v>
      </c>
      <c r="F22" s="50">
        <v>37</v>
      </c>
      <c r="G22" s="50">
        <v>0</v>
      </c>
      <c r="H22" s="50">
        <v>0</v>
      </c>
      <c r="I22" s="50">
        <v>2</v>
      </c>
      <c r="J22" s="50">
        <v>7</v>
      </c>
      <c r="K22" s="50">
        <v>0</v>
      </c>
      <c r="L22" s="50">
        <v>0</v>
      </c>
      <c r="M22" s="50">
        <v>185</v>
      </c>
      <c r="N22" s="50">
        <v>0</v>
      </c>
      <c r="O22" s="15">
        <f t="shared" si="0"/>
        <v>98</v>
      </c>
      <c r="P22" s="15">
        <f t="shared" si="1"/>
        <v>283</v>
      </c>
      <c r="R22" s="38" t="s">
        <v>90</v>
      </c>
      <c r="S22" s="39">
        <f>MAX(S10:S12)</f>
        <v>155</v>
      </c>
      <c r="T22" s="39">
        <f t="shared" ref="T22:AF22" si="14">MAX(T10:T12)</f>
        <v>51</v>
      </c>
      <c r="U22" s="39">
        <f t="shared" si="14"/>
        <v>20</v>
      </c>
      <c r="V22" s="39">
        <f t="shared" si="14"/>
        <v>160</v>
      </c>
      <c r="W22" s="39">
        <f t="shared" si="14"/>
        <v>1</v>
      </c>
      <c r="X22" s="39">
        <f t="shared" si="14"/>
        <v>1</v>
      </c>
      <c r="Y22" s="39">
        <f t="shared" si="14"/>
        <v>10</v>
      </c>
      <c r="Z22" s="39">
        <f t="shared" si="14"/>
        <v>14</v>
      </c>
      <c r="AA22" s="39">
        <f t="shared" si="14"/>
        <v>3</v>
      </c>
      <c r="AB22" s="39">
        <f t="shared" si="14"/>
        <v>0</v>
      </c>
      <c r="AC22" s="39">
        <f t="shared" si="14"/>
        <v>665</v>
      </c>
      <c r="AD22" s="39">
        <f t="shared" si="14"/>
        <v>0</v>
      </c>
      <c r="AE22" s="40">
        <f t="shared" si="14"/>
        <v>385</v>
      </c>
      <c r="AF22" s="40">
        <f t="shared" si="14"/>
        <v>1050</v>
      </c>
    </row>
    <row r="23" spans="2:32" ht="23.1" customHeight="1" x14ac:dyDescent="0.25">
      <c r="B23" s="23" t="s">
        <v>50</v>
      </c>
      <c r="C23" s="50">
        <v>30</v>
      </c>
      <c r="D23" s="50">
        <v>19</v>
      </c>
      <c r="E23" s="50">
        <v>8</v>
      </c>
      <c r="F23" s="50">
        <v>23</v>
      </c>
      <c r="G23" s="50">
        <v>0</v>
      </c>
      <c r="H23" s="50">
        <v>0</v>
      </c>
      <c r="I23" s="50">
        <v>2</v>
      </c>
      <c r="J23" s="50">
        <v>3</v>
      </c>
      <c r="K23" s="50">
        <v>1</v>
      </c>
      <c r="L23" s="50">
        <v>0</v>
      </c>
      <c r="M23" s="50">
        <v>200</v>
      </c>
      <c r="N23" s="50">
        <v>0</v>
      </c>
      <c r="O23" s="15">
        <f t="shared" si="0"/>
        <v>86</v>
      </c>
      <c r="P23" s="15">
        <f t="shared" si="1"/>
        <v>286</v>
      </c>
      <c r="R23" s="38" t="s">
        <v>91</v>
      </c>
      <c r="S23" s="39">
        <f>MAX(S13:S18)</f>
        <v>210</v>
      </c>
      <c r="T23" s="39">
        <f t="shared" ref="T23:AF23" si="15">MAX(T13:T18)</f>
        <v>90</v>
      </c>
      <c r="U23" s="39">
        <f t="shared" si="15"/>
        <v>45</v>
      </c>
      <c r="V23" s="39">
        <f t="shared" si="15"/>
        <v>118</v>
      </c>
      <c r="W23" s="39">
        <f t="shared" si="15"/>
        <v>1</v>
      </c>
      <c r="X23" s="39">
        <f t="shared" si="15"/>
        <v>0</v>
      </c>
      <c r="Y23" s="39">
        <f t="shared" si="15"/>
        <v>17</v>
      </c>
      <c r="Z23" s="39">
        <f t="shared" si="15"/>
        <v>18</v>
      </c>
      <c r="AA23" s="39">
        <f t="shared" si="15"/>
        <v>4</v>
      </c>
      <c r="AB23" s="39">
        <f t="shared" si="15"/>
        <v>1</v>
      </c>
      <c r="AC23" s="39">
        <f t="shared" si="15"/>
        <v>750</v>
      </c>
      <c r="AD23" s="39">
        <f t="shared" si="15"/>
        <v>1</v>
      </c>
      <c r="AE23" s="40">
        <f t="shared" si="15"/>
        <v>456</v>
      </c>
      <c r="AF23" s="40">
        <f t="shared" si="15"/>
        <v>1155</v>
      </c>
    </row>
    <row r="24" spans="2:32" ht="23.1" customHeight="1" x14ac:dyDescent="0.25">
      <c r="B24" s="23" t="s">
        <v>51</v>
      </c>
      <c r="C24" s="50">
        <v>39</v>
      </c>
      <c r="D24" s="50">
        <v>14</v>
      </c>
      <c r="E24" s="50">
        <v>11</v>
      </c>
      <c r="F24" s="50">
        <v>26</v>
      </c>
      <c r="G24" s="50">
        <v>0</v>
      </c>
      <c r="H24" s="50">
        <v>0</v>
      </c>
      <c r="I24" s="50">
        <v>7</v>
      </c>
      <c r="J24" s="50">
        <v>4</v>
      </c>
      <c r="K24" s="50">
        <v>3</v>
      </c>
      <c r="L24" s="50">
        <v>0</v>
      </c>
      <c r="M24" s="50">
        <v>180</v>
      </c>
      <c r="N24" s="50">
        <v>0</v>
      </c>
      <c r="O24" s="15">
        <f t="shared" si="0"/>
        <v>104</v>
      </c>
      <c r="P24" s="15">
        <f t="shared" si="1"/>
        <v>284</v>
      </c>
      <c r="R24" s="38" t="s">
        <v>92</v>
      </c>
      <c r="S24" s="39">
        <f>MAX(S19:S21)</f>
        <v>251</v>
      </c>
      <c r="T24" s="39">
        <f t="shared" ref="T24:AF24" si="16">MAX(T19:T21)</f>
        <v>105</v>
      </c>
      <c r="U24" s="39">
        <f t="shared" si="16"/>
        <v>42</v>
      </c>
      <c r="V24" s="39">
        <f t="shared" si="16"/>
        <v>68</v>
      </c>
      <c r="W24" s="39">
        <f t="shared" si="16"/>
        <v>7</v>
      </c>
      <c r="X24" s="39">
        <f t="shared" si="16"/>
        <v>1</v>
      </c>
      <c r="Y24" s="39">
        <f t="shared" si="16"/>
        <v>15</v>
      </c>
      <c r="Z24" s="39">
        <f t="shared" si="16"/>
        <v>10</v>
      </c>
      <c r="AA24" s="39">
        <f t="shared" si="16"/>
        <v>4</v>
      </c>
      <c r="AB24" s="39">
        <f t="shared" si="16"/>
        <v>1</v>
      </c>
      <c r="AC24" s="39">
        <f t="shared" si="16"/>
        <v>670</v>
      </c>
      <c r="AD24" s="39">
        <f t="shared" si="16"/>
        <v>0</v>
      </c>
      <c r="AE24" s="40">
        <f t="shared" si="16"/>
        <v>481</v>
      </c>
      <c r="AF24" s="40">
        <f t="shared" si="16"/>
        <v>1151</v>
      </c>
    </row>
    <row r="25" spans="2:32" ht="23.1" customHeight="1" x14ac:dyDescent="0.25">
      <c r="B25" s="23" t="s">
        <v>52</v>
      </c>
      <c r="C25" s="50">
        <v>46</v>
      </c>
      <c r="D25" s="50">
        <v>14</v>
      </c>
      <c r="E25" s="50">
        <v>6</v>
      </c>
      <c r="F25" s="50">
        <v>32</v>
      </c>
      <c r="G25" s="50">
        <v>0</v>
      </c>
      <c r="H25" s="50">
        <v>0</v>
      </c>
      <c r="I25" s="50">
        <v>2</v>
      </c>
      <c r="J25" s="50">
        <v>2</v>
      </c>
      <c r="K25" s="50">
        <v>0</v>
      </c>
      <c r="L25" s="50">
        <v>0</v>
      </c>
      <c r="M25" s="50">
        <v>185</v>
      </c>
      <c r="N25" s="50">
        <v>0</v>
      </c>
      <c r="O25" s="15">
        <f t="shared" si="0"/>
        <v>102</v>
      </c>
      <c r="P25" s="15">
        <f t="shared" si="1"/>
        <v>287</v>
      </c>
      <c r="R25" s="37" t="s">
        <v>85</v>
      </c>
      <c r="S25" s="35">
        <f t="shared" ref="S25:AF25" si="17">SUM(S10:S12)</f>
        <v>406</v>
      </c>
      <c r="T25" s="16">
        <f t="shared" si="17"/>
        <v>128</v>
      </c>
      <c r="U25" s="16">
        <f t="shared" si="17"/>
        <v>52</v>
      </c>
      <c r="V25" s="16">
        <f t="shared" si="17"/>
        <v>448</v>
      </c>
      <c r="W25" s="16">
        <f t="shared" si="17"/>
        <v>1</v>
      </c>
      <c r="X25" s="16">
        <f t="shared" si="17"/>
        <v>1</v>
      </c>
      <c r="Y25" s="16">
        <f t="shared" si="17"/>
        <v>21</v>
      </c>
      <c r="Z25" s="16">
        <f t="shared" si="17"/>
        <v>26</v>
      </c>
      <c r="AA25" s="16">
        <f t="shared" si="17"/>
        <v>6</v>
      </c>
      <c r="AB25" s="16">
        <f t="shared" si="17"/>
        <v>0</v>
      </c>
      <c r="AC25" s="16">
        <f t="shared" si="17"/>
        <v>1900</v>
      </c>
      <c r="AD25" s="16">
        <f t="shared" si="17"/>
        <v>0</v>
      </c>
      <c r="AE25" s="32">
        <f t="shared" si="17"/>
        <v>1089</v>
      </c>
      <c r="AF25" s="32">
        <f t="shared" si="17"/>
        <v>2989</v>
      </c>
    </row>
    <row r="26" spans="2:32" ht="23.1" customHeight="1" x14ac:dyDescent="0.25">
      <c r="B26" s="23" t="s">
        <v>53</v>
      </c>
      <c r="C26" s="50">
        <v>31</v>
      </c>
      <c r="D26" s="50">
        <v>11</v>
      </c>
      <c r="E26" s="50">
        <v>4</v>
      </c>
      <c r="F26" s="50">
        <v>29</v>
      </c>
      <c r="G26" s="50">
        <v>0</v>
      </c>
      <c r="H26" s="50">
        <v>0</v>
      </c>
      <c r="I26" s="50">
        <v>3</v>
      </c>
      <c r="J26" s="50">
        <v>3</v>
      </c>
      <c r="K26" s="50">
        <v>1</v>
      </c>
      <c r="L26" s="50">
        <v>0</v>
      </c>
      <c r="M26" s="50">
        <v>160</v>
      </c>
      <c r="N26" s="50">
        <v>0</v>
      </c>
      <c r="O26" s="15">
        <f t="shared" si="0"/>
        <v>82</v>
      </c>
      <c r="P26" s="15">
        <f t="shared" si="1"/>
        <v>242</v>
      </c>
      <c r="R26" s="28" t="s">
        <v>86</v>
      </c>
      <c r="S26" s="16">
        <f t="shared" ref="S26:AF26" si="18">SUM(S13:S18)</f>
        <v>1098</v>
      </c>
      <c r="T26" s="16">
        <f t="shared" si="18"/>
        <v>445</v>
      </c>
      <c r="U26" s="16">
        <f t="shared" si="18"/>
        <v>195</v>
      </c>
      <c r="V26" s="16">
        <f t="shared" si="18"/>
        <v>582</v>
      </c>
      <c r="W26" s="16">
        <f t="shared" si="18"/>
        <v>2</v>
      </c>
      <c r="X26" s="16">
        <f t="shared" si="18"/>
        <v>0</v>
      </c>
      <c r="Y26" s="16">
        <f t="shared" si="18"/>
        <v>76</v>
      </c>
      <c r="Z26" s="16">
        <f t="shared" si="18"/>
        <v>82</v>
      </c>
      <c r="AA26" s="16">
        <f t="shared" si="18"/>
        <v>17</v>
      </c>
      <c r="AB26" s="16">
        <f t="shared" si="18"/>
        <v>1</v>
      </c>
      <c r="AC26" s="16">
        <f t="shared" si="18"/>
        <v>3918</v>
      </c>
      <c r="AD26" s="16">
        <f t="shared" si="18"/>
        <v>2</v>
      </c>
      <c r="AE26" s="32">
        <f t="shared" si="18"/>
        <v>2500</v>
      </c>
      <c r="AF26" s="32">
        <f t="shared" si="18"/>
        <v>6418</v>
      </c>
    </row>
    <row r="27" spans="2:32" ht="23.1" customHeight="1" x14ac:dyDescent="0.25">
      <c r="B27" s="23" t="s">
        <v>54</v>
      </c>
      <c r="C27" s="50">
        <v>32</v>
      </c>
      <c r="D27" s="50">
        <v>14</v>
      </c>
      <c r="E27" s="50">
        <v>9</v>
      </c>
      <c r="F27" s="50">
        <v>26</v>
      </c>
      <c r="G27" s="50">
        <v>0</v>
      </c>
      <c r="H27" s="50">
        <v>0</v>
      </c>
      <c r="I27" s="50">
        <v>4</v>
      </c>
      <c r="J27" s="50">
        <v>4</v>
      </c>
      <c r="K27" s="50">
        <v>2</v>
      </c>
      <c r="L27" s="50">
        <v>0</v>
      </c>
      <c r="M27" s="50">
        <v>170</v>
      </c>
      <c r="N27" s="50">
        <v>0</v>
      </c>
      <c r="O27" s="15">
        <f t="shared" si="0"/>
        <v>91</v>
      </c>
      <c r="P27" s="15">
        <f t="shared" si="1"/>
        <v>261</v>
      </c>
      <c r="R27" s="29" t="s">
        <v>87</v>
      </c>
      <c r="S27" s="16">
        <f t="shared" ref="S27:AF27" si="19">SUM(S19:S21)</f>
        <v>550</v>
      </c>
      <c r="T27" s="16">
        <f t="shared" si="19"/>
        <v>252</v>
      </c>
      <c r="U27" s="16">
        <f t="shared" si="19"/>
        <v>102</v>
      </c>
      <c r="V27" s="16">
        <f t="shared" si="19"/>
        <v>181</v>
      </c>
      <c r="W27" s="16">
        <f t="shared" si="19"/>
        <v>17</v>
      </c>
      <c r="X27" s="16">
        <f t="shared" si="19"/>
        <v>1</v>
      </c>
      <c r="Y27" s="16">
        <f t="shared" si="19"/>
        <v>38</v>
      </c>
      <c r="Z27" s="16">
        <f t="shared" si="19"/>
        <v>24</v>
      </c>
      <c r="AA27" s="16">
        <f t="shared" si="19"/>
        <v>5</v>
      </c>
      <c r="AB27" s="16">
        <f t="shared" si="19"/>
        <v>2</v>
      </c>
      <c r="AC27" s="16">
        <f t="shared" si="19"/>
        <v>1870</v>
      </c>
      <c r="AD27" s="16">
        <f t="shared" si="19"/>
        <v>0</v>
      </c>
      <c r="AE27" s="32">
        <f t="shared" si="19"/>
        <v>1172</v>
      </c>
      <c r="AF27" s="32">
        <f t="shared" si="19"/>
        <v>3042</v>
      </c>
    </row>
    <row r="28" spans="2:32" ht="23.1" customHeight="1" x14ac:dyDescent="0.25">
      <c r="B28" s="23" t="s">
        <v>55</v>
      </c>
      <c r="C28" s="50">
        <v>30</v>
      </c>
      <c r="D28" s="50">
        <v>21</v>
      </c>
      <c r="E28" s="50">
        <v>7</v>
      </c>
      <c r="F28" s="50">
        <v>16</v>
      </c>
      <c r="G28" s="50">
        <v>0</v>
      </c>
      <c r="H28" s="50">
        <v>0</v>
      </c>
      <c r="I28" s="50">
        <v>1</v>
      </c>
      <c r="J28" s="50">
        <v>5</v>
      </c>
      <c r="K28" s="50">
        <v>0</v>
      </c>
      <c r="L28" s="50">
        <v>0</v>
      </c>
      <c r="M28" s="50">
        <v>145</v>
      </c>
      <c r="N28" s="50">
        <v>0</v>
      </c>
      <c r="O28" s="15">
        <f t="shared" si="0"/>
        <v>80</v>
      </c>
      <c r="P28" s="15">
        <f t="shared" si="1"/>
        <v>225</v>
      </c>
      <c r="R28" s="5" t="s">
        <v>17</v>
      </c>
      <c r="S28" s="16">
        <f t="shared" ref="S28:AF28" si="20">SUM(S10:S21)</f>
        <v>2054</v>
      </c>
      <c r="T28" s="16">
        <f t="shared" si="20"/>
        <v>825</v>
      </c>
      <c r="U28" s="16">
        <f t="shared" si="20"/>
        <v>349</v>
      </c>
      <c r="V28" s="16">
        <f t="shared" si="20"/>
        <v>1211</v>
      </c>
      <c r="W28" s="16">
        <f t="shared" si="20"/>
        <v>20</v>
      </c>
      <c r="X28" s="16">
        <f t="shared" si="20"/>
        <v>2</v>
      </c>
      <c r="Y28" s="16">
        <f t="shared" si="20"/>
        <v>135</v>
      </c>
      <c r="Z28" s="16">
        <f t="shared" si="20"/>
        <v>132</v>
      </c>
      <c r="AA28" s="16">
        <f t="shared" si="20"/>
        <v>28</v>
      </c>
      <c r="AB28" s="16">
        <f t="shared" si="20"/>
        <v>3</v>
      </c>
      <c r="AC28" s="16">
        <f t="shared" si="20"/>
        <v>7688</v>
      </c>
      <c r="AD28" s="16">
        <f t="shared" si="20"/>
        <v>2</v>
      </c>
      <c r="AE28" s="32">
        <f t="shared" si="20"/>
        <v>4761</v>
      </c>
      <c r="AF28" s="32">
        <f t="shared" si="20"/>
        <v>12449</v>
      </c>
    </row>
    <row r="29" spans="2:32" ht="23.1" customHeight="1" x14ac:dyDescent="0.25">
      <c r="B29" s="23" t="s">
        <v>56</v>
      </c>
      <c r="C29" s="50">
        <v>42</v>
      </c>
      <c r="D29" s="50">
        <v>11</v>
      </c>
      <c r="E29" s="50">
        <v>6</v>
      </c>
      <c r="F29" s="50">
        <v>26</v>
      </c>
      <c r="G29" s="50">
        <v>0</v>
      </c>
      <c r="H29" s="50">
        <v>0</v>
      </c>
      <c r="I29" s="50">
        <v>1</v>
      </c>
      <c r="J29" s="50">
        <v>6</v>
      </c>
      <c r="K29" s="50">
        <v>0</v>
      </c>
      <c r="L29" s="50">
        <v>0</v>
      </c>
      <c r="M29" s="50">
        <v>210</v>
      </c>
      <c r="N29" s="50">
        <v>0</v>
      </c>
      <c r="O29" s="15">
        <f t="shared" si="0"/>
        <v>92</v>
      </c>
      <c r="P29" s="15">
        <f t="shared" si="1"/>
        <v>302</v>
      </c>
      <c r="R29"/>
      <c r="S29" s="20"/>
      <c r="T29" s="19"/>
    </row>
    <row r="30" spans="2:32" ht="23.1" customHeight="1" x14ac:dyDescent="0.25">
      <c r="B30" s="23" t="s">
        <v>57</v>
      </c>
      <c r="C30" s="50">
        <v>47</v>
      </c>
      <c r="D30" s="50">
        <v>18</v>
      </c>
      <c r="E30" s="50">
        <v>7</v>
      </c>
      <c r="F30" s="50">
        <v>25</v>
      </c>
      <c r="G30" s="50">
        <v>0</v>
      </c>
      <c r="H30" s="50">
        <v>0</v>
      </c>
      <c r="I30" s="50">
        <v>4</v>
      </c>
      <c r="J30" s="50">
        <v>2</v>
      </c>
      <c r="K30" s="50">
        <v>0</v>
      </c>
      <c r="L30" s="50">
        <v>0</v>
      </c>
      <c r="M30" s="50">
        <v>185</v>
      </c>
      <c r="N30" s="50">
        <v>0</v>
      </c>
      <c r="O30" s="15">
        <f t="shared" si="0"/>
        <v>103</v>
      </c>
      <c r="P30" s="15">
        <f t="shared" si="1"/>
        <v>288</v>
      </c>
    </row>
    <row r="31" spans="2:32" ht="23.1" customHeight="1" x14ac:dyDescent="0.25">
      <c r="B31" s="24" t="s">
        <v>58</v>
      </c>
      <c r="C31" s="50">
        <v>48</v>
      </c>
      <c r="D31" s="50">
        <v>13</v>
      </c>
      <c r="E31" s="50">
        <v>8</v>
      </c>
      <c r="F31" s="50">
        <v>26</v>
      </c>
      <c r="G31" s="50">
        <v>0</v>
      </c>
      <c r="H31" s="50">
        <v>0</v>
      </c>
      <c r="I31" s="50">
        <v>5</v>
      </c>
      <c r="J31" s="50">
        <v>3</v>
      </c>
      <c r="K31" s="50">
        <v>0</v>
      </c>
      <c r="L31" s="50">
        <v>0</v>
      </c>
      <c r="M31" s="50">
        <v>190</v>
      </c>
      <c r="N31" s="50">
        <v>0</v>
      </c>
      <c r="O31" s="15">
        <f t="shared" si="0"/>
        <v>103</v>
      </c>
      <c r="P31" s="15">
        <f t="shared" si="1"/>
        <v>293</v>
      </c>
    </row>
    <row r="32" spans="2:32" ht="23.1" customHeight="1" x14ac:dyDescent="0.25">
      <c r="B32" s="24" t="s">
        <v>59</v>
      </c>
      <c r="C32" s="50">
        <v>44</v>
      </c>
      <c r="D32" s="50">
        <v>18</v>
      </c>
      <c r="E32" s="50">
        <v>7</v>
      </c>
      <c r="F32" s="50">
        <v>27</v>
      </c>
      <c r="G32" s="50">
        <v>0</v>
      </c>
      <c r="H32" s="50">
        <v>0</v>
      </c>
      <c r="I32" s="50">
        <v>1</v>
      </c>
      <c r="J32" s="50">
        <v>3</v>
      </c>
      <c r="K32" s="50">
        <v>2</v>
      </c>
      <c r="L32" s="50">
        <v>0</v>
      </c>
      <c r="M32" s="50">
        <v>195</v>
      </c>
      <c r="N32" s="50">
        <v>1</v>
      </c>
      <c r="O32" s="15">
        <f t="shared" si="0"/>
        <v>103</v>
      </c>
      <c r="P32" s="15">
        <f t="shared" si="1"/>
        <v>298</v>
      </c>
    </row>
    <row r="33" spans="2:20" ht="23.1" customHeight="1" x14ac:dyDescent="0.25">
      <c r="B33" s="23" t="s">
        <v>60</v>
      </c>
      <c r="C33" s="50">
        <v>67</v>
      </c>
      <c r="D33" s="50">
        <v>24</v>
      </c>
      <c r="E33" s="50">
        <v>5</v>
      </c>
      <c r="F33" s="50">
        <v>22</v>
      </c>
      <c r="G33" s="50">
        <v>0</v>
      </c>
      <c r="H33" s="50">
        <v>0</v>
      </c>
      <c r="I33" s="50">
        <v>1</v>
      </c>
      <c r="J33" s="50">
        <v>4</v>
      </c>
      <c r="K33" s="50">
        <v>1</v>
      </c>
      <c r="L33" s="50">
        <v>0</v>
      </c>
      <c r="M33" s="50">
        <v>152</v>
      </c>
      <c r="N33" s="50">
        <v>0</v>
      </c>
      <c r="O33" s="15">
        <f t="shared" si="0"/>
        <v>124</v>
      </c>
      <c r="P33" s="15">
        <f t="shared" si="1"/>
        <v>276</v>
      </c>
    </row>
    <row r="34" spans="2:20" ht="23.1" customHeight="1" x14ac:dyDescent="0.25">
      <c r="B34" s="24" t="s">
        <v>61</v>
      </c>
      <c r="C34" s="50">
        <v>58</v>
      </c>
      <c r="D34" s="50">
        <v>14</v>
      </c>
      <c r="E34" s="50">
        <v>13</v>
      </c>
      <c r="F34" s="50">
        <v>23</v>
      </c>
      <c r="G34" s="50">
        <v>0</v>
      </c>
      <c r="H34" s="50">
        <v>0</v>
      </c>
      <c r="I34" s="50">
        <v>2</v>
      </c>
      <c r="J34" s="50">
        <v>2</v>
      </c>
      <c r="K34" s="50">
        <v>0</v>
      </c>
      <c r="L34" s="50">
        <v>0</v>
      </c>
      <c r="M34" s="50">
        <v>155</v>
      </c>
      <c r="N34" s="50">
        <v>0</v>
      </c>
      <c r="O34" s="15">
        <f t="shared" si="0"/>
        <v>112</v>
      </c>
      <c r="P34" s="15">
        <f t="shared" si="1"/>
        <v>267</v>
      </c>
    </row>
    <row r="35" spans="2:20" ht="23.1" customHeight="1" x14ac:dyDescent="0.25">
      <c r="B35" s="24" t="s">
        <v>62</v>
      </c>
      <c r="C35" s="50">
        <v>53</v>
      </c>
      <c r="D35" s="50">
        <v>24</v>
      </c>
      <c r="E35" s="50">
        <v>10</v>
      </c>
      <c r="F35" s="50">
        <v>26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149</v>
      </c>
      <c r="N35" s="50">
        <v>0</v>
      </c>
      <c r="O35" s="15">
        <f t="shared" si="0"/>
        <v>113</v>
      </c>
      <c r="P35" s="15">
        <f t="shared" si="1"/>
        <v>262</v>
      </c>
    </row>
    <row r="36" spans="2:20" ht="23.1" customHeight="1" x14ac:dyDescent="0.25">
      <c r="B36" s="24" t="s">
        <v>63</v>
      </c>
      <c r="C36" s="50">
        <v>42</v>
      </c>
      <c r="D36" s="50">
        <v>6</v>
      </c>
      <c r="E36" s="50">
        <v>11</v>
      </c>
      <c r="F36" s="50">
        <v>15</v>
      </c>
      <c r="G36" s="50">
        <v>0</v>
      </c>
      <c r="H36" s="50">
        <v>0</v>
      </c>
      <c r="I36" s="50">
        <v>3</v>
      </c>
      <c r="J36" s="50">
        <v>4</v>
      </c>
      <c r="K36" s="50">
        <v>1</v>
      </c>
      <c r="L36" s="50">
        <v>0</v>
      </c>
      <c r="M36" s="50">
        <v>145</v>
      </c>
      <c r="N36" s="50">
        <v>0</v>
      </c>
      <c r="O36" s="15">
        <f t="shared" si="0"/>
        <v>82</v>
      </c>
      <c r="P36" s="15">
        <f t="shared" si="1"/>
        <v>227</v>
      </c>
    </row>
    <row r="37" spans="2:20" ht="23.1" customHeight="1" x14ac:dyDescent="0.25">
      <c r="B37" s="23" t="s">
        <v>64</v>
      </c>
      <c r="C37" s="50">
        <v>41</v>
      </c>
      <c r="D37" s="50">
        <v>32</v>
      </c>
      <c r="E37" s="50">
        <v>6</v>
      </c>
      <c r="F37" s="50">
        <v>25</v>
      </c>
      <c r="G37" s="50">
        <v>0</v>
      </c>
      <c r="H37" s="50">
        <v>0</v>
      </c>
      <c r="I37" s="50">
        <v>7</v>
      </c>
      <c r="J37" s="50">
        <v>5</v>
      </c>
      <c r="K37" s="50">
        <v>1</v>
      </c>
      <c r="L37" s="50">
        <v>0</v>
      </c>
      <c r="M37" s="50">
        <v>180</v>
      </c>
      <c r="N37" s="50">
        <v>0</v>
      </c>
      <c r="O37" s="15">
        <f t="shared" si="0"/>
        <v>117</v>
      </c>
      <c r="P37" s="15">
        <f t="shared" si="1"/>
        <v>297</v>
      </c>
    </row>
    <row r="38" spans="2:20" ht="23.1" customHeight="1" x14ac:dyDescent="0.25">
      <c r="B38" s="24" t="s">
        <v>65</v>
      </c>
      <c r="C38" s="50">
        <v>48</v>
      </c>
      <c r="D38" s="50">
        <v>18</v>
      </c>
      <c r="E38" s="50">
        <v>7</v>
      </c>
      <c r="F38" s="50">
        <v>24</v>
      </c>
      <c r="G38" s="50">
        <v>0</v>
      </c>
      <c r="H38" s="50">
        <v>0</v>
      </c>
      <c r="I38" s="50">
        <v>8</v>
      </c>
      <c r="J38" s="50">
        <v>5</v>
      </c>
      <c r="K38" s="50">
        <v>0</v>
      </c>
      <c r="L38" s="50">
        <v>0</v>
      </c>
      <c r="M38" s="50">
        <v>152</v>
      </c>
      <c r="N38" s="50">
        <v>0</v>
      </c>
      <c r="O38" s="15">
        <f t="shared" si="0"/>
        <v>110</v>
      </c>
      <c r="P38" s="15">
        <f t="shared" si="1"/>
        <v>262</v>
      </c>
    </row>
    <row r="39" spans="2:20" ht="23.1" customHeight="1" x14ac:dyDescent="0.25">
      <c r="B39" s="24" t="s">
        <v>66</v>
      </c>
      <c r="C39" s="50">
        <v>53</v>
      </c>
      <c r="D39" s="50">
        <v>20</v>
      </c>
      <c r="E39" s="50">
        <v>5</v>
      </c>
      <c r="F39" s="50">
        <v>16</v>
      </c>
      <c r="G39" s="50">
        <v>1</v>
      </c>
      <c r="H39" s="50">
        <v>0</v>
      </c>
      <c r="I39" s="50">
        <v>4</v>
      </c>
      <c r="J39" s="50">
        <v>4</v>
      </c>
      <c r="K39" s="50">
        <v>0</v>
      </c>
      <c r="L39" s="50">
        <v>0</v>
      </c>
      <c r="M39" s="50">
        <v>150</v>
      </c>
      <c r="N39" s="50">
        <v>0</v>
      </c>
      <c r="O39" s="15">
        <f t="shared" si="0"/>
        <v>103</v>
      </c>
      <c r="P39" s="15">
        <f t="shared" si="1"/>
        <v>253</v>
      </c>
    </row>
    <row r="40" spans="2:20" ht="23.1" customHeight="1" x14ac:dyDescent="0.25">
      <c r="B40" s="24" t="s">
        <v>67</v>
      </c>
      <c r="C40" s="50">
        <v>48</v>
      </c>
      <c r="D40" s="50">
        <v>16</v>
      </c>
      <c r="E40" s="50">
        <v>2</v>
      </c>
      <c r="F40" s="50">
        <v>17</v>
      </c>
      <c r="G40" s="50">
        <v>0</v>
      </c>
      <c r="H40" s="50">
        <v>0</v>
      </c>
      <c r="I40" s="50">
        <v>4</v>
      </c>
      <c r="J40" s="50">
        <v>3</v>
      </c>
      <c r="K40" s="50">
        <v>2</v>
      </c>
      <c r="L40" s="50">
        <v>0</v>
      </c>
      <c r="M40" s="50">
        <v>75</v>
      </c>
      <c r="N40" s="50">
        <v>0</v>
      </c>
      <c r="O40" s="15">
        <f t="shared" si="0"/>
        <v>92</v>
      </c>
      <c r="P40" s="15">
        <f t="shared" si="1"/>
        <v>167</v>
      </c>
    </row>
    <row r="41" spans="2:20" ht="23.1" customHeight="1" x14ac:dyDescent="0.25">
      <c r="B41" s="23" t="s">
        <v>68</v>
      </c>
      <c r="C41" s="50">
        <v>61</v>
      </c>
      <c r="D41" s="50">
        <v>35</v>
      </c>
      <c r="E41" s="50">
        <v>11</v>
      </c>
      <c r="F41" s="50">
        <v>40</v>
      </c>
      <c r="G41" s="50">
        <v>0</v>
      </c>
      <c r="H41" s="50">
        <v>0</v>
      </c>
      <c r="I41" s="50">
        <v>1</v>
      </c>
      <c r="J41" s="50">
        <v>3</v>
      </c>
      <c r="K41" s="50">
        <v>0</v>
      </c>
      <c r="L41" s="50">
        <v>0</v>
      </c>
      <c r="M41" s="50">
        <v>100</v>
      </c>
      <c r="N41" s="50">
        <v>0</v>
      </c>
      <c r="O41" s="15">
        <f t="shared" si="0"/>
        <v>151</v>
      </c>
      <c r="P41" s="15">
        <f t="shared" si="1"/>
        <v>251</v>
      </c>
    </row>
    <row r="42" spans="2:20" ht="23.1" customHeight="1" x14ac:dyDescent="0.25">
      <c r="B42" s="24" t="s">
        <v>69</v>
      </c>
      <c r="C42" s="50">
        <v>62</v>
      </c>
      <c r="D42" s="50">
        <v>19</v>
      </c>
      <c r="E42" s="50">
        <v>18</v>
      </c>
      <c r="F42" s="50">
        <v>19</v>
      </c>
      <c r="G42" s="50">
        <v>0</v>
      </c>
      <c r="H42" s="50">
        <v>0</v>
      </c>
      <c r="I42" s="50">
        <v>2</v>
      </c>
      <c r="J42" s="50">
        <v>6</v>
      </c>
      <c r="K42" s="50">
        <v>0</v>
      </c>
      <c r="L42" s="50">
        <v>0</v>
      </c>
      <c r="M42" s="50">
        <v>180</v>
      </c>
      <c r="N42" s="50">
        <v>1</v>
      </c>
      <c r="O42" s="15">
        <f t="shared" si="0"/>
        <v>127</v>
      </c>
      <c r="P42" s="15">
        <f t="shared" si="1"/>
        <v>307</v>
      </c>
    </row>
    <row r="43" spans="2:20" ht="23.1" customHeight="1" x14ac:dyDescent="0.25">
      <c r="B43" s="23" t="s">
        <v>70</v>
      </c>
      <c r="C43" s="50">
        <v>52</v>
      </c>
      <c r="D43" s="50">
        <v>22</v>
      </c>
      <c r="E43" s="50">
        <v>11</v>
      </c>
      <c r="F43" s="50">
        <v>29</v>
      </c>
      <c r="G43" s="50">
        <v>0</v>
      </c>
      <c r="H43" s="50">
        <v>0</v>
      </c>
      <c r="I43" s="50">
        <v>6</v>
      </c>
      <c r="J43" s="50">
        <v>1</v>
      </c>
      <c r="K43" s="50">
        <v>1</v>
      </c>
      <c r="L43" s="50">
        <v>1</v>
      </c>
      <c r="M43" s="50">
        <v>190</v>
      </c>
      <c r="N43" s="50">
        <v>0</v>
      </c>
      <c r="O43" s="15">
        <f t="shared" si="0"/>
        <v>123</v>
      </c>
      <c r="P43" s="15">
        <f t="shared" si="1"/>
        <v>313</v>
      </c>
    </row>
    <row r="44" spans="2:20" ht="23.1" customHeight="1" x14ac:dyDescent="0.25">
      <c r="B44" s="25" t="s">
        <v>71</v>
      </c>
      <c r="C44" s="50">
        <v>41</v>
      </c>
      <c r="D44" s="50">
        <v>25</v>
      </c>
      <c r="E44" s="50">
        <v>5</v>
      </c>
      <c r="F44" s="50">
        <v>19</v>
      </c>
      <c r="G44" s="50">
        <v>0</v>
      </c>
      <c r="H44" s="50">
        <v>0</v>
      </c>
      <c r="I44" s="50">
        <v>2</v>
      </c>
      <c r="J44" s="50">
        <v>0</v>
      </c>
      <c r="K44" s="50">
        <v>2</v>
      </c>
      <c r="L44" s="50">
        <v>0</v>
      </c>
      <c r="M44" s="50">
        <v>195</v>
      </c>
      <c r="N44" s="50">
        <v>0</v>
      </c>
      <c r="O44" s="15">
        <f t="shared" si="0"/>
        <v>94</v>
      </c>
      <c r="P44" s="15">
        <f t="shared" si="1"/>
        <v>289</v>
      </c>
    </row>
    <row r="45" spans="2:20" ht="23.1" customHeight="1" x14ac:dyDescent="0.25">
      <c r="B45" s="23" t="s">
        <v>72</v>
      </c>
      <c r="C45" s="50">
        <v>51</v>
      </c>
      <c r="D45" s="50">
        <v>24</v>
      </c>
      <c r="E45" s="50">
        <v>11</v>
      </c>
      <c r="F45" s="50">
        <v>14</v>
      </c>
      <c r="G45" s="50">
        <v>1</v>
      </c>
      <c r="H45" s="50">
        <v>0</v>
      </c>
      <c r="I45" s="50">
        <v>4</v>
      </c>
      <c r="J45" s="50">
        <v>3</v>
      </c>
      <c r="K45" s="50">
        <v>0</v>
      </c>
      <c r="L45" s="50">
        <v>0</v>
      </c>
      <c r="M45" s="50">
        <v>90</v>
      </c>
      <c r="N45" s="50">
        <v>0</v>
      </c>
      <c r="O45" s="15">
        <f t="shared" si="0"/>
        <v>108</v>
      </c>
      <c r="P45" s="15">
        <f t="shared" si="1"/>
        <v>198</v>
      </c>
    </row>
    <row r="46" spans="2:20" ht="23.1" customHeight="1" x14ac:dyDescent="0.25">
      <c r="B46" s="24" t="s">
        <v>73</v>
      </c>
      <c r="C46" s="50">
        <v>51</v>
      </c>
      <c r="D46" s="50">
        <v>21</v>
      </c>
      <c r="E46" s="50">
        <v>12</v>
      </c>
      <c r="F46" s="50">
        <v>17</v>
      </c>
      <c r="G46" s="50">
        <v>1</v>
      </c>
      <c r="H46" s="50">
        <v>0</v>
      </c>
      <c r="I46" s="50">
        <v>3</v>
      </c>
      <c r="J46" s="50">
        <v>3</v>
      </c>
      <c r="K46" s="50">
        <v>1</v>
      </c>
      <c r="L46" s="50">
        <v>0</v>
      </c>
      <c r="M46" s="50">
        <v>175</v>
      </c>
      <c r="N46" s="50">
        <v>0</v>
      </c>
      <c r="O46" s="15">
        <f t="shared" si="0"/>
        <v>109</v>
      </c>
      <c r="P46" s="15">
        <f t="shared" si="1"/>
        <v>284</v>
      </c>
      <c r="R46" s="8"/>
      <c r="T46"/>
    </row>
    <row r="47" spans="2:20" ht="23.1" customHeight="1" x14ac:dyDescent="0.25">
      <c r="B47" s="24" t="s">
        <v>74</v>
      </c>
      <c r="C47" s="50">
        <v>50</v>
      </c>
      <c r="D47" s="50">
        <v>13</v>
      </c>
      <c r="E47" s="50">
        <v>8</v>
      </c>
      <c r="F47" s="50">
        <v>14</v>
      </c>
      <c r="G47" s="50">
        <v>0</v>
      </c>
      <c r="H47" s="50">
        <v>0</v>
      </c>
      <c r="I47" s="50">
        <v>3</v>
      </c>
      <c r="J47" s="50">
        <v>2</v>
      </c>
      <c r="K47" s="50">
        <v>0</v>
      </c>
      <c r="L47" s="50">
        <v>0</v>
      </c>
      <c r="M47" s="50">
        <v>160</v>
      </c>
      <c r="N47" s="50">
        <v>0</v>
      </c>
      <c r="O47" s="15">
        <f t="shared" si="0"/>
        <v>90</v>
      </c>
      <c r="P47" s="15">
        <f t="shared" si="1"/>
        <v>250</v>
      </c>
      <c r="R47" s="8"/>
      <c r="T47"/>
    </row>
    <row r="48" spans="2:20" ht="23.1" customHeight="1" x14ac:dyDescent="0.25">
      <c r="B48" s="24" t="s">
        <v>75</v>
      </c>
      <c r="C48" s="50">
        <v>31</v>
      </c>
      <c r="D48" s="50">
        <v>22</v>
      </c>
      <c r="E48" s="50">
        <v>14</v>
      </c>
      <c r="F48" s="50">
        <v>17</v>
      </c>
      <c r="G48" s="50">
        <v>0</v>
      </c>
      <c r="H48" s="50">
        <v>0</v>
      </c>
      <c r="I48" s="50">
        <v>5</v>
      </c>
      <c r="J48" s="50">
        <v>0</v>
      </c>
      <c r="K48" s="50">
        <v>0</v>
      </c>
      <c r="L48" s="50">
        <v>0</v>
      </c>
      <c r="M48" s="50">
        <v>160</v>
      </c>
      <c r="N48" s="50">
        <v>0</v>
      </c>
      <c r="O48" s="15">
        <f t="shared" si="0"/>
        <v>89</v>
      </c>
      <c r="P48" s="15">
        <f t="shared" si="1"/>
        <v>249</v>
      </c>
      <c r="R48" s="8"/>
      <c r="T48"/>
    </row>
    <row r="49" spans="2:20" ht="23.1" customHeight="1" x14ac:dyDescent="0.25">
      <c r="B49" s="23" t="s">
        <v>76</v>
      </c>
      <c r="C49" s="50">
        <v>40</v>
      </c>
      <c r="D49" s="50">
        <v>28</v>
      </c>
      <c r="E49" s="50">
        <v>8</v>
      </c>
      <c r="F49" s="50">
        <v>20</v>
      </c>
      <c r="G49" s="50">
        <v>2</v>
      </c>
      <c r="H49" s="50">
        <v>0</v>
      </c>
      <c r="I49" s="50">
        <v>4</v>
      </c>
      <c r="J49" s="50">
        <v>2</v>
      </c>
      <c r="K49" s="50">
        <v>0</v>
      </c>
      <c r="L49" s="50">
        <v>0</v>
      </c>
      <c r="M49" s="50">
        <v>145</v>
      </c>
      <c r="N49" s="50">
        <v>0</v>
      </c>
      <c r="O49" s="15">
        <f t="shared" si="0"/>
        <v>104</v>
      </c>
      <c r="P49" s="15">
        <f t="shared" si="1"/>
        <v>249</v>
      </c>
      <c r="R49" s="8"/>
      <c r="T49"/>
    </row>
    <row r="50" spans="2:20" ht="23.1" customHeight="1" x14ac:dyDescent="0.25">
      <c r="B50" s="24" t="s">
        <v>77</v>
      </c>
      <c r="C50" s="50">
        <v>64</v>
      </c>
      <c r="D50" s="50">
        <v>24</v>
      </c>
      <c r="E50" s="50">
        <v>12</v>
      </c>
      <c r="F50" s="50">
        <v>15</v>
      </c>
      <c r="G50" s="50">
        <v>3</v>
      </c>
      <c r="H50" s="50">
        <v>0</v>
      </c>
      <c r="I50" s="50">
        <v>3</v>
      </c>
      <c r="J50" s="50">
        <v>4</v>
      </c>
      <c r="K50" s="50">
        <v>0</v>
      </c>
      <c r="L50" s="50">
        <v>0</v>
      </c>
      <c r="M50" s="50">
        <v>125</v>
      </c>
      <c r="N50" s="50">
        <v>0</v>
      </c>
      <c r="O50" s="15">
        <f t="shared" si="0"/>
        <v>125</v>
      </c>
      <c r="P50" s="15">
        <f t="shared" si="1"/>
        <v>250</v>
      </c>
      <c r="R50" s="8"/>
      <c r="T50"/>
    </row>
    <row r="51" spans="2:20" ht="23.1" customHeight="1" x14ac:dyDescent="0.25">
      <c r="B51" s="24" t="s">
        <v>78</v>
      </c>
      <c r="C51" s="50">
        <v>70</v>
      </c>
      <c r="D51" s="50">
        <v>34</v>
      </c>
      <c r="E51" s="50">
        <v>9</v>
      </c>
      <c r="F51" s="50">
        <v>16</v>
      </c>
      <c r="G51" s="50">
        <v>1</v>
      </c>
      <c r="H51" s="50">
        <v>0</v>
      </c>
      <c r="I51" s="50">
        <v>1</v>
      </c>
      <c r="J51" s="50">
        <v>3</v>
      </c>
      <c r="K51" s="50">
        <v>1</v>
      </c>
      <c r="L51" s="50">
        <v>0</v>
      </c>
      <c r="M51" s="50">
        <v>185</v>
      </c>
      <c r="N51" s="50">
        <v>0</v>
      </c>
      <c r="O51" s="15">
        <f t="shared" si="0"/>
        <v>135</v>
      </c>
      <c r="P51" s="15">
        <f t="shared" si="1"/>
        <v>320</v>
      </c>
      <c r="R51" s="8"/>
      <c r="T51"/>
    </row>
    <row r="52" spans="2:20" ht="23.1" customHeight="1" x14ac:dyDescent="0.25">
      <c r="B52" s="24" t="s">
        <v>79</v>
      </c>
      <c r="C52" s="50">
        <v>53</v>
      </c>
      <c r="D52" s="50">
        <v>28</v>
      </c>
      <c r="E52" s="50">
        <v>8</v>
      </c>
      <c r="F52" s="50">
        <v>17</v>
      </c>
      <c r="G52" s="50">
        <v>0</v>
      </c>
      <c r="H52" s="50">
        <v>0</v>
      </c>
      <c r="I52" s="50">
        <v>3</v>
      </c>
      <c r="J52" s="50">
        <v>1</v>
      </c>
      <c r="K52" s="50">
        <v>1</v>
      </c>
      <c r="L52" s="50">
        <v>1</v>
      </c>
      <c r="M52" s="50">
        <v>180</v>
      </c>
      <c r="N52" s="50">
        <v>0</v>
      </c>
      <c r="O52" s="15">
        <f t="shared" si="0"/>
        <v>112</v>
      </c>
      <c r="P52" s="15">
        <f t="shared" si="1"/>
        <v>292</v>
      </c>
      <c r="R52" s="8"/>
      <c r="T52"/>
    </row>
    <row r="53" spans="2:20" ht="23.1" customHeight="1" x14ac:dyDescent="0.25">
      <c r="B53" s="23" t="s">
        <v>80</v>
      </c>
      <c r="C53" s="50">
        <v>64</v>
      </c>
      <c r="D53" s="50">
        <v>19</v>
      </c>
      <c r="E53" s="50">
        <v>6</v>
      </c>
      <c r="F53" s="50">
        <v>10</v>
      </c>
      <c r="G53" s="50">
        <v>3</v>
      </c>
      <c r="H53" s="50">
        <v>0</v>
      </c>
      <c r="I53" s="50">
        <v>3</v>
      </c>
      <c r="J53" s="50">
        <v>2</v>
      </c>
      <c r="K53" s="50">
        <v>2</v>
      </c>
      <c r="L53" s="50">
        <v>0</v>
      </c>
      <c r="M53" s="50">
        <v>180</v>
      </c>
      <c r="N53" s="50">
        <v>0</v>
      </c>
      <c r="O53" s="15">
        <f t="shared" si="0"/>
        <v>109</v>
      </c>
      <c r="P53" s="15">
        <f t="shared" si="1"/>
        <v>289</v>
      </c>
      <c r="R53" s="8"/>
      <c r="T53"/>
    </row>
    <row r="54" spans="2:20" ht="23.1" customHeight="1" x14ac:dyDescent="0.25">
      <c r="B54" s="23" t="s">
        <v>81</v>
      </c>
      <c r="C54" s="50">
        <v>47</v>
      </c>
      <c r="D54" s="50">
        <v>27</v>
      </c>
      <c r="E54" s="50">
        <v>12</v>
      </c>
      <c r="F54" s="50">
        <v>28</v>
      </c>
      <c r="G54" s="50">
        <v>2</v>
      </c>
      <c r="H54" s="50">
        <v>0</v>
      </c>
      <c r="I54" s="50">
        <v>3</v>
      </c>
      <c r="J54" s="50">
        <v>2</v>
      </c>
      <c r="K54" s="50">
        <v>0</v>
      </c>
      <c r="L54" s="50">
        <v>0</v>
      </c>
      <c r="M54" s="50">
        <v>150</v>
      </c>
      <c r="N54" s="50">
        <v>0</v>
      </c>
      <c r="O54" s="15">
        <f t="shared" si="0"/>
        <v>121</v>
      </c>
      <c r="P54" s="15">
        <f t="shared" si="1"/>
        <v>271</v>
      </c>
      <c r="R54" s="8"/>
      <c r="T54"/>
    </row>
    <row r="55" spans="2:20" ht="23.1" customHeight="1" x14ac:dyDescent="0.25">
      <c r="B55" s="23" t="s">
        <v>82</v>
      </c>
      <c r="C55" s="50">
        <v>46</v>
      </c>
      <c r="D55" s="50">
        <v>12</v>
      </c>
      <c r="E55" s="50">
        <v>6</v>
      </c>
      <c r="F55" s="50">
        <v>8</v>
      </c>
      <c r="G55" s="50">
        <v>1</v>
      </c>
      <c r="H55" s="50">
        <v>0</v>
      </c>
      <c r="I55" s="50">
        <v>5</v>
      </c>
      <c r="J55" s="50">
        <v>3</v>
      </c>
      <c r="K55" s="50">
        <v>0</v>
      </c>
      <c r="L55" s="50">
        <v>1</v>
      </c>
      <c r="M55" s="50">
        <v>150</v>
      </c>
      <c r="N55" s="50">
        <v>0</v>
      </c>
      <c r="O55" s="15">
        <f t="shared" si="0"/>
        <v>82</v>
      </c>
      <c r="P55" s="15">
        <f t="shared" si="1"/>
        <v>232</v>
      </c>
      <c r="R55" s="8"/>
      <c r="T55"/>
    </row>
    <row r="56" spans="2:20" ht="23.1" customHeight="1" x14ac:dyDescent="0.25">
      <c r="B56" s="23" t="s">
        <v>83</v>
      </c>
      <c r="C56" s="50">
        <v>23</v>
      </c>
      <c r="D56" s="50">
        <v>18</v>
      </c>
      <c r="E56" s="50">
        <v>5</v>
      </c>
      <c r="F56" s="50">
        <v>11</v>
      </c>
      <c r="G56" s="50">
        <v>2</v>
      </c>
      <c r="H56" s="50">
        <v>0</v>
      </c>
      <c r="I56" s="50">
        <v>4</v>
      </c>
      <c r="J56" s="50">
        <v>0</v>
      </c>
      <c r="K56" s="50">
        <v>0</v>
      </c>
      <c r="L56" s="50">
        <v>0</v>
      </c>
      <c r="M56" s="50">
        <v>150</v>
      </c>
      <c r="N56" s="50">
        <v>0</v>
      </c>
      <c r="O56" s="15">
        <f t="shared" si="0"/>
        <v>63</v>
      </c>
      <c r="P56" s="15">
        <f t="shared" si="1"/>
        <v>213</v>
      </c>
      <c r="R56" s="8"/>
      <c r="T56"/>
    </row>
    <row r="57" spans="2:20" ht="23.1" customHeight="1" x14ac:dyDescent="0.25">
      <c r="B57" s="23" t="s">
        <v>84</v>
      </c>
      <c r="C57" s="50">
        <v>11</v>
      </c>
      <c r="D57" s="50">
        <v>6</v>
      </c>
      <c r="E57" s="50">
        <v>2</v>
      </c>
      <c r="F57" s="50">
        <v>8</v>
      </c>
      <c r="G57" s="50">
        <v>2</v>
      </c>
      <c r="H57" s="50">
        <v>1</v>
      </c>
      <c r="I57" s="50">
        <v>1</v>
      </c>
      <c r="J57" s="50">
        <v>2</v>
      </c>
      <c r="K57" s="50">
        <v>0</v>
      </c>
      <c r="L57" s="50">
        <v>0</v>
      </c>
      <c r="M57" s="50">
        <v>110</v>
      </c>
      <c r="N57" s="50">
        <v>0</v>
      </c>
      <c r="O57" s="15">
        <f t="shared" si="0"/>
        <v>33</v>
      </c>
      <c r="P57" s="15">
        <f t="shared" si="1"/>
        <v>143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2054</v>
      </c>
      <c r="D58" s="16">
        <f t="shared" si="21"/>
        <v>825</v>
      </c>
      <c r="E58" s="16">
        <f t="shared" si="21"/>
        <v>349</v>
      </c>
      <c r="F58" s="16">
        <f t="shared" si="21"/>
        <v>1211</v>
      </c>
      <c r="G58" s="16">
        <f t="shared" si="21"/>
        <v>20</v>
      </c>
      <c r="H58" s="16">
        <f t="shared" si="21"/>
        <v>2</v>
      </c>
      <c r="I58" s="16">
        <f t="shared" si="21"/>
        <v>135</v>
      </c>
      <c r="J58" s="16">
        <f t="shared" si="21"/>
        <v>132</v>
      </c>
      <c r="K58" s="16">
        <f t="shared" si="21"/>
        <v>28</v>
      </c>
      <c r="L58" s="16">
        <f t="shared" si="21"/>
        <v>3</v>
      </c>
      <c r="M58" s="16">
        <f t="shared" si="21"/>
        <v>7688</v>
      </c>
      <c r="N58" s="16">
        <f t="shared" si="21"/>
        <v>2</v>
      </c>
      <c r="O58" s="16">
        <f t="shared" si="21"/>
        <v>4761</v>
      </c>
      <c r="P58" s="16">
        <f t="shared" si="21"/>
        <v>12449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0.16499317214234074</v>
      </c>
      <c r="D59" s="43">
        <f t="shared" si="22"/>
        <v>6.6270383163306287E-2</v>
      </c>
      <c r="E59" s="43">
        <f t="shared" si="22"/>
        <v>2.8034380271507751E-2</v>
      </c>
      <c r="F59" s="43">
        <f t="shared" si="22"/>
        <v>9.727688971001687E-2</v>
      </c>
      <c r="G59" s="43">
        <f t="shared" si="22"/>
        <v>1.6065547433528797E-3</v>
      </c>
      <c r="H59" s="43">
        <f t="shared" si="22"/>
        <v>1.6065547433528798E-4</v>
      </c>
      <c r="I59" s="43">
        <f t="shared" si="22"/>
        <v>1.0844244517631938E-2</v>
      </c>
      <c r="J59" s="43">
        <f t="shared" si="22"/>
        <v>1.0603261306129007E-2</v>
      </c>
      <c r="K59" s="43">
        <f t="shared" si="22"/>
        <v>2.2491766406940315E-3</v>
      </c>
      <c r="L59" s="43">
        <f t="shared" si="22"/>
        <v>2.4098321150293196E-4</v>
      </c>
      <c r="M59" s="43">
        <f t="shared" si="22"/>
        <v>0.61755964334484692</v>
      </c>
      <c r="N59" s="43">
        <f t="shared" si="22"/>
        <v>1.6065547433528798E-4</v>
      </c>
      <c r="R59" s="8"/>
      <c r="T59"/>
    </row>
    <row r="60" spans="2:20" ht="23.1" customHeight="1" x14ac:dyDescent="0.25">
      <c r="B60" s="42" t="s">
        <v>94</v>
      </c>
      <c r="C60" s="44">
        <f>C58/$O$58</f>
        <v>0.43142197017433315</v>
      </c>
      <c r="D60" s="44">
        <f t="shared" ref="D60:N60" si="23">D58/$O$58</f>
        <v>0.17328292375551355</v>
      </c>
      <c r="E60" s="44">
        <f t="shared" si="23"/>
        <v>7.3303927746271785E-2</v>
      </c>
      <c r="F60" s="44">
        <f t="shared" si="23"/>
        <v>0.25435832808233566</v>
      </c>
      <c r="G60" s="44">
        <f t="shared" si="23"/>
        <v>4.2007981516488137E-3</v>
      </c>
      <c r="H60" s="44">
        <f t="shared" si="23"/>
        <v>4.200798151648813E-4</v>
      </c>
      <c r="I60" s="44">
        <f t="shared" si="23"/>
        <v>2.835538752362949E-2</v>
      </c>
      <c r="J60" s="44">
        <f t="shared" si="23"/>
        <v>2.7725267800882167E-2</v>
      </c>
      <c r="K60" s="44">
        <f t="shared" si="23"/>
        <v>5.8811174123083385E-3</v>
      </c>
      <c r="L60" s="44">
        <f t="shared" si="23"/>
        <v>6.3011972274732201E-4</v>
      </c>
      <c r="M60" s="44"/>
      <c r="N60" s="44">
        <f t="shared" si="23"/>
        <v>4.200798151648813E-4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I19" sqref="I1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Makindye-Kibuye'!C3:G3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'23.07 Kibuye-Makindye'!D5</f>
        <v>23.07.19</v>
      </c>
      <c r="E5" s="3"/>
      <c r="F5" s="41" t="s">
        <v>1</v>
      </c>
      <c r="G5" s="63" t="str">
        <f>'22.07 Kibuye-Makindye'!G5:H5</f>
        <v>FUELEX MAKINDYE</v>
      </c>
      <c r="H5" s="64"/>
      <c r="I5" s="14"/>
      <c r="J5" s="2" t="s">
        <v>5</v>
      </c>
      <c r="K5" s="63" t="str">
        <f>'22.07 Kibuye-Makindye'!K5:L5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Makindye-Kibuye'!D6:E6</f>
        <v>MAKINDYE</v>
      </c>
      <c r="E6" s="64"/>
      <c r="F6" s="2" t="s">
        <v>2</v>
      </c>
      <c r="G6" s="63" t="str">
        <f>'22.07 Makindye-Kibuye'!G6:H6</f>
        <v>KIBUYE</v>
      </c>
      <c r="H6" s="64"/>
      <c r="J6" s="2" t="s">
        <v>21</v>
      </c>
      <c r="K6" s="63" t="str">
        <f>'22.07 Kibuye-Makindye'!K6:L6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34</v>
      </c>
      <c r="D10" s="50">
        <v>2</v>
      </c>
      <c r="E10" s="50">
        <v>7</v>
      </c>
      <c r="F10" s="50">
        <v>4</v>
      </c>
      <c r="G10" s="50">
        <v>0</v>
      </c>
      <c r="H10" s="50">
        <v>0</v>
      </c>
      <c r="I10" s="50">
        <v>1</v>
      </c>
      <c r="J10" s="50">
        <v>2</v>
      </c>
      <c r="K10" s="50">
        <v>0</v>
      </c>
      <c r="L10" s="50">
        <v>0</v>
      </c>
      <c r="M10" s="50">
        <v>150</v>
      </c>
      <c r="N10" s="50">
        <v>0</v>
      </c>
      <c r="O10" s="15">
        <f t="shared" ref="O10:O57" si="0">SUM(C10:L10,N10)</f>
        <v>50</v>
      </c>
      <c r="P10" s="15">
        <f t="shared" ref="P10:P57" si="1">SUM(C10:N10)</f>
        <v>200</v>
      </c>
      <c r="R10" s="1" t="s">
        <v>6</v>
      </c>
      <c r="S10" s="17">
        <f t="shared" ref="S10:AF10" si="2">SUM(C10:C13)</f>
        <v>197</v>
      </c>
      <c r="T10" s="17">
        <f t="shared" si="2"/>
        <v>18</v>
      </c>
      <c r="U10" s="17">
        <f t="shared" si="2"/>
        <v>21</v>
      </c>
      <c r="V10" s="17">
        <f t="shared" si="2"/>
        <v>15</v>
      </c>
      <c r="W10" s="17">
        <f t="shared" si="2"/>
        <v>0</v>
      </c>
      <c r="X10" s="17">
        <f t="shared" si="2"/>
        <v>0</v>
      </c>
      <c r="Y10" s="17">
        <f t="shared" si="2"/>
        <v>8</v>
      </c>
      <c r="Z10" s="17">
        <f t="shared" si="2"/>
        <v>9</v>
      </c>
      <c r="AA10" s="17">
        <f t="shared" si="2"/>
        <v>0</v>
      </c>
      <c r="AB10" s="17">
        <f t="shared" si="2"/>
        <v>0</v>
      </c>
      <c r="AC10" s="17">
        <f t="shared" si="2"/>
        <v>685</v>
      </c>
      <c r="AD10" s="17">
        <f t="shared" si="2"/>
        <v>0</v>
      </c>
      <c r="AE10" s="31">
        <f t="shared" si="2"/>
        <v>268</v>
      </c>
      <c r="AF10" s="31">
        <f t="shared" si="2"/>
        <v>953</v>
      </c>
    </row>
    <row r="11" spans="2:32" s="6" customFormat="1" ht="23.1" customHeight="1" x14ac:dyDescent="0.25">
      <c r="B11" s="23" t="s">
        <v>38</v>
      </c>
      <c r="C11" s="50">
        <v>38</v>
      </c>
      <c r="D11" s="50">
        <v>5</v>
      </c>
      <c r="E11" s="50">
        <v>6</v>
      </c>
      <c r="F11" s="50">
        <v>7</v>
      </c>
      <c r="G11" s="50">
        <v>0</v>
      </c>
      <c r="H11" s="50">
        <v>0</v>
      </c>
      <c r="I11" s="50">
        <v>3</v>
      </c>
      <c r="J11" s="50">
        <v>1</v>
      </c>
      <c r="K11" s="50">
        <v>0</v>
      </c>
      <c r="L11" s="50">
        <v>0</v>
      </c>
      <c r="M11" s="50">
        <v>150</v>
      </c>
      <c r="N11" s="50">
        <v>0</v>
      </c>
      <c r="O11" s="15">
        <f t="shared" si="0"/>
        <v>60</v>
      </c>
      <c r="P11" s="15">
        <f t="shared" si="1"/>
        <v>210</v>
      </c>
      <c r="R11" s="1" t="s">
        <v>7</v>
      </c>
      <c r="S11" s="17">
        <f t="shared" ref="S11:AF11" si="3">SUM(C14:C17)</f>
        <v>195</v>
      </c>
      <c r="T11" s="17">
        <f t="shared" si="3"/>
        <v>23</v>
      </c>
      <c r="U11" s="17">
        <f t="shared" si="3"/>
        <v>26</v>
      </c>
      <c r="V11" s="17">
        <f t="shared" si="3"/>
        <v>46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9</v>
      </c>
      <c r="AA11" s="17">
        <f t="shared" si="3"/>
        <v>0</v>
      </c>
      <c r="AB11" s="17">
        <f t="shared" si="3"/>
        <v>0</v>
      </c>
      <c r="AC11" s="17">
        <f t="shared" si="3"/>
        <v>805</v>
      </c>
      <c r="AD11" s="17">
        <f t="shared" si="3"/>
        <v>0</v>
      </c>
      <c r="AE11" s="31">
        <f t="shared" si="3"/>
        <v>307</v>
      </c>
      <c r="AF11" s="31">
        <f t="shared" si="3"/>
        <v>1112</v>
      </c>
    </row>
    <row r="12" spans="2:32" ht="23.1" customHeight="1" x14ac:dyDescent="0.25">
      <c r="B12" s="23" t="s">
        <v>39</v>
      </c>
      <c r="C12" s="50">
        <v>57</v>
      </c>
      <c r="D12" s="50">
        <v>4</v>
      </c>
      <c r="E12" s="50">
        <v>5</v>
      </c>
      <c r="F12" s="50">
        <v>3</v>
      </c>
      <c r="G12" s="50">
        <v>0</v>
      </c>
      <c r="H12" s="50">
        <v>0</v>
      </c>
      <c r="I12" s="50">
        <v>1</v>
      </c>
      <c r="J12" s="50">
        <v>5</v>
      </c>
      <c r="K12" s="50">
        <v>0</v>
      </c>
      <c r="L12" s="50">
        <v>0</v>
      </c>
      <c r="M12" s="50">
        <v>180</v>
      </c>
      <c r="N12" s="50">
        <v>0</v>
      </c>
      <c r="O12" s="15">
        <f t="shared" si="0"/>
        <v>75</v>
      </c>
      <c r="P12" s="15">
        <f t="shared" si="1"/>
        <v>255</v>
      </c>
      <c r="R12" s="1" t="s">
        <v>8</v>
      </c>
      <c r="S12" s="17">
        <f t="shared" ref="S12:AF12" si="4">SUM(C18:C21)</f>
        <v>198</v>
      </c>
      <c r="T12" s="17">
        <f t="shared" si="4"/>
        <v>23</v>
      </c>
      <c r="U12" s="17">
        <f t="shared" si="4"/>
        <v>23</v>
      </c>
      <c r="V12" s="17">
        <f t="shared" si="4"/>
        <v>121</v>
      </c>
      <c r="W12" s="17">
        <f t="shared" si="4"/>
        <v>1</v>
      </c>
      <c r="X12" s="17">
        <f t="shared" si="4"/>
        <v>0</v>
      </c>
      <c r="Y12" s="17">
        <f t="shared" si="4"/>
        <v>9</v>
      </c>
      <c r="Z12" s="17">
        <f t="shared" si="4"/>
        <v>8</v>
      </c>
      <c r="AA12" s="17">
        <f t="shared" si="4"/>
        <v>1</v>
      </c>
      <c r="AB12" s="17">
        <f t="shared" si="4"/>
        <v>0</v>
      </c>
      <c r="AC12" s="17">
        <f t="shared" si="4"/>
        <v>825</v>
      </c>
      <c r="AD12" s="17">
        <f t="shared" si="4"/>
        <v>0</v>
      </c>
      <c r="AE12" s="31">
        <f t="shared" si="4"/>
        <v>384</v>
      </c>
      <c r="AF12" s="31">
        <f t="shared" si="4"/>
        <v>1209</v>
      </c>
    </row>
    <row r="13" spans="2:32" ht="23.1" customHeight="1" x14ac:dyDescent="0.25">
      <c r="B13" s="23" t="s">
        <v>40</v>
      </c>
      <c r="C13" s="50">
        <v>68</v>
      </c>
      <c r="D13" s="50">
        <v>7</v>
      </c>
      <c r="E13" s="50">
        <v>3</v>
      </c>
      <c r="F13" s="50">
        <v>1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205</v>
      </c>
      <c r="N13" s="50">
        <v>0</v>
      </c>
      <c r="O13" s="15">
        <f t="shared" si="0"/>
        <v>83</v>
      </c>
      <c r="P13" s="15">
        <f t="shared" si="1"/>
        <v>288</v>
      </c>
      <c r="R13" s="1" t="s">
        <v>9</v>
      </c>
      <c r="S13" s="17">
        <f t="shared" ref="S13:AF13" si="5">SUM(C22:C25)</f>
        <v>192</v>
      </c>
      <c r="T13" s="17">
        <f t="shared" si="5"/>
        <v>33</v>
      </c>
      <c r="U13" s="17">
        <f t="shared" si="5"/>
        <v>25</v>
      </c>
      <c r="V13" s="17">
        <f t="shared" si="5"/>
        <v>142</v>
      </c>
      <c r="W13" s="17">
        <f t="shared" si="5"/>
        <v>1</v>
      </c>
      <c r="X13" s="17">
        <f t="shared" si="5"/>
        <v>0</v>
      </c>
      <c r="Y13" s="17">
        <f t="shared" si="5"/>
        <v>16</v>
      </c>
      <c r="Z13" s="17">
        <f t="shared" si="5"/>
        <v>10</v>
      </c>
      <c r="AA13" s="17">
        <f t="shared" si="5"/>
        <v>1</v>
      </c>
      <c r="AB13" s="17">
        <f t="shared" si="5"/>
        <v>1</v>
      </c>
      <c r="AC13" s="17">
        <f t="shared" si="5"/>
        <v>795</v>
      </c>
      <c r="AD13" s="17">
        <f t="shared" si="5"/>
        <v>0</v>
      </c>
      <c r="AE13" s="31">
        <f t="shared" si="5"/>
        <v>421</v>
      </c>
      <c r="AF13" s="31">
        <f t="shared" si="5"/>
        <v>1216</v>
      </c>
    </row>
    <row r="14" spans="2:32" ht="23.1" customHeight="1" x14ac:dyDescent="0.25">
      <c r="B14" s="23" t="s">
        <v>41</v>
      </c>
      <c r="C14" s="50">
        <v>56</v>
      </c>
      <c r="D14" s="50">
        <v>7</v>
      </c>
      <c r="E14" s="50">
        <v>7</v>
      </c>
      <c r="F14" s="50">
        <v>4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190</v>
      </c>
      <c r="N14" s="50">
        <v>0</v>
      </c>
      <c r="O14" s="15">
        <f t="shared" si="0"/>
        <v>76</v>
      </c>
      <c r="P14" s="15">
        <f t="shared" si="1"/>
        <v>266</v>
      </c>
      <c r="R14" s="1" t="s">
        <v>10</v>
      </c>
      <c r="S14" s="17">
        <f t="shared" ref="S14:AF14" si="6">SUM(C26:C29)</f>
        <v>163</v>
      </c>
      <c r="T14" s="17">
        <f t="shared" si="6"/>
        <v>48</v>
      </c>
      <c r="U14" s="17">
        <f t="shared" si="6"/>
        <v>26</v>
      </c>
      <c r="V14" s="17">
        <f t="shared" si="6"/>
        <v>151</v>
      </c>
      <c r="W14" s="17">
        <f t="shared" si="6"/>
        <v>0</v>
      </c>
      <c r="X14" s="17">
        <f t="shared" si="6"/>
        <v>0</v>
      </c>
      <c r="Y14" s="17">
        <f t="shared" si="6"/>
        <v>14</v>
      </c>
      <c r="Z14" s="17">
        <f t="shared" si="6"/>
        <v>8</v>
      </c>
      <c r="AA14" s="17">
        <f t="shared" si="6"/>
        <v>1</v>
      </c>
      <c r="AB14" s="17">
        <f t="shared" si="6"/>
        <v>0</v>
      </c>
      <c r="AC14" s="17">
        <f t="shared" si="6"/>
        <v>525</v>
      </c>
      <c r="AD14" s="17">
        <f t="shared" si="6"/>
        <v>0</v>
      </c>
      <c r="AE14" s="31">
        <f t="shared" si="6"/>
        <v>411</v>
      </c>
      <c r="AF14" s="31">
        <f t="shared" si="6"/>
        <v>936</v>
      </c>
    </row>
    <row r="15" spans="2:32" ht="23.1" customHeight="1" x14ac:dyDescent="0.25">
      <c r="B15" s="23" t="s">
        <v>42</v>
      </c>
      <c r="C15" s="50">
        <v>42</v>
      </c>
      <c r="D15" s="50">
        <v>5</v>
      </c>
      <c r="E15" s="50">
        <v>7</v>
      </c>
      <c r="F15" s="50">
        <v>15</v>
      </c>
      <c r="G15" s="50">
        <v>0</v>
      </c>
      <c r="H15" s="50">
        <v>0</v>
      </c>
      <c r="I15" s="50">
        <v>1</v>
      </c>
      <c r="J15" s="50">
        <v>3</v>
      </c>
      <c r="K15" s="50">
        <v>0</v>
      </c>
      <c r="L15" s="50">
        <v>0</v>
      </c>
      <c r="M15" s="50">
        <v>210</v>
      </c>
      <c r="N15" s="50">
        <v>0</v>
      </c>
      <c r="O15" s="15">
        <f t="shared" si="0"/>
        <v>73</v>
      </c>
      <c r="P15" s="15">
        <f t="shared" si="1"/>
        <v>283</v>
      </c>
      <c r="R15" s="1" t="s">
        <v>11</v>
      </c>
      <c r="S15" s="17">
        <f t="shared" ref="S15:AF15" si="7">SUM(C30:C33)</f>
        <v>176</v>
      </c>
      <c r="T15" s="17">
        <f t="shared" si="7"/>
        <v>63</v>
      </c>
      <c r="U15" s="17">
        <f t="shared" si="7"/>
        <v>33</v>
      </c>
      <c r="V15" s="17">
        <f t="shared" si="7"/>
        <v>143</v>
      </c>
      <c r="W15" s="17">
        <f t="shared" si="7"/>
        <v>1</v>
      </c>
      <c r="X15" s="17">
        <f t="shared" si="7"/>
        <v>0</v>
      </c>
      <c r="Y15" s="17">
        <f t="shared" si="7"/>
        <v>17</v>
      </c>
      <c r="Z15" s="17">
        <f t="shared" si="7"/>
        <v>9</v>
      </c>
      <c r="AA15" s="17">
        <f t="shared" si="7"/>
        <v>5</v>
      </c>
      <c r="AB15" s="17">
        <f t="shared" si="7"/>
        <v>1</v>
      </c>
      <c r="AC15" s="17">
        <f t="shared" si="7"/>
        <v>685</v>
      </c>
      <c r="AD15" s="17">
        <f t="shared" si="7"/>
        <v>0</v>
      </c>
      <c r="AE15" s="31">
        <f t="shared" si="7"/>
        <v>448</v>
      </c>
      <c r="AF15" s="31">
        <f t="shared" si="7"/>
        <v>1133</v>
      </c>
    </row>
    <row r="16" spans="2:32" ht="23.1" customHeight="1" x14ac:dyDescent="0.25">
      <c r="B16" s="23" t="s">
        <v>43</v>
      </c>
      <c r="C16" s="50">
        <v>50</v>
      </c>
      <c r="D16" s="50">
        <v>6</v>
      </c>
      <c r="E16" s="50">
        <v>4</v>
      </c>
      <c r="F16" s="50">
        <v>11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240</v>
      </c>
      <c r="N16" s="50">
        <v>0</v>
      </c>
      <c r="O16" s="15">
        <f t="shared" si="0"/>
        <v>73</v>
      </c>
      <c r="P16" s="15">
        <f t="shared" si="1"/>
        <v>313</v>
      </c>
      <c r="R16" s="1" t="s">
        <v>12</v>
      </c>
      <c r="S16" s="17">
        <f t="shared" ref="S16:AF16" si="8">SUM(C34:C37)</f>
        <v>131</v>
      </c>
      <c r="T16" s="17">
        <f t="shared" si="8"/>
        <v>57</v>
      </c>
      <c r="U16" s="17">
        <f t="shared" si="8"/>
        <v>21</v>
      </c>
      <c r="V16" s="17">
        <f t="shared" si="8"/>
        <v>124</v>
      </c>
      <c r="W16" s="17">
        <f t="shared" si="8"/>
        <v>0</v>
      </c>
      <c r="X16" s="17">
        <f t="shared" si="8"/>
        <v>0</v>
      </c>
      <c r="Y16" s="17">
        <f t="shared" si="8"/>
        <v>15</v>
      </c>
      <c r="Z16" s="17">
        <f t="shared" si="8"/>
        <v>12</v>
      </c>
      <c r="AA16" s="17">
        <f t="shared" si="8"/>
        <v>0</v>
      </c>
      <c r="AB16" s="17">
        <f t="shared" si="8"/>
        <v>0</v>
      </c>
      <c r="AC16" s="17">
        <f t="shared" si="8"/>
        <v>635</v>
      </c>
      <c r="AD16" s="17">
        <f t="shared" si="8"/>
        <v>1</v>
      </c>
      <c r="AE16" s="31">
        <f t="shared" si="8"/>
        <v>361</v>
      </c>
      <c r="AF16" s="31">
        <f t="shared" si="8"/>
        <v>996</v>
      </c>
    </row>
    <row r="17" spans="2:32" ht="23.1" customHeight="1" x14ac:dyDescent="0.25">
      <c r="B17" s="23" t="s">
        <v>44</v>
      </c>
      <c r="C17" s="50">
        <v>47</v>
      </c>
      <c r="D17" s="50">
        <v>5</v>
      </c>
      <c r="E17" s="50">
        <v>8</v>
      </c>
      <c r="F17" s="50">
        <v>16</v>
      </c>
      <c r="G17" s="50">
        <v>0</v>
      </c>
      <c r="H17" s="50">
        <v>0</v>
      </c>
      <c r="I17" s="50">
        <v>5</v>
      </c>
      <c r="J17" s="50">
        <v>4</v>
      </c>
      <c r="K17" s="50">
        <v>0</v>
      </c>
      <c r="L17" s="50">
        <v>0</v>
      </c>
      <c r="M17" s="50">
        <v>165</v>
      </c>
      <c r="N17" s="50">
        <v>0</v>
      </c>
      <c r="O17" s="15">
        <f t="shared" si="0"/>
        <v>85</v>
      </c>
      <c r="P17" s="15">
        <f t="shared" si="1"/>
        <v>250</v>
      </c>
      <c r="R17" s="1" t="s">
        <v>13</v>
      </c>
      <c r="S17" s="17">
        <f t="shared" ref="S17:AF17" si="9">SUM(C38:C41)</f>
        <v>135</v>
      </c>
      <c r="T17" s="17">
        <f t="shared" si="9"/>
        <v>42</v>
      </c>
      <c r="U17" s="17">
        <f t="shared" si="9"/>
        <v>30</v>
      </c>
      <c r="V17" s="17">
        <f t="shared" si="9"/>
        <v>141</v>
      </c>
      <c r="W17" s="17">
        <f t="shared" si="9"/>
        <v>0</v>
      </c>
      <c r="X17" s="17">
        <f t="shared" si="9"/>
        <v>0</v>
      </c>
      <c r="Y17" s="17">
        <f t="shared" si="9"/>
        <v>17</v>
      </c>
      <c r="Z17" s="17">
        <f t="shared" si="9"/>
        <v>11</v>
      </c>
      <c r="AA17" s="17">
        <f t="shared" si="9"/>
        <v>2</v>
      </c>
      <c r="AB17" s="17">
        <f t="shared" si="9"/>
        <v>0</v>
      </c>
      <c r="AC17" s="17">
        <f t="shared" si="9"/>
        <v>665</v>
      </c>
      <c r="AD17" s="17">
        <f t="shared" si="9"/>
        <v>0</v>
      </c>
      <c r="AE17" s="31">
        <f t="shared" si="9"/>
        <v>378</v>
      </c>
      <c r="AF17" s="31">
        <f t="shared" si="9"/>
        <v>1043</v>
      </c>
    </row>
    <row r="18" spans="2:32" ht="23.1" customHeight="1" x14ac:dyDescent="0.25">
      <c r="B18" s="23" t="s">
        <v>45</v>
      </c>
      <c r="C18" s="50">
        <v>55</v>
      </c>
      <c r="D18" s="50">
        <v>10</v>
      </c>
      <c r="E18" s="50">
        <v>7</v>
      </c>
      <c r="F18" s="50">
        <v>23</v>
      </c>
      <c r="G18" s="50">
        <v>0</v>
      </c>
      <c r="H18" s="50">
        <v>0</v>
      </c>
      <c r="I18" s="50">
        <v>1</v>
      </c>
      <c r="J18" s="50">
        <v>3</v>
      </c>
      <c r="K18" s="50">
        <v>0</v>
      </c>
      <c r="L18" s="50">
        <v>0</v>
      </c>
      <c r="M18" s="50">
        <v>210</v>
      </c>
      <c r="N18" s="50">
        <v>0</v>
      </c>
      <c r="O18" s="15">
        <f t="shared" si="0"/>
        <v>99</v>
      </c>
      <c r="P18" s="15">
        <f t="shared" si="1"/>
        <v>309</v>
      </c>
      <c r="R18" s="1" t="s">
        <v>14</v>
      </c>
      <c r="S18" s="17">
        <f t="shared" ref="S18:AF18" si="10">SUM(C42:C45)</f>
        <v>104</v>
      </c>
      <c r="T18" s="17">
        <f t="shared" si="10"/>
        <v>26</v>
      </c>
      <c r="U18" s="17">
        <f t="shared" si="10"/>
        <v>23</v>
      </c>
      <c r="V18" s="17">
        <f t="shared" si="10"/>
        <v>110</v>
      </c>
      <c r="W18" s="17">
        <f t="shared" si="10"/>
        <v>1</v>
      </c>
      <c r="X18" s="17">
        <f t="shared" si="10"/>
        <v>1</v>
      </c>
      <c r="Y18" s="17">
        <f t="shared" si="10"/>
        <v>14</v>
      </c>
      <c r="Z18" s="17">
        <f t="shared" si="10"/>
        <v>6</v>
      </c>
      <c r="AA18" s="17">
        <f t="shared" si="10"/>
        <v>1</v>
      </c>
      <c r="AB18" s="17">
        <f t="shared" si="10"/>
        <v>1</v>
      </c>
      <c r="AC18" s="17">
        <f t="shared" si="10"/>
        <v>625</v>
      </c>
      <c r="AD18" s="17">
        <f t="shared" si="10"/>
        <v>0</v>
      </c>
      <c r="AE18" s="31">
        <f t="shared" si="10"/>
        <v>287</v>
      </c>
      <c r="AF18" s="31">
        <f t="shared" si="10"/>
        <v>912</v>
      </c>
    </row>
    <row r="19" spans="2:32" ht="23.1" customHeight="1" x14ac:dyDescent="0.25">
      <c r="B19" s="23" t="s">
        <v>46</v>
      </c>
      <c r="C19" s="50">
        <v>65</v>
      </c>
      <c r="D19" s="50">
        <v>9</v>
      </c>
      <c r="E19" s="50">
        <v>7</v>
      </c>
      <c r="F19" s="50">
        <v>30</v>
      </c>
      <c r="G19" s="50">
        <v>1</v>
      </c>
      <c r="H19" s="50">
        <v>0</v>
      </c>
      <c r="I19" s="50">
        <v>3</v>
      </c>
      <c r="J19" s="50">
        <v>2</v>
      </c>
      <c r="K19" s="50">
        <v>1</v>
      </c>
      <c r="L19" s="50">
        <v>0</v>
      </c>
      <c r="M19" s="50">
        <v>200</v>
      </c>
      <c r="N19" s="50">
        <v>0</v>
      </c>
      <c r="O19" s="15">
        <f t="shared" si="0"/>
        <v>118</v>
      </c>
      <c r="P19" s="15">
        <f t="shared" si="1"/>
        <v>318</v>
      </c>
      <c r="R19" s="1" t="s">
        <v>15</v>
      </c>
      <c r="S19" s="17">
        <f t="shared" ref="S19:AF19" si="11">SUM(C46:C49)</f>
        <v>112</v>
      </c>
      <c r="T19" s="17">
        <f t="shared" si="11"/>
        <v>41</v>
      </c>
      <c r="U19" s="17">
        <f t="shared" si="11"/>
        <v>32</v>
      </c>
      <c r="V19" s="17">
        <f t="shared" si="11"/>
        <v>102</v>
      </c>
      <c r="W19" s="17">
        <f t="shared" si="11"/>
        <v>0</v>
      </c>
      <c r="X19" s="17">
        <f t="shared" si="11"/>
        <v>0</v>
      </c>
      <c r="Y19" s="17">
        <f t="shared" si="11"/>
        <v>13</v>
      </c>
      <c r="Z19" s="17">
        <f t="shared" si="11"/>
        <v>9</v>
      </c>
      <c r="AA19" s="17">
        <f t="shared" si="11"/>
        <v>1</v>
      </c>
      <c r="AB19" s="17">
        <f t="shared" si="11"/>
        <v>0</v>
      </c>
      <c r="AC19" s="17">
        <f t="shared" si="11"/>
        <v>686</v>
      </c>
      <c r="AD19" s="17">
        <f t="shared" si="11"/>
        <v>0</v>
      </c>
      <c r="AE19" s="31">
        <f t="shared" si="11"/>
        <v>310</v>
      </c>
      <c r="AF19" s="31">
        <f t="shared" si="11"/>
        <v>996</v>
      </c>
    </row>
    <row r="20" spans="2:32" ht="23.1" customHeight="1" x14ac:dyDescent="0.25">
      <c r="B20" s="23" t="s">
        <v>47</v>
      </c>
      <c r="C20" s="50">
        <v>41</v>
      </c>
      <c r="D20" s="50">
        <v>1</v>
      </c>
      <c r="E20" s="50">
        <v>3</v>
      </c>
      <c r="F20" s="50">
        <v>34</v>
      </c>
      <c r="G20" s="50">
        <v>0</v>
      </c>
      <c r="H20" s="50">
        <v>0</v>
      </c>
      <c r="I20" s="50">
        <v>3</v>
      </c>
      <c r="J20" s="50">
        <v>1</v>
      </c>
      <c r="K20" s="50">
        <v>0</v>
      </c>
      <c r="L20" s="50">
        <v>0</v>
      </c>
      <c r="M20" s="50">
        <v>205</v>
      </c>
      <c r="N20" s="50">
        <v>0</v>
      </c>
      <c r="O20" s="15">
        <f t="shared" si="0"/>
        <v>83</v>
      </c>
      <c r="P20" s="15">
        <f t="shared" si="1"/>
        <v>288</v>
      </c>
      <c r="R20" s="1" t="s">
        <v>16</v>
      </c>
      <c r="S20" s="17">
        <f t="shared" ref="S20:AF20" si="12">SUM(C50:C53)</f>
        <v>107</v>
      </c>
      <c r="T20" s="17">
        <f t="shared" si="12"/>
        <v>22</v>
      </c>
      <c r="U20" s="17">
        <f t="shared" si="12"/>
        <v>12</v>
      </c>
      <c r="V20" s="17">
        <f t="shared" si="12"/>
        <v>94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9</v>
      </c>
      <c r="AA20" s="17">
        <f t="shared" si="12"/>
        <v>1</v>
      </c>
      <c r="AB20" s="17">
        <f t="shared" si="12"/>
        <v>0</v>
      </c>
      <c r="AC20" s="17">
        <f t="shared" si="12"/>
        <v>660</v>
      </c>
      <c r="AD20" s="17">
        <f t="shared" si="12"/>
        <v>0</v>
      </c>
      <c r="AE20" s="31">
        <f t="shared" si="12"/>
        <v>249</v>
      </c>
      <c r="AF20" s="31">
        <f t="shared" si="12"/>
        <v>909</v>
      </c>
    </row>
    <row r="21" spans="2:32" ht="23.1" customHeight="1" x14ac:dyDescent="0.25">
      <c r="B21" s="23" t="s">
        <v>48</v>
      </c>
      <c r="C21" s="50">
        <v>37</v>
      </c>
      <c r="D21" s="50">
        <v>3</v>
      </c>
      <c r="E21" s="50">
        <v>6</v>
      </c>
      <c r="F21" s="50">
        <v>34</v>
      </c>
      <c r="G21" s="50">
        <v>0</v>
      </c>
      <c r="H21" s="50">
        <v>0</v>
      </c>
      <c r="I21" s="50">
        <v>2</v>
      </c>
      <c r="J21" s="50">
        <v>2</v>
      </c>
      <c r="K21" s="50">
        <v>0</v>
      </c>
      <c r="L21" s="50">
        <v>0</v>
      </c>
      <c r="M21" s="50">
        <v>210</v>
      </c>
      <c r="N21" s="50">
        <v>0</v>
      </c>
      <c r="O21" s="15">
        <f t="shared" si="0"/>
        <v>84</v>
      </c>
      <c r="P21" s="15">
        <f t="shared" si="1"/>
        <v>294</v>
      </c>
      <c r="R21" s="36" t="s">
        <v>20</v>
      </c>
      <c r="S21" s="34">
        <f t="shared" ref="S21:AF21" si="13">SUM(C54:C57)</f>
        <v>70</v>
      </c>
      <c r="T21" s="17">
        <f t="shared" si="13"/>
        <v>18</v>
      </c>
      <c r="U21" s="17">
        <f t="shared" si="13"/>
        <v>8</v>
      </c>
      <c r="V21" s="17">
        <f t="shared" si="13"/>
        <v>59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3</v>
      </c>
      <c r="AA21" s="17">
        <f t="shared" si="13"/>
        <v>3</v>
      </c>
      <c r="AB21" s="17">
        <f t="shared" si="13"/>
        <v>0</v>
      </c>
      <c r="AC21" s="17">
        <f t="shared" si="13"/>
        <v>610</v>
      </c>
      <c r="AD21" s="17">
        <f t="shared" si="13"/>
        <v>0</v>
      </c>
      <c r="AE21" s="31">
        <f t="shared" si="13"/>
        <v>168</v>
      </c>
      <c r="AF21" s="31">
        <f t="shared" si="13"/>
        <v>778</v>
      </c>
    </row>
    <row r="22" spans="2:32" ht="23.1" customHeight="1" x14ac:dyDescent="0.25">
      <c r="B22" s="23" t="s">
        <v>49</v>
      </c>
      <c r="C22" s="50">
        <v>65</v>
      </c>
      <c r="D22" s="50">
        <v>7</v>
      </c>
      <c r="E22" s="50">
        <v>7</v>
      </c>
      <c r="F22" s="50">
        <v>33</v>
      </c>
      <c r="G22" s="50">
        <v>0</v>
      </c>
      <c r="H22" s="50">
        <v>0</v>
      </c>
      <c r="I22" s="50">
        <v>2</v>
      </c>
      <c r="J22" s="50">
        <v>3</v>
      </c>
      <c r="K22" s="50">
        <v>0</v>
      </c>
      <c r="L22" s="50">
        <v>0</v>
      </c>
      <c r="M22" s="50">
        <v>210</v>
      </c>
      <c r="N22" s="50">
        <v>0</v>
      </c>
      <c r="O22" s="15">
        <f t="shared" si="0"/>
        <v>117</v>
      </c>
      <c r="P22" s="15">
        <f t="shared" si="1"/>
        <v>327</v>
      </c>
      <c r="R22" s="38" t="s">
        <v>90</v>
      </c>
      <c r="S22" s="39">
        <f>MAX(S10:S12)</f>
        <v>198</v>
      </c>
      <c r="T22" s="39">
        <f t="shared" ref="T22:AF22" si="14">MAX(T10:T12)</f>
        <v>23</v>
      </c>
      <c r="U22" s="39">
        <f t="shared" si="14"/>
        <v>26</v>
      </c>
      <c r="V22" s="39">
        <f t="shared" si="14"/>
        <v>121</v>
      </c>
      <c r="W22" s="39">
        <f t="shared" si="14"/>
        <v>1</v>
      </c>
      <c r="X22" s="39">
        <f t="shared" si="14"/>
        <v>0</v>
      </c>
      <c r="Y22" s="39">
        <f t="shared" si="14"/>
        <v>9</v>
      </c>
      <c r="Z22" s="39">
        <f t="shared" si="14"/>
        <v>9</v>
      </c>
      <c r="AA22" s="39">
        <f t="shared" si="14"/>
        <v>1</v>
      </c>
      <c r="AB22" s="39">
        <f t="shared" si="14"/>
        <v>0</v>
      </c>
      <c r="AC22" s="39">
        <f t="shared" si="14"/>
        <v>825</v>
      </c>
      <c r="AD22" s="39">
        <f t="shared" si="14"/>
        <v>0</v>
      </c>
      <c r="AE22" s="40">
        <f t="shared" si="14"/>
        <v>384</v>
      </c>
      <c r="AF22" s="40">
        <f t="shared" si="14"/>
        <v>1209</v>
      </c>
    </row>
    <row r="23" spans="2:32" ht="23.1" customHeight="1" x14ac:dyDescent="0.25">
      <c r="B23" s="23" t="s">
        <v>50</v>
      </c>
      <c r="C23" s="50">
        <v>50</v>
      </c>
      <c r="D23" s="50">
        <v>7</v>
      </c>
      <c r="E23" s="50">
        <v>5</v>
      </c>
      <c r="F23" s="50">
        <v>40</v>
      </c>
      <c r="G23" s="50">
        <v>1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205</v>
      </c>
      <c r="N23" s="50">
        <v>0</v>
      </c>
      <c r="O23" s="15">
        <f t="shared" si="0"/>
        <v>108</v>
      </c>
      <c r="P23" s="15">
        <f t="shared" si="1"/>
        <v>313</v>
      </c>
      <c r="R23" s="38" t="s">
        <v>91</v>
      </c>
      <c r="S23" s="39">
        <f>MAX(S13:S18)</f>
        <v>192</v>
      </c>
      <c r="T23" s="39">
        <f t="shared" ref="T23:AF23" si="15">MAX(T13:T18)</f>
        <v>63</v>
      </c>
      <c r="U23" s="39">
        <f t="shared" si="15"/>
        <v>33</v>
      </c>
      <c r="V23" s="39">
        <f t="shared" si="15"/>
        <v>151</v>
      </c>
      <c r="W23" s="39">
        <f t="shared" si="15"/>
        <v>1</v>
      </c>
      <c r="X23" s="39">
        <f t="shared" si="15"/>
        <v>1</v>
      </c>
      <c r="Y23" s="39">
        <f t="shared" si="15"/>
        <v>17</v>
      </c>
      <c r="Z23" s="39">
        <f t="shared" si="15"/>
        <v>12</v>
      </c>
      <c r="AA23" s="39">
        <f t="shared" si="15"/>
        <v>5</v>
      </c>
      <c r="AB23" s="39">
        <f t="shared" si="15"/>
        <v>1</v>
      </c>
      <c r="AC23" s="39">
        <f t="shared" si="15"/>
        <v>795</v>
      </c>
      <c r="AD23" s="39">
        <f t="shared" si="15"/>
        <v>1</v>
      </c>
      <c r="AE23" s="40">
        <f t="shared" si="15"/>
        <v>448</v>
      </c>
      <c r="AF23" s="40">
        <f t="shared" si="15"/>
        <v>1216</v>
      </c>
    </row>
    <row r="24" spans="2:32" ht="23.1" customHeight="1" x14ac:dyDescent="0.25">
      <c r="B24" s="23" t="s">
        <v>51</v>
      </c>
      <c r="C24" s="50">
        <v>28</v>
      </c>
      <c r="D24" s="50">
        <v>9</v>
      </c>
      <c r="E24" s="50">
        <v>8</v>
      </c>
      <c r="F24" s="50">
        <v>34</v>
      </c>
      <c r="G24" s="50">
        <v>0</v>
      </c>
      <c r="H24" s="50">
        <v>0</v>
      </c>
      <c r="I24" s="50">
        <v>4</v>
      </c>
      <c r="J24" s="50">
        <v>3</v>
      </c>
      <c r="K24" s="50">
        <v>0</v>
      </c>
      <c r="L24" s="50">
        <v>1</v>
      </c>
      <c r="M24" s="50">
        <v>200</v>
      </c>
      <c r="N24" s="50">
        <v>0</v>
      </c>
      <c r="O24" s="15">
        <f t="shared" si="0"/>
        <v>87</v>
      </c>
      <c r="P24" s="15">
        <f t="shared" si="1"/>
        <v>287</v>
      </c>
      <c r="R24" s="38" t="s">
        <v>92</v>
      </c>
      <c r="S24" s="39">
        <f>MAX(S19:S21)</f>
        <v>112</v>
      </c>
      <c r="T24" s="39">
        <f t="shared" ref="T24:AF24" si="16">MAX(T19:T21)</f>
        <v>41</v>
      </c>
      <c r="U24" s="39">
        <f t="shared" si="16"/>
        <v>32</v>
      </c>
      <c r="V24" s="39">
        <f t="shared" si="16"/>
        <v>102</v>
      </c>
      <c r="W24" s="39">
        <f t="shared" si="16"/>
        <v>0</v>
      </c>
      <c r="X24" s="39">
        <f t="shared" si="16"/>
        <v>0</v>
      </c>
      <c r="Y24" s="39">
        <f t="shared" si="16"/>
        <v>13</v>
      </c>
      <c r="Z24" s="39">
        <f t="shared" si="16"/>
        <v>9</v>
      </c>
      <c r="AA24" s="39">
        <f t="shared" si="16"/>
        <v>3</v>
      </c>
      <c r="AB24" s="39">
        <f t="shared" si="16"/>
        <v>0</v>
      </c>
      <c r="AC24" s="39">
        <f t="shared" si="16"/>
        <v>686</v>
      </c>
      <c r="AD24" s="39">
        <f t="shared" si="16"/>
        <v>0</v>
      </c>
      <c r="AE24" s="40">
        <f t="shared" si="16"/>
        <v>310</v>
      </c>
      <c r="AF24" s="40">
        <f t="shared" si="16"/>
        <v>996</v>
      </c>
    </row>
    <row r="25" spans="2:32" ht="23.1" customHeight="1" x14ac:dyDescent="0.25">
      <c r="B25" s="23" t="s">
        <v>52</v>
      </c>
      <c r="C25" s="50">
        <v>49</v>
      </c>
      <c r="D25" s="50">
        <v>10</v>
      </c>
      <c r="E25" s="50">
        <v>5</v>
      </c>
      <c r="F25" s="50">
        <v>35</v>
      </c>
      <c r="G25" s="50">
        <v>0</v>
      </c>
      <c r="H25" s="50">
        <v>0</v>
      </c>
      <c r="I25" s="50">
        <v>5</v>
      </c>
      <c r="J25" s="50">
        <v>4</v>
      </c>
      <c r="K25" s="50">
        <v>1</v>
      </c>
      <c r="L25" s="50">
        <v>0</v>
      </c>
      <c r="M25" s="50">
        <v>180</v>
      </c>
      <c r="N25" s="50">
        <v>0</v>
      </c>
      <c r="O25" s="15">
        <f t="shared" si="0"/>
        <v>109</v>
      </c>
      <c r="P25" s="15">
        <f t="shared" si="1"/>
        <v>289</v>
      </c>
      <c r="R25" s="37" t="s">
        <v>85</v>
      </c>
      <c r="S25" s="35">
        <f t="shared" ref="S25:AF25" si="17">SUM(S10:S12)</f>
        <v>590</v>
      </c>
      <c r="T25" s="16">
        <f t="shared" si="17"/>
        <v>64</v>
      </c>
      <c r="U25" s="16">
        <f t="shared" si="17"/>
        <v>70</v>
      </c>
      <c r="V25" s="16">
        <f t="shared" si="17"/>
        <v>182</v>
      </c>
      <c r="W25" s="16">
        <f t="shared" si="17"/>
        <v>1</v>
      </c>
      <c r="X25" s="16">
        <f t="shared" si="17"/>
        <v>0</v>
      </c>
      <c r="Y25" s="16">
        <f t="shared" si="17"/>
        <v>25</v>
      </c>
      <c r="Z25" s="16">
        <f t="shared" si="17"/>
        <v>26</v>
      </c>
      <c r="AA25" s="16">
        <f t="shared" si="17"/>
        <v>1</v>
      </c>
      <c r="AB25" s="16">
        <f t="shared" si="17"/>
        <v>0</v>
      </c>
      <c r="AC25" s="16">
        <f t="shared" si="17"/>
        <v>2315</v>
      </c>
      <c r="AD25" s="16">
        <f t="shared" si="17"/>
        <v>0</v>
      </c>
      <c r="AE25" s="32">
        <f t="shared" si="17"/>
        <v>959</v>
      </c>
      <c r="AF25" s="32">
        <f t="shared" si="17"/>
        <v>3274</v>
      </c>
    </row>
    <row r="26" spans="2:32" ht="23.1" customHeight="1" x14ac:dyDescent="0.25">
      <c r="B26" s="23" t="s">
        <v>53</v>
      </c>
      <c r="C26" s="50">
        <v>41</v>
      </c>
      <c r="D26" s="50">
        <v>11</v>
      </c>
      <c r="E26" s="50">
        <v>6</v>
      </c>
      <c r="F26" s="50">
        <v>35</v>
      </c>
      <c r="G26" s="50">
        <v>0</v>
      </c>
      <c r="H26" s="50">
        <v>0</v>
      </c>
      <c r="I26" s="50">
        <v>3</v>
      </c>
      <c r="J26" s="50">
        <v>1</v>
      </c>
      <c r="K26" s="50">
        <v>0</v>
      </c>
      <c r="L26" s="50">
        <v>0</v>
      </c>
      <c r="M26" s="50">
        <v>130</v>
      </c>
      <c r="N26" s="50">
        <v>0</v>
      </c>
      <c r="O26" s="15">
        <f t="shared" si="0"/>
        <v>97</v>
      </c>
      <c r="P26" s="15">
        <f t="shared" si="1"/>
        <v>227</v>
      </c>
      <c r="R26" s="28" t="s">
        <v>86</v>
      </c>
      <c r="S26" s="16">
        <f t="shared" ref="S26:AF26" si="18">SUM(S13:S18)</f>
        <v>901</v>
      </c>
      <c r="T26" s="16">
        <f t="shared" si="18"/>
        <v>269</v>
      </c>
      <c r="U26" s="16">
        <f t="shared" si="18"/>
        <v>158</v>
      </c>
      <c r="V26" s="16">
        <f t="shared" si="18"/>
        <v>811</v>
      </c>
      <c r="W26" s="16">
        <f t="shared" si="18"/>
        <v>3</v>
      </c>
      <c r="X26" s="16">
        <f t="shared" si="18"/>
        <v>1</v>
      </c>
      <c r="Y26" s="16">
        <f t="shared" si="18"/>
        <v>93</v>
      </c>
      <c r="Z26" s="16">
        <f t="shared" si="18"/>
        <v>56</v>
      </c>
      <c r="AA26" s="16">
        <f t="shared" si="18"/>
        <v>10</v>
      </c>
      <c r="AB26" s="16">
        <f t="shared" si="18"/>
        <v>3</v>
      </c>
      <c r="AC26" s="16">
        <f t="shared" si="18"/>
        <v>3930</v>
      </c>
      <c r="AD26" s="16">
        <f t="shared" si="18"/>
        <v>1</v>
      </c>
      <c r="AE26" s="32">
        <f t="shared" si="18"/>
        <v>2306</v>
      </c>
      <c r="AF26" s="32">
        <f t="shared" si="18"/>
        <v>6236</v>
      </c>
    </row>
    <row r="27" spans="2:32" ht="23.1" customHeight="1" x14ac:dyDescent="0.25">
      <c r="B27" s="23" t="s">
        <v>54</v>
      </c>
      <c r="C27" s="50">
        <v>50</v>
      </c>
      <c r="D27" s="50">
        <v>10</v>
      </c>
      <c r="E27" s="50">
        <v>5</v>
      </c>
      <c r="F27" s="50">
        <v>44</v>
      </c>
      <c r="G27" s="50">
        <v>0</v>
      </c>
      <c r="H27" s="50">
        <v>0</v>
      </c>
      <c r="I27" s="50">
        <v>2</v>
      </c>
      <c r="J27" s="50">
        <v>1</v>
      </c>
      <c r="K27" s="50">
        <v>1</v>
      </c>
      <c r="L27" s="50">
        <v>0</v>
      </c>
      <c r="M27" s="50">
        <v>75</v>
      </c>
      <c r="N27" s="50">
        <v>0</v>
      </c>
      <c r="O27" s="15">
        <f t="shared" si="0"/>
        <v>113</v>
      </c>
      <c r="P27" s="15">
        <f t="shared" si="1"/>
        <v>188</v>
      </c>
      <c r="R27" s="29" t="s">
        <v>87</v>
      </c>
      <c r="S27" s="16">
        <f t="shared" ref="S27:AF27" si="19">SUM(S19:S21)</f>
        <v>289</v>
      </c>
      <c r="T27" s="16">
        <f t="shared" si="19"/>
        <v>81</v>
      </c>
      <c r="U27" s="16">
        <f t="shared" si="19"/>
        <v>52</v>
      </c>
      <c r="V27" s="16">
        <f t="shared" si="19"/>
        <v>255</v>
      </c>
      <c r="W27" s="16">
        <f t="shared" si="19"/>
        <v>0</v>
      </c>
      <c r="X27" s="16">
        <f t="shared" si="19"/>
        <v>0</v>
      </c>
      <c r="Y27" s="16">
        <f t="shared" si="19"/>
        <v>24</v>
      </c>
      <c r="Z27" s="16">
        <f t="shared" si="19"/>
        <v>21</v>
      </c>
      <c r="AA27" s="16">
        <f t="shared" si="19"/>
        <v>5</v>
      </c>
      <c r="AB27" s="16">
        <f t="shared" si="19"/>
        <v>0</v>
      </c>
      <c r="AC27" s="16">
        <f t="shared" si="19"/>
        <v>1956</v>
      </c>
      <c r="AD27" s="16">
        <f t="shared" si="19"/>
        <v>0</v>
      </c>
      <c r="AE27" s="32">
        <f t="shared" si="19"/>
        <v>727</v>
      </c>
      <c r="AF27" s="32">
        <f t="shared" si="19"/>
        <v>2683</v>
      </c>
    </row>
    <row r="28" spans="2:32" ht="23.1" customHeight="1" x14ac:dyDescent="0.25">
      <c r="B28" s="23" t="s">
        <v>55</v>
      </c>
      <c r="C28" s="50">
        <v>32</v>
      </c>
      <c r="D28" s="50">
        <v>18</v>
      </c>
      <c r="E28" s="50">
        <v>11</v>
      </c>
      <c r="F28" s="50">
        <v>32</v>
      </c>
      <c r="G28" s="50">
        <v>0</v>
      </c>
      <c r="H28" s="50">
        <v>0</v>
      </c>
      <c r="I28" s="50">
        <v>4</v>
      </c>
      <c r="J28" s="50">
        <v>2</v>
      </c>
      <c r="K28" s="50">
        <v>0</v>
      </c>
      <c r="L28" s="50">
        <v>0</v>
      </c>
      <c r="M28" s="50">
        <v>170</v>
      </c>
      <c r="N28" s="50">
        <v>0</v>
      </c>
      <c r="O28" s="15">
        <f t="shared" si="0"/>
        <v>99</v>
      </c>
      <c r="P28" s="15">
        <f t="shared" si="1"/>
        <v>269</v>
      </c>
      <c r="R28" s="5" t="s">
        <v>17</v>
      </c>
      <c r="S28" s="16">
        <f t="shared" ref="S28:AF28" si="20">SUM(S10:S21)</f>
        <v>1780</v>
      </c>
      <c r="T28" s="16">
        <f t="shared" si="20"/>
        <v>414</v>
      </c>
      <c r="U28" s="16">
        <f t="shared" si="20"/>
        <v>280</v>
      </c>
      <c r="V28" s="16">
        <f t="shared" si="20"/>
        <v>1248</v>
      </c>
      <c r="W28" s="16">
        <f t="shared" si="20"/>
        <v>4</v>
      </c>
      <c r="X28" s="16">
        <f t="shared" si="20"/>
        <v>1</v>
      </c>
      <c r="Y28" s="16">
        <f t="shared" si="20"/>
        <v>142</v>
      </c>
      <c r="Z28" s="16">
        <f t="shared" si="20"/>
        <v>103</v>
      </c>
      <c r="AA28" s="16">
        <f t="shared" si="20"/>
        <v>16</v>
      </c>
      <c r="AB28" s="16">
        <f t="shared" si="20"/>
        <v>3</v>
      </c>
      <c r="AC28" s="16">
        <f t="shared" si="20"/>
        <v>8201</v>
      </c>
      <c r="AD28" s="16">
        <f t="shared" si="20"/>
        <v>1</v>
      </c>
      <c r="AE28" s="32">
        <f t="shared" si="20"/>
        <v>3992</v>
      </c>
      <c r="AF28" s="32">
        <f t="shared" si="20"/>
        <v>12193</v>
      </c>
    </row>
    <row r="29" spans="2:32" ht="23.1" customHeight="1" x14ac:dyDescent="0.25">
      <c r="B29" s="23" t="s">
        <v>56</v>
      </c>
      <c r="C29" s="50">
        <v>40</v>
      </c>
      <c r="D29" s="50">
        <v>9</v>
      </c>
      <c r="E29" s="50">
        <v>4</v>
      </c>
      <c r="F29" s="50">
        <v>40</v>
      </c>
      <c r="G29" s="50">
        <v>0</v>
      </c>
      <c r="H29" s="50">
        <v>0</v>
      </c>
      <c r="I29" s="50">
        <v>5</v>
      </c>
      <c r="J29" s="50">
        <v>4</v>
      </c>
      <c r="K29" s="50">
        <v>0</v>
      </c>
      <c r="L29" s="50">
        <v>0</v>
      </c>
      <c r="M29" s="50">
        <v>150</v>
      </c>
      <c r="N29" s="50">
        <v>0</v>
      </c>
      <c r="O29" s="15">
        <f t="shared" si="0"/>
        <v>102</v>
      </c>
      <c r="P29" s="15">
        <f t="shared" si="1"/>
        <v>252</v>
      </c>
      <c r="R29"/>
      <c r="S29" s="20"/>
      <c r="T29" s="19"/>
    </row>
    <row r="30" spans="2:32" ht="23.1" customHeight="1" x14ac:dyDescent="0.25">
      <c r="B30" s="23" t="s">
        <v>57</v>
      </c>
      <c r="C30" s="50">
        <v>47</v>
      </c>
      <c r="D30" s="50">
        <v>13</v>
      </c>
      <c r="E30" s="50">
        <v>9</v>
      </c>
      <c r="F30" s="50">
        <v>34</v>
      </c>
      <c r="G30" s="50">
        <v>1</v>
      </c>
      <c r="H30" s="50">
        <v>0</v>
      </c>
      <c r="I30" s="50">
        <v>5</v>
      </c>
      <c r="J30" s="50">
        <v>3</v>
      </c>
      <c r="K30" s="50">
        <v>3</v>
      </c>
      <c r="L30" s="50">
        <v>0</v>
      </c>
      <c r="M30" s="50">
        <v>175</v>
      </c>
      <c r="N30" s="50">
        <v>0</v>
      </c>
      <c r="O30" s="15">
        <f t="shared" si="0"/>
        <v>115</v>
      </c>
      <c r="P30" s="15">
        <f t="shared" si="1"/>
        <v>290</v>
      </c>
    </row>
    <row r="31" spans="2:32" ht="23.1" customHeight="1" x14ac:dyDescent="0.25">
      <c r="B31" s="24" t="s">
        <v>58</v>
      </c>
      <c r="C31" s="50">
        <v>46</v>
      </c>
      <c r="D31" s="50">
        <v>13</v>
      </c>
      <c r="E31" s="50">
        <v>6</v>
      </c>
      <c r="F31" s="50">
        <v>34</v>
      </c>
      <c r="G31" s="50">
        <v>0</v>
      </c>
      <c r="H31" s="50">
        <v>0</v>
      </c>
      <c r="I31" s="50">
        <v>4</v>
      </c>
      <c r="J31" s="50">
        <v>1</v>
      </c>
      <c r="K31" s="50">
        <v>1</v>
      </c>
      <c r="L31" s="50">
        <v>0</v>
      </c>
      <c r="M31" s="50">
        <v>175</v>
      </c>
      <c r="N31" s="50">
        <v>0</v>
      </c>
      <c r="O31" s="15">
        <f t="shared" si="0"/>
        <v>105</v>
      </c>
      <c r="P31" s="15">
        <f t="shared" si="1"/>
        <v>280</v>
      </c>
    </row>
    <row r="32" spans="2:32" ht="23.1" customHeight="1" x14ac:dyDescent="0.25">
      <c r="B32" s="24" t="s">
        <v>59</v>
      </c>
      <c r="C32" s="50">
        <v>38</v>
      </c>
      <c r="D32" s="50">
        <v>19</v>
      </c>
      <c r="E32" s="50">
        <v>7</v>
      </c>
      <c r="F32" s="50">
        <v>35</v>
      </c>
      <c r="G32" s="50">
        <v>0</v>
      </c>
      <c r="H32" s="50">
        <v>0</v>
      </c>
      <c r="I32" s="50">
        <v>4</v>
      </c>
      <c r="J32" s="50">
        <v>1</v>
      </c>
      <c r="K32" s="50">
        <v>1</v>
      </c>
      <c r="L32" s="50">
        <v>0</v>
      </c>
      <c r="M32" s="50">
        <v>170</v>
      </c>
      <c r="N32" s="50">
        <v>0</v>
      </c>
      <c r="O32" s="15">
        <f t="shared" si="0"/>
        <v>105</v>
      </c>
      <c r="P32" s="15">
        <f t="shared" si="1"/>
        <v>275</v>
      </c>
    </row>
    <row r="33" spans="2:20" ht="23.1" customHeight="1" x14ac:dyDescent="0.25">
      <c r="B33" s="23" t="s">
        <v>60</v>
      </c>
      <c r="C33" s="50">
        <v>45</v>
      </c>
      <c r="D33" s="50">
        <v>18</v>
      </c>
      <c r="E33" s="50">
        <v>11</v>
      </c>
      <c r="F33" s="50">
        <v>40</v>
      </c>
      <c r="G33" s="50">
        <v>0</v>
      </c>
      <c r="H33" s="50">
        <v>0</v>
      </c>
      <c r="I33" s="50">
        <v>4</v>
      </c>
      <c r="J33" s="50">
        <v>4</v>
      </c>
      <c r="K33" s="50">
        <v>0</v>
      </c>
      <c r="L33" s="50">
        <v>1</v>
      </c>
      <c r="M33" s="50">
        <v>165</v>
      </c>
      <c r="N33" s="50">
        <v>0</v>
      </c>
      <c r="O33" s="15">
        <f t="shared" si="0"/>
        <v>123</v>
      </c>
      <c r="P33" s="15">
        <f t="shared" si="1"/>
        <v>288</v>
      </c>
    </row>
    <row r="34" spans="2:20" ht="23.1" customHeight="1" x14ac:dyDescent="0.25">
      <c r="B34" s="24" t="s">
        <v>61</v>
      </c>
      <c r="C34" s="50">
        <v>36</v>
      </c>
      <c r="D34" s="50">
        <v>15</v>
      </c>
      <c r="E34" s="50">
        <v>9</v>
      </c>
      <c r="F34" s="50">
        <v>33</v>
      </c>
      <c r="G34" s="50">
        <v>0</v>
      </c>
      <c r="H34" s="50">
        <v>0</v>
      </c>
      <c r="I34" s="50">
        <v>3</v>
      </c>
      <c r="J34" s="50">
        <v>3</v>
      </c>
      <c r="K34" s="50">
        <v>0</v>
      </c>
      <c r="L34" s="50">
        <v>0</v>
      </c>
      <c r="M34" s="50">
        <v>170</v>
      </c>
      <c r="N34" s="50">
        <v>0</v>
      </c>
      <c r="O34" s="15">
        <f t="shared" si="0"/>
        <v>99</v>
      </c>
      <c r="P34" s="15">
        <f t="shared" si="1"/>
        <v>269</v>
      </c>
    </row>
    <row r="35" spans="2:20" ht="23.1" customHeight="1" x14ac:dyDescent="0.25">
      <c r="B35" s="24" t="s">
        <v>62</v>
      </c>
      <c r="C35" s="50">
        <v>32</v>
      </c>
      <c r="D35" s="50">
        <v>15</v>
      </c>
      <c r="E35" s="50">
        <v>3</v>
      </c>
      <c r="F35" s="50">
        <v>38</v>
      </c>
      <c r="G35" s="50">
        <v>0</v>
      </c>
      <c r="H35" s="50">
        <v>0</v>
      </c>
      <c r="I35" s="50">
        <v>5</v>
      </c>
      <c r="J35" s="50">
        <v>3</v>
      </c>
      <c r="K35" s="50">
        <v>0</v>
      </c>
      <c r="L35" s="50">
        <v>0</v>
      </c>
      <c r="M35" s="50">
        <v>170</v>
      </c>
      <c r="N35" s="50">
        <v>0</v>
      </c>
      <c r="O35" s="15">
        <f t="shared" si="0"/>
        <v>96</v>
      </c>
      <c r="P35" s="15">
        <f t="shared" si="1"/>
        <v>266</v>
      </c>
    </row>
    <row r="36" spans="2:20" ht="23.1" customHeight="1" x14ac:dyDescent="0.25">
      <c r="B36" s="24" t="s">
        <v>63</v>
      </c>
      <c r="C36" s="50">
        <v>28</v>
      </c>
      <c r="D36" s="50">
        <v>17</v>
      </c>
      <c r="E36" s="50">
        <v>6</v>
      </c>
      <c r="F36" s="50">
        <v>24</v>
      </c>
      <c r="G36" s="50">
        <v>0</v>
      </c>
      <c r="H36" s="50">
        <v>0</v>
      </c>
      <c r="I36" s="50">
        <v>3</v>
      </c>
      <c r="J36" s="50">
        <v>4</v>
      </c>
      <c r="K36" s="50">
        <v>0</v>
      </c>
      <c r="L36" s="50">
        <v>0</v>
      </c>
      <c r="M36" s="50">
        <v>100</v>
      </c>
      <c r="N36" s="50">
        <v>0</v>
      </c>
      <c r="O36" s="15">
        <f t="shared" si="0"/>
        <v>82</v>
      </c>
      <c r="P36" s="15">
        <f t="shared" si="1"/>
        <v>182</v>
      </c>
    </row>
    <row r="37" spans="2:20" ht="23.1" customHeight="1" x14ac:dyDescent="0.25">
      <c r="B37" s="23" t="s">
        <v>64</v>
      </c>
      <c r="C37" s="50">
        <v>35</v>
      </c>
      <c r="D37" s="50">
        <v>10</v>
      </c>
      <c r="E37" s="50">
        <v>3</v>
      </c>
      <c r="F37" s="50">
        <v>29</v>
      </c>
      <c r="G37" s="50">
        <v>0</v>
      </c>
      <c r="H37" s="50">
        <v>0</v>
      </c>
      <c r="I37" s="50">
        <v>4</v>
      </c>
      <c r="J37" s="50">
        <v>2</v>
      </c>
      <c r="K37" s="50">
        <v>0</v>
      </c>
      <c r="L37" s="50">
        <v>0</v>
      </c>
      <c r="M37" s="50">
        <v>195</v>
      </c>
      <c r="N37" s="50">
        <v>1</v>
      </c>
      <c r="O37" s="15">
        <f t="shared" si="0"/>
        <v>84</v>
      </c>
      <c r="P37" s="15">
        <f t="shared" si="1"/>
        <v>279</v>
      </c>
    </row>
    <row r="38" spans="2:20" ht="23.1" customHeight="1" x14ac:dyDescent="0.25">
      <c r="B38" s="24" t="s">
        <v>65</v>
      </c>
      <c r="C38" s="50">
        <v>46</v>
      </c>
      <c r="D38" s="50">
        <v>8</v>
      </c>
      <c r="E38" s="50">
        <v>7</v>
      </c>
      <c r="F38" s="50">
        <v>35</v>
      </c>
      <c r="G38" s="50">
        <v>0</v>
      </c>
      <c r="H38" s="50">
        <v>0</v>
      </c>
      <c r="I38" s="50">
        <v>6</v>
      </c>
      <c r="J38" s="50">
        <v>4</v>
      </c>
      <c r="K38" s="50">
        <v>0</v>
      </c>
      <c r="L38" s="50">
        <v>0</v>
      </c>
      <c r="M38" s="50">
        <v>160</v>
      </c>
      <c r="N38" s="50">
        <v>0</v>
      </c>
      <c r="O38" s="15">
        <f t="shared" si="0"/>
        <v>106</v>
      </c>
      <c r="P38" s="15">
        <f t="shared" si="1"/>
        <v>266</v>
      </c>
    </row>
    <row r="39" spans="2:20" ht="23.1" customHeight="1" x14ac:dyDescent="0.25">
      <c r="B39" s="24" t="s">
        <v>66</v>
      </c>
      <c r="C39" s="50">
        <v>30</v>
      </c>
      <c r="D39" s="50">
        <v>12</v>
      </c>
      <c r="E39" s="50">
        <v>11</v>
      </c>
      <c r="F39" s="50">
        <v>34</v>
      </c>
      <c r="G39" s="50">
        <v>0</v>
      </c>
      <c r="H39" s="50">
        <v>0</v>
      </c>
      <c r="I39" s="50">
        <v>5</v>
      </c>
      <c r="J39" s="50">
        <v>7</v>
      </c>
      <c r="K39" s="50">
        <v>0</v>
      </c>
      <c r="L39" s="50">
        <v>0</v>
      </c>
      <c r="M39" s="50">
        <v>175</v>
      </c>
      <c r="N39" s="50">
        <v>0</v>
      </c>
      <c r="O39" s="15">
        <f t="shared" si="0"/>
        <v>99</v>
      </c>
      <c r="P39" s="15">
        <f t="shared" si="1"/>
        <v>274</v>
      </c>
    </row>
    <row r="40" spans="2:20" ht="23.1" customHeight="1" x14ac:dyDescent="0.25">
      <c r="B40" s="24" t="s">
        <v>67</v>
      </c>
      <c r="C40" s="50">
        <v>32</v>
      </c>
      <c r="D40" s="50">
        <v>11</v>
      </c>
      <c r="E40" s="50">
        <v>7</v>
      </c>
      <c r="F40" s="50">
        <v>45</v>
      </c>
      <c r="G40" s="50">
        <v>0</v>
      </c>
      <c r="H40" s="50">
        <v>0</v>
      </c>
      <c r="I40" s="50">
        <v>3</v>
      </c>
      <c r="J40" s="50">
        <v>0</v>
      </c>
      <c r="K40" s="50">
        <v>2</v>
      </c>
      <c r="L40" s="50">
        <v>0</v>
      </c>
      <c r="M40" s="50">
        <v>150</v>
      </c>
      <c r="N40" s="50">
        <v>0</v>
      </c>
      <c r="O40" s="15">
        <f t="shared" si="0"/>
        <v>100</v>
      </c>
      <c r="P40" s="15">
        <f t="shared" si="1"/>
        <v>250</v>
      </c>
    </row>
    <row r="41" spans="2:20" ht="23.1" customHeight="1" x14ac:dyDescent="0.25">
      <c r="B41" s="23" t="s">
        <v>68</v>
      </c>
      <c r="C41" s="50">
        <v>27</v>
      </c>
      <c r="D41" s="50">
        <v>11</v>
      </c>
      <c r="E41" s="50">
        <v>5</v>
      </c>
      <c r="F41" s="50">
        <v>27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180</v>
      </c>
      <c r="N41" s="50">
        <v>0</v>
      </c>
      <c r="O41" s="15">
        <f t="shared" si="0"/>
        <v>73</v>
      </c>
      <c r="P41" s="15">
        <f t="shared" si="1"/>
        <v>253</v>
      </c>
    </row>
    <row r="42" spans="2:20" ht="23.1" customHeight="1" x14ac:dyDescent="0.25">
      <c r="B42" s="24" t="s">
        <v>69</v>
      </c>
      <c r="C42" s="50">
        <v>27</v>
      </c>
      <c r="D42" s="50">
        <v>6</v>
      </c>
      <c r="E42" s="50">
        <v>5</v>
      </c>
      <c r="F42" s="50">
        <v>27</v>
      </c>
      <c r="G42" s="50">
        <v>1</v>
      </c>
      <c r="H42" s="50">
        <v>0</v>
      </c>
      <c r="I42" s="50">
        <v>6</v>
      </c>
      <c r="J42" s="50">
        <v>2</v>
      </c>
      <c r="K42" s="50">
        <v>0</v>
      </c>
      <c r="L42" s="50">
        <v>0</v>
      </c>
      <c r="M42" s="50">
        <v>180</v>
      </c>
      <c r="N42" s="50">
        <v>0</v>
      </c>
      <c r="O42" s="15">
        <f t="shared" si="0"/>
        <v>74</v>
      </c>
      <c r="P42" s="15">
        <f t="shared" si="1"/>
        <v>254</v>
      </c>
    </row>
    <row r="43" spans="2:20" ht="23.1" customHeight="1" x14ac:dyDescent="0.25">
      <c r="B43" s="23" t="s">
        <v>70</v>
      </c>
      <c r="C43" s="50">
        <v>35</v>
      </c>
      <c r="D43" s="50">
        <v>6</v>
      </c>
      <c r="E43" s="50">
        <v>4</v>
      </c>
      <c r="F43" s="50">
        <v>26</v>
      </c>
      <c r="G43" s="50">
        <v>0</v>
      </c>
      <c r="H43" s="50">
        <v>0</v>
      </c>
      <c r="I43" s="50">
        <v>1</v>
      </c>
      <c r="J43" s="50">
        <v>2</v>
      </c>
      <c r="K43" s="50">
        <v>1</v>
      </c>
      <c r="L43" s="50">
        <v>1</v>
      </c>
      <c r="M43" s="50">
        <v>175</v>
      </c>
      <c r="N43" s="50">
        <v>0</v>
      </c>
      <c r="O43" s="15">
        <f t="shared" si="0"/>
        <v>76</v>
      </c>
      <c r="P43" s="15">
        <f t="shared" si="1"/>
        <v>251</v>
      </c>
    </row>
    <row r="44" spans="2:20" ht="23.1" customHeight="1" x14ac:dyDescent="0.25">
      <c r="B44" s="25" t="s">
        <v>71</v>
      </c>
      <c r="C44" s="50">
        <v>21</v>
      </c>
      <c r="D44" s="50">
        <v>11</v>
      </c>
      <c r="E44" s="50">
        <v>8</v>
      </c>
      <c r="F44" s="50">
        <v>32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180</v>
      </c>
      <c r="N44" s="50">
        <v>0</v>
      </c>
      <c r="O44" s="15">
        <f t="shared" si="0"/>
        <v>75</v>
      </c>
      <c r="P44" s="15">
        <f t="shared" si="1"/>
        <v>255</v>
      </c>
    </row>
    <row r="45" spans="2:20" ht="23.1" customHeight="1" x14ac:dyDescent="0.25">
      <c r="B45" s="23" t="s">
        <v>72</v>
      </c>
      <c r="C45" s="50">
        <v>21</v>
      </c>
      <c r="D45" s="50">
        <v>3</v>
      </c>
      <c r="E45" s="50">
        <v>6</v>
      </c>
      <c r="F45" s="50">
        <v>25</v>
      </c>
      <c r="G45" s="50">
        <v>0</v>
      </c>
      <c r="H45" s="50">
        <v>1</v>
      </c>
      <c r="I45" s="50">
        <v>4</v>
      </c>
      <c r="J45" s="50">
        <v>2</v>
      </c>
      <c r="K45" s="50">
        <v>0</v>
      </c>
      <c r="L45" s="50">
        <v>0</v>
      </c>
      <c r="M45" s="50">
        <v>90</v>
      </c>
      <c r="N45" s="50">
        <v>0</v>
      </c>
      <c r="O45" s="15">
        <f t="shared" si="0"/>
        <v>62</v>
      </c>
      <c r="P45" s="15">
        <f t="shared" si="1"/>
        <v>152</v>
      </c>
    </row>
    <row r="46" spans="2:20" ht="23.1" customHeight="1" x14ac:dyDescent="0.25">
      <c r="B46" s="24" t="s">
        <v>73</v>
      </c>
      <c r="C46" s="50">
        <v>18</v>
      </c>
      <c r="D46" s="50">
        <v>11</v>
      </c>
      <c r="E46" s="50">
        <v>2</v>
      </c>
      <c r="F46" s="50">
        <v>24</v>
      </c>
      <c r="G46" s="50">
        <v>0</v>
      </c>
      <c r="H46" s="50">
        <v>0</v>
      </c>
      <c r="I46" s="50">
        <v>3</v>
      </c>
      <c r="J46" s="50">
        <v>1</v>
      </c>
      <c r="K46" s="50">
        <v>1</v>
      </c>
      <c r="L46" s="50">
        <v>0</v>
      </c>
      <c r="M46" s="50">
        <v>180</v>
      </c>
      <c r="N46" s="50">
        <v>0</v>
      </c>
      <c r="O46" s="15">
        <f t="shared" si="0"/>
        <v>60</v>
      </c>
      <c r="P46" s="15">
        <f t="shared" si="1"/>
        <v>240</v>
      </c>
      <c r="R46" s="8"/>
      <c r="T46"/>
    </row>
    <row r="47" spans="2:20" ht="23.1" customHeight="1" x14ac:dyDescent="0.25">
      <c r="B47" s="24" t="s">
        <v>74</v>
      </c>
      <c r="C47" s="50">
        <v>26</v>
      </c>
      <c r="D47" s="50">
        <v>8</v>
      </c>
      <c r="E47" s="50">
        <v>8</v>
      </c>
      <c r="F47" s="50">
        <v>30</v>
      </c>
      <c r="G47" s="50">
        <v>0</v>
      </c>
      <c r="H47" s="50">
        <v>0</v>
      </c>
      <c r="I47" s="50">
        <v>5</v>
      </c>
      <c r="J47" s="50">
        <v>2</v>
      </c>
      <c r="K47" s="50">
        <v>0</v>
      </c>
      <c r="L47" s="50">
        <v>0</v>
      </c>
      <c r="M47" s="50">
        <v>156</v>
      </c>
      <c r="N47" s="50">
        <v>0</v>
      </c>
      <c r="O47" s="15">
        <f t="shared" si="0"/>
        <v>79</v>
      </c>
      <c r="P47" s="15">
        <f t="shared" si="1"/>
        <v>235</v>
      </c>
      <c r="R47" s="8"/>
      <c r="T47"/>
    </row>
    <row r="48" spans="2:20" ht="23.1" customHeight="1" x14ac:dyDescent="0.25">
      <c r="B48" s="24" t="s">
        <v>75</v>
      </c>
      <c r="C48" s="50">
        <v>33</v>
      </c>
      <c r="D48" s="50">
        <v>11</v>
      </c>
      <c r="E48" s="50">
        <v>9</v>
      </c>
      <c r="F48" s="50">
        <v>26</v>
      </c>
      <c r="G48" s="50">
        <v>0</v>
      </c>
      <c r="H48" s="50">
        <v>0</v>
      </c>
      <c r="I48" s="50">
        <v>3</v>
      </c>
      <c r="J48" s="50">
        <v>4</v>
      </c>
      <c r="K48" s="50">
        <v>0</v>
      </c>
      <c r="L48" s="50">
        <v>0</v>
      </c>
      <c r="M48" s="50">
        <v>175</v>
      </c>
      <c r="N48" s="50">
        <v>0</v>
      </c>
      <c r="O48" s="15">
        <f t="shared" si="0"/>
        <v>86</v>
      </c>
      <c r="P48" s="15">
        <f t="shared" si="1"/>
        <v>261</v>
      </c>
      <c r="R48" s="8"/>
      <c r="T48"/>
    </row>
    <row r="49" spans="2:20" ht="23.1" customHeight="1" x14ac:dyDescent="0.25">
      <c r="B49" s="23" t="s">
        <v>76</v>
      </c>
      <c r="C49" s="50">
        <v>35</v>
      </c>
      <c r="D49" s="50">
        <v>11</v>
      </c>
      <c r="E49" s="50">
        <v>13</v>
      </c>
      <c r="F49" s="50">
        <v>22</v>
      </c>
      <c r="G49" s="50">
        <v>0</v>
      </c>
      <c r="H49" s="50">
        <v>0</v>
      </c>
      <c r="I49" s="50">
        <v>2</v>
      </c>
      <c r="J49" s="50">
        <v>2</v>
      </c>
      <c r="K49" s="50">
        <v>0</v>
      </c>
      <c r="L49" s="50">
        <v>0</v>
      </c>
      <c r="M49" s="50">
        <v>175</v>
      </c>
      <c r="N49" s="50">
        <v>0</v>
      </c>
      <c r="O49" s="15">
        <f t="shared" si="0"/>
        <v>85</v>
      </c>
      <c r="P49" s="15">
        <f t="shared" si="1"/>
        <v>260</v>
      </c>
      <c r="R49" s="8"/>
      <c r="T49"/>
    </row>
    <row r="50" spans="2:20" ht="23.1" customHeight="1" x14ac:dyDescent="0.25">
      <c r="B50" s="24" t="s">
        <v>77</v>
      </c>
      <c r="C50" s="50">
        <v>24</v>
      </c>
      <c r="D50" s="50">
        <v>5</v>
      </c>
      <c r="E50" s="50">
        <v>4</v>
      </c>
      <c r="F50" s="50">
        <v>17</v>
      </c>
      <c r="G50" s="50">
        <v>0</v>
      </c>
      <c r="H50" s="50">
        <v>0</v>
      </c>
      <c r="I50" s="50">
        <v>3</v>
      </c>
      <c r="J50" s="50">
        <v>3</v>
      </c>
      <c r="K50" s="50">
        <v>0</v>
      </c>
      <c r="L50" s="50">
        <v>0</v>
      </c>
      <c r="M50" s="50">
        <v>175</v>
      </c>
      <c r="N50" s="50">
        <v>0</v>
      </c>
      <c r="O50" s="15">
        <f t="shared" si="0"/>
        <v>56</v>
      </c>
      <c r="P50" s="15">
        <f t="shared" si="1"/>
        <v>231</v>
      </c>
      <c r="R50" s="8"/>
      <c r="T50"/>
    </row>
    <row r="51" spans="2:20" ht="23.1" customHeight="1" x14ac:dyDescent="0.25">
      <c r="B51" s="24" t="s">
        <v>78</v>
      </c>
      <c r="C51" s="50">
        <v>21</v>
      </c>
      <c r="D51" s="50">
        <v>6</v>
      </c>
      <c r="E51" s="50">
        <v>4</v>
      </c>
      <c r="F51" s="50">
        <v>23</v>
      </c>
      <c r="G51" s="50">
        <v>0</v>
      </c>
      <c r="H51" s="50">
        <v>0</v>
      </c>
      <c r="I51" s="50">
        <v>0</v>
      </c>
      <c r="J51" s="50">
        <v>4</v>
      </c>
      <c r="K51" s="50">
        <v>0</v>
      </c>
      <c r="L51" s="50">
        <v>0</v>
      </c>
      <c r="M51" s="50">
        <v>150</v>
      </c>
      <c r="N51" s="50">
        <v>0</v>
      </c>
      <c r="O51" s="15">
        <f t="shared" si="0"/>
        <v>58</v>
      </c>
      <c r="P51" s="15">
        <f t="shared" si="1"/>
        <v>208</v>
      </c>
      <c r="R51" s="8"/>
      <c r="T51"/>
    </row>
    <row r="52" spans="2:20" ht="23.1" customHeight="1" x14ac:dyDescent="0.25">
      <c r="B52" s="24" t="s">
        <v>79</v>
      </c>
      <c r="C52" s="50">
        <v>41</v>
      </c>
      <c r="D52" s="50">
        <v>11</v>
      </c>
      <c r="E52" s="50">
        <v>4</v>
      </c>
      <c r="F52" s="50">
        <v>24</v>
      </c>
      <c r="G52" s="50">
        <v>0</v>
      </c>
      <c r="H52" s="50">
        <v>0</v>
      </c>
      <c r="I52" s="50">
        <v>1</v>
      </c>
      <c r="J52" s="50">
        <v>2</v>
      </c>
      <c r="K52" s="50">
        <v>0</v>
      </c>
      <c r="L52" s="50">
        <v>0</v>
      </c>
      <c r="M52" s="50">
        <v>180</v>
      </c>
      <c r="N52" s="50">
        <v>0</v>
      </c>
      <c r="O52" s="15">
        <f t="shared" si="0"/>
        <v>83</v>
      </c>
      <c r="P52" s="15">
        <f t="shared" si="1"/>
        <v>263</v>
      </c>
      <c r="R52" s="8"/>
      <c r="T52"/>
    </row>
    <row r="53" spans="2:20" ht="23.1" customHeight="1" x14ac:dyDescent="0.25">
      <c r="B53" s="23" t="s">
        <v>80</v>
      </c>
      <c r="C53" s="50">
        <v>21</v>
      </c>
      <c r="D53" s="50">
        <v>0</v>
      </c>
      <c r="E53" s="50">
        <v>0</v>
      </c>
      <c r="F53" s="50">
        <v>30</v>
      </c>
      <c r="G53" s="50">
        <v>0</v>
      </c>
      <c r="H53" s="50">
        <v>0</v>
      </c>
      <c r="I53" s="50">
        <v>0</v>
      </c>
      <c r="J53" s="50">
        <v>0</v>
      </c>
      <c r="K53" s="50">
        <v>1</v>
      </c>
      <c r="L53" s="50">
        <v>0</v>
      </c>
      <c r="M53" s="50">
        <v>155</v>
      </c>
      <c r="N53" s="50">
        <v>0</v>
      </c>
      <c r="O53" s="15">
        <f t="shared" si="0"/>
        <v>52</v>
      </c>
      <c r="P53" s="15">
        <f t="shared" si="1"/>
        <v>207</v>
      </c>
      <c r="R53" s="8"/>
      <c r="T53"/>
    </row>
    <row r="54" spans="2:20" ht="23.1" customHeight="1" x14ac:dyDescent="0.25">
      <c r="B54" s="23" t="s">
        <v>81</v>
      </c>
      <c r="C54" s="50">
        <v>27</v>
      </c>
      <c r="D54" s="50">
        <v>7</v>
      </c>
      <c r="E54" s="50">
        <v>4</v>
      </c>
      <c r="F54" s="50">
        <v>17</v>
      </c>
      <c r="G54" s="50">
        <v>0</v>
      </c>
      <c r="H54" s="50">
        <v>0</v>
      </c>
      <c r="I54" s="50">
        <v>1</v>
      </c>
      <c r="J54" s="50">
        <v>1</v>
      </c>
      <c r="K54" s="50">
        <v>1</v>
      </c>
      <c r="L54" s="50">
        <v>0</v>
      </c>
      <c r="M54" s="50">
        <v>130</v>
      </c>
      <c r="N54" s="50">
        <v>0</v>
      </c>
      <c r="O54" s="15">
        <f t="shared" si="0"/>
        <v>58</v>
      </c>
      <c r="P54" s="15">
        <f t="shared" si="1"/>
        <v>188</v>
      </c>
      <c r="R54" s="8"/>
      <c r="T54"/>
    </row>
    <row r="55" spans="2:20" ht="23.1" customHeight="1" x14ac:dyDescent="0.25">
      <c r="B55" s="23" t="s">
        <v>82</v>
      </c>
      <c r="C55" s="50">
        <v>23</v>
      </c>
      <c r="D55" s="50">
        <v>6</v>
      </c>
      <c r="E55" s="50">
        <v>3</v>
      </c>
      <c r="F55" s="50">
        <v>17</v>
      </c>
      <c r="G55" s="50">
        <v>0</v>
      </c>
      <c r="H55" s="50">
        <v>0</v>
      </c>
      <c r="I55" s="50">
        <v>4</v>
      </c>
      <c r="J55" s="50">
        <v>2</v>
      </c>
      <c r="K55" s="50">
        <v>2</v>
      </c>
      <c r="L55" s="50">
        <v>0</v>
      </c>
      <c r="M55" s="50">
        <v>150</v>
      </c>
      <c r="N55" s="50">
        <v>0</v>
      </c>
      <c r="O55" s="15">
        <f t="shared" si="0"/>
        <v>57</v>
      </c>
      <c r="P55" s="15">
        <f t="shared" si="1"/>
        <v>207</v>
      </c>
      <c r="R55" s="8"/>
      <c r="T55"/>
    </row>
    <row r="56" spans="2:20" ht="23.1" customHeight="1" x14ac:dyDescent="0.25">
      <c r="B56" s="23" t="s">
        <v>83</v>
      </c>
      <c r="C56" s="50">
        <v>15</v>
      </c>
      <c r="D56" s="50">
        <v>1</v>
      </c>
      <c r="E56" s="50">
        <v>1</v>
      </c>
      <c r="F56" s="50">
        <v>11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150</v>
      </c>
      <c r="N56" s="50">
        <v>0</v>
      </c>
      <c r="O56" s="15">
        <f t="shared" si="0"/>
        <v>29</v>
      </c>
      <c r="P56" s="15">
        <f t="shared" si="1"/>
        <v>179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4</v>
      </c>
      <c r="E57" s="50">
        <v>0</v>
      </c>
      <c r="F57" s="50">
        <v>14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180</v>
      </c>
      <c r="N57" s="50">
        <v>0</v>
      </c>
      <c r="O57" s="15">
        <f t="shared" si="0"/>
        <v>24</v>
      </c>
      <c r="P57" s="15">
        <f t="shared" si="1"/>
        <v>204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1780</v>
      </c>
      <c r="D58" s="16">
        <f t="shared" si="21"/>
        <v>414</v>
      </c>
      <c r="E58" s="16">
        <f t="shared" si="21"/>
        <v>280</v>
      </c>
      <c r="F58" s="16">
        <f t="shared" si="21"/>
        <v>1248</v>
      </c>
      <c r="G58" s="16">
        <f t="shared" si="21"/>
        <v>4</v>
      </c>
      <c r="H58" s="16">
        <f t="shared" si="21"/>
        <v>1</v>
      </c>
      <c r="I58" s="16">
        <f t="shared" si="21"/>
        <v>142</v>
      </c>
      <c r="J58" s="16">
        <f t="shared" si="21"/>
        <v>103</v>
      </c>
      <c r="K58" s="16">
        <f t="shared" si="21"/>
        <v>16</v>
      </c>
      <c r="L58" s="16">
        <f t="shared" si="21"/>
        <v>3</v>
      </c>
      <c r="M58" s="16">
        <f t="shared" si="21"/>
        <v>8201</v>
      </c>
      <c r="N58" s="16">
        <f t="shared" si="21"/>
        <v>1</v>
      </c>
      <c r="O58" s="16">
        <f t="shared" si="21"/>
        <v>3992</v>
      </c>
      <c r="P58" s="16">
        <f t="shared" si="21"/>
        <v>12193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0.145985401459854</v>
      </c>
      <c r="D59" s="43">
        <f t="shared" si="22"/>
        <v>3.3953907979988519E-2</v>
      </c>
      <c r="E59" s="43">
        <f t="shared" si="22"/>
        <v>2.2963995735257935E-2</v>
      </c>
      <c r="F59" s="43">
        <f t="shared" si="22"/>
        <v>0.10235380956286394</v>
      </c>
      <c r="G59" s="43">
        <f t="shared" si="22"/>
        <v>3.2805708193225621E-4</v>
      </c>
      <c r="H59" s="43">
        <f t="shared" si="22"/>
        <v>8.2014270483064052E-5</v>
      </c>
      <c r="I59" s="43">
        <f t="shared" si="22"/>
        <v>1.1646026408595096E-2</v>
      </c>
      <c r="J59" s="43">
        <f t="shared" si="22"/>
        <v>8.4474698597555974E-3</v>
      </c>
      <c r="K59" s="43">
        <f t="shared" si="22"/>
        <v>1.3122283277290248E-3</v>
      </c>
      <c r="L59" s="43">
        <f t="shared" si="22"/>
        <v>2.4604281144919215E-4</v>
      </c>
      <c r="M59" s="43">
        <f t="shared" si="22"/>
        <v>0.67259903223160833</v>
      </c>
      <c r="N59" s="43">
        <f t="shared" si="22"/>
        <v>8.2014270483064052E-5</v>
      </c>
      <c r="R59" s="8"/>
      <c r="T59"/>
    </row>
    <row r="60" spans="2:20" ht="23.1" customHeight="1" x14ac:dyDescent="0.25">
      <c r="B60" s="42" t="s">
        <v>94</v>
      </c>
      <c r="C60" s="44">
        <f>C58/$O$58</f>
        <v>0.44589178356713427</v>
      </c>
      <c r="D60" s="44">
        <f t="shared" ref="D60:N60" si="23">D58/$O$58</f>
        <v>0.10370741482965933</v>
      </c>
      <c r="E60" s="44">
        <f t="shared" si="23"/>
        <v>7.0140280561122245E-2</v>
      </c>
      <c r="F60" s="44">
        <f t="shared" si="23"/>
        <v>0.31262525050100198</v>
      </c>
      <c r="G60" s="44">
        <f t="shared" si="23"/>
        <v>1.002004008016032E-3</v>
      </c>
      <c r="H60" s="44">
        <f t="shared" si="23"/>
        <v>2.50501002004008E-4</v>
      </c>
      <c r="I60" s="44">
        <f t="shared" si="23"/>
        <v>3.5571142284569139E-2</v>
      </c>
      <c r="J60" s="44">
        <f t="shared" si="23"/>
        <v>2.5801603206412827E-2</v>
      </c>
      <c r="K60" s="44">
        <f t="shared" si="23"/>
        <v>4.0080160320641279E-3</v>
      </c>
      <c r="L60" s="44">
        <f t="shared" si="23"/>
        <v>7.5150300601202404E-4</v>
      </c>
      <c r="M60" s="44"/>
      <c r="N60" s="44">
        <f t="shared" si="23"/>
        <v>2.50501002004008E-4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Kibuye-Makindye'!C3:G3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63" t="str">
        <f>'22.07 Kibuye-Makindye'!G5:H5</f>
        <v>FUELEX MAKINDYE</v>
      </c>
      <c r="H5" s="64"/>
      <c r="I5" s="14"/>
      <c r="J5" s="2" t="s">
        <v>5</v>
      </c>
      <c r="K5" s="63" t="str">
        <f>'22.07 Kibuye-Makindye'!K5:L5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Kibuye-Makindye'!D6:E6</f>
        <v>KIBUYE</v>
      </c>
      <c r="E6" s="64"/>
      <c r="F6" s="2" t="s">
        <v>2</v>
      </c>
      <c r="G6" s="63" t="str">
        <f>'22.07 Kibuye-Makindye'!G6:H6</f>
        <v>MAKINDYE</v>
      </c>
      <c r="H6" s="64"/>
      <c r="J6" s="2" t="s">
        <v>21</v>
      </c>
      <c r="K6" s="63" t="str">
        <f>'22.07 Kibuye-Makindye'!K6:L6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18</v>
      </c>
      <c r="D10" s="50">
        <v>4</v>
      </c>
      <c r="E10" s="50">
        <v>2</v>
      </c>
      <c r="F10" s="50">
        <v>18</v>
      </c>
      <c r="G10" s="50">
        <v>0</v>
      </c>
      <c r="H10" s="50">
        <v>0</v>
      </c>
      <c r="I10" s="50">
        <v>1</v>
      </c>
      <c r="J10" s="50">
        <v>2</v>
      </c>
      <c r="K10" s="50">
        <v>0</v>
      </c>
      <c r="L10" s="50">
        <v>0</v>
      </c>
      <c r="M10" s="50">
        <v>120</v>
      </c>
      <c r="N10" s="50">
        <v>0</v>
      </c>
      <c r="O10" s="15">
        <f t="shared" ref="O10:O57" si="0">SUM(C10:L10,N10)</f>
        <v>45</v>
      </c>
      <c r="P10" s="15">
        <f t="shared" ref="P10:P57" si="1">SUM(C10:N10)</f>
        <v>165</v>
      </c>
      <c r="R10" s="1" t="s">
        <v>6</v>
      </c>
      <c r="S10" s="17">
        <f t="shared" ref="S10:AF10" si="2">SUM(C10:C13)</f>
        <v>141</v>
      </c>
      <c r="T10" s="17">
        <f t="shared" si="2"/>
        <v>35</v>
      </c>
      <c r="U10" s="17">
        <f t="shared" si="2"/>
        <v>14</v>
      </c>
      <c r="V10" s="17">
        <f t="shared" si="2"/>
        <v>132</v>
      </c>
      <c r="W10" s="17">
        <f t="shared" si="2"/>
        <v>1</v>
      </c>
      <c r="X10" s="17">
        <f t="shared" si="2"/>
        <v>0</v>
      </c>
      <c r="Y10" s="17">
        <f t="shared" si="2"/>
        <v>4</v>
      </c>
      <c r="Z10" s="17">
        <f t="shared" si="2"/>
        <v>8</v>
      </c>
      <c r="AA10" s="17">
        <f t="shared" si="2"/>
        <v>1</v>
      </c>
      <c r="AB10" s="17">
        <f t="shared" si="2"/>
        <v>0</v>
      </c>
      <c r="AC10" s="17">
        <f t="shared" si="2"/>
        <v>695</v>
      </c>
      <c r="AD10" s="17">
        <f t="shared" si="2"/>
        <v>0</v>
      </c>
      <c r="AE10" s="31">
        <f t="shared" si="2"/>
        <v>336</v>
      </c>
      <c r="AF10" s="31">
        <f t="shared" si="2"/>
        <v>1031</v>
      </c>
    </row>
    <row r="11" spans="2:32" s="6" customFormat="1" ht="23.1" customHeight="1" x14ac:dyDescent="0.25">
      <c r="B11" s="23" t="s">
        <v>38</v>
      </c>
      <c r="C11" s="50">
        <v>42</v>
      </c>
      <c r="D11" s="50">
        <v>7</v>
      </c>
      <c r="E11" s="50">
        <v>2</v>
      </c>
      <c r="F11" s="50">
        <v>31</v>
      </c>
      <c r="G11" s="50">
        <v>0</v>
      </c>
      <c r="H11" s="50">
        <v>0</v>
      </c>
      <c r="I11" s="50">
        <v>1</v>
      </c>
      <c r="J11" s="50">
        <v>1</v>
      </c>
      <c r="K11" s="50">
        <v>1</v>
      </c>
      <c r="L11" s="50">
        <v>0</v>
      </c>
      <c r="M11" s="50">
        <v>180</v>
      </c>
      <c r="N11" s="50">
        <v>0</v>
      </c>
      <c r="O11" s="15">
        <f t="shared" si="0"/>
        <v>85</v>
      </c>
      <c r="P11" s="15">
        <f t="shared" si="1"/>
        <v>265</v>
      </c>
      <c r="R11" s="1" t="s">
        <v>7</v>
      </c>
      <c r="S11" s="17">
        <f t="shared" ref="S11:AF11" si="3">SUM(C14:C17)</f>
        <v>190</v>
      </c>
      <c r="T11" s="17">
        <f t="shared" si="3"/>
        <v>72</v>
      </c>
      <c r="U11" s="17">
        <f t="shared" si="3"/>
        <v>20</v>
      </c>
      <c r="V11" s="17">
        <f t="shared" si="3"/>
        <v>192</v>
      </c>
      <c r="W11" s="17">
        <f t="shared" si="3"/>
        <v>2</v>
      </c>
      <c r="X11" s="17">
        <f t="shared" si="3"/>
        <v>1</v>
      </c>
      <c r="Y11" s="17">
        <f t="shared" si="3"/>
        <v>16</v>
      </c>
      <c r="Z11" s="17">
        <f t="shared" si="3"/>
        <v>5</v>
      </c>
      <c r="AA11" s="17">
        <f t="shared" si="3"/>
        <v>0</v>
      </c>
      <c r="AB11" s="17">
        <f t="shared" si="3"/>
        <v>0</v>
      </c>
      <c r="AC11" s="17">
        <f t="shared" si="3"/>
        <v>620</v>
      </c>
      <c r="AD11" s="17">
        <f t="shared" si="3"/>
        <v>0</v>
      </c>
      <c r="AE11" s="31">
        <f t="shared" si="3"/>
        <v>498</v>
      </c>
      <c r="AF11" s="31">
        <f t="shared" si="3"/>
        <v>1118</v>
      </c>
    </row>
    <row r="12" spans="2:32" ht="23.1" customHeight="1" x14ac:dyDescent="0.25">
      <c r="B12" s="23" t="s">
        <v>39</v>
      </c>
      <c r="C12" s="50">
        <v>40</v>
      </c>
      <c r="D12" s="50">
        <v>9</v>
      </c>
      <c r="E12" s="50">
        <v>4</v>
      </c>
      <c r="F12" s="50">
        <v>45</v>
      </c>
      <c r="G12" s="50">
        <v>1</v>
      </c>
      <c r="H12" s="50">
        <v>0</v>
      </c>
      <c r="I12" s="50">
        <v>1</v>
      </c>
      <c r="J12" s="50">
        <v>3</v>
      </c>
      <c r="K12" s="50">
        <v>0</v>
      </c>
      <c r="L12" s="50">
        <v>0</v>
      </c>
      <c r="M12" s="50">
        <v>205</v>
      </c>
      <c r="N12" s="50">
        <v>0</v>
      </c>
      <c r="O12" s="15">
        <f t="shared" si="0"/>
        <v>103</v>
      </c>
      <c r="P12" s="15">
        <f t="shared" si="1"/>
        <v>308</v>
      </c>
      <c r="R12" s="1" t="s">
        <v>8</v>
      </c>
      <c r="S12" s="17">
        <f t="shared" ref="S12:AF12" si="4">SUM(C18:C21)</f>
        <v>148</v>
      </c>
      <c r="T12" s="17">
        <f t="shared" si="4"/>
        <v>53</v>
      </c>
      <c r="U12" s="17">
        <f t="shared" si="4"/>
        <v>22</v>
      </c>
      <c r="V12" s="17">
        <f t="shared" si="4"/>
        <v>168</v>
      </c>
      <c r="W12" s="17">
        <f t="shared" si="4"/>
        <v>3</v>
      </c>
      <c r="X12" s="17">
        <f t="shared" si="4"/>
        <v>0</v>
      </c>
      <c r="Y12" s="17">
        <f t="shared" si="4"/>
        <v>12</v>
      </c>
      <c r="Z12" s="17">
        <f t="shared" si="4"/>
        <v>17</v>
      </c>
      <c r="AA12" s="17">
        <f t="shared" si="4"/>
        <v>4</v>
      </c>
      <c r="AB12" s="17">
        <f t="shared" si="4"/>
        <v>1</v>
      </c>
      <c r="AC12" s="17">
        <f t="shared" si="4"/>
        <v>810</v>
      </c>
      <c r="AD12" s="17">
        <f t="shared" si="4"/>
        <v>0</v>
      </c>
      <c r="AE12" s="31">
        <f t="shared" si="4"/>
        <v>428</v>
      </c>
      <c r="AF12" s="31">
        <f t="shared" si="4"/>
        <v>1238</v>
      </c>
    </row>
    <row r="13" spans="2:32" ht="23.1" customHeight="1" x14ac:dyDescent="0.25">
      <c r="B13" s="23" t="s">
        <v>40</v>
      </c>
      <c r="C13" s="50">
        <v>41</v>
      </c>
      <c r="D13" s="50">
        <v>15</v>
      </c>
      <c r="E13" s="50">
        <v>6</v>
      </c>
      <c r="F13" s="50">
        <v>38</v>
      </c>
      <c r="G13" s="50">
        <v>0</v>
      </c>
      <c r="H13" s="50">
        <v>0</v>
      </c>
      <c r="I13" s="50">
        <v>1</v>
      </c>
      <c r="J13" s="50">
        <v>2</v>
      </c>
      <c r="K13" s="50">
        <v>0</v>
      </c>
      <c r="L13" s="50">
        <v>0</v>
      </c>
      <c r="M13" s="50">
        <v>190</v>
      </c>
      <c r="N13" s="50">
        <v>0</v>
      </c>
      <c r="O13" s="15">
        <f t="shared" si="0"/>
        <v>103</v>
      </c>
      <c r="P13" s="15">
        <f t="shared" si="1"/>
        <v>293</v>
      </c>
      <c r="R13" s="1" t="s">
        <v>9</v>
      </c>
      <c r="S13" s="17">
        <f t="shared" ref="S13:AF13" si="5">SUM(C22:C25)</f>
        <v>114</v>
      </c>
      <c r="T13" s="17">
        <f t="shared" si="5"/>
        <v>36</v>
      </c>
      <c r="U13" s="17">
        <f t="shared" si="5"/>
        <v>18</v>
      </c>
      <c r="V13" s="17">
        <f t="shared" si="5"/>
        <v>91</v>
      </c>
      <c r="W13" s="17">
        <f t="shared" si="5"/>
        <v>1</v>
      </c>
      <c r="X13" s="17">
        <f t="shared" si="5"/>
        <v>0</v>
      </c>
      <c r="Y13" s="17">
        <f t="shared" si="5"/>
        <v>12</v>
      </c>
      <c r="Z13" s="17">
        <f t="shared" si="5"/>
        <v>10</v>
      </c>
      <c r="AA13" s="17">
        <f t="shared" si="5"/>
        <v>4</v>
      </c>
      <c r="AB13" s="17">
        <f t="shared" si="5"/>
        <v>1</v>
      </c>
      <c r="AC13" s="17">
        <f t="shared" si="5"/>
        <v>690</v>
      </c>
      <c r="AD13" s="17">
        <f t="shared" si="5"/>
        <v>0</v>
      </c>
      <c r="AE13" s="31">
        <f t="shared" si="5"/>
        <v>287</v>
      </c>
      <c r="AF13" s="31">
        <f t="shared" si="5"/>
        <v>977</v>
      </c>
    </row>
    <row r="14" spans="2:32" ht="23.1" customHeight="1" x14ac:dyDescent="0.25">
      <c r="B14" s="23" t="s">
        <v>41</v>
      </c>
      <c r="C14" s="50">
        <v>56</v>
      </c>
      <c r="D14" s="50">
        <v>19</v>
      </c>
      <c r="E14" s="50">
        <v>3</v>
      </c>
      <c r="F14" s="50">
        <v>54</v>
      </c>
      <c r="G14" s="50">
        <v>1</v>
      </c>
      <c r="H14" s="50">
        <v>0</v>
      </c>
      <c r="I14" s="50">
        <v>3</v>
      </c>
      <c r="J14" s="50">
        <v>2</v>
      </c>
      <c r="K14" s="50">
        <v>0</v>
      </c>
      <c r="L14" s="50">
        <v>0</v>
      </c>
      <c r="M14" s="50">
        <v>135</v>
      </c>
      <c r="N14" s="50">
        <v>0</v>
      </c>
      <c r="O14" s="15">
        <f t="shared" si="0"/>
        <v>138</v>
      </c>
      <c r="P14" s="15">
        <f t="shared" si="1"/>
        <v>273</v>
      </c>
      <c r="R14" s="1" t="s">
        <v>10</v>
      </c>
      <c r="S14" s="17">
        <f t="shared" ref="S14:AF14" si="6">SUM(C26:C29)</f>
        <v>164</v>
      </c>
      <c r="T14" s="17">
        <f t="shared" si="6"/>
        <v>57</v>
      </c>
      <c r="U14" s="17">
        <f t="shared" si="6"/>
        <v>29</v>
      </c>
      <c r="V14" s="17">
        <f t="shared" si="6"/>
        <v>107</v>
      </c>
      <c r="W14" s="17">
        <f t="shared" si="6"/>
        <v>0</v>
      </c>
      <c r="X14" s="17">
        <f t="shared" si="6"/>
        <v>0</v>
      </c>
      <c r="Y14" s="17">
        <f t="shared" si="6"/>
        <v>7</v>
      </c>
      <c r="Z14" s="17">
        <f t="shared" si="6"/>
        <v>17</v>
      </c>
      <c r="AA14" s="17">
        <f t="shared" si="6"/>
        <v>4</v>
      </c>
      <c r="AB14" s="17">
        <f t="shared" si="6"/>
        <v>2</v>
      </c>
      <c r="AC14" s="17">
        <f t="shared" si="6"/>
        <v>645</v>
      </c>
      <c r="AD14" s="17">
        <f t="shared" si="6"/>
        <v>0</v>
      </c>
      <c r="AE14" s="31">
        <f t="shared" si="6"/>
        <v>387</v>
      </c>
      <c r="AF14" s="31">
        <f t="shared" si="6"/>
        <v>1032</v>
      </c>
    </row>
    <row r="15" spans="2:32" ht="23.1" customHeight="1" x14ac:dyDescent="0.25">
      <c r="B15" s="23" t="s">
        <v>42</v>
      </c>
      <c r="C15" s="50">
        <v>50</v>
      </c>
      <c r="D15" s="50">
        <v>25</v>
      </c>
      <c r="E15" s="50">
        <v>7</v>
      </c>
      <c r="F15" s="50">
        <v>45</v>
      </c>
      <c r="G15" s="50">
        <v>0</v>
      </c>
      <c r="H15" s="50">
        <v>0</v>
      </c>
      <c r="I15" s="50">
        <v>4</v>
      </c>
      <c r="J15" s="50">
        <v>1</v>
      </c>
      <c r="K15" s="50">
        <v>0</v>
      </c>
      <c r="L15" s="50">
        <v>0</v>
      </c>
      <c r="M15" s="50">
        <v>100</v>
      </c>
      <c r="N15" s="50">
        <v>0</v>
      </c>
      <c r="O15" s="15">
        <f t="shared" si="0"/>
        <v>132</v>
      </c>
      <c r="P15" s="15">
        <f t="shared" si="1"/>
        <v>232</v>
      </c>
      <c r="R15" s="1" t="s">
        <v>11</v>
      </c>
      <c r="S15" s="17">
        <f t="shared" ref="S15:AF15" si="7">SUM(C30:C33)</f>
        <v>189</v>
      </c>
      <c r="T15" s="17">
        <f t="shared" si="7"/>
        <v>71</v>
      </c>
      <c r="U15" s="17">
        <f t="shared" si="7"/>
        <v>25</v>
      </c>
      <c r="V15" s="17">
        <f t="shared" si="7"/>
        <v>89</v>
      </c>
      <c r="W15" s="17">
        <f t="shared" si="7"/>
        <v>0</v>
      </c>
      <c r="X15" s="17">
        <f t="shared" si="7"/>
        <v>1</v>
      </c>
      <c r="Y15" s="17">
        <f t="shared" si="7"/>
        <v>4</v>
      </c>
      <c r="Z15" s="17">
        <f t="shared" si="7"/>
        <v>10</v>
      </c>
      <c r="AA15" s="17">
        <f t="shared" si="7"/>
        <v>5</v>
      </c>
      <c r="AB15" s="17">
        <f t="shared" si="7"/>
        <v>0</v>
      </c>
      <c r="AC15" s="17">
        <f t="shared" si="7"/>
        <v>616</v>
      </c>
      <c r="AD15" s="17">
        <f t="shared" si="7"/>
        <v>0</v>
      </c>
      <c r="AE15" s="31">
        <f t="shared" si="7"/>
        <v>394</v>
      </c>
      <c r="AF15" s="31">
        <f t="shared" si="7"/>
        <v>1010</v>
      </c>
    </row>
    <row r="16" spans="2:32" ht="23.1" customHeight="1" x14ac:dyDescent="0.25">
      <c r="B16" s="23" t="s">
        <v>43</v>
      </c>
      <c r="C16" s="50">
        <v>50</v>
      </c>
      <c r="D16" s="50">
        <v>20</v>
      </c>
      <c r="E16" s="50">
        <v>6</v>
      </c>
      <c r="F16" s="50">
        <v>52</v>
      </c>
      <c r="G16" s="50">
        <v>1</v>
      </c>
      <c r="H16" s="50">
        <v>0</v>
      </c>
      <c r="I16" s="50">
        <v>6</v>
      </c>
      <c r="J16" s="50">
        <v>1</v>
      </c>
      <c r="K16" s="50">
        <v>0</v>
      </c>
      <c r="L16" s="50">
        <v>0</v>
      </c>
      <c r="M16" s="50">
        <v>170</v>
      </c>
      <c r="N16" s="50">
        <v>0</v>
      </c>
      <c r="O16" s="15">
        <f t="shared" si="0"/>
        <v>136</v>
      </c>
      <c r="P16" s="15">
        <f t="shared" si="1"/>
        <v>306</v>
      </c>
      <c r="R16" s="1" t="s">
        <v>12</v>
      </c>
      <c r="S16" s="17">
        <f t="shared" ref="S16:AF16" si="8">SUM(C34:C37)</f>
        <v>196</v>
      </c>
      <c r="T16" s="17">
        <f t="shared" si="8"/>
        <v>45</v>
      </c>
      <c r="U16" s="17">
        <f t="shared" si="8"/>
        <v>25</v>
      </c>
      <c r="V16" s="17">
        <f t="shared" si="8"/>
        <v>70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8</v>
      </c>
      <c r="AA16" s="17">
        <f t="shared" si="8"/>
        <v>2</v>
      </c>
      <c r="AB16" s="17">
        <f t="shared" si="8"/>
        <v>0</v>
      </c>
      <c r="AC16" s="17">
        <f t="shared" si="8"/>
        <v>739</v>
      </c>
      <c r="AD16" s="17">
        <f t="shared" si="8"/>
        <v>0</v>
      </c>
      <c r="AE16" s="31">
        <f t="shared" si="8"/>
        <v>352</v>
      </c>
      <c r="AF16" s="31">
        <f t="shared" si="8"/>
        <v>1091</v>
      </c>
    </row>
    <row r="17" spans="2:32" ht="23.1" customHeight="1" x14ac:dyDescent="0.25">
      <c r="B17" s="23" t="s">
        <v>44</v>
      </c>
      <c r="C17" s="50">
        <v>34</v>
      </c>
      <c r="D17" s="50">
        <v>8</v>
      </c>
      <c r="E17" s="50">
        <v>4</v>
      </c>
      <c r="F17" s="50">
        <v>41</v>
      </c>
      <c r="G17" s="50">
        <v>0</v>
      </c>
      <c r="H17" s="50">
        <v>1</v>
      </c>
      <c r="I17" s="50">
        <v>3</v>
      </c>
      <c r="J17" s="50">
        <v>1</v>
      </c>
      <c r="K17" s="50">
        <v>0</v>
      </c>
      <c r="L17" s="50">
        <v>0</v>
      </c>
      <c r="M17" s="50">
        <v>215</v>
      </c>
      <c r="N17" s="50">
        <v>0</v>
      </c>
      <c r="O17" s="15">
        <f t="shared" si="0"/>
        <v>92</v>
      </c>
      <c r="P17" s="15">
        <f t="shared" si="1"/>
        <v>307</v>
      </c>
      <c r="R17" s="1" t="s">
        <v>13</v>
      </c>
      <c r="S17" s="17">
        <f t="shared" ref="S17:AF17" si="9">SUM(C38:C41)</f>
        <v>189</v>
      </c>
      <c r="T17" s="17">
        <f t="shared" si="9"/>
        <v>50</v>
      </c>
      <c r="U17" s="17">
        <f t="shared" si="9"/>
        <v>26</v>
      </c>
      <c r="V17" s="17">
        <f t="shared" si="9"/>
        <v>83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5</v>
      </c>
      <c r="AA17" s="17">
        <f t="shared" si="9"/>
        <v>0</v>
      </c>
      <c r="AB17" s="17">
        <f t="shared" si="9"/>
        <v>0</v>
      </c>
      <c r="AC17" s="17">
        <f t="shared" si="9"/>
        <v>614</v>
      </c>
      <c r="AD17" s="17">
        <f t="shared" si="9"/>
        <v>0</v>
      </c>
      <c r="AE17" s="31">
        <f t="shared" si="9"/>
        <v>363</v>
      </c>
      <c r="AF17" s="31">
        <f t="shared" si="9"/>
        <v>977</v>
      </c>
    </row>
    <row r="18" spans="2:32" ht="23.1" customHeight="1" x14ac:dyDescent="0.25">
      <c r="B18" s="23" t="s">
        <v>45</v>
      </c>
      <c r="C18" s="50">
        <v>46</v>
      </c>
      <c r="D18" s="50">
        <v>13</v>
      </c>
      <c r="E18" s="50">
        <v>5</v>
      </c>
      <c r="F18" s="50">
        <v>60</v>
      </c>
      <c r="G18" s="50">
        <v>0</v>
      </c>
      <c r="H18" s="50">
        <v>0</v>
      </c>
      <c r="I18" s="50">
        <v>5</v>
      </c>
      <c r="J18" s="50">
        <v>7</v>
      </c>
      <c r="K18" s="50">
        <v>1</v>
      </c>
      <c r="L18" s="50">
        <v>0</v>
      </c>
      <c r="M18" s="50">
        <v>190</v>
      </c>
      <c r="N18" s="50">
        <v>0</v>
      </c>
      <c r="O18" s="15">
        <f t="shared" si="0"/>
        <v>137</v>
      </c>
      <c r="P18" s="15">
        <f t="shared" si="1"/>
        <v>327</v>
      </c>
      <c r="R18" s="1" t="s">
        <v>14</v>
      </c>
      <c r="S18" s="17">
        <f t="shared" ref="S18:AF18" si="10">SUM(C42:C45)</f>
        <v>190</v>
      </c>
      <c r="T18" s="17">
        <f t="shared" si="10"/>
        <v>75</v>
      </c>
      <c r="U18" s="17">
        <f t="shared" si="10"/>
        <v>35</v>
      </c>
      <c r="V18" s="17">
        <f t="shared" si="10"/>
        <v>70</v>
      </c>
      <c r="W18" s="17">
        <f t="shared" si="10"/>
        <v>0</v>
      </c>
      <c r="X18" s="17">
        <f t="shared" si="10"/>
        <v>0</v>
      </c>
      <c r="Y18" s="17">
        <f t="shared" si="10"/>
        <v>16</v>
      </c>
      <c r="Z18" s="17">
        <f t="shared" si="10"/>
        <v>17</v>
      </c>
      <c r="AA18" s="17">
        <f t="shared" si="10"/>
        <v>0</v>
      </c>
      <c r="AB18" s="17">
        <f t="shared" si="10"/>
        <v>0</v>
      </c>
      <c r="AC18" s="17">
        <f t="shared" si="10"/>
        <v>687</v>
      </c>
      <c r="AD18" s="17">
        <f t="shared" si="10"/>
        <v>1</v>
      </c>
      <c r="AE18" s="31">
        <f t="shared" si="10"/>
        <v>404</v>
      </c>
      <c r="AF18" s="31">
        <f t="shared" si="10"/>
        <v>1091</v>
      </c>
    </row>
    <row r="19" spans="2:32" ht="23.1" customHeight="1" x14ac:dyDescent="0.25">
      <c r="B19" s="23" t="s">
        <v>46</v>
      </c>
      <c r="C19" s="50">
        <v>32</v>
      </c>
      <c r="D19" s="50">
        <v>17</v>
      </c>
      <c r="E19" s="50">
        <v>7</v>
      </c>
      <c r="F19" s="50">
        <v>50</v>
      </c>
      <c r="G19" s="50">
        <v>1</v>
      </c>
      <c r="H19" s="50">
        <v>0</v>
      </c>
      <c r="I19" s="50">
        <v>3</v>
      </c>
      <c r="J19" s="50">
        <v>5</v>
      </c>
      <c r="K19" s="50">
        <v>1</v>
      </c>
      <c r="L19" s="50">
        <v>0</v>
      </c>
      <c r="M19" s="50">
        <v>220</v>
      </c>
      <c r="N19" s="50">
        <v>0</v>
      </c>
      <c r="O19" s="15">
        <f t="shared" si="0"/>
        <v>116</v>
      </c>
      <c r="P19" s="15">
        <f t="shared" si="1"/>
        <v>336</v>
      </c>
      <c r="R19" s="1" t="s">
        <v>15</v>
      </c>
      <c r="S19" s="17">
        <f t="shared" ref="S19:AF19" si="11">SUM(C46:C49)</f>
        <v>199</v>
      </c>
      <c r="T19" s="17">
        <f t="shared" si="11"/>
        <v>92</v>
      </c>
      <c r="U19" s="17">
        <f t="shared" si="11"/>
        <v>38</v>
      </c>
      <c r="V19" s="17">
        <f t="shared" si="11"/>
        <v>61</v>
      </c>
      <c r="W19" s="17">
        <f t="shared" si="11"/>
        <v>1</v>
      </c>
      <c r="X19" s="17">
        <f t="shared" si="11"/>
        <v>0</v>
      </c>
      <c r="Y19" s="17">
        <f t="shared" si="11"/>
        <v>11</v>
      </c>
      <c r="Z19" s="17">
        <f t="shared" si="11"/>
        <v>13</v>
      </c>
      <c r="AA19" s="17">
        <f t="shared" si="11"/>
        <v>3</v>
      </c>
      <c r="AB19" s="17">
        <f t="shared" si="11"/>
        <v>0</v>
      </c>
      <c r="AC19" s="17">
        <f t="shared" si="11"/>
        <v>808</v>
      </c>
      <c r="AD19" s="17">
        <f t="shared" si="11"/>
        <v>0</v>
      </c>
      <c r="AE19" s="31">
        <f t="shared" si="11"/>
        <v>418</v>
      </c>
      <c r="AF19" s="31">
        <f t="shared" si="11"/>
        <v>1226</v>
      </c>
    </row>
    <row r="20" spans="2:32" ht="23.1" customHeight="1" x14ac:dyDescent="0.25">
      <c r="B20" s="23" t="s">
        <v>47</v>
      </c>
      <c r="C20" s="50">
        <v>27</v>
      </c>
      <c r="D20" s="50">
        <v>12</v>
      </c>
      <c r="E20" s="50">
        <v>6</v>
      </c>
      <c r="F20" s="50">
        <v>32</v>
      </c>
      <c r="G20" s="50">
        <v>1</v>
      </c>
      <c r="H20" s="50">
        <v>0</v>
      </c>
      <c r="I20" s="50">
        <v>1</v>
      </c>
      <c r="J20" s="50">
        <v>1</v>
      </c>
      <c r="K20" s="50">
        <v>0</v>
      </c>
      <c r="L20" s="50">
        <v>1</v>
      </c>
      <c r="M20" s="50">
        <v>240</v>
      </c>
      <c r="N20" s="50">
        <v>0</v>
      </c>
      <c r="O20" s="15">
        <f t="shared" si="0"/>
        <v>81</v>
      </c>
      <c r="P20" s="15">
        <f t="shared" si="1"/>
        <v>321</v>
      </c>
      <c r="R20" s="1" t="s">
        <v>16</v>
      </c>
      <c r="S20" s="17">
        <f t="shared" ref="S20:AF20" si="12">SUM(C50:C53)</f>
        <v>308</v>
      </c>
      <c r="T20" s="17">
        <f t="shared" si="12"/>
        <v>115</v>
      </c>
      <c r="U20" s="17">
        <f t="shared" si="12"/>
        <v>40</v>
      </c>
      <c r="V20" s="17">
        <f t="shared" si="12"/>
        <v>48</v>
      </c>
      <c r="W20" s="17">
        <f t="shared" si="12"/>
        <v>2</v>
      </c>
      <c r="X20" s="17">
        <f t="shared" si="12"/>
        <v>0</v>
      </c>
      <c r="Y20" s="17">
        <f t="shared" si="12"/>
        <v>8</v>
      </c>
      <c r="Z20" s="17">
        <f t="shared" si="12"/>
        <v>11</v>
      </c>
      <c r="AA20" s="17">
        <f t="shared" si="12"/>
        <v>0</v>
      </c>
      <c r="AB20" s="17">
        <f t="shared" si="12"/>
        <v>1</v>
      </c>
      <c r="AC20" s="17">
        <f t="shared" si="12"/>
        <v>793</v>
      </c>
      <c r="AD20" s="17">
        <f t="shared" si="12"/>
        <v>0</v>
      </c>
      <c r="AE20" s="31">
        <f t="shared" si="12"/>
        <v>533</v>
      </c>
      <c r="AF20" s="31">
        <f t="shared" si="12"/>
        <v>1326</v>
      </c>
    </row>
    <row r="21" spans="2:32" ht="23.1" customHeight="1" x14ac:dyDescent="0.25">
      <c r="B21" s="23" t="s">
        <v>48</v>
      </c>
      <c r="C21" s="50">
        <v>43</v>
      </c>
      <c r="D21" s="50">
        <v>11</v>
      </c>
      <c r="E21" s="50">
        <v>4</v>
      </c>
      <c r="F21" s="50">
        <v>26</v>
      </c>
      <c r="G21" s="50">
        <v>1</v>
      </c>
      <c r="H21" s="50">
        <v>0</v>
      </c>
      <c r="I21" s="50">
        <v>3</v>
      </c>
      <c r="J21" s="50">
        <v>4</v>
      </c>
      <c r="K21" s="50">
        <v>2</v>
      </c>
      <c r="L21" s="50">
        <v>0</v>
      </c>
      <c r="M21" s="50">
        <v>160</v>
      </c>
      <c r="N21" s="50">
        <v>0</v>
      </c>
      <c r="O21" s="15">
        <f t="shared" si="0"/>
        <v>94</v>
      </c>
      <c r="P21" s="15">
        <f t="shared" si="1"/>
        <v>254</v>
      </c>
      <c r="R21" s="36" t="s">
        <v>20</v>
      </c>
      <c r="S21" s="34">
        <f t="shared" ref="S21:AF21" si="13">SUM(C54:C57)</f>
        <v>318</v>
      </c>
      <c r="T21" s="17">
        <f t="shared" si="13"/>
        <v>57</v>
      </c>
      <c r="U21" s="17">
        <f t="shared" si="13"/>
        <v>19</v>
      </c>
      <c r="V21" s="17">
        <f t="shared" si="13"/>
        <v>51</v>
      </c>
      <c r="W21" s="17">
        <f t="shared" si="13"/>
        <v>1</v>
      </c>
      <c r="X21" s="17">
        <f t="shared" si="13"/>
        <v>0</v>
      </c>
      <c r="Y21" s="17">
        <f t="shared" si="13"/>
        <v>5</v>
      </c>
      <c r="Z21" s="17">
        <f t="shared" si="13"/>
        <v>5</v>
      </c>
      <c r="AA21" s="17">
        <f t="shared" si="13"/>
        <v>0</v>
      </c>
      <c r="AB21" s="17">
        <f t="shared" si="13"/>
        <v>0</v>
      </c>
      <c r="AC21" s="17">
        <f t="shared" si="13"/>
        <v>673</v>
      </c>
      <c r="AD21" s="17">
        <f t="shared" si="13"/>
        <v>0</v>
      </c>
      <c r="AE21" s="31">
        <f t="shared" si="13"/>
        <v>456</v>
      </c>
      <c r="AF21" s="31">
        <f t="shared" si="13"/>
        <v>1129</v>
      </c>
    </row>
    <row r="22" spans="2:32" ht="23.1" customHeight="1" x14ac:dyDescent="0.25">
      <c r="B22" s="23" t="s">
        <v>49</v>
      </c>
      <c r="C22" s="50">
        <v>29</v>
      </c>
      <c r="D22" s="50">
        <v>3</v>
      </c>
      <c r="E22" s="50">
        <v>5</v>
      </c>
      <c r="F22" s="50">
        <v>21</v>
      </c>
      <c r="G22" s="50">
        <v>0</v>
      </c>
      <c r="H22" s="50">
        <v>0</v>
      </c>
      <c r="I22" s="50">
        <v>1</v>
      </c>
      <c r="J22" s="50">
        <v>5</v>
      </c>
      <c r="K22" s="50">
        <v>1</v>
      </c>
      <c r="L22" s="50">
        <v>0</v>
      </c>
      <c r="M22" s="50">
        <v>185</v>
      </c>
      <c r="N22" s="50">
        <v>0</v>
      </c>
      <c r="O22" s="15">
        <f t="shared" si="0"/>
        <v>65</v>
      </c>
      <c r="P22" s="15">
        <f t="shared" si="1"/>
        <v>250</v>
      </c>
      <c r="R22" s="38" t="s">
        <v>90</v>
      </c>
      <c r="S22" s="39">
        <f>MAX(S10:S12)</f>
        <v>190</v>
      </c>
      <c r="T22" s="39">
        <f t="shared" ref="T22:AF22" si="14">MAX(T10:T12)</f>
        <v>72</v>
      </c>
      <c r="U22" s="39">
        <f t="shared" si="14"/>
        <v>22</v>
      </c>
      <c r="V22" s="39">
        <f t="shared" si="14"/>
        <v>192</v>
      </c>
      <c r="W22" s="39">
        <f t="shared" si="14"/>
        <v>3</v>
      </c>
      <c r="X22" s="39">
        <f t="shared" si="14"/>
        <v>1</v>
      </c>
      <c r="Y22" s="39">
        <f t="shared" si="14"/>
        <v>16</v>
      </c>
      <c r="Z22" s="39">
        <f t="shared" si="14"/>
        <v>17</v>
      </c>
      <c r="AA22" s="39">
        <f t="shared" si="14"/>
        <v>4</v>
      </c>
      <c r="AB22" s="39">
        <f t="shared" si="14"/>
        <v>1</v>
      </c>
      <c r="AC22" s="39">
        <f t="shared" si="14"/>
        <v>810</v>
      </c>
      <c r="AD22" s="39">
        <f t="shared" si="14"/>
        <v>0</v>
      </c>
      <c r="AE22" s="40">
        <f t="shared" si="14"/>
        <v>498</v>
      </c>
      <c r="AF22" s="40">
        <f t="shared" si="14"/>
        <v>1238</v>
      </c>
    </row>
    <row r="23" spans="2:32" ht="23.1" customHeight="1" x14ac:dyDescent="0.25">
      <c r="B23" s="23" t="s">
        <v>50</v>
      </c>
      <c r="C23" s="50">
        <v>26</v>
      </c>
      <c r="D23" s="50">
        <v>15</v>
      </c>
      <c r="E23" s="50">
        <v>5</v>
      </c>
      <c r="F23" s="50">
        <v>22</v>
      </c>
      <c r="G23" s="50">
        <v>0</v>
      </c>
      <c r="H23" s="50">
        <v>0</v>
      </c>
      <c r="I23" s="50">
        <v>2</v>
      </c>
      <c r="J23" s="50">
        <v>3</v>
      </c>
      <c r="K23" s="50">
        <v>1</v>
      </c>
      <c r="L23" s="50">
        <v>1</v>
      </c>
      <c r="M23" s="50">
        <v>170</v>
      </c>
      <c r="N23" s="50">
        <v>0</v>
      </c>
      <c r="O23" s="15">
        <f t="shared" si="0"/>
        <v>75</v>
      </c>
      <c r="P23" s="15">
        <f t="shared" si="1"/>
        <v>245</v>
      </c>
      <c r="R23" s="38" t="s">
        <v>91</v>
      </c>
      <c r="S23" s="39">
        <f>MAX(S13:S18)</f>
        <v>196</v>
      </c>
      <c r="T23" s="39">
        <f t="shared" ref="T23:AF23" si="15">MAX(T13:T18)</f>
        <v>75</v>
      </c>
      <c r="U23" s="39">
        <f t="shared" si="15"/>
        <v>35</v>
      </c>
      <c r="V23" s="39">
        <f t="shared" si="15"/>
        <v>107</v>
      </c>
      <c r="W23" s="39">
        <f t="shared" si="15"/>
        <v>1</v>
      </c>
      <c r="X23" s="39">
        <f t="shared" si="15"/>
        <v>1</v>
      </c>
      <c r="Y23" s="39">
        <f t="shared" si="15"/>
        <v>16</v>
      </c>
      <c r="Z23" s="39">
        <f t="shared" si="15"/>
        <v>17</v>
      </c>
      <c r="AA23" s="39">
        <f t="shared" si="15"/>
        <v>5</v>
      </c>
      <c r="AB23" s="39">
        <f t="shared" si="15"/>
        <v>2</v>
      </c>
      <c r="AC23" s="39">
        <f t="shared" si="15"/>
        <v>739</v>
      </c>
      <c r="AD23" s="39">
        <f t="shared" si="15"/>
        <v>1</v>
      </c>
      <c r="AE23" s="40">
        <f t="shared" si="15"/>
        <v>404</v>
      </c>
      <c r="AF23" s="40">
        <f t="shared" si="15"/>
        <v>1091</v>
      </c>
    </row>
    <row r="24" spans="2:32" ht="23.1" customHeight="1" x14ac:dyDescent="0.25">
      <c r="B24" s="23" t="s">
        <v>51</v>
      </c>
      <c r="C24" s="50">
        <v>33</v>
      </c>
      <c r="D24" s="50">
        <v>10</v>
      </c>
      <c r="E24" s="50">
        <v>6</v>
      </c>
      <c r="F24" s="50">
        <v>29</v>
      </c>
      <c r="G24" s="50">
        <v>0</v>
      </c>
      <c r="H24" s="50">
        <v>0</v>
      </c>
      <c r="I24" s="50">
        <v>4</v>
      </c>
      <c r="J24" s="50">
        <v>0</v>
      </c>
      <c r="K24" s="50">
        <v>1</v>
      </c>
      <c r="L24" s="50">
        <v>0</v>
      </c>
      <c r="M24" s="50">
        <v>160</v>
      </c>
      <c r="N24" s="50">
        <v>0</v>
      </c>
      <c r="O24" s="15">
        <f t="shared" si="0"/>
        <v>83</v>
      </c>
      <c r="P24" s="15">
        <f t="shared" si="1"/>
        <v>243</v>
      </c>
      <c r="R24" s="38" t="s">
        <v>92</v>
      </c>
      <c r="S24" s="39">
        <f>MAX(S19:S21)</f>
        <v>318</v>
      </c>
      <c r="T24" s="39">
        <f t="shared" ref="T24:AF24" si="16">MAX(T19:T21)</f>
        <v>115</v>
      </c>
      <c r="U24" s="39">
        <f t="shared" si="16"/>
        <v>40</v>
      </c>
      <c r="V24" s="39">
        <f t="shared" si="16"/>
        <v>61</v>
      </c>
      <c r="W24" s="39">
        <f t="shared" si="16"/>
        <v>2</v>
      </c>
      <c r="X24" s="39">
        <f t="shared" si="16"/>
        <v>0</v>
      </c>
      <c r="Y24" s="39">
        <f t="shared" si="16"/>
        <v>11</v>
      </c>
      <c r="Z24" s="39">
        <f t="shared" si="16"/>
        <v>13</v>
      </c>
      <c r="AA24" s="39">
        <f t="shared" si="16"/>
        <v>3</v>
      </c>
      <c r="AB24" s="39">
        <f t="shared" si="16"/>
        <v>1</v>
      </c>
      <c r="AC24" s="39">
        <f t="shared" si="16"/>
        <v>808</v>
      </c>
      <c r="AD24" s="39">
        <f t="shared" si="16"/>
        <v>0</v>
      </c>
      <c r="AE24" s="40">
        <f t="shared" si="16"/>
        <v>533</v>
      </c>
      <c r="AF24" s="40">
        <f t="shared" si="16"/>
        <v>1326</v>
      </c>
    </row>
    <row r="25" spans="2:32" ht="23.1" customHeight="1" x14ac:dyDescent="0.25">
      <c r="B25" s="23" t="s">
        <v>52</v>
      </c>
      <c r="C25" s="50">
        <v>26</v>
      </c>
      <c r="D25" s="50">
        <v>8</v>
      </c>
      <c r="E25" s="50">
        <v>2</v>
      </c>
      <c r="F25" s="50">
        <v>19</v>
      </c>
      <c r="G25" s="50">
        <v>1</v>
      </c>
      <c r="H25" s="50">
        <v>0</v>
      </c>
      <c r="I25" s="50">
        <v>5</v>
      </c>
      <c r="J25" s="50">
        <v>2</v>
      </c>
      <c r="K25" s="50">
        <v>1</v>
      </c>
      <c r="L25" s="50">
        <v>0</v>
      </c>
      <c r="M25" s="50">
        <v>175</v>
      </c>
      <c r="N25" s="50">
        <v>0</v>
      </c>
      <c r="O25" s="15">
        <f t="shared" si="0"/>
        <v>64</v>
      </c>
      <c r="P25" s="15">
        <f t="shared" si="1"/>
        <v>239</v>
      </c>
      <c r="R25" s="37" t="s">
        <v>85</v>
      </c>
      <c r="S25" s="35">
        <f t="shared" ref="S25:AF25" si="17">SUM(S10:S12)</f>
        <v>479</v>
      </c>
      <c r="T25" s="16">
        <f t="shared" si="17"/>
        <v>160</v>
      </c>
      <c r="U25" s="16">
        <f t="shared" si="17"/>
        <v>56</v>
      </c>
      <c r="V25" s="16">
        <f t="shared" si="17"/>
        <v>492</v>
      </c>
      <c r="W25" s="16">
        <f t="shared" si="17"/>
        <v>6</v>
      </c>
      <c r="X25" s="16">
        <f t="shared" si="17"/>
        <v>1</v>
      </c>
      <c r="Y25" s="16">
        <f t="shared" si="17"/>
        <v>32</v>
      </c>
      <c r="Z25" s="16">
        <f t="shared" si="17"/>
        <v>30</v>
      </c>
      <c r="AA25" s="16">
        <f t="shared" si="17"/>
        <v>5</v>
      </c>
      <c r="AB25" s="16">
        <f t="shared" si="17"/>
        <v>1</v>
      </c>
      <c r="AC25" s="16">
        <f t="shared" si="17"/>
        <v>2125</v>
      </c>
      <c r="AD25" s="16">
        <f t="shared" si="17"/>
        <v>0</v>
      </c>
      <c r="AE25" s="32">
        <f t="shared" si="17"/>
        <v>1262</v>
      </c>
      <c r="AF25" s="32">
        <f t="shared" si="17"/>
        <v>3387</v>
      </c>
    </row>
    <row r="26" spans="2:32" ht="23.1" customHeight="1" x14ac:dyDescent="0.25">
      <c r="B26" s="23" t="s">
        <v>53</v>
      </c>
      <c r="C26" s="50">
        <v>34</v>
      </c>
      <c r="D26" s="50">
        <v>10</v>
      </c>
      <c r="E26" s="50">
        <v>11</v>
      </c>
      <c r="F26" s="50">
        <v>26</v>
      </c>
      <c r="G26" s="50">
        <v>0</v>
      </c>
      <c r="H26" s="50">
        <v>0</v>
      </c>
      <c r="I26" s="50">
        <v>0</v>
      </c>
      <c r="J26" s="50">
        <v>4</v>
      </c>
      <c r="K26" s="50">
        <v>3</v>
      </c>
      <c r="L26" s="50">
        <v>1</v>
      </c>
      <c r="M26" s="50">
        <v>150</v>
      </c>
      <c r="N26" s="50">
        <v>0</v>
      </c>
      <c r="O26" s="15">
        <f t="shared" si="0"/>
        <v>89</v>
      </c>
      <c r="P26" s="15">
        <f t="shared" si="1"/>
        <v>239</v>
      </c>
      <c r="R26" s="28" t="s">
        <v>86</v>
      </c>
      <c r="S26" s="16">
        <f t="shared" ref="S26:AF26" si="18">SUM(S13:S18)</f>
        <v>1042</v>
      </c>
      <c r="T26" s="16">
        <f t="shared" si="18"/>
        <v>334</v>
      </c>
      <c r="U26" s="16">
        <f t="shared" si="18"/>
        <v>158</v>
      </c>
      <c r="V26" s="16">
        <f t="shared" si="18"/>
        <v>510</v>
      </c>
      <c r="W26" s="16">
        <f t="shared" si="18"/>
        <v>1</v>
      </c>
      <c r="X26" s="16">
        <f t="shared" si="18"/>
        <v>1</v>
      </c>
      <c r="Y26" s="16">
        <f t="shared" si="18"/>
        <v>55</v>
      </c>
      <c r="Z26" s="16">
        <f t="shared" si="18"/>
        <v>67</v>
      </c>
      <c r="AA26" s="16">
        <f t="shared" si="18"/>
        <v>15</v>
      </c>
      <c r="AB26" s="16">
        <f t="shared" si="18"/>
        <v>3</v>
      </c>
      <c r="AC26" s="16">
        <f t="shared" si="18"/>
        <v>3991</v>
      </c>
      <c r="AD26" s="16">
        <f t="shared" si="18"/>
        <v>1</v>
      </c>
      <c r="AE26" s="32">
        <f t="shared" si="18"/>
        <v>2187</v>
      </c>
      <c r="AF26" s="32">
        <f t="shared" si="18"/>
        <v>6178</v>
      </c>
    </row>
    <row r="27" spans="2:32" ht="23.1" customHeight="1" x14ac:dyDescent="0.25">
      <c r="B27" s="23" t="s">
        <v>54</v>
      </c>
      <c r="C27" s="50">
        <v>43</v>
      </c>
      <c r="D27" s="50">
        <v>20</v>
      </c>
      <c r="E27" s="50">
        <v>9</v>
      </c>
      <c r="F27" s="50">
        <v>28</v>
      </c>
      <c r="G27" s="50">
        <v>0</v>
      </c>
      <c r="H27" s="50">
        <v>0</v>
      </c>
      <c r="I27" s="50">
        <v>1</v>
      </c>
      <c r="J27" s="50">
        <v>3</v>
      </c>
      <c r="K27" s="50">
        <v>0</v>
      </c>
      <c r="L27" s="50">
        <v>1</v>
      </c>
      <c r="M27" s="50">
        <v>150</v>
      </c>
      <c r="N27" s="50">
        <v>0</v>
      </c>
      <c r="O27" s="15">
        <f t="shared" si="0"/>
        <v>105</v>
      </c>
      <c r="P27" s="15">
        <f t="shared" si="1"/>
        <v>255</v>
      </c>
      <c r="R27" s="29" t="s">
        <v>87</v>
      </c>
      <c r="S27" s="16">
        <f t="shared" ref="S27:AF27" si="19">SUM(S19:S21)</f>
        <v>825</v>
      </c>
      <c r="T27" s="16">
        <f t="shared" si="19"/>
        <v>264</v>
      </c>
      <c r="U27" s="16">
        <f t="shared" si="19"/>
        <v>97</v>
      </c>
      <c r="V27" s="16">
        <f t="shared" si="19"/>
        <v>160</v>
      </c>
      <c r="W27" s="16">
        <f t="shared" si="19"/>
        <v>4</v>
      </c>
      <c r="X27" s="16">
        <f t="shared" si="19"/>
        <v>0</v>
      </c>
      <c r="Y27" s="16">
        <f t="shared" si="19"/>
        <v>24</v>
      </c>
      <c r="Z27" s="16">
        <f t="shared" si="19"/>
        <v>29</v>
      </c>
      <c r="AA27" s="16">
        <f t="shared" si="19"/>
        <v>3</v>
      </c>
      <c r="AB27" s="16">
        <f t="shared" si="19"/>
        <v>1</v>
      </c>
      <c r="AC27" s="16">
        <f t="shared" si="19"/>
        <v>2274</v>
      </c>
      <c r="AD27" s="16">
        <f t="shared" si="19"/>
        <v>0</v>
      </c>
      <c r="AE27" s="32">
        <f t="shared" si="19"/>
        <v>1407</v>
      </c>
      <c r="AF27" s="32">
        <f t="shared" si="19"/>
        <v>3681</v>
      </c>
    </row>
    <row r="28" spans="2:32" ht="23.1" customHeight="1" x14ac:dyDescent="0.25">
      <c r="B28" s="23" t="s">
        <v>55</v>
      </c>
      <c r="C28" s="50">
        <v>46</v>
      </c>
      <c r="D28" s="50">
        <v>12</v>
      </c>
      <c r="E28" s="50">
        <v>5</v>
      </c>
      <c r="F28" s="50">
        <v>27</v>
      </c>
      <c r="G28" s="50">
        <v>0</v>
      </c>
      <c r="H28" s="50">
        <v>0</v>
      </c>
      <c r="I28" s="50">
        <v>3</v>
      </c>
      <c r="J28" s="50">
        <v>5</v>
      </c>
      <c r="K28" s="50">
        <v>0</v>
      </c>
      <c r="L28" s="50">
        <v>0</v>
      </c>
      <c r="M28" s="50">
        <v>175</v>
      </c>
      <c r="N28" s="50">
        <v>0</v>
      </c>
      <c r="O28" s="15">
        <f t="shared" si="0"/>
        <v>98</v>
      </c>
      <c r="P28" s="15">
        <f t="shared" si="1"/>
        <v>273</v>
      </c>
      <c r="R28" s="5" t="s">
        <v>17</v>
      </c>
      <c r="S28" s="16">
        <f t="shared" ref="S28:AF28" si="20">SUM(S10:S21)</f>
        <v>2346</v>
      </c>
      <c r="T28" s="16">
        <f t="shared" si="20"/>
        <v>758</v>
      </c>
      <c r="U28" s="16">
        <f t="shared" si="20"/>
        <v>311</v>
      </c>
      <c r="V28" s="16">
        <f t="shared" si="20"/>
        <v>1162</v>
      </c>
      <c r="W28" s="16">
        <f t="shared" si="20"/>
        <v>11</v>
      </c>
      <c r="X28" s="16">
        <f t="shared" si="20"/>
        <v>2</v>
      </c>
      <c r="Y28" s="16">
        <f t="shared" si="20"/>
        <v>111</v>
      </c>
      <c r="Z28" s="16">
        <f t="shared" si="20"/>
        <v>126</v>
      </c>
      <c r="AA28" s="16">
        <f t="shared" si="20"/>
        <v>23</v>
      </c>
      <c r="AB28" s="16">
        <f t="shared" si="20"/>
        <v>5</v>
      </c>
      <c r="AC28" s="16">
        <f t="shared" si="20"/>
        <v>8390</v>
      </c>
      <c r="AD28" s="16">
        <f t="shared" si="20"/>
        <v>1</v>
      </c>
      <c r="AE28" s="32">
        <f t="shared" si="20"/>
        <v>4856</v>
      </c>
      <c r="AF28" s="32">
        <f t="shared" si="20"/>
        <v>13246</v>
      </c>
    </row>
    <row r="29" spans="2:32" ht="23.1" customHeight="1" x14ac:dyDescent="0.25">
      <c r="B29" s="23" t="s">
        <v>56</v>
      </c>
      <c r="C29" s="50">
        <v>41</v>
      </c>
      <c r="D29" s="50">
        <v>15</v>
      </c>
      <c r="E29" s="50">
        <v>4</v>
      </c>
      <c r="F29" s="50">
        <v>26</v>
      </c>
      <c r="G29" s="50">
        <v>0</v>
      </c>
      <c r="H29" s="50">
        <v>0</v>
      </c>
      <c r="I29" s="50">
        <v>3</v>
      </c>
      <c r="J29" s="50">
        <v>5</v>
      </c>
      <c r="K29" s="50">
        <v>1</v>
      </c>
      <c r="L29" s="50">
        <v>0</v>
      </c>
      <c r="M29" s="50">
        <v>170</v>
      </c>
      <c r="N29" s="50">
        <v>0</v>
      </c>
      <c r="O29" s="15">
        <f t="shared" si="0"/>
        <v>95</v>
      </c>
      <c r="P29" s="15">
        <f t="shared" si="1"/>
        <v>265</v>
      </c>
      <c r="R29"/>
      <c r="S29" s="20"/>
      <c r="T29" s="19"/>
    </row>
    <row r="30" spans="2:32" ht="23.1" customHeight="1" x14ac:dyDescent="0.25">
      <c r="B30" s="23" t="s">
        <v>57</v>
      </c>
      <c r="C30" s="50">
        <v>48</v>
      </c>
      <c r="D30" s="50">
        <v>12</v>
      </c>
      <c r="E30" s="50">
        <v>4</v>
      </c>
      <c r="F30" s="50">
        <v>18</v>
      </c>
      <c r="G30" s="50">
        <v>0</v>
      </c>
      <c r="H30" s="50">
        <v>1</v>
      </c>
      <c r="I30" s="50">
        <v>0</v>
      </c>
      <c r="J30" s="50">
        <v>6</v>
      </c>
      <c r="K30" s="50">
        <v>1</v>
      </c>
      <c r="L30" s="50">
        <v>0</v>
      </c>
      <c r="M30" s="50">
        <v>160</v>
      </c>
      <c r="N30" s="50">
        <v>0</v>
      </c>
      <c r="O30" s="15">
        <f t="shared" si="0"/>
        <v>90</v>
      </c>
      <c r="P30" s="15">
        <f t="shared" si="1"/>
        <v>250</v>
      </c>
    </row>
    <row r="31" spans="2:32" ht="23.1" customHeight="1" x14ac:dyDescent="0.25">
      <c r="B31" s="24" t="s">
        <v>58</v>
      </c>
      <c r="C31" s="50">
        <v>55</v>
      </c>
      <c r="D31" s="50">
        <v>22</v>
      </c>
      <c r="E31" s="50">
        <v>7</v>
      </c>
      <c r="F31" s="50">
        <v>26</v>
      </c>
      <c r="G31" s="50">
        <v>0</v>
      </c>
      <c r="H31" s="50">
        <v>0</v>
      </c>
      <c r="I31" s="50">
        <v>2</v>
      </c>
      <c r="J31" s="50">
        <v>3</v>
      </c>
      <c r="K31" s="50">
        <v>2</v>
      </c>
      <c r="L31" s="50">
        <v>0</v>
      </c>
      <c r="M31" s="50">
        <v>161</v>
      </c>
      <c r="N31" s="50">
        <v>0</v>
      </c>
      <c r="O31" s="15">
        <f t="shared" si="0"/>
        <v>117</v>
      </c>
      <c r="P31" s="15">
        <f t="shared" si="1"/>
        <v>278</v>
      </c>
    </row>
    <row r="32" spans="2:32" ht="23.1" customHeight="1" x14ac:dyDescent="0.25">
      <c r="B32" s="24" t="s">
        <v>59</v>
      </c>
      <c r="C32" s="50">
        <v>52</v>
      </c>
      <c r="D32" s="50">
        <v>29</v>
      </c>
      <c r="E32" s="50">
        <v>9</v>
      </c>
      <c r="F32" s="50">
        <v>25</v>
      </c>
      <c r="G32" s="50">
        <v>0</v>
      </c>
      <c r="H32" s="50">
        <v>0</v>
      </c>
      <c r="I32" s="50">
        <v>0</v>
      </c>
      <c r="J32" s="50">
        <v>1</v>
      </c>
      <c r="K32" s="50">
        <v>1</v>
      </c>
      <c r="L32" s="50">
        <v>0</v>
      </c>
      <c r="M32" s="50">
        <v>160</v>
      </c>
      <c r="N32" s="50">
        <v>0</v>
      </c>
      <c r="O32" s="15">
        <f t="shared" si="0"/>
        <v>117</v>
      </c>
      <c r="P32" s="15">
        <f t="shared" si="1"/>
        <v>277</v>
      </c>
    </row>
    <row r="33" spans="2:20" ht="23.1" customHeight="1" x14ac:dyDescent="0.25">
      <c r="B33" s="23" t="s">
        <v>60</v>
      </c>
      <c r="C33" s="50">
        <v>34</v>
      </c>
      <c r="D33" s="50">
        <v>8</v>
      </c>
      <c r="E33" s="50">
        <v>5</v>
      </c>
      <c r="F33" s="50">
        <v>20</v>
      </c>
      <c r="G33" s="50">
        <v>0</v>
      </c>
      <c r="H33" s="50">
        <v>0</v>
      </c>
      <c r="I33" s="50">
        <v>2</v>
      </c>
      <c r="J33" s="50">
        <v>0</v>
      </c>
      <c r="K33" s="50">
        <v>1</v>
      </c>
      <c r="L33" s="50">
        <v>0</v>
      </c>
      <c r="M33" s="50">
        <v>135</v>
      </c>
      <c r="N33" s="50">
        <v>0</v>
      </c>
      <c r="O33" s="15">
        <f t="shared" si="0"/>
        <v>70</v>
      </c>
      <c r="P33" s="15">
        <f t="shared" si="1"/>
        <v>205</v>
      </c>
    </row>
    <row r="34" spans="2:20" ht="23.1" customHeight="1" x14ac:dyDescent="0.25">
      <c r="B34" s="24" t="s">
        <v>61</v>
      </c>
      <c r="C34" s="50">
        <v>38</v>
      </c>
      <c r="D34" s="50">
        <v>13</v>
      </c>
      <c r="E34" s="50">
        <v>4</v>
      </c>
      <c r="F34" s="50">
        <v>23</v>
      </c>
      <c r="G34" s="50">
        <v>0</v>
      </c>
      <c r="H34" s="50">
        <v>0</v>
      </c>
      <c r="I34" s="50">
        <v>1</v>
      </c>
      <c r="J34" s="50">
        <v>4</v>
      </c>
      <c r="K34" s="50">
        <v>0</v>
      </c>
      <c r="L34" s="50">
        <v>0</v>
      </c>
      <c r="M34" s="50">
        <v>170</v>
      </c>
      <c r="N34" s="50">
        <v>0</v>
      </c>
      <c r="O34" s="15">
        <f t="shared" si="0"/>
        <v>83</v>
      </c>
      <c r="P34" s="15">
        <f t="shared" si="1"/>
        <v>253</v>
      </c>
    </row>
    <row r="35" spans="2:20" ht="23.1" customHeight="1" x14ac:dyDescent="0.25">
      <c r="B35" s="24" t="s">
        <v>62</v>
      </c>
      <c r="C35" s="50">
        <v>46</v>
      </c>
      <c r="D35" s="50">
        <v>15</v>
      </c>
      <c r="E35" s="50">
        <v>8</v>
      </c>
      <c r="F35" s="50">
        <v>19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160</v>
      </c>
      <c r="N35" s="50">
        <v>0</v>
      </c>
      <c r="O35" s="15">
        <f t="shared" si="0"/>
        <v>88</v>
      </c>
      <c r="P35" s="15">
        <f t="shared" si="1"/>
        <v>248</v>
      </c>
    </row>
    <row r="36" spans="2:20" ht="23.1" customHeight="1" x14ac:dyDescent="0.25">
      <c r="B36" s="24" t="s">
        <v>63</v>
      </c>
      <c r="C36" s="50">
        <v>57</v>
      </c>
      <c r="D36" s="50">
        <v>13</v>
      </c>
      <c r="E36" s="50">
        <v>7</v>
      </c>
      <c r="F36" s="50">
        <v>15</v>
      </c>
      <c r="G36" s="50">
        <v>0</v>
      </c>
      <c r="H36" s="50">
        <v>0</v>
      </c>
      <c r="I36" s="50">
        <v>2</v>
      </c>
      <c r="J36" s="50">
        <v>3</v>
      </c>
      <c r="K36" s="50">
        <v>2</v>
      </c>
      <c r="L36" s="50">
        <v>0</v>
      </c>
      <c r="M36" s="50">
        <v>164</v>
      </c>
      <c r="N36" s="50">
        <v>0</v>
      </c>
      <c r="O36" s="15">
        <f t="shared" si="0"/>
        <v>99</v>
      </c>
      <c r="P36" s="15">
        <f t="shared" si="1"/>
        <v>263</v>
      </c>
    </row>
    <row r="37" spans="2:20" ht="23.1" customHeight="1" x14ac:dyDescent="0.25">
      <c r="B37" s="23" t="s">
        <v>64</v>
      </c>
      <c r="C37" s="50">
        <v>55</v>
      </c>
      <c r="D37" s="50">
        <v>4</v>
      </c>
      <c r="E37" s="50">
        <v>6</v>
      </c>
      <c r="F37" s="50">
        <v>13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245</v>
      </c>
      <c r="N37" s="50">
        <v>0</v>
      </c>
      <c r="O37" s="15">
        <f t="shared" si="0"/>
        <v>82</v>
      </c>
      <c r="P37" s="15">
        <f t="shared" si="1"/>
        <v>327</v>
      </c>
    </row>
    <row r="38" spans="2:20" ht="23.1" customHeight="1" x14ac:dyDescent="0.25">
      <c r="B38" s="24" t="s">
        <v>65</v>
      </c>
      <c r="C38" s="50">
        <v>55</v>
      </c>
      <c r="D38" s="50">
        <v>11</v>
      </c>
      <c r="E38" s="50">
        <v>7</v>
      </c>
      <c r="F38" s="50">
        <v>19</v>
      </c>
      <c r="G38" s="50">
        <v>0</v>
      </c>
      <c r="H38" s="50">
        <v>0</v>
      </c>
      <c r="I38" s="50">
        <v>5</v>
      </c>
      <c r="J38" s="50">
        <v>1</v>
      </c>
      <c r="K38" s="50">
        <v>0</v>
      </c>
      <c r="L38" s="50">
        <v>0</v>
      </c>
      <c r="M38" s="50">
        <v>174</v>
      </c>
      <c r="N38" s="50">
        <v>0</v>
      </c>
      <c r="O38" s="15">
        <f t="shared" si="0"/>
        <v>98</v>
      </c>
      <c r="P38" s="15">
        <f t="shared" si="1"/>
        <v>272</v>
      </c>
    </row>
    <row r="39" spans="2:20" ht="23.1" customHeight="1" x14ac:dyDescent="0.25">
      <c r="B39" s="24" t="s">
        <v>66</v>
      </c>
      <c r="C39" s="50">
        <v>53</v>
      </c>
      <c r="D39" s="50">
        <v>15</v>
      </c>
      <c r="E39" s="50">
        <v>6</v>
      </c>
      <c r="F39" s="50">
        <v>20</v>
      </c>
      <c r="G39" s="50">
        <v>0</v>
      </c>
      <c r="H39" s="50">
        <v>0</v>
      </c>
      <c r="I39" s="50">
        <v>1</v>
      </c>
      <c r="J39" s="50">
        <v>2</v>
      </c>
      <c r="K39" s="50">
        <v>0</v>
      </c>
      <c r="L39" s="50">
        <v>0</v>
      </c>
      <c r="M39" s="50">
        <v>161</v>
      </c>
      <c r="N39" s="50">
        <v>0</v>
      </c>
      <c r="O39" s="15">
        <f t="shared" si="0"/>
        <v>97</v>
      </c>
      <c r="P39" s="15">
        <f t="shared" si="1"/>
        <v>258</v>
      </c>
    </row>
    <row r="40" spans="2:20" ht="23.1" customHeight="1" x14ac:dyDescent="0.25">
      <c r="B40" s="24" t="s">
        <v>67</v>
      </c>
      <c r="C40" s="50">
        <v>42</v>
      </c>
      <c r="D40" s="50">
        <v>8</v>
      </c>
      <c r="E40" s="50">
        <v>8</v>
      </c>
      <c r="F40" s="50">
        <v>17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126</v>
      </c>
      <c r="N40" s="50">
        <v>0</v>
      </c>
      <c r="O40" s="15">
        <f t="shared" si="0"/>
        <v>76</v>
      </c>
      <c r="P40" s="15">
        <f t="shared" si="1"/>
        <v>202</v>
      </c>
    </row>
    <row r="41" spans="2:20" ht="23.1" customHeight="1" x14ac:dyDescent="0.25">
      <c r="B41" s="23" t="s">
        <v>68</v>
      </c>
      <c r="C41" s="50">
        <v>39</v>
      </c>
      <c r="D41" s="50">
        <v>16</v>
      </c>
      <c r="E41" s="50">
        <v>5</v>
      </c>
      <c r="F41" s="50">
        <v>27</v>
      </c>
      <c r="G41" s="50">
        <v>0</v>
      </c>
      <c r="H41" s="50">
        <v>0</v>
      </c>
      <c r="I41" s="50">
        <v>3</v>
      </c>
      <c r="J41" s="50">
        <v>2</v>
      </c>
      <c r="K41" s="50">
        <v>0</v>
      </c>
      <c r="L41" s="50">
        <v>0</v>
      </c>
      <c r="M41" s="50">
        <v>153</v>
      </c>
      <c r="N41" s="50">
        <v>0</v>
      </c>
      <c r="O41" s="15">
        <f t="shared" si="0"/>
        <v>92</v>
      </c>
      <c r="P41" s="15">
        <f t="shared" si="1"/>
        <v>245</v>
      </c>
    </row>
    <row r="42" spans="2:20" ht="23.1" customHeight="1" x14ac:dyDescent="0.25">
      <c r="B42" s="24" t="s">
        <v>69</v>
      </c>
      <c r="C42" s="50">
        <v>44</v>
      </c>
      <c r="D42" s="50">
        <v>18</v>
      </c>
      <c r="E42" s="50">
        <v>10</v>
      </c>
      <c r="F42" s="50">
        <v>16</v>
      </c>
      <c r="G42" s="50">
        <v>0</v>
      </c>
      <c r="H42" s="50">
        <v>0</v>
      </c>
      <c r="I42" s="50">
        <v>5</v>
      </c>
      <c r="J42" s="50">
        <v>5</v>
      </c>
      <c r="K42" s="50">
        <v>0</v>
      </c>
      <c r="L42" s="50">
        <v>0</v>
      </c>
      <c r="M42" s="50">
        <v>162</v>
      </c>
      <c r="N42" s="50">
        <v>1</v>
      </c>
      <c r="O42" s="15">
        <f t="shared" si="0"/>
        <v>99</v>
      </c>
      <c r="P42" s="15">
        <f t="shared" si="1"/>
        <v>261</v>
      </c>
    </row>
    <row r="43" spans="2:20" ht="23.1" customHeight="1" x14ac:dyDescent="0.25">
      <c r="B43" s="23" t="s">
        <v>70</v>
      </c>
      <c r="C43" s="50">
        <v>49</v>
      </c>
      <c r="D43" s="50">
        <v>15</v>
      </c>
      <c r="E43" s="50">
        <v>12</v>
      </c>
      <c r="F43" s="50">
        <v>28</v>
      </c>
      <c r="G43" s="50">
        <v>0</v>
      </c>
      <c r="H43" s="50">
        <v>0</v>
      </c>
      <c r="I43" s="50">
        <v>3</v>
      </c>
      <c r="J43" s="50">
        <v>5</v>
      </c>
      <c r="K43" s="50">
        <v>0</v>
      </c>
      <c r="L43" s="50">
        <v>0</v>
      </c>
      <c r="M43" s="50">
        <v>164</v>
      </c>
      <c r="N43" s="50">
        <v>0</v>
      </c>
      <c r="O43" s="15">
        <f t="shared" si="0"/>
        <v>112</v>
      </c>
      <c r="P43" s="15">
        <f t="shared" si="1"/>
        <v>276</v>
      </c>
    </row>
    <row r="44" spans="2:20" ht="23.1" customHeight="1" x14ac:dyDescent="0.25">
      <c r="B44" s="25" t="s">
        <v>71</v>
      </c>
      <c r="C44" s="50">
        <v>50</v>
      </c>
      <c r="D44" s="50">
        <v>17</v>
      </c>
      <c r="E44" s="50">
        <v>7</v>
      </c>
      <c r="F44" s="50">
        <v>15</v>
      </c>
      <c r="G44" s="50">
        <v>0</v>
      </c>
      <c r="H44" s="50">
        <v>0</v>
      </c>
      <c r="I44" s="50">
        <v>7</v>
      </c>
      <c r="J44" s="50">
        <v>5</v>
      </c>
      <c r="K44" s="50">
        <v>0</v>
      </c>
      <c r="L44" s="50">
        <v>0</v>
      </c>
      <c r="M44" s="50">
        <v>176</v>
      </c>
      <c r="N44" s="50">
        <v>0</v>
      </c>
      <c r="O44" s="15">
        <f t="shared" si="0"/>
        <v>101</v>
      </c>
      <c r="P44" s="15">
        <f t="shared" si="1"/>
        <v>277</v>
      </c>
    </row>
    <row r="45" spans="2:20" ht="23.1" customHeight="1" x14ac:dyDescent="0.25">
      <c r="B45" s="23" t="s">
        <v>72</v>
      </c>
      <c r="C45" s="50">
        <v>47</v>
      </c>
      <c r="D45" s="50">
        <v>25</v>
      </c>
      <c r="E45" s="50">
        <v>6</v>
      </c>
      <c r="F45" s="50">
        <v>11</v>
      </c>
      <c r="G45" s="50">
        <v>0</v>
      </c>
      <c r="H45" s="50">
        <v>0</v>
      </c>
      <c r="I45" s="50">
        <v>1</v>
      </c>
      <c r="J45" s="50">
        <v>2</v>
      </c>
      <c r="K45" s="50">
        <v>0</v>
      </c>
      <c r="L45" s="50">
        <v>0</v>
      </c>
      <c r="M45" s="50">
        <v>185</v>
      </c>
      <c r="N45" s="50">
        <v>0</v>
      </c>
      <c r="O45" s="15">
        <f t="shared" si="0"/>
        <v>92</v>
      </c>
      <c r="P45" s="15">
        <f t="shared" si="1"/>
        <v>277</v>
      </c>
    </row>
    <row r="46" spans="2:20" ht="23.1" customHeight="1" x14ac:dyDescent="0.25">
      <c r="B46" s="24" t="s">
        <v>73</v>
      </c>
      <c r="C46" s="50">
        <v>46</v>
      </c>
      <c r="D46" s="50">
        <v>18</v>
      </c>
      <c r="E46" s="50">
        <v>11</v>
      </c>
      <c r="F46" s="50">
        <v>12</v>
      </c>
      <c r="G46" s="50">
        <v>0</v>
      </c>
      <c r="H46" s="50">
        <v>0</v>
      </c>
      <c r="I46" s="50">
        <v>1</v>
      </c>
      <c r="J46" s="50">
        <v>5</v>
      </c>
      <c r="K46" s="50">
        <v>0</v>
      </c>
      <c r="L46" s="50">
        <v>0</v>
      </c>
      <c r="M46" s="50">
        <v>200</v>
      </c>
      <c r="N46" s="50">
        <v>0</v>
      </c>
      <c r="O46" s="15">
        <f t="shared" si="0"/>
        <v>93</v>
      </c>
      <c r="P46" s="15">
        <f t="shared" si="1"/>
        <v>293</v>
      </c>
      <c r="R46" s="8"/>
      <c r="T46"/>
    </row>
    <row r="47" spans="2:20" ht="23.1" customHeight="1" x14ac:dyDescent="0.25">
      <c r="B47" s="24" t="s">
        <v>74</v>
      </c>
      <c r="C47" s="50">
        <v>48</v>
      </c>
      <c r="D47" s="50">
        <v>32</v>
      </c>
      <c r="E47" s="50">
        <v>11</v>
      </c>
      <c r="F47" s="50">
        <v>17</v>
      </c>
      <c r="G47" s="50">
        <v>0</v>
      </c>
      <c r="H47" s="50">
        <v>0</v>
      </c>
      <c r="I47" s="50">
        <v>4</v>
      </c>
      <c r="J47" s="50">
        <v>1</v>
      </c>
      <c r="K47" s="50">
        <v>2</v>
      </c>
      <c r="L47" s="50">
        <v>0</v>
      </c>
      <c r="M47" s="50">
        <v>196</v>
      </c>
      <c r="N47" s="50">
        <v>0</v>
      </c>
      <c r="O47" s="15">
        <f t="shared" si="0"/>
        <v>115</v>
      </c>
      <c r="P47" s="15">
        <f t="shared" si="1"/>
        <v>311</v>
      </c>
      <c r="R47" s="8"/>
      <c r="T47"/>
    </row>
    <row r="48" spans="2:20" ht="23.1" customHeight="1" x14ac:dyDescent="0.25">
      <c r="B48" s="24" t="s">
        <v>75</v>
      </c>
      <c r="C48" s="50">
        <v>44</v>
      </c>
      <c r="D48" s="50">
        <v>20</v>
      </c>
      <c r="E48" s="50">
        <v>9</v>
      </c>
      <c r="F48" s="50">
        <v>21</v>
      </c>
      <c r="G48" s="50">
        <v>1</v>
      </c>
      <c r="H48" s="50">
        <v>0</v>
      </c>
      <c r="I48" s="50">
        <v>4</v>
      </c>
      <c r="J48" s="50">
        <v>5</v>
      </c>
      <c r="K48" s="50">
        <v>0</v>
      </c>
      <c r="L48" s="50">
        <v>0</v>
      </c>
      <c r="M48" s="50">
        <v>210</v>
      </c>
      <c r="N48" s="50">
        <v>0</v>
      </c>
      <c r="O48" s="15">
        <f t="shared" si="0"/>
        <v>104</v>
      </c>
      <c r="P48" s="15">
        <f t="shared" si="1"/>
        <v>314</v>
      </c>
      <c r="R48" s="8"/>
      <c r="T48"/>
    </row>
    <row r="49" spans="2:20" ht="23.1" customHeight="1" x14ac:dyDescent="0.25">
      <c r="B49" s="23" t="s">
        <v>76</v>
      </c>
      <c r="C49" s="50">
        <v>61</v>
      </c>
      <c r="D49" s="50">
        <v>22</v>
      </c>
      <c r="E49" s="50">
        <v>7</v>
      </c>
      <c r="F49" s="50">
        <v>11</v>
      </c>
      <c r="G49" s="50">
        <v>0</v>
      </c>
      <c r="H49" s="50">
        <v>0</v>
      </c>
      <c r="I49" s="50">
        <v>2</v>
      </c>
      <c r="J49" s="50">
        <v>2</v>
      </c>
      <c r="K49" s="50">
        <v>1</v>
      </c>
      <c r="L49" s="50">
        <v>0</v>
      </c>
      <c r="M49" s="50">
        <v>202</v>
      </c>
      <c r="N49" s="50">
        <v>0</v>
      </c>
      <c r="O49" s="15">
        <f t="shared" si="0"/>
        <v>106</v>
      </c>
      <c r="P49" s="15">
        <f t="shared" si="1"/>
        <v>308</v>
      </c>
      <c r="R49" s="8"/>
      <c r="T49"/>
    </row>
    <row r="50" spans="2:20" ht="23.1" customHeight="1" x14ac:dyDescent="0.25">
      <c r="B50" s="24" t="s">
        <v>77</v>
      </c>
      <c r="C50" s="50">
        <v>73</v>
      </c>
      <c r="D50" s="50">
        <v>23</v>
      </c>
      <c r="E50" s="50">
        <v>8</v>
      </c>
      <c r="F50" s="50">
        <v>10</v>
      </c>
      <c r="G50" s="50">
        <v>0</v>
      </c>
      <c r="H50" s="50">
        <v>0</v>
      </c>
      <c r="I50" s="50">
        <v>1</v>
      </c>
      <c r="J50" s="50">
        <v>2</v>
      </c>
      <c r="K50" s="50">
        <v>0</v>
      </c>
      <c r="L50" s="50">
        <v>1</v>
      </c>
      <c r="M50" s="50">
        <v>171</v>
      </c>
      <c r="N50" s="50">
        <v>0</v>
      </c>
      <c r="O50" s="15">
        <f t="shared" si="0"/>
        <v>118</v>
      </c>
      <c r="P50" s="15">
        <f t="shared" si="1"/>
        <v>289</v>
      </c>
      <c r="R50" s="8"/>
      <c r="T50"/>
    </row>
    <row r="51" spans="2:20" ht="23.1" customHeight="1" x14ac:dyDescent="0.25">
      <c r="B51" s="24" t="s">
        <v>78</v>
      </c>
      <c r="C51" s="50">
        <v>77</v>
      </c>
      <c r="D51" s="50">
        <v>20</v>
      </c>
      <c r="E51" s="50">
        <v>16</v>
      </c>
      <c r="F51" s="50">
        <v>11</v>
      </c>
      <c r="G51" s="50">
        <v>1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202</v>
      </c>
      <c r="N51" s="50">
        <v>0</v>
      </c>
      <c r="O51" s="15">
        <f t="shared" si="0"/>
        <v>127</v>
      </c>
      <c r="P51" s="15">
        <f t="shared" si="1"/>
        <v>329</v>
      </c>
      <c r="R51" s="8"/>
      <c r="T51"/>
    </row>
    <row r="52" spans="2:20" ht="23.1" customHeight="1" x14ac:dyDescent="0.25">
      <c r="B52" s="24" t="s">
        <v>79</v>
      </c>
      <c r="C52" s="50">
        <v>81</v>
      </c>
      <c r="D52" s="50">
        <v>38</v>
      </c>
      <c r="E52" s="50">
        <v>11</v>
      </c>
      <c r="F52" s="50">
        <v>13</v>
      </c>
      <c r="G52" s="50">
        <v>1</v>
      </c>
      <c r="H52" s="50">
        <v>0</v>
      </c>
      <c r="I52" s="50">
        <v>2</v>
      </c>
      <c r="J52" s="50">
        <v>6</v>
      </c>
      <c r="K52" s="50">
        <v>0</v>
      </c>
      <c r="L52" s="50">
        <v>0</v>
      </c>
      <c r="M52" s="50">
        <v>205</v>
      </c>
      <c r="N52" s="50">
        <v>0</v>
      </c>
      <c r="O52" s="15">
        <f t="shared" si="0"/>
        <v>152</v>
      </c>
      <c r="P52" s="15">
        <f t="shared" si="1"/>
        <v>357</v>
      </c>
      <c r="R52" s="8"/>
      <c r="T52"/>
    </row>
    <row r="53" spans="2:20" ht="23.1" customHeight="1" x14ac:dyDescent="0.25">
      <c r="B53" s="23" t="s">
        <v>80</v>
      </c>
      <c r="C53" s="50">
        <v>77</v>
      </c>
      <c r="D53" s="50">
        <v>34</v>
      </c>
      <c r="E53" s="50">
        <v>5</v>
      </c>
      <c r="F53" s="50">
        <v>14</v>
      </c>
      <c r="G53" s="50">
        <v>0</v>
      </c>
      <c r="H53" s="50">
        <v>0</v>
      </c>
      <c r="I53" s="50">
        <v>4</v>
      </c>
      <c r="J53" s="50">
        <v>2</v>
      </c>
      <c r="K53" s="50">
        <v>0</v>
      </c>
      <c r="L53" s="50">
        <v>0</v>
      </c>
      <c r="M53" s="50">
        <v>215</v>
      </c>
      <c r="N53" s="50">
        <v>0</v>
      </c>
      <c r="O53" s="15">
        <f t="shared" si="0"/>
        <v>136</v>
      </c>
      <c r="P53" s="15">
        <f t="shared" si="1"/>
        <v>351</v>
      </c>
      <c r="R53" s="8"/>
      <c r="T53"/>
    </row>
    <row r="54" spans="2:20" ht="23.1" customHeight="1" x14ac:dyDescent="0.25">
      <c r="B54" s="23" t="s">
        <v>81</v>
      </c>
      <c r="C54" s="50">
        <v>100</v>
      </c>
      <c r="D54" s="50">
        <v>15</v>
      </c>
      <c r="E54" s="50">
        <v>8</v>
      </c>
      <c r="F54" s="50">
        <v>12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0</v>
      </c>
      <c r="M54" s="50">
        <v>160</v>
      </c>
      <c r="N54" s="50">
        <v>0</v>
      </c>
      <c r="O54" s="15">
        <f t="shared" si="0"/>
        <v>138</v>
      </c>
      <c r="P54" s="15">
        <f t="shared" si="1"/>
        <v>298</v>
      </c>
      <c r="R54" s="8"/>
      <c r="T54"/>
    </row>
    <row r="55" spans="2:20" ht="23.1" customHeight="1" x14ac:dyDescent="0.25">
      <c r="B55" s="23" t="s">
        <v>82</v>
      </c>
      <c r="C55" s="50">
        <v>83</v>
      </c>
      <c r="D55" s="50">
        <v>10</v>
      </c>
      <c r="E55" s="50">
        <v>4</v>
      </c>
      <c r="F55" s="50">
        <v>11</v>
      </c>
      <c r="G55" s="50">
        <v>0</v>
      </c>
      <c r="H55" s="50">
        <v>0</v>
      </c>
      <c r="I55" s="50">
        <v>1</v>
      </c>
      <c r="J55" s="50">
        <v>3</v>
      </c>
      <c r="K55" s="50">
        <v>0</v>
      </c>
      <c r="L55" s="50">
        <v>0</v>
      </c>
      <c r="M55" s="50">
        <v>180</v>
      </c>
      <c r="N55" s="50">
        <v>0</v>
      </c>
      <c r="O55" s="15">
        <f t="shared" si="0"/>
        <v>112</v>
      </c>
      <c r="P55" s="15">
        <f t="shared" si="1"/>
        <v>292</v>
      </c>
      <c r="R55" s="8"/>
      <c r="T55"/>
    </row>
    <row r="56" spans="2:20" ht="23.1" customHeight="1" x14ac:dyDescent="0.25">
      <c r="B56" s="23" t="s">
        <v>83</v>
      </c>
      <c r="C56" s="50">
        <v>63</v>
      </c>
      <c r="D56" s="50">
        <v>21</v>
      </c>
      <c r="E56" s="50">
        <v>6</v>
      </c>
      <c r="F56" s="50">
        <v>16</v>
      </c>
      <c r="G56" s="50">
        <v>1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183</v>
      </c>
      <c r="N56" s="50">
        <v>0</v>
      </c>
      <c r="O56" s="15">
        <f t="shared" si="0"/>
        <v>108</v>
      </c>
      <c r="P56" s="15">
        <f t="shared" si="1"/>
        <v>291</v>
      </c>
      <c r="R56" s="8"/>
      <c r="T56"/>
    </row>
    <row r="57" spans="2:20" ht="23.1" customHeight="1" x14ac:dyDescent="0.25">
      <c r="B57" s="23" t="s">
        <v>84</v>
      </c>
      <c r="C57" s="50">
        <v>72</v>
      </c>
      <c r="D57" s="50">
        <v>11</v>
      </c>
      <c r="E57" s="50">
        <v>1</v>
      </c>
      <c r="F57" s="50">
        <v>12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150</v>
      </c>
      <c r="N57" s="50">
        <v>0</v>
      </c>
      <c r="O57" s="15">
        <f t="shared" si="0"/>
        <v>98</v>
      </c>
      <c r="P57" s="15">
        <f t="shared" si="1"/>
        <v>248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2346</v>
      </c>
      <c r="D58" s="16">
        <f t="shared" si="21"/>
        <v>758</v>
      </c>
      <c r="E58" s="16">
        <f t="shared" si="21"/>
        <v>311</v>
      </c>
      <c r="F58" s="16">
        <f t="shared" si="21"/>
        <v>1162</v>
      </c>
      <c r="G58" s="16">
        <f t="shared" si="21"/>
        <v>11</v>
      </c>
      <c r="H58" s="16">
        <f t="shared" si="21"/>
        <v>2</v>
      </c>
      <c r="I58" s="16">
        <f t="shared" si="21"/>
        <v>111</v>
      </c>
      <c r="J58" s="16">
        <f t="shared" si="21"/>
        <v>126</v>
      </c>
      <c r="K58" s="16">
        <f t="shared" si="21"/>
        <v>23</v>
      </c>
      <c r="L58" s="16">
        <f t="shared" si="21"/>
        <v>5</v>
      </c>
      <c r="M58" s="16">
        <f t="shared" si="21"/>
        <v>8390</v>
      </c>
      <c r="N58" s="16">
        <f t="shared" si="21"/>
        <v>1</v>
      </c>
      <c r="O58" s="16">
        <f t="shared" si="21"/>
        <v>4856</v>
      </c>
      <c r="P58" s="16">
        <f t="shared" si="21"/>
        <v>13246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0.17711007096481957</v>
      </c>
      <c r="D59" s="43">
        <f t="shared" si="22"/>
        <v>5.7224822587951078E-2</v>
      </c>
      <c r="E59" s="43">
        <f t="shared" si="22"/>
        <v>2.3478786048618451E-2</v>
      </c>
      <c r="F59" s="43">
        <f t="shared" si="22"/>
        <v>8.7724596104484368E-2</v>
      </c>
      <c r="G59" s="43">
        <f t="shared" si="22"/>
        <v>8.3043937792541143E-4</v>
      </c>
      <c r="H59" s="43">
        <f t="shared" si="22"/>
        <v>1.5098897780462027E-4</v>
      </c>
      <c r="I59" s="43">
        <f t="shared" si="22"/>
        <v>8.3798882681564244E-3</v>
      </c>
      <c r="J59" s="43">
        <f t="shared" si="22"/>
        <v>9.5123056016910758E-3</v>
      </c>
      <c r="K59" s="43">
        <f t="shared" si="22"/>
        <v>1.7363732447531329E-3</v>
      </c>
      <c r="L59" s="43">
        <f t="shared" si="22"/>
        <v>3.7747244451155068E-4</v>
      </c>
      <c r="M59" s="43">
        <f t="shared" si="22"/>
        <v>0.63339876189038202</v>
      </c>
      <c r="N59" s="43">
        <f t="shared" si="22"/>
        <v>7.5494488902310135E-5</v>
      </c>
      <c r="R59" s="8"/>
      <c r="T59"/>
    </row>
    <row r="60" spans="2:20" ht="23.1" customHeight="1" x14ac:dyDescent="0.25">
      <c r="B60" s="42" t="s">
        <v>94</v>
      </c>
      <c r="C60" s="44">
        <f>C58/$O$58</f>
        <v>0.48311367380560133</v>
      </c>
      <c r="D60" s="44">
        <f t="shared" ref="D60:N60" si="23">D58/$O$58</f>
        <v>0.15609555189456342</v>
      </c>
      <c r="E60" s="44">
        <f t="shared" si="23"/>
        <v>6.4044481054365734E-2</v>
      </c>
      <c r="F60" s="44">
        <f t="shared" si="23"/>
        <v>0.23929159802306424</v>
      </c>
      <c r="G60" s="44">
        <f t="shared" si="23"/>
        <v>2.2652388797364084E-3</v>
      </c>
      <c r="H60" s="44">
        <f t="shared" si="23"/>
        <v>4.1186161449752884E-4</v>
      </c>
      <c r="I60" s="44">
        <f t="shared" si="23"/>
        <v>2.2858319604612851E-2</v>
      </c>
      <c r="J60" s="44">
        <f t="shared" si="23"/>
        <v>2.5947281713344317E-2</v>
      </c>
      <c r="K60" s="44">
        <f t="shared" si="23"/>
        <v>4.7364085667215812E-3</v>
      </c>
      <c r="L60" s="44">
        <f t="shared" si="23"/>
        <v>1.029654036243822E-3</v>
      </c>
      <c r="M60" s="44"/>
      <c r="N60" s="44">
        <f t="shared" si="23"/>
        <v>2.0593080724876442E-4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Makindye-Kibuye'!C3:G3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'24.07 Kibuye-Makindye'!D5</f>
        <v>24.07.19</v>
      </c>
      <c r="E5" s="3"/>
      <c r="F5" s="41" t="s">
        <v>1</v>
      </c>
      <c r="G5" s="63" t="str">
        <f>'22.07 Kibuye-Makindye'!G5:H5</f>
        <v>FUELEX MAKINDYE</v>
      </c>
      <c r="H5" s="64"/>
      <c r="I5" s="14"/>
      <c r="J5" s="2" t="s">
        <v>5</v>
      </c>
      <c r="K5" s="63" t="str">
        <f>'22.07 Kibuye-Makindye'!K5:L5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Makindye-Kibuye'!D6:E6</f>
        <v>MAKINDYE</v>
      </c>
      <c r="E6" s="64"/>
      <c r="F6" s="2" t="s">
        <v>2</v>
      </c>
      <c r="G6" s="63" t="str">
        <f>'22.07 Makindye-Kibuye'!G6:H6</f>
        <v>KIBUYE</v>
      </c>
      <c r="H6" s="64"/>
      <c r="J6" s="2" t="s">
        <v>21</v>
      </c>
      <c r="K6" s="63" t="str">
        <f>'22.07 Kibuye-Makindye'!K6:L6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37</v>
      </c>
      <c r="D10" s="50">
        <v>2</v>
      </c>
      <c r="E10" s="50">
        <v>4</v>
      </c>
      <c r="F10" s="50">
        <v>6</v>
      </c>
      <c r="G10" s="50">
        <v>0</v>
      </c>
      <c r="H10" s="50">
        <v>0</v>
      </c>
      <c r="I10" s="50">
        <v>2</v>
      </c>
      <c r="J10" s="50">
        <v>1</v>
      </c>
      <c r="K10" s="50">
        <v>0</v>
      </c>
      <c r="L10" s="50">
        <v>0</v>
      </c>
      <c r="M10" s="50">
        <v>150</v>
      </c>
      <c r="N10" s="50">
        <v>0</v>
      </c>
      <c r="O10" s="15">
        <f t="shared" ref="O10:O57" si="0">SUM(C10:L10,N10)</f>
        <v>52</v>
      </c>
      <c r="P10" s="15">
        <f t="shared" ref="P10:P57" si="1">SUM(C10:N10)</f>
        <v>202</v>
      </c>
      <c r="R10" s="1" t="s">
        <v>6</v>
      </c>
      <c r="S10" s="17">
        <f t="shared" ref="S10:AF10" si="2">SUM(C10:C13)</f>
        <v>156</v>
      </c>
      <c r="T10" s="17">
        <f t="shared" si="2"/>
        <v>29</v>
      </c>
      <c r="U10" s="17">
        <f t="shared" si="2"/>
        <v>14</v>
      </c>
      <c r="V10" s="17">
        <f t="shared" si="2"/>
        <v>15</v>
      </c>
      <c r="W10" s="17">
        <f t="shared" si="2"/>
        <v>0</v>
      </c>
      <c r="X10" s="17">
        <f t="shared" si="2"/>
        <v>0</v>
      </c>
      <c r="Y10" s="17">
        <f t="shared" si="2"/>
        <v>8</v>
      </c>
      <c r="Z10" s="17">
        <f t="shared" si="2"/>
        <v>6</v>
      </c>
      <c r="AA10" s="17">
        <f t="shared" si="2"/>
        <v>0</v>
      </c>
      <c r="AB10" s="17">
        <f t="shared" si="2"/>
        <v>0</v>
      </c>
      <c r="AC10" s="17">
        <f t="shared" si="2"/>
        <v>765</v>
      </c>
      <c r="AD10" s="17">
        <f t="shared" si="2"/>
        <v>0</v>
      </c>
      <c r="AE10" s="31">
        <f t="shared" si="2"/>
        <v>228</v>
      </c>
      <c r="AF10" s="31">
        <f t="shared" si="2"/>
        <v>993</v>
      </c>
    </row>
    <row r="11" spans="2:32" s="6" customFormat="1" ht="23.1" customHeight="1" x14ac:dyDescent="0.25">
      <c r="B11" s="23" t="s">
        <v>38</v>
      </c>
      <c r="C11" s="50">
        <v>26</v>
      </c>
      <c r="D11" s="50">
        <v>1</v>
      </c>
      <c r="E11" s="50">
        <v>5</v>
      </c>
      <c r="F11" s="50">
        <v>4</v>
      </c>
      <c r="G11" s="50">
        <v>0</v>
      </c>
      <c r="H11" s="50">
        <v>0</v>
      </c>
      <c r="I11" s="50">
        <v>1</v>
      </c>
      <c r="J11" s="50">
        <v>3</v>
      </c>
      <c r="K11" s="50">
        <v>0</v>
      </c>
      <c r="L11" s="50">
        <v>0</v>
      </c>
      <c r="M11" s="50">
        <v>205</v>
      </c>
      <c r="N11" s="50">
        <v>0</v>
      </c>
      <c r="O11" s="15">
        <f t="shared" si="0"/>
        <v>40</v>
      </c>
      <c r="P11" s="15">
        <f t="shared" si="1"/>
        <v>245</v>
      </c>
      <c r="R11" s="1" t="s">
        <v>7</v>
      </c>
      <c r="S11" s="17">
        <f t="shared" ref="S11:AF11" si="3">SUM(C14:C17)</f>
        <v>159</v>
      </c>
      <c r="T11" s="17">
        <f t="shared" si="3"/>
        <v>56</v>
      </c>
      <c r="U11" s="17">
        <f t="shared" si="3"/>
        <v>21</v>
      </c>
      <c r="V11" s="17">
        <f t="shared" si="3"/>
        <v>43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7</v>
      </c>
      <c r="AA11" s="17">
        <f t="shared" si="3"/>
        <v>2</v>
      </c>
      <c r="AB11" s="17">
        <f t="shared" si="3"/>
        <v>0</v>
      </c>
      <c r="AC11" s="17">
        <f t="shared" si="3"/>
        <v>780</v>
      </c>
      <c r="AD11" s="17">
        <f t="shared" si="3"/>
        <v>0</v>
      </c>
      <c r="AE11" s="31">
        <f t="shared" si="3"/>
        <v>297</v>
      </c>
      <c r="AF11" s="31">
        <f t="shared" si="3"/>
        <v>1077</v>
      </c>
    </row>
    <row r="12" spans="2:32" ht="23.1" customHeight="1" x14ac:dyDescent="0.25">
      <c r="B12" s="23" t="s">
        <v>39</v>
      </c>
      <c r="C12" s="50">
        <v>52</v>
      </c>
      <c r="D12" s="50">
        <v>10</v>
      </c>
      <c r="E12" s="50">
        <v>2</v>
      </c>
      <c r="F12" s="50">
        <v>5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235</v>
      </c>
      <c r="N12" s="50">
        <v>0</v>
      </c>
      <c r="O12" s="15">
        <f t="shared" si="0"/>
        <v>71</v>
      </c>
      <c r="P12" s="15">
        <f t="shared" si="1"/>
        <v>306</v>
      </c>
      <c r="R12" s="1" t="s">
        <v>8</v>
      </c>
      <c r="S12" s="17">
        <f t="shared" ref="S12:AF12" si="4">SUM(C18:C21)</f>
        <v>189</v>
      </c>
      <c r="T12" s="17">
        <f t="shared" si="4"/>
        <v>43</v>
      </c>
      <c r="U12" s="17">
        <f t="shared" si="4"/>
        <v>26</v>
      </c>
      <c r="V12" s="17">
        <f t="shared" si="4"/>
        <v>100</v>
      </c>
      <c r="W12" s="17">
        <f t="shared" si="4"/>
        <v>1</v>
      </c>
      <c r="X12" s="17">
        <f t="shared" si="4"/>
        <v>0</v>
      </c>
      <c r="Y12" s="17">
        <f t="shared" si="4"/>
        <v>11</v>
      </c>
      <c r="Z12" s="17">
        <f t="shared" si="4"/>
        <v>5</v>
      </c>
      <c r="AA12" s="17">
        <f t="shared" si="4"/>
        <v>1</v>
      </c>
      <c r="AB12" s="17">
        <f t="shared" si="4"/>
        <v>0</v>
      </c>
      <c r="AC12" s="17">
        <f t="shared" si="4"/>
        <v>685</v>
      </c>
      <c r="AD12" s="17">
        <f t="shared" si="4"/>
        <v>0</v>
      </c>
      <c r="AE12" s="31">
        <f t="shared" si="4"/>
        <v>376</v>
      </c>
      <c r="AF12" s="31">
        <f t="shared" si="4"/>
        <v>1061</v>
      </c>
    </row>
    <row r="13" spans="2:32" ht="23.1" customHeight="1" x14ac:dyDescent="0.25">
      <c r="B13" s="23" t="s">
        <v>40</v>
      </c>
      <c r="C13" s="50">
        <v>41</v>
      </c>
      <c r="D13" s="50">
        <v>16</v>
      </c>
      <c r="E13" s="50">
        <v>3</v>
      </c>
      <c r="F13" s="50">
        <v>0</v>
      </c>
      <c r="G13" s="50">
        <v>0</v>
      </c>
      <c r="H13" s="50">
        <v>0</v>
      </c>
      <c r="I13" s="50">
        <v>4</v>
      </c>
      <c r="J13" s="50">
        <v>1</v>
      </c>
      <c r="K13" s="50">
        <v>0</v>
      </c>
      <c r="L13" s="50">
        <v>0</v>
      </c>
      <c r="M13" s="50">
        <v>175</v>
      </c>
      <c r="N13" s="50">
        <v>0</v>
      </c>
      <c r="O13" s="15">
        <f t="shared" si="0"/>
        <v>65</v>
      </c>
      <c r="P13" s="15">
        <f t="shared" si="1"/>
        <v>240</v>
      </c>
      <c r="R13" s="1" t="s">
        <v>9</v>
      </c>
      <c r="S13" s="17">
        <f t="shared" ref="S13:AF13" si="5">SUM(C22:C25)</f>
        <v>148</v>
      </c>
      <c r="T13" s="17">
        <f t="shared" si="5"/>
        <v>34</v>
      </c>
      <c r="U13" s="17">
        <f t="shared" si="5"/>
        <v>28</v>
      </c>
      <c r="V13" s="17">
        <f t="shared" si="5"/>
        <v>132</v>
      </c>
      <c r="W13" s="17">
        <f t="shared" si="5"/>
        <v>1</v>
      </c>
      <c r="X13" s="17">
        <f t="shared" si="5"/>
        <v>0</v>
      </c>
      <c r="Y13" s="17">
        <f t="shared" si="5"/>
        <v>10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770</v>
      </c>
      <c r="AD13" s="17">
        <f t="shared" si="5"/>
        <v>0</v>
      </c>
      <c r="AE13" s="31">
        <f t="shared" si="5"/>
        <v>357</v>
      </c>
      <c r="AF13" s="31">
        <f t="shared" si="5"/>
        <v>1127</v>
      </c>
    </row>
    <row r="14" spans="2:32" ht="23.1" customHeight="1" x14ac:dyDescent="0.25">
      <c r="B14" s="23" t="s">
        <v>41</v>
      </c>
      <c r="C14" s="50">
        <v>34</v>
      </c>
      <c r="D14" s="50">
        <v>10</v>
      </c>
      <c r="E14" s="50">
        <v>2</v>
      </c>
      <c r="F14" s="50">
        <v>2</v>
      </c>
      <c r="G14" s="50">
        <v>0</v>
      </c>
      <c r="H14" s="50">
        <v>0</v>
      </c>
      <c r="I14" s="50">
        <v>0</v>
      </c>
      <c r="J14" s="50">
        <v>2</v>
      </c>
      <c r="K14" s="50">
        <v>2</v>
      </c>
      <c r="L14" s="50">
        <v>0</v>
      </c>
      <c r="M14" s="50">
        <v>210</v>
      </c>
      <c r="N14" s="50">
        <v>0</v>
      </c>
      <c r="O14" s="15">
        <f t="shared" si="0"/>
        <v>52</v>
      </c>
      <c r="P14" s="15">
        <f t="shared" si="1"/>
        <v>262</v>
      </c>
      <c r="R14" s="1" t="s">
        <v>10</v>
      </c>
      <c r="S14" s="17">
        <f t="shared" ref="S14:AF14" si="6">SUM(C26:C29)</f>
        <v>136</v>
      </c>
      <c r="T14" s="17">
        <f t="shared" si="6"/>
        <v>52</v>
      </c>
      <c r="U14" s="17">
        <f t="shared" si="6"/>
        <v>22</v>
      </c>
      <c r="V14" s="17">
        <f t="shared" si="6"/>
        <v>163</v>
      </c>
      <c r="W14" s="17">
        <f t="shared" si="6"/>
        <v>1</v>
      </c>
      <c r="X14" s="17">
        <f t="shared" si="6"/>
        <v>0</v>
      </c>
      <c r="Y14" s="17">
        <f t="shared" si="6"/>
        <v>13</v>
      </c>
      <c r="Z14" s="17">
        <f t="shared" si="6"/>
        <v>9</v>
      </c>
      <c r="AA14" s="17">
        <f t="shared" si="6"/>
        <v>3</v>
      </c>
      <c r="AB14" s="17">
        <f t="shared" si="6"/>
        <v>1</v>
      </c>
      <c r="AC14" s="17">
        <f t="shared" si="6"/>
        <v>780</v>
      </c>
      <c r="AD14" s="17">
        <f t="shared" si="6"/>
        <v>0</v>
      </c>
      <c r="AE14" s="31">
        <f t="shared" si="6"/>
        <v>400</v>
      </c>
      <c r="AF14" s="31">
        <f t="shared" si="6"/>
        <v>1180</v>
      </c>
    </row>
    <row r="15" spans="2:32" ht="23.1" customHeight="1" x14ac:dyDescent="0.25">
      <c r="B15" s="23" t="s">
        <v>42</v>
      </c>
      <c r="C15" s="50">
        <v>52</v>
      </c>
      <c r="D15" s="50">
        <v>12</v>
      </c>
      <c r="E15" s="50">
        <v>7</v>
      </c>
      <c r="F15" s="50">
        <v>7</v>
      </c>
      <c r="G15" s="50">
        <v>0</v>
      </c>
      <c r="H15" s="50">
        <v>0</v>
      </c>
      <c r="I15" s="50">
        <v>3</v>
      </c>
      <c r="J15" s="50">
        <v>3</v>
      </c>
      <c r="K15" s="50">
        <v>0</v>
      </c>
      <c r="L15" s="50">
        <v>0</v>
      </c>
      <c r="M15" s="50">
        <v>180</v>
      </c>
      <c r="N15" s="50">
        <v>0</v>
      </c>
      <c r="O15" s="15">
        <f t="shared" si="0"/>
        <v>84</v>
      </c>
      <c r="P15" s="15">
        <f t="shared" si="1"/>
        <v>264</v>
      </c>
      <c r="R15" s="1" t="s">
        <v>11</v>
      </c>
      <c r="S15" s="17">
        <f t="shared" ref="S15:AF15" si="7">SUM(C30:C33)</f>
        <v>129</v>
      </c>
      <c r="T15" s="17">
        <f t="shared" si="7"/>
        <v>37</v>
      </c>
      <c r="U15" s="17">
        <f t="shared" si="7"/>
        <v>19</v>
      </c>
      <c r="V15" s="17">
        <f t="shared" si="7"/>
        <v>146</v>
      </c>
      <c r="W15" s="17">
        <f t="shared" si="7"/>
        <v>0</v>
      </c>
      <c r="X15" s="17">
        <f t="shared" si="7"/>
        <v>0</v>
      </c>
      <c r="Y15" s="17">
        <f t="shared" si="7"/>
        <v>17</v>
      </c>
      <c r="Z15" s="17">
        <f t="shared" si="7"/>
        <v>7</v>
      </c>
      <c r="AA15" s="17">
        <f t="shared" si="7"/>
        <v>0</v>
      </c>
      <c r="AB15" s="17">
        <f t="shared" si="7"/>
        <v>0</v>
      </c>
      <c r="AC15" s="17">
        <f t="shared" si="7"/>
        <v>815</v>
      </c>
      <c r="AD15" s="17">
        <f t="shared" si="7"/>
        <v>0</v>
      </c>
      <c r="AE15" s="31">
        <f t="shared" si="7"/>
        <v>355</v>
      </c>
      <c r="AF15" s="31">
        <f t="shared" si="7"/>
        <v>1170</v>
      </c>
    </row>
    <row r="16" spans="2:32" ht="23.1" customHeight="1" x14ac:dyDescent="0.25">
      <c r="B16" s="23" t="s">
        <v>43</v>
      </c>
      <c r="C16" s="50">
        <v>38</v>
      </c>
      <c r="D16" s="50">
        <v>21</v>
      </c>
      <c r="E16" s="50">
        <v>9</v>
      </c>
      <c r="F16" s="50">
        <v>15</v>
      </c>
      <c r="G16" s="50">
        <v>0</v>
      </c>
      <c r="H16" s="50">
        <v>0</v>
      </c>
      <c r="I16" s="50">
        <v>3</v>
      </c>
      <c r="J16" s="50">
        <v>1</v>
      </c>
      <c r="K16" s="50">
        <v>0</v>
      </c>
      <c r="L16" s="50">
        <v>0</v>
      </c>
      <c r="M16" s="50">
        <v>210</v>
      </c>
      <c r="N16" s="50">
        <v>0</v>
      </c>
      <c r="O16" s="15">
        <f t="shared" si="0"/>
        <v>87</v>
      </c>
      <c r="P16" s="15">
        <f t="shared" si="1"/>
        <v>297</v>
      </c>
      <c r="R16" s="1" t="s">
        <v>12</v>
      </c>
      <c r="S16" s="17">
        <f t="shared" ref="S16:AF16" si="8">SUM(C34:C37)</f>
        <v>192</v>
      </c>
      <c r="T16" s="17">
        <f t="shared" si="8"/>
        <v>29</v>
      </c>
      <c r="U16" s="17">
        <f t="shared" si="8"/>
        <v>38</v>
      </c>
      <c r="V16" s="17">
        <f t="shared" si="8"/>
        <v>116</v>
      </c>
      <c r="W16" s="17">
        <f t="shared" si="8"/>
        <v>0</v>
      </c>
      <c r="X16" s="17">
        <f t="shared" si="8"/>
        <v>0</v>
      </c>
      <c r="Y16" s="17">
        <f t="shared" si="8"/>
        <v>23</v>
      </c>
      <c r="Z16" s="17">
        <f t="shared" si="8"/>
        <v>7</v>
      </c>
      <c r="AA16" s="17">
        <f t="shared" si="8"/>
        <v>0</v>
      </c>
      <c r="AB16" s="17">
        <f t="shared" si="8"/>
        <v>1</v>
      </c>
      <c r="AC16" s="17">
        <f t="shared" si="8"/>
        <v>1120</v>
      </c>
      <c r="AD16" s="17">
        <f t="shared" si="8"/>
        <v>0</v>
      </c>
      <c r="AE16" s="31">
        <f t="shared" si="8"/>
        <v>406</v>
      </c>
      <c r="AF16" s="31">
        <f t="shared" si="8"/>
        <v>1526</v>
      </c>
    </row>
    <row r="17" spans="2:32" ht="23.1" customHeight="1" x14ac:dyDescent="0.25">
      <c r="B17" s="23" t="s">
        <v>44</v>
      </c>
      <c r="C17" s="50">
        <v>35</v>
      </c>
      <c r="D17" s="50">
        <v>13</v>
      </c>
      <c r="E17" s="50">
        <v>3</v>
      </c>
      <c r="F17" s="50">
        <v>19</v>
      </c>
      <c r="G17" s="50">
        <v>0</v>
      </c>
      <c r="H17" s="50">
        <v>0</v>
      </c>
      <c r="I17" s="50">
        <v>3</v>
      </c>
      <c r="J17" s="50">
        <v>1</v>
      </c>
      <c r="K17" s="50">
        <v>0</v>
      </c>
      <c r="L17" s="50">
        <v>0</v>
      </c>
      <c r="M17" s="50">
        <v>180</v>
      </c>
      <c r="N17" s="50">
        <v>0</v>
      </c>
      <c r="O17" s="15">
        <f t="shared" si="0"/>
        <v>74</v>
      </c>
      <c r="P17" s="15">
        <f t="shared" si="1"/>
        <v>254</v>
      </c>
      <c r="R17" s="1" t="s">
        <v>13</v>
      </c>
      <c r="S17" s="17">
        <f t="shared" ref="S17:AF17" si="9">SUM(C38:C41)</f>
        <v>148</v>
      </c>
      <c r="T17" s="17">
        <f t="shared" si="9"/>
        <v>14</v>
      </c>
      <c r="U17" s="17">
        <f t="shared" si="9"/>
        <v>23</v>
      </c>
      <c r="V17" s="17">
        <f t="shared" si="9"/>
        <v>118</v>
      </c>
      <c r="W17" s="17">
        <f t="shared" si="9"/>
        <v>1</v>
      </c>
      <c r="X17" s="17">
        <f t="shared" si="9"/>
        <v>0</v>
      </c>
      <c r="Y17" s="17">
        <f t="shared" si="9"/>
        <v>12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965</v>
      </c>
      <c r="AD17" s="17">
        <f t="shared" si="9"/>
        <v>0</v>
      </c>
      <c r="AE17" s="31">
        <f t="shared" si="9"/>
        <v>318</v>
      </c>
      <c r="AF17" s="31">
        <f t="shared" si="9"/>
        <v>1283</v>
      </c>
    </row>
    <row r="18" spans="2:32" ht="23.1" customHeight="1" x14ac:dyDescent="0.25">
      <c r="B18" s="23" t="s">
        <v>45</v>
      </c>
      <c r="C18" s="50">
        <v>56</v>
      </c>
      <c r="D18" s="50">
        <v>17</v>
      </c>
      <c r="E18" s="50">
        <v>6</v>
      </c>
      <c r="F18" s="50">
        <v>25</v>
      </c>
      <c r="G18" s="50">
        <v>0</v>
      </c>
      <c r="H18" s="50">
        <v>0</v>
      </c>
      <c r="I18" s="50">
        <v>3</v>
      </c>
      <c r="J18" s="50">
        <v>1</v>
      </c>
      <c r="K18" s="50">
        <v>1</v>
      </c>
      <c r="L18" s="50">
        <v>0</v>
      </c>
      <c r="M18" s="50">
        <v>180</v>
      </c>
      <c r="N18" s="50">
        <v>0</v>
      </c>
      <c r="O18" s="15">
        <f t="shared" si="0"/>
        <v>109</v>
      </c>
      <c r="P18" s="15">
        <f t="shared" si="1"/>
        <v>289</v>
      </c>
      <c r="R18" s="1" t="s">
        <v>14</v>
      </c>
      <c r="S18" s="17">
        <f t="shared" ref="S18:AF18" si="10">SUM(C42:C45)</f>
        <v>138</v>
      </c>
      <c r="T18" s="17">
        <f t="shared" si="10"/>
        <v>12</v>
      </c>
      <c r="U18" s="17">
        <f t="shared" si="10"/>
        <v>12</v>
      </c>
      <c r="V18" s="17">
        <f t="shared" si="10"/>
        <v>114</v>
      </c>
      <c r="W18" s="17">
        <f t="shared" si="10"/>
        <v>0</v>
      </c>
      <c r="X18" s="17">
        <f t="shared" si="10"/>
        <v>0</v>
      </c>
      <c r="Y18" s="17">
        <f t="shared" si="10"/>
        <v>16</v>
      </c>
      <c r="Z18" s="17">
        <f t="shared" si="10"/>
        <v>6</v>
      </c>
      <c r="AA18" s="17">
        <f t="shared" si="10"/>
        <v>2</v>
      </c>
      <c r="AB18" s="17">
        <f t="shared" si="10"/>
        <v>0</v>
      </c>
      <c r="AC18" s="17">
        <f t="shared" si="10"/>
        <v>940</v>
      </c>
      <c r="AD18" s="17">
        <f t="shared" si="10"/>
        <v>0</v>
      </c>
      <c r="AE18" s="31">
        <f t="shared" si="10"/>
        <v>300</v>
      </c>
      <c r="AF18" s="31">
        <f t="shared" si="10"/>
        <v>1240</v>
      </c>
    </row>
    <row r="19" spans="2:32" ht="23.1" customHeight="1" x14ac:dyDescent="0.25">
      <c r="B19" s="23" t="s">
        <v>46</v>
      </c>
      <c r="C19" s="50">
        <v>45</v>
      </c>
      <c r="D19" s="50">
        <v>10</v>
      </c>
      <c r="E19" s="50">
        <v>8</v>
      </c>
      <c r="F19" s="50">
        <v>28</v>
      </c>
      <c r="G19" s="50">
        <v>1</v>
      </c>
      <c r="H19" s="50">
        <v>0</v>
      </c>
      <c r="I19" s="50">
        <v>2</v>
      </c>
      <c r="J19" s="50">
        <v>3</v>
      </c>
      <c r="K19" s="50">
        <v>0</v>
      </c>
      <c r="L19" s="50">
        <v>0</v>
      </c>
      <c r="M19" s="50">
        <v>180</v>
      </c>
      <c r="N19" s="50">
        <v>0</v>
      </c>
      <c r="O19" s="15">
        <f t="shared" si="0"/>
        <v>97</v>
      </c>
      <c r="P19" s="15">
        <f t="shared" si="1"/>
        <v>277</v>
      </c>
      <c r="R19" s="1" t="s">
        <v>15</v>
      </c>
      <c r="S19" s="17">
        <f t="shared" ref="S19:AF19" si="11">SUM(C46:C49)</f>
        <v>135</v>
      </c>
      <c r="T19" s="17">
        <f t="shared" si="11"/>
        <v>27</v>
      </c>
      <c r="U19" s="17">
        <f t="shared" si="11"/>
        <v>27</v>
      </c>
      <c r="V19" s="17">
        <f t="shared" si="11"/>
        <v>86</v>
      </c>
      <c r="W19" s="17">
        <f t="shared" si="11"/>
        <v>0</v>
      </c>
      <c r="X19" s="17">
        <f t="shared" si="11"/>
        <v>1</v>
      </c>
      <c r="Y19" s="17">
        <f t="shared" si="11"/>
        <v>15</v>
      </c>
      <c r="Z19" s="17">
        <f t="shared" si="11"/>
        <v>7</v>
      </c>
      <c r="AA19" s="17">
        <f t="shared" si="11"/>
        <v>0</v>
      </c>
      <c r="AB19" s="17">
        <f t="shared" si="11"/>
        <v>1</v>
      </c>
      <c r="AC19" s="17">
        <f t="shared" si="11"/>
        <v>920</v>
      </c>
      <c r="AD19" s="17">
        <f t="shared" si="11"/>
        <v>0</v>
      </c>
      <c r="AE19" s="31">
        <f t="shared" si="11"/>
        <v>299</v>
      </c>
      <c r="AF19" s="31">
        <f t="shared" si="11"/>
        <v>1219</v>
      </c>
    </row>
    <row r="20" spans="2:32" ht="23.1" customHeight="1" x14ac:dyDescent="0.25">
      <c r="B20" s="23" t="s">
        <v>47</v>
      </c>
      <c r="C20" s="50">
        <v>36</v>
      </c>
      <c r="D20" s="50">
        <v>8</v>
      </c>
      <c r="E20" s="50">
        <v>5</v>
      </c>
      <c r="F20" s="50">
        <v>26</v>
      </c>
      <c r="G20" s="50">
        <v>0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120</v>
      </c>
      <c r="N20" s="50">
        <v>0</v>
      </c>
      <c r="O20" s="15">
        <f t="shared" si="0"/>
        <v>78</v>
      </c>
      <c r="P20" s="15">
        <f t="shared" si="1"/>
        <v>198</v>
      </c>
      <c r="R20" s="1" t="s">
        <v>16</v>
      </c>
      <c r="S20" s="17">
        <f t="shared" ref="S20:AF20" si="12">SUM(C50:C53)</f>
        <v>133</v>
      </c>
      <c r="T20" s="17">
        <f t="shared" si="12"/>
        <v>12</v>
      </c>
      <c r="U20" s="17">
        <f t="shared" si="12"/>
        <v>13</v>
      </c>
      <c r="V20" s="17">
        <f t="shared" si="12"/>
        <v>99</v>
      </c>
      <c r="W20" s="17">
        <f t="shared" si="12"/>
        <v>2</v>
      </c>
      <c r="X20" s="17">
        <f t="shared" si="12"/>
        <v>0</v>
      </c>
      <c r="Y20" s="17">
        <f t="shared" si="12"/>
        <v>16</v>
      </c>
      <c r="Z20" s="17">
        <f t="shared" si="12"/>
        <v>5</v>
      </c>
      <c r="AA20" s="17">
        <f t="shared" si="12"/>
        <v>1</v>
      </c>
      <c r="AB20" s="17">
        <f t="shared" si="12"/>
        <v>0</v>
      </c>
      <c r="AC20" s="17">
        <f t="shared" si="12"/>
        <v>860</v>
      </c>
      <c r="AD20" s="17">
        <f t="shared" si="12"/>
        <v>0</v>
      </c>
      <c r="AE20" s="31">
        <f t="shared" si="12"/>
        <v>281</v>
      </c>
      <c r="AF20" s="31">
        <f t="shared" si="12"/>
        <v>1141</v>
      </c>
    </row>
    <row r="21" spans="2:32" ht="23.1" customHeight="1" x14ac:dyDescent="0.25">
      <c r="B21" s="23" t="s">
        <v>48</v>
      </c>
      <c r="C21" s="50">
        <v>52</v>
      </c>
      <c r="D21" s="50">
        <v>8</v>
      </c>
      <c r="E21" s="50">
        <v>7</v>
      </c>
      <c r="F21" s="50">
        <v>21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205</v>
      </c>
      <c r="N21" s="50">
        <v>0</v>
      </c>
      <c r="O21" s="15">
        <f t="shared" si="0"/>
        <v>92</v>
      </c>
      <c r="P21" s="15">
        <f t="shared" si="1"/>
        <v>297</v>
      </c>
      <c r="R21" s="36" t="s">
        <v>20</v>
      </c>
      <c r="S21" s="34">
        <f t="shared" ref="S21:AF21" si="13">SUM(C54:C57)</f>
        <v>122</v>
      </c>
      <c r="T21" s="17">
        <f t="shared" si="13"/>
        <v>7</v>
      </c>
      <c r="U21" s="17">
        <f t="shared" si="13"/>
        <v>8</v>
      </c>
      <c r="V21" s="17">
        <f t="shared" si="13"/>
        <v>98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3</v>
      </c>
      <c r="AA21" s="17">
        <f t="shared" si="13"/>
        <v>4</v>
      </c>
      <c r="AB21" s="17">
        <f t="shared" si="13"/>
        <v>0</v>
      </c>
      <c r="AC21" s="17">
        <f t="shared" si="13"/>
        <v>785</v>
      </c>
      <c r="AD21" s="17">
        <f t="shared" si="13"/>
        <v>0</v>
      </c>
      <c r="AE21" s="31">
        <f t="shared" si="13"/>
        <v>247</v>
      </c>
      <c r="AF21" s="31">
        <f t="shared" si="13"/>
        <v>1032</v>
      </c>
    </row>
    <row r="22" spans="2:32" ht="23.1" customHeight="1" x14ac:dyDescent="0.25">
      <c r="B22" s="23" t="s">
        <v>49</v>
      </c>
      <c r="C22" s="50">
        <v>38</v>
      </c>
      <c r="D22" s="50">
        <v>9</v>
      </c>
      <c r="E22" s="50">
        <v>6</v>
      </c>
      <c r="F22" s="50">
        <v>27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220</v>
      </c>
      <c r="N22" s="50">
        <v>0</v>
      </c>
      <c r="O22" s="15">
        <f t="shared" si="0"/>
        <v>81</v>
      </c>
      <c r="P22" s="15">
        <f t="shared" si="1"/>
        <v>301</v>
      </c>
      <c r="R22" s="38" t="s">
        <v>90</v>
      </c>
      <c r="S22" s="39">
        <f>MAX(S10:S12)</f>
        <v>189</v>
      </c>
      <c r="T22" s="39">
        <f t="shared" ref="T22:AF22" si="14">MAX(T10:T12)</f>
        <v>56</v>
      </c>
      <c r="U22" s="39">
        <f t="shared" si="14"/>
        <v>26</v>
      </c>
      <c r="V22" s="39">
        <f t="shared" si="14"/>
        <v>100</v>
      </c>
      <c r="W22" s="39">
        <f t="shared" si="14"/>
        <v>1</v>
      </c>
      <c r="X22" s="39">
        <f t="shared" si="14"/>
        <v>0</v>
      </c>
      <c r="Y22" s="39">
        <f t="shared" si="14"/>
        <v>11</v>
      </c>
      <c r="Z22" s="39">
        <f t="shared" si="14"/>
        <v>7</v>
      </c>
      <c r="AA22" s="39">
        <f t="shared" si="14"/>
        <v>2</v>
      </c>
      <c r="AB22" s="39">
        <f t="shared" si="14"/>
        <v>0</v>
      </c>
      <c r="AC22" s="39">
        <f t="shared" si="14"/>
        <v>780</v>
      </c>
      <c r="AD22" s="39">
        <f t="shared" si="14"/>
        <v>0</v>
      </c>
      <c r="AE22" s="40">
        <f t="shared" si="14"/>
        <v>376</v>
      </c>
      <c r="AF22" s="40">
        <f t="shared" si="14"/>
        <v>1077</v>
      </c>
    </row>
    <row r="23" spans="2:32" ht="23.1" customHeight="1" x14ac:dyDescent="0.25">
      <c r="B23" s="23" t="s">
        <v>50</v>
      </c>
      <c r="C23" s="50">
        <v>44</v>
      </c>
      <c r="D23" s="50">
        <v>14</v>
      </c>
      <c r="E23" s="50">
        <v>5</v>
      </c>
      <c r="F23" s="50">
        <v>38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190</v>
      </c>
      <c r="N23" s="50">
        <v>0</v>
      </c>
      <c r="O23" s="15">
        <f t="shared" si="0"/>
        <v>101</v>
      </c>
      <c r="P23" s="15">
        <f t="shared" si="1"/>
        <v>291</v>
      </c>
      <c r="R23" s="38" t="s">
        <v>91</v>
      </c>
      <c r="S23" s="39">
        <f>MAX(S13:S18)</f>
        <v>192</v>
      </c>
      <c r="T23" s="39">
        <f t="shared" ref="T23:AF23" si="15">MAX(T13:T18)</f>
        <v>52</v>
      </c>
      <c r="U23" s="39">
        <f t="shared" si="15"/>
        <v>38</v>
      </c>
      <c r="V23" s="39">
        <f t="shared" si="15"/>
        <v>163</v>
      </c>
      <c r="W23" s="39">
        <f t="shared" si="15"/>
        <v>1</v>
      </c>
      <c r="X23" s="39">
        <f t="shared" si="15"/>
        <v>0</v>
      </c>
      <c r="Y23" s="39">
        <f t="shared" si="15"/>
        <v>23</v>
      </c>
      <c r="Z23" s="39">
        <f t="shared" si="15"/>
        <v>9</v>
      </c>
      <c r="AA23" s="39">
        <f t="shared" si="15"/>
        <v>3</v>
      </c>
      <c r="AB23" s="39">
        <f t="shared" si="15"/>
        <v>1</v>
      </c>
      <c r="AC23" s="39">
        <f t="shared" si="15"/>
        <v>1120</v>
      </c>
      <c r="AD23" s="39">
        <f t="shared" si="15"/>
        <v>0</v>
      </c>
      <c r="AE23" s="40">
        <f t="shared" si="15"/>
        <v>406</v>
      </c>
      <c r="AF23" s="40">
        <f t="shared" si="15"/>
        <v>1526</v>
      </c>
    </row>
    <row r="24" spans="2:32" ht="23.1" customHeight="1" x14ac:dyDescent="0.25">
      <c r="B24" s="23" t="s">
        <v>51</v>
      </c>
      <c r="C24" s="50">
        <v>28</v>
      </c>
      <c r="D24" s="50">
        <v>3</v>
      </c>
      <c r="E24" s="50">
        <v>9</v>
      </c>
      <c r="F24" s="50">
        <v>45</v>
      </c>
      <c r="G24" s="50">
        <v>1</v>
      </c>
      <c r="H24" s="50">
        <v>0</v>
      </c>
      <c r="I24" s="50">
        <v>5</v>
      </c>
      <c r="J24" s="50">
        <v>3</v>
      </c>
      <c r="K24" s="50">
        <v>0</v>
      </c>
      <c r="L24" s="50">
        <v>0</v>
      </c>
      <c r="M24" s="50">
        <v>180</v>
      </c>
      <c r="N24" s="50">
        <v>0</v>
      </c>
      <c r="O24" s="15">
        <f t="shared" si="0"/>
        <v>94</v>
      </c>
      <c r="P24" s="15">
        <f t="shared" si="1"/>
        <v>274</v>
      </c>
      <c r="R24" s="38" t="s">
        <v>92</v>
      </c>
      <c r="S24" s="39">
        <f>MAX(S19:S21)</f>
        <v>135</v>
      </c>
      <c r="T24" s="39">
        <f t="shared" ref="T24:AF24" si="16">MAX(T19:T21)</f>
        <v>27</v>
      </c>
      <c r="U24" s="39">
        <f t="shared" si="16"/>
        <v>27</v>
      </c>
      <c r="V24" s="39">
        <f t="shared" si="16"/>
        <v>99</v>
      </c>
      <c r="W24" s="39">
        <f t="shared" si="16"/>
        <v>2</v>
      </c>
      <c r="X24" s="39">
        <f t="shared" si="16"/>
        <v>1</v>
      </c>
      <c r="Y24" s="39">
        <f t="shared" si="16"/>
        <v>16</v>
      </c>
      <c r="Z24" s="39">
        <f t="shared" si="16"/>
        <v>7</v>
      </c>
      <c r="AA24" s="39">
        <f t="shared" si="16"/>
        <v>4</v>
      </c>
      <c r="AB24" s="39">
        <f t="shared" si="16"/>
        <v>1</v>
      </c>
      <c r="AC24" s="39">
        <f t="shared" si="16"/>
        <v>920</v>
      </c>
      <c r="AD24" s="39">
        <f t="shared" si="16"/>
        <v>0</v>
      </c>
      <c r="AE24" s="40">
        <f t="shared" si="16"/>
        <v>299</v>
      </c>
      <c r="AF24" s="40">
        <f t="shared" si="16"/>
        <v>1219</v>
      </c>
    </row>
    <row r="25" spans="2:32" ht="23.1" customHeight="1" x14ac:dyDescent="0.25">
      <c r="B25" s="23" t="s">
        <v>52</v>
      </c>
      <c r="C25" s="50">
        <v>38</v>
      </c>
      <c r="D25" s="50">
        <v>8</v>
      </c>
      <c r="E25" s="50">
        <v>8</v>
      </c>
      <c r="F25" s="50">
        <v>22</v>
      </c>
      <c r="G25" s="50">
        <v>0</v>
      </c>
      <c r="H25" s="50">
        <v>0</v>
      </c>
      <c r="I25" s="50">
        <v>4</v>
      </c>
      <c r="J25" s="50">
        <v>1</v>
      </c>
      <c r="K25" s="50">
        <v>0</v>
      </c>
      <c r="L25" s="50">
        <v>0</v>
      </c>
      <c r="M25" s="50">
        <v>180</v>
      </c>
      <c r="N25" s="50">
        <v>0</v>
      </c>
      <c r="O25" s="15">
        <f t="shared" si="0"/>
        <v>81</v>
      </c>
      <c r="P25" s="15">
        <f t="shared" si="1"/>
        <v>261</v>
      </c>
      <c r="R25" s="37" t="s">
        <v>85</v>
      </c>
      <c r="S25" s="35">
        <f t="shared" ref="S25:AF25" si="17">SUM(S10:S12)</f>
        <v>504</v>
      </c>
      <c r="T25" s="16">
        <f t="shared" si="17"/>
        <v>128</v>
      </c>
      <c r="U25" s="16">
        <f t="shared" si="17"/>
        <v>61</v>
      </c>
      <c r="V25" s="16">
        <f t="shared" si="17"/>
        <v>158</v>
      </c>
      <c r="W25" s="16">
        <f t="shared" si="17"/>
        <v>1</v>
      </c>
      <c r="X25" s="16">
        <f t="shared" si="17"/>
        <v>0</v>
      </c>
      <c r="Y25" s="16">
        <f t="shared" si="17"/>
        <v>28</v>
      </c>
      <c r="Z25" s="16">
        <f t="shared" si="17"/>
        <v>18</v>
      </c>
      <c r="AA25" s="16">
        <f t="shared" si="17"/>
        <v>3</v>
      </c>
      <c r="AB25" s="16">
        <f t="shared" si="17"/>
        <v>0</v>
      </c>
      <c r="AC25" s="16">
        <f t="shared" si="17"/>
        <v>2230</v>
      </c>
      <c r="AD25" s="16">
        <f t="shared" si="17"/>
        <v>0</v>
      </c>
      <c r="AE25" s="32">
        <f t="shared" si="17"/>
        <v>901</v>
      </c>
      <c r="AF25" s="32">
        <f t="shared" si="17"/>
        <v>3131</v>
      </c>
    </row>
    <row r="26" spans="2:32" ht="23.1" customHeight="1" x14ac:dyDescent="0.25">
      <c r="B26" s="23" t="s">
        <v>53</v>
      </c>
      <c r="C26" s="50">
        <v>33</v>
      </c>
      <c r="D26" s="50">
        <v>9</v>
      </c>
      <c r="E26" s="50">
        <v>1</v>
      </c>
      <c r="F26" s="50">
        <v>46</v>
      </c>
      <c r="G26" s="50">
        <v>0</v>
      </c>
      <c r="H26" s="50">
        <v>0</v>
      </c>
      <c r="I26" s="50">
        <v>0</v>
      </c>
      <c r="J26" s="50">
        <v>2</v>
      </c>
      <c r="K26" s="50">
        <v>2</v>
      </c>
      <c r="L26" s="50">
        <v>0</v>
      </c>
      <c r="M26" s="50">
        <v>210</v>
      </c>
      <c r="N26" s="50">
        <v>0</v>
      </c>
      <c r="O26" s="15">
        <f t="shared" si="0"/>
        <v>93</v>
      </c>
      <c r="P26" s="15">
        <f t="shared" si="1"/>
        <v>303</v>
      </c>
      <c r="R26" s="28" t="s">
        <v>86</v>
      </c>
      <c r="S26" s="16">
        <f t="shared" ref="S26:AF26" si="18">SUM(S13:S18)</f>
        <v>891</v>
      </c>
      <c r="T26" s="16">
        <f t="shared" si="18"/>
        <v>178</v>
      </c>
      <c r="U26" s="16">
        <f t="shared" si="18"/>
        <v>142</v>
      </c>
      <c r="V26" s="16">
        <f t="shared" si="18"/>
        <v>789</v>
      </c>
      <c r="W26" s="16">
        <f t="shared" si="18"/>
        <v>3</v>
      </c>
      <c r="X26" s="16">
        <f t="shared" si="18"/>
        <v>0</v>
      </c>
      <c r="Y26" s="16">
        <f t="shared" si="18"/>
        <v>91</v>
      </c>
      <c r="Z26" s="16">
        <f t="shared" si="18"/>
        <v>35</v>
      </c>
      <c r="AA26" s="16">
        <f t="shared" si="18"/>
        <v>5</v>
      </c>
      <c r="AB26" s="16">
        <f t="shared" si="18"/>
        <v>2</v>
      </c>
      <c r="AC26" s="16">
        <f t="shared" si="18"/>
        <v>5390</v>
      </c>
      <c r="AD26" s="16">
        <f t="shared" si="18"/>
        <v>0</v>
      </c>
      <c r="AE26" s="32">
        <f t="shared" si="18"/>
        <v>2136</v>
      </c>
      <c r="AF26" s="32">
        <f t="shared" si="18"/>
        <v>7526</v>
      </c>
    </row>
    <row r="27" spans="2:32" ht="23.1" customHeight="1" x14ac:dyDescent="0.25">
      <c r="B27" s="23" t="s">
        <v>54</v>
      </c>
      <c r="C27" s="50">
        <v>30</v>
      </c>
      <c r="D27" s="50">
        <v>14</v>
      </c>
      <c r="E27" s="50">
        <v>4</v>
      </c>
      <c r="F27" s="50">
        <v>45</v>
      </c>
      <c r="G27" s="50">
        <v>0</v>
      </c>
      <c r="H27" s="50">
        <v>0</v>
      </c>
      <c r="I27" s="50">
        <v>5</v>
      </c>
      <c r="J27" s="50">
        <v>3</v>
      </c>
      <c r="K27" s="50">
        <v>0</v>
      </c>
      <c r="L27" s="50">
        <v>1</v>
      </c>
      <c r="M27" s="50">
        <v>210</v>
      </c>
      <c r="N27" s="50">
        <v>0</v>
      </c>
      <c r="O27" s="15">
        <f t="shared" si="0"/>
        <v>102</v>
      </c>
      <c r="P27" s="15">
        <f t="shared" si="1"/>
        <v>312</v>
      </c>
      <c r="R27" s="29" t="s">
        <v>87</v>
      </c>
      <c r="S27" s="16">
        <f t="shared" ref="S27:AF27" si="19">SUM(S19:S21)</f>
        <v>390</v>
      </c>
      <c r="T27" s="16">
        <f t="shared" si="19"/>
        <v>46</v>
      </c>
      <c r="U27" s="16">
        <f t="shared" si="19"/>
        <v>48</v>
      </c>
      <c r="V27" s="16">
        <f t="shared" si="19"/>
        <v>283</v>
      </c>
      <c r="W27" s="16">
        <f t="shared" si="19"/>
        <v>2</v>
      </c>
      <c r="X27" s="16">
        <f t="shared" si="19"/>
        <v>1</v>
      </c>
      <c r="Y27" s="16">
        <f t="shared" si="19"/>
        <v>36</v>
      </c>
      <c r="Z27" s="16">
        <f t="shared" si="19"/>
        <v>15</v>
      </c>
      <c r="AA27" s="16">
        <f t="shared" si="19"/>
        <v>5</v>
      </c>
      <c r="AB27" s="16">
        <f t="shared" si="19"/>
        <v>1</v>
      </c>
      <c r="AC27" s="16">
        <f t="shared" si="19"/>
        <v>2565</v>
      </c>
      <c r="AD27" s="16">
        <f t="shared" si="19"/>
        <v>0</v>
      </c>
      <c r="AE27" s="32">
        <f t="shared" si="19"/>
        <v>827</v>
      </c>
      <c r="AF27" s="32">
        <f t="shared" si="19"/>
        <v>3392</v>
      </c>
    </row>
    <row r="28" spans="2:32" ht="23.1" customHeight="1" x14ac:dyDescent="0.25">
      <c r="B28" s="23" t="s">
        <v>55</v>
      </c>
      <c r="C28" s="50">
        <v>37</v>
      </c>
      <c r="D28" s="50">
        <v>14</v>
      </c>
      <c r="E28" s="50">
        <v>8</v>
      </c>
      <c r="F28" s="50">
        <v>35</v>
      </c>
      <c r="G28" s="50">
        <v>0</v>
      </c>
      <c r="H28" s="50">
        <v>0</v>
      </c>
      <c r="I28" s="50">
        <v>4</v>
      </c>
      <c r="J28" s="50">
        <v>3</v>
      </c>
      <c r="K28" s="50">
        <v>0</v>
      </c>
      <c r="L28" s="50">
        <v>0</v>
      </c>
      <c r="M28" s="50">
        <v>180</v>
      </c>
      <c r="N28" s="50">
        <v>0</v>
      </c>
      <c r="O28" s="15">
        <f t="shared" si="0"/>
        <v>101</v>
      </c>
      <c r="P28" s="15">
        <f t="shared" si="1"/>
        <v>281</v>
      </c>
      <c r="R28" s="5" t="s">
        <v>17</v>
      </c>
      <c r="S28" s="16">
        <f t="shared" ref="S28:AF28" si="20">SUM(S10:S21)</f>
        <v>1785</v>
      </c>
      <c r="T28" s="16">
        <f t="shared" si="20"/>
        <v>352</v>
      </c>
      <c r="U28" s="16">
        <f t="shared" si="20"/>
        <v>251</v>
      </c>
      <c r="V28" s="16">
        <f t="shared" si="20"/>
        <v>1230</v>
      </c>
      <c r="W28" s="16">
        <f t="shared" si="20"/>
        <v>6</v>
      </c>
      <c r="X28" s="16">
        <f t="shared" si="20"/>
        <v>1</v>
      </c>
      <c r="Y28" s="16">
        <f t="shared" si="20"/>
        <v>155</v>
      </c>
      <c r="Z28" s="16">
        <f t="shared" si="20"/>
        <v>68</v>
      </c>
      <c r="AA28" s="16">
        <f t="shared" si="20"/>
        <v>13</v>
      </c>
      <c r="AB28" s="16">
        <f t="shared" si="20"/>
        <v>3</v>
      </c>
      <c r="AC28" s="16">
        <f t="shared" si="20"/>
        <v>10185</v>
      </c>
      <c r="AD28" s="16">
        <f t="shared" si="20"/>
        <v>0</v>
      </c>
      <c r="AE28" s="32">
        <f t="shared" si="20"/>
        <v>3864</v>
      </c>
      <c r="AF28" s="32">
        <f t="shared" si="20"/>
        <v>14049</v>
      </c>
    </row>
    <row r="29" spans="2:32" ht="23.1" customHeight="1" x14ac:dyDescent="0.25">
      <c r="B29" s="23" t="s">
        <v>56</v>
      </c>
      <c r="C29" s="50">
        <v>36</v>
      </c>
      <c r="D29" s="50">
        <v>15</v>
      </c>
      <c r="E29" s="50">
        <v>9</v>
      </c>
      <c r="F29" s="50">
        <v>37</v>
      </c>
      <c r="G29" s="50">
        <v>1</v>
      </c>
      <c r="H29" s="50">
        <v>0</v>
      </c>
      <c r="I29" s="50">
        <v>4</v>
      </c>
      <c r="J29" s="50">
        <v>1</v>
      </c>
      <c r="K29" s="50">
        <v>1</v>
      </c>
      <c r="L29" s="50">
        <v>0</v>
      </c>
      <c r="M29" s="50">
        <v>180</v>
      </c>
      <c r="N29" s="50">
        <v>0</v>
      </c>
      <c r="O29" s="15">
        <f t="shared" si="0"/>
        <v>104</v>
      </c>
      <c r="P29" s="15">
        <f t="shared" si="1"/>
        <v>284</v>
      </c>
      <c r="R29"/>
      <c r="S29" s="20"/>
      <c r="T29" s="19"/>
    </row>
    <row r="30" spans="2:32" ht="23.1" customHeight="1" x14ac:dyDescent="0.25">
      <c r="B30" s="23" t="s">
        <v>57</v>
      </c>
      <c r="C30" s="50">
        <v>28</v>
      </c>
      <c r="D30" s="50">
        <v>10</v>
      </c>
      <c r="E30" s="50">
        <v>5</v>
      </c>
      <c r="F30" s="50">
        <v>37</v>
      </c>
      <c r="G30" s="50">
        <v>0</v>
      </c>
      <c r="H30" s="50">
        <v>0</v>
      </c>
      <c r="I30" s="50">
        <v>6</v>
      </c>
      <c r="J30" s="50">
        <v>4</v>
      </c>
      <c r="K30" s="50">
        <v>0</v>
      </c>
      <c r="L30" s="50">
        <v>0</v>
      </c>
      <c r="M30" s="50">
        <v>180</v>
      </c>
      <c r="N30" s="50">
        <v>0</v>
      </c>
      <c r="O30" s="15">
        <f t="shared" si="0"/>
        <v>90</v>
      </c>
      <c r="P30" s="15">
        <f t="shared" si="1"/>
        <v>270</v>
      </c>
    </row>
    <row r="31" spans="2:32" ht="23.1" customHeight="1" x14ac:dyDescent="0.25">
      <c r="B31" s="24" t="s">
        <v>58</v>
      </c>
      <c r="C31" s="50">
        <v>43</v>
      </c>
      <c r="D31" s="50">
        <v>14</v>
      </c>
      <c r="E31" s="50">
        <v>10</v>
      </c>
      <c r="F31" s="50">
        <v>41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210</v>
      </c>
      <c r="N31" s="50">
        <v>0</v>
      </c>
      <c r="O31" s="15">
        <f t="shared" si="0"/>
        <v>112</v>
      </c>
      <c r="P31" s="15">
        <f t="shared" si="1"/>
        <v>322</v>
      </c>
    </row>
    <row r="32" spans="2:32" ht="23.1" customHeight="1" x14ac:dyDescent="0.25">
      <c r="B32" s="24" t="s">
        <v>59</v>
      </c>
      <c r="C32" s="50">
        <v>28</v>
      </c>
      <c r="D32" s="50">
        <v>7</v>
      </c>
      <c r="E32" s="50">
        <v>2</v>
      </c>
      <c r="F32" s="50">
        <v>38</v>
      </c>
      <c r="G32" s="50">
        <v>0</v>
      </c>
      <c r="H32" s="50">
        <v>0</v>
      </c>
      <c r="I32" s="50">
        <v>2</v>
      </c>
      <c r="J32" s="50">
        <v>2</v>
      </c>
      <c r="K32" s="50">
        <v>0</v>
      </c>
      <c r="L32" s="50">
        <v>0</v>
      </c>
      <c r="M32" s="50">
        <v>215</v>
      </c>
      <c r="N32" s="50">
        <v>0</v>
      </c>
      <c r="O32" s="15">
        <f t="shared" si="0"/>
        <v>79</v>
      </c>
      <c r="P32" s="15">
        <f t="shared" si="1"/>
        <v>294</v>
      </c>
    </row>
    <row r="33" spans="2:20" ht="23.1" customHeight="1" x14ac:dyDescent="0.25">
      <c r="B33" s="23" t="s">
        <v>60</v>
      </c>
      <c r="C33" s="50">
        <v>30</v>
      </c>
      <c r="D33" s="50">
        <v>6</v>
      </c>
      <c r="E33" s="50">
        <v>2</v>
      </c>
      <c r="F33" s="50">
        <v>30</v>
      </c>
      <c r="G33" s="50">
        <v>0</v>
      </c>
      <c r="H33" s="50">
        <v>0</v>
      </c>
      <c r="I33" s="50">
        <v>5</v>
      </c>
      <c r="J33" s="50">
        <v>1</v>
      </c>
      <c r="K33" s="50">
        <v>0</v>
      </c>
      <c r="L33" s="50">
        <v>0</v>
      </c>
      <c r="M33" s="50">
        <v>210</v>
      </c>
      <c r="N33" s="50">
        <v>0</v>
      </c>
      <c r="O33" s="15">
        <f t="shared" si="0"/>
        <v>74</v>
      </c>
      <c r="P33" s="15">
        <f t="shared" si="1"/>
        <v>284</v>
      </c>
    </row>
    <row r="34" spans="2:20" ht="23.1" customHeight="1" x14ac:dyDescent="0.25">
      <c r="B34" s="24" t="s">
        <v>61</v>
      </c>
      <c r="C34" s="50">
        <v>45</v>
      </c>
      <c r="D34" s="50">
        <v>10</v>
      </c>
      <c r="E34" s="50">
        <v>11</v>
      </c>
      <c r="F34" s="50">
        <v>34</v>
      </c>
      <c r="G34" s="50">
        <v>0</v>
      </c>
      <c r="H34" s="50">
        <v>0</v>
      </c>
      <c r="I34" s="50">
        <v>5</v>
      </c>
      <c r="J34" s="50">
        <v>0</v>
      </c>
      <c r="K34" s="50">
        <v>0</v>
      </c>
      <c r="L34" s="50">
        <v>1</v>
      </c>
      <c r="M34" s="50">
        <v>220</v>
      </c>
      <c r="N34" s="50">
        <v>0</v>
      </c>
      <c r="O34" s="15">
        <f t="shared" si="0"/>
        <v>106</v>
      </c>
      <c r="P34" s="15">
        <f t="shared" si="1"/>
        <v>326</v>
      </c>
    </row>
    <row r="35" spans="2:20" ht="23.1" customHeight="1" x14ac:dyDescent="0.25">
      <c r="B35" s="24" t="s">
        <v>62</v>
      </c>
      <c r="C35" s="50">
        <v>66</v>
      </c>
      <c r="D35" s="50">
        <v>4</v>
      </c>
      <c r="E35" s="50">
        <v>12</v>
      </c>
      <c r="F35" s="50">
        <v>25</v>
      </c>
      <c r="G35" s="50">
        <v>0</v>
      </c>
      <c r="H35" s="50">
        <v>0</v>
      </c>
      <c r="I35" s="50">
        <v>8</v>
      </c>
      <c r="J35" s="50">
        <v>1</v>
      </c>
      <c r="K35" s="50">
        <v>0</v>
      </c>
      <c r="L35" s="50">
        <v>0</v>
      </c>
      <c r="M35" s="50">
        <v>375</v>
      </c>
      <c r="N35" s="50">
        <v>0</v>
      </c>
      <c r="O35" s="15">
        <f t="shared" si="0"/>
        <v>116</v>
      </c>
      <c r="P35" s="15">
        <f t="shared" si="1"/>
        <v>491</v>
      </c>
    </row>
    <row r="36" spans="2:20" ht="23.1" customHeight="1" x14ac:dyDescent="0.25">
      <c r="B36" s="24" t="s">
        <v>63</v>
      </c>
      <c r="C36" s="50">
        <v>43</v>
      </c>
      <c r="D36" s="50">
        <v>7</v>
      </c>
      <c r="E36" s="50">
        <v>8</v>
      </c>
      <c r="F36" s="50">
        <v>35</v>
      </c>
      <c r="G36" s="50">
        <v>0</v>
      </c>
      <c r="H36" s="50">
        <v>0</v>
      </c>
      <c r="I36" s="50">
        <v>6</v>
      </c>
      <c r="J36" s="50">
        <v>4</v>
      </c>
      <c r="K36" s="50">
        <v>0</v>
      </c>
      <c r="L36" s="50">
        <v>0</v>
      </c>
      <c r="M36" s="50">
        <v>245</v>
      </c>
      <c r="N36" s="50">
        <v>0</v>
      </c>
      <c r="O36" s="15">
        <f t="shared" si="0"/>
        <v>103</v>
      </c>
      <c r="P36" s="15">
        <f t="shared" si="1"/>
        <v>348</v>
      </c>
    </row>
    <row r="37" spans="2:20" ht="23.1" customHeight="1" x14ac:dyDescent="0.25">
      <c r="B37" s="23" t="s">
        <v>64</v>
      </c>
      <c r="C37" s="50">
        <v>38</v>
      </c>
      <c r="D37" s="50">
        <v>8</v>
      </c>
      <c r="E37" s="50">
        <v>7</v>
      </c>
      <c r="F37" s="50">
        <v>22</v>
      </c>
      <c r="G37" s="50">
        <v>0</v>
      </c>
      <c r="H37" s="50">
        <v>0</v>
      </c>
      <c r="I37" s="50">
        <v>4</v>
      </c>
      <c r="J37" s="50">
        <v>2</v>
      </c>
      <c r="K37" s="50">
        <v>0</v>
      </c>
      <c r="L37" s="50">
        <v>0</v>
      </c>
      <c r="M37" s="50">
        <v>280</v>
      </c>
      <c r="N37" s="50">
        <v>0</v>
      </c>
      <c r="O37" s="15">
        <f t="shared" si="0"/>
        <v>81</v>
      </c>
      <c r="P37" s="15">
        <f t="shared" si="1"/>
        <v>361</v>
      </c>
    </row>
    <row r="38" spans="2:20" ht="23.1" customHeight="1" x14ac:dyDescent="0.25">
      <c r="B38" s="24" t="s">
        <v>65</v>
      </c>
      <c r="C38" s="50">
        <v>53</v>
      </c>
      <c r="D38" s="50">
        <v>3</v>
      </c>
      <c r="E38" s="50">
        <v>16</v>
      </c>
      <c r="F38" s="50">
        <v>32</v>
      </c>
      <c r="G38" s="50">
        <v>1</v>
      </c>
      <c r="H38" s="50">
        <v>0</v>
      </c>
      <c r="I38" s="50">
        <v>5</v>
      </c>
      <c r="J38" s="50">
        <v>1</v>
      </c>
      <c r="K38" s="50">
        <v>0</v>
      </c>
      <c r="L38" s="50">
        <v>0</v>
      </c>
      <c r="M38" s="50">
        <v>240</v>
      </c>
      <c r="N38" s="50">
        <v>0</v>
      </c>
      <c r="O38" s="15">
        <f t="shared" si="0"/>
        <v>111</v>
      </c>
      <c r="P38" s="15">
        <f t="shared" si="1"/>
        <v>351</v>
      </c>
    </row>
    <row r="39" spans="2:20" ht="23.1" customHeight="1" x14ac:dyDescent="0.25">
      <c r="B39" s="24" t="s">
        <v>66</v>
      </c>
      <c r="C39" s="50">
        <v>39</v>
      </c>
      <c r="D39" s="50">
        <v>4</v>
      </c>
      <c r="E39" s="50">
        <v>4</v>
      </c>
      <c r="F39" s="50">
        <v>41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280</v>
      </c>
      <c r="N39" s="50">
        <v>0</v>
      </c>
      <c r="O39" s="15">
        <f t="shared" si="0"/>
        <v>91</v>
      </c>
      <c r="P39" s="15">
        <f t="shared" si="1"/>
        <v>371</v>
      </c>
    </row>
    <row r="40" spans="2:20" ht="23.1" customHeight="1" x14ac:dyDescent="0.25">
      <c r="B40" s="24" t="s">
        <v>67</v>
      </c>
      <c r="C40" s="50">
        <v>18</v>
      </c>
      <c r="D40" s="50">
        <v>4</v>
      </c>
      <c r="E40" s="50">
        <v>1</v>
      </c>
      <c r="F40" s="50">
        <v>21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210</v>
      </c>
      <c r="N40" s="50">
        <v>0</v>
      </c>
      <c r="O40" s="15">
        <f t="shared" si="0"/>
        <v>46</v>
      </c>
      <c r="P40" s="15">
        <f t="shared" si="1"/>
        <v>256</v>
      </c>
    </row>
    <row r="41" spans="2:20" ht="23.1" customHeight="1" x14ac:dyDescent="0.25">
      <c r="B41" s="23" t="s">
        <v>68</v>
      </c>
      <c r="C41" s="50">
        <v>38</v>
      </c>
      <c r="D41" s="50">
        <v>3</v>
      </c>
      <c r="E41" s="50">
        <v>2</v>
      </c>
      <c r="F41" s="50">
        <v>24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235</v>
      </c>
      <c r="N41" s="50">
        <v>0</v>
      </c>
      <c r="O41" s="15">
        <f t="shared" si="0"/>
        <v>70</v>
      </c>
      <c r="P41" s="15">
        <f t="shared" si="1"/>
        <v>305</v>
      </c>
    </row>
    <row r="42" spans="2:20" ht="23.1" customHeight="1" x14ac:dyDescent="0.25">
      <c r="B42" s="24" t="s">
        <v>69</v>
      </c>
      <c r="C42" s="50">
        <v>43</v>
      </c>
      <c r="D42" s="50">
        <v>2</v>
      </c>
      <c r="E42" s="50">
        <v>2</v>
      </c>
      <c r="F42" s="50">
        <v>7</v>
      </c>
      <c r="G42" s="50">
        <v>0</v>
      </c>
      <c r="H42" s="50">
        <v>0</v>
      </c>
      <c r="I42" s="50">
        <v>4</v>
      </c>
      <c r="J42" s="50">
        <v>1</v>
      </c>
      <c r="K42" s="50">
        <v>0</v>
      </c>
      <c r="L42" s="50">
        <v>0</v>
      </c>
      <c r="M42" s="50">
        <v>205</v>
      </c>
      <c r="N42" s="50">
        <v>0</v>
      </c>
      <c r="O42" s="15">
        <f t="shared" si="0"/>
        <v>59</v>
      </c>
      <c r="P42" s="15">
        <f t="shared" si="1"/>
        <v>264</v>
      </c>
    </row>
    <row r="43" spans="2:20" ht="23.1" customHeight="1" x14ac:dyDescent="0.25">
      <c r="B43" s="23" t="s">
        <v>70</v>
      </c>
      <c r="C43" s="50">
        <v>34</v>
      </c>
      <c r="D43" s="50">
        <v>5</v>
      </c>
      <c r="E43" s="50">
        <v>0</v>
      </c>
      <c r="F43" s="50">
        <v>60</v>
      </c>
      <c r="G43" s="50">
        <v>0</v>
      </c>
      <c r="H43" s="50">
        <v>0</v>
      </c>
      <c r="I43" s="50">
        <v>6</v>
      </c>
      <c r="J43" s="50">
        <v>3</v>
      </c>
      <c r="K43" s="50">
        <v>0</v>
      </c>
      <c r="L43" s="50">
        <v>0</v>
      </c>
      <c r="M43" s="50">
        <v>245</v>
      </c>
      <c r="N43" s="50">
        <v>0</v>
      </c>
      <c r="O43" s="15">
        <f t="shared" si="0"/>
        <v>108</v>
      </c>
      <c r="P43" s="15">
        <f t="shared" si="1"/>
        <v>353</v>
      </c>
    </row>
    <row r="44" spans="2:20" ht="23.1" customHeight="1" x14ac:dyDescent="0.25">
      <c r="B44" s="25" t="s">
        <v>71</v>
      </c>
      <c r="C44" s="50">
        <v>31</v>
      </c>
      <c r="D44" s="50">
        <v>4</v>
      </c>
      <c r="E44" s="50">
        <v>8</v>
      </c>
      <c r="F44" s="50">
        <v>22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0</v>
      </c>
      <c r="M44" s="50">
        <v>245</v>
      </c>
      <c r="N44" s="50">
        <v>0</v>
      </c>
      <c r="O44" s="15">
        <f t="shared" si="0"/>
        <v>70</v>
      </c>
      <c r="P44" s="15">
        <f t="shared" si="1"/>
        <v>315</v>
      </c>
    </row>
    <row r="45" spans="2:20" ht="23.1" customHeight="1" x14ac:dyDescent="0.25">
      <c r="B45" s="23" t="s">
        <v>72</v>
      </c>
      <c r="C45" s="50">
        <v>30</v>
      </c>
      <c r="D45" s="50">
        <v>1</v>
      </c>
      <c r="E45" s="50">
        <v>2</v>
      </c>
      <c r="F45" s="50">
        <v>25</v>
      </c>
      <c r="G45" s="50">
        <v>0</v>
      </c>
      <c r="H45" s="50">
        <v>0</v>
      </c>
      <c r="I45" s="50">
        <v>1</v>
      </c>
      <c r="J45" s="50">
        <v>2</v>
      </c>
      <c r="K45" s="50">
        <v>2</v>
      </c>
      <c r="L45" s="50">
        <v>0</v>
      </c>
      <c r="M45" s="50">
        <v>245</v>
      </c>
      <c r="N45" s="50">
        <v>0</v>
      </c>
      <c r="O45" s="15">
        <f t="shared" si="0"/>
        <v>63</v>
      </c>
      <c r="P45" s="15">
        <f t="shared" si="1"/>
        <v>308</v>
      </c>
    </row>
    <row r="46" spans="2:20" ht="23.1" customHeight="1" x14ac:dyDescent="0.25">
      <c r="B46" s="24" t="s">
        <v>73</v>
      </c>
      <c r="C46" s="50">
        <v>40</v>
      </c>
      <c r="D46" s="50">
        <v>9</v>
      </c>
      <c r="E46" s="50">
        <v>10</v>
      </c>
      <c r="F46" s="50">
        <v>20</v>
      </c>
      <c r="G46" s="50">
        <v>0</v>
      </c>
      <c r="H46" s="50">
        <v>0</v>
      </c>
      <c r="I46" s="50">
        <v>2</v>
      </c>
      <c r="J46" s="50">
        <v>2</v>
      </c>
      <c r="K46" s="50">
        <v>0</v>
      </c>
      <c r="L46" s="50">
        <v>1</v>
      </c>
      <c r="M46" s="50">
        <v>245</v>
      </c>
      <c r="N46" s="50">
        <v>0</v>
      </c>
      <c r="O46" s="15">
        <f t="shared" si="0"/>
        <v>84</v>
      </c>
      <c r="P46" s="15">
        <f t="shared" si="1"/>
        <v>329</v>
      </c>
      <c r="R46" s="8"/>
      <c r="T46"/>
    </row>
    <row r="47" spans="2:20" ht="23.1" customHeight="1" x14ac:dyDescent="0.25">
      <c r="B47" s="24" t="s">
        <v>74</v>
      </c>
      <c r="C47" s="50">
        <v>32</v>
      </c>
      <c r="D47" s="50">
        <v>6</v>
      </c>
      <c r="E47" s="50">
        <v>9</v>
      </c>
      <c r="F47" s="50">
        <v>21</v>
      </c>
      <c r="G47" s="50">
        <v>0</v>
      </c>
      <c r="H47" s="50">
        <v>0</v>
      </c>
      <c r="I47" s="50">
        <v>4</v>
      </c>
      <c r="J47" s="50">
        <v>1</v>
      </c>
      <c r="K47" s="50">
        <v>0</v>
      </c>
      <c r="L47" s="50">
        <v>0</v>
      </c>
      <c r="M47" s="50">
        <v>245</v>
      </c>
      <c r="N47" s="50">
        <v>0</v>
      </c>
      <c r="O47" s="15">
        <f t="shared" si="0"/>
        <v>73</v>
      </c>
      <c r="P47" s="15">
        <f t="shared" si="1"/>
        <v>318</v>
      </c>
      <c r="R47" s="8"/>
      <c r="T47"/>
    </row>
    <row r="48" spans="2:20" ht="23.1" customHeight="1" x14ac:dyDescent="0.25">
      <c r="B48" s="24" t="s">
        <v>75</v>
      </c>
      <c r="C48" s="50">
        <v>34</v>
      </c>
      <c r="D48" s="50">
        <v>6</v>
      </c>
      <c r="E48" s="50">
        <v>4</v>
      </c>
      <c r="F48" s="50">
        <v>24</v>
      </c>
      <c r="G48" s="50">
        <v>0</v>
      </c>
      <c r="H48" s="50">
        <v>1</v>
      </c>
      <c r="I48" s="50">
        <v>6</v>
      </c>
      <c r="J48" s="50">
        <v>1</v>
      </c>
      <c r="K48" s="50">
        <v>0</v>
      </c>
      <c r="L48" s="50">
        <v>0</v>
      </c>
      <c r="M48" s="50">
        <v>220</v>
      </c>
      <c r="N48" s="50">
        <v>0</v>
      </c>
      <c r="O48" s="15">
        <f t="shared" si="0"/>
        <v>76</v>
      </c>
      <c r="P48" s="15">
        <f t="shared" si="1"/>
        <v>296</v>
      </c>
      <c r="R48" s="8"/>
      <c r="T48"/>
    </row>
    <row r="49" spans="2:20" ht="23.1" customHeight="1" x14ac:dyDescent="0.25">
      <c r="B49" s="23" t="s">
        <v>76</v>
      </c>
      <c r="C49" s="50">
        <v>29</v>
      </c>
      <c r="D49" s="50">
        <v>6</v>
      </c>
      <c r="E49" s="50">
        <v>4</v>
      </c>
      <c r="F49" s="50">
        <v>21</v>
      </c>
      <c r="G49" s="50">
        <v>0</v>
      </c>
      <c r="H49" s="50">
        <v>0</v>
      </c>
      <c r="I49" s="50">
        <v>3</v>
      </c>
      <c r="J49" s="50">
        <v>3</v>
      </c>
      <c r="K49" s="50">
        <v>0</v>
      </c>
      <c r="L49" s="50">
        <v>0</v>
      </c>
      <c r="M49" s="50">
        <v>210</v>
      </c>
      <c r="N49" s="50">
        <v>0</v>
      </c>
      <c r="O49" s="15">
        <f t="shared" si="0"/>
        <v>66</v>
      </c>
      <c r="P49" s="15">
        <f t="shared" si="1"/>
        <v>276</v>
      </c>
      <c r="R49" s="8"/>
      <c r="T49"/>
    </row>
    <row r="50" spans="2:20" ht="23.1" customHeight="1" x14ac:dyDescent="0.25">
      <c r="B50" s="24" t="s">
        <v>77</v>
      </c>
      <c r="C50" s="50">
        <v>37</v>
      </c>
      <c r="D50" s="50">
        <v>5</v>
      </c>
      <c r="E50" s="50">
        <v>0</v>
      </c>
      <c r="F50" s="50">
        <v>35</v>
      </c>
      <c r="G50" s="50">
        <v>0</v>
      </c>
      <c r="H50" s="50">
        <v>0</v>
      </c>
      <c r="I50" s="50">
        <v>4</v>
      </c>
      <c r="J50" s="50">
        <v>2</v>
      </c>
      <c r="K50" s="50">
        <v>0</v>
      </c>
      <c r="L50" s="50">
        <v>0</v>
      </c>
      <c r="M50" s="50">
        <v>210</v>
      </c>
      <c r="N50" s="50">
        <v>0</v>
      </c>
      <c r="O50" s="15">
        <f t="shared" si="0"/>
        <v>83</v>
      </c>
      <c r="P50" s="15">
        <f t="shared" si="1"/>
        <v>293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3</v>
      </c>
      <c r="E51" s="50">
        <v>4</v>
      </c>
      <c r="F51" s="50">
        <v>18</v>
      </c>
      <c r="G51" s="50">
        <v>0</v>
      </c>
      <c r="H51" s="50">
        <v>0</v>
      </c>
      <c r="I51" s="50">
        <v>2</v>
      </c>
      <c r="J51" s="50">
        <v>1</v>
      </c>
      <c r="K51" s="50">
        <v>0</v>
      </c>
      <c r="L51" s="50">
        <v>0</v>
      </c>
      <c r="M51" s="50">
        <v>235</v>
      </c>
      <c r="N51" s="50">
        <v>0</v>
      </c>
      <c r="O51" s="15">
        <f t="shared" si="0"/>
        <v>32</v>
      </c>
      <c r="P51" s="15">
        <f t="shared" si="1"/>
        <v>267</v>
      </c>
      <c r="R51" s="8"/>
      <c r="T51"/>
    </row>
    <row r="52" spans="2:20" ht="23.1" customHeight="1" x14ac:dyDescent="0.25">
      <c r="B52" s="24" t="s">
        <v>79</v>
      </c>
      <c r="C52" s="50">
        <v>47</v>
      </c>
      <c r="D52" s="50">
        <v>2</v>
      </c>
      <c r="E52" s="50">
        <v>6</v>
      </c>
      <c r="F52" s="50">
        <v>26</v>
      </c>
      <c r="G52" s="50">
        <v>1</v>
      </c>
      <c r="H52" s="50">
        <v>0</v>
      </c>
      <c r="I52" s="50">
        <v>4</v>
      </c>
      <c r="J52" s="50">
        <v>1</v>
      </c>
      <c r="K52" s="50">
        <v>0</v>
      </c>
      <c r="L52" s="50">
        <v>0</v>
      </c>
      <c r="M52" s="50">
        <v>205</v>
      </c>
      <c r="N52" s="50">
        <v>0</v>
      </c>
      <c r="O52" s="15">
        <f t="shared" si="0"/>
        <v>87</v>
      </c>
      <c r="P52" s="15">
        <f t="shared" si="1"/>
        <v>292</v>
      </c>
      <c r="R52" s="8"/>
      <c r="T52"/>
    </row>
    <row r="53" spans="2:20" ht="23.1" customHeight="1" x14ac:dyDescent="0.25">
      <c r="B53" s="23" t="s">
        <v>80</v>
      </c>
      <c r="C53" s="50">
        <v>45</v>
      </c>
      <c r="D53" s="50">
        <v>2</v>
      </c>
      <c r="E53" s="50">
        <v>3</v>
      </c>
      <c r="F53" s="50">
        <v>20</v>
      </c>
      <c r="G53" s="50">
        <v>1</v>
      </c>
      <c r="H53" s="50">
        <v>0</v>
      </c>
      <c r="I53" s="50">
        <v>6</v>
      </c>
      <c r="J53" s="50">
        <v>1</v>
      </c>
      <c r="K53" s="50">
        <v>1</v>
      </c>
      <c r="L53" s="50">
        <v>0</v>
      </c>
      <c r="M53" s="50">
        <v>210</v>
      </c>
      <c r="N53" s="50">
        <v>0</v>
      </c>
      <c r="O53" s="15">
        <f t="shared" si="0"/>
        <v>79</v>
      </c>
      <c r="P53" s="15">
        <f t="shared" si="1"/>
        <v>289</v>
      </c>
      <c r="R53" s="8"/>
      <c r="T53"/>
    </row>
    <row r="54" spans="2:20" ht="23.1" customHeight="1" x14ac:dyDescent="0.25">
      <c r="B54" s="23" t="s">
        <v>81</v>
      </c>
      <c r="C54" s="50">
        <v>27</v>
      </c>
      <c r="D54" s="50">
        <v>4</v>
      </c>
      <c r="E54" s="50">
        <v>6</v>
      </c>
      <c r="F54" s="50">
        <v>17</v>
      </c>
      <c r="G54" s="50">
        <v>0</v>
      </c>
      <c r="H54" s="50">
        <v>0</v>
      </c>
      <c r="I54" s="50">
        <v>2</v>
      </c>
      <c r="J54" s="50">
        <v>1</v>
      </c>
      <c r="K54" s="50">
        <v>1</v>
      </c>
      <c r="L54" s="50">
        <v>0</v>
      </c>
      <c r="M54" s="50">
        <v>210</v>
      </c>
      <c r="N54" s="50">
        <v>0</v>
      </c>
      <c r="O54" s="15">
        <f t="shared" si="0"/>
        <v>58</v>
      </c>
      <c r="P54" s="15">
        <f t="shared" si="1"/>
        <v>268</v>
      </c>
      <c r="R54" s="8"/>
      <c r="T54"/>
    </row>
    <row r="55" spans="2:20" ht="23.1" customHeight="1" x14ac:dyDescent="0.25">
      <c r="B55" s="23" t="s">
        <v>82</v>
      </c>
      <c r="C55" s="50">
        <v>45</v>
      </c>
      <c r="D55" s="50">
        <v>1</v>
      </c>
      <c r="E55" s="50">
        <v>1</v>
      </c>
      <c r="F55" s="50">
        <v>18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210</v>
      </c>
      <c r="N55" s="50">
        <v>0</v>
      </c>
      <c r="O55" s="15">
        <f t="shared" si="0"/>
        <v>65</v>
      </c>
      <c r="P55" s="15">
        <f t="shared" si="1"/>
        <v>275</v>
      </c>
      <c r="R55" s="8"/>
      <c r="T55"/>
    </row>
    <row r="56" spans="2:20" ht="23.1" customHeight="1" x14ac:dyDescent="0.25">
      <c r="B56" s="23" t="s">
        <v>83</v>
      </c>
      <c r="C56" s="50">
        <v>20</v>
      </c>
      <c r="D56" s="50">
        <v>2</v>
      </c>
      <c r="E56" s="50">
        <v>1</v>
      </c>
      <c r="F56" s="50">
        <v>28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0</v>
      </c>
      <c r="M56" s="50">
        <v>180</v>
      </c>
      <c r="N56" s="50">
        <v>0</v>
      </c>
      <c r="O56" s="15">
        <f t="shared" si="0"/>
        <v>52</v>
      </c>
      <c r="P56" s="15">
        <f t="shared" si="1"/>
        <v>232</v>
      </c>
      <c r="R56" s="8"/>
      <c r="T56"/>
    </row>
    <row r="57" spans="2:20" ht="23.1" customHeight="1" x14ac:dyDescent="0.25">
      <c r="B57" s="23" t="s">
        <v>84</v>
      </c>
      <c r="C57" s="50">
        <v>30</v>
      </c>
      <c r="D57" s="50">
        <v>0</v>
      </c>
      <c r="E57" s="50">
        <v>0</v>
      </c>
      <c r="F57" s="50">
        <v>35</v>
      </c>
      <c r="G57" s="50">
        <v>0</v>
      </c>
      <c r="H57" s="50">
        <v>0</v>
      </c>
      <c r="I57" s="50">
        <v>3</v>
      </c>
      <c r="J57" s="50">
        <v>2</v>
      </c>
      <c r="K57" s="50">
        <v>2</v>
      </c>
      <c r="L57" s="50">
        <v>0</v>
      </c>
      <c r="M57" s="50">
        <v>185</v>
      </c>
      <c r="N57" s="50">
        <v>0</v>
      </c>
      <c r="O57" s="15">
        <f t="shared" si="0"/>
        <v>72</v>
      </c>
      <c r="P57" s="15">
        <f t="shared" si="1"/>
        <v>257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1785</v>
      </c>
      <c r="D58" s="16">
        <f t="shared" si="21"/>
        <v>352</v>
      </c>
      <c r="E58" s="16">
        <f t="shared" si="21"/>
        <v>251</v>
      </c>
      <c r="F58" s="16">
        <f t="shared" si="21"/>
        <v>1230</v>
      </c>
      <c r="G58" s="16">
        <f t="shared" si="21"/>
        <v>6</v>
      </c>
      <c r="H58" s="16">
        <f t="shared" si="21"/>
        <v>1</v>
      </c>
      <c r="I58" s="16">
        <f t="shared" si="21"/>
        <v>155</v>
      </c>
      <c r="J58" s="16">
        <f t="shared" si="21"/>
        <v>68</v>
      </c>
      <c r="K58" s="16">
        <f t="shared" si="21"/>
        <v>13</v>
      </c>
      <c r="L58" s="16">
        <f t="shared" si="21"/>
        <v>3</v>
      </c>
      <c r="M58" s="16">
        <f t="shared" si="21"/>
        <v>10185</v>
      </c>
      <c r="N58" s="16">
        <f t="shared" si="21"/>
        <v>0</v>
      </c>
      <c r="O58" s="16">
        <f t="shared" si="21"/>
        <v>3864</v>
      </c>
      <c r="P58" s="16">
        <f t="shared" si="21"/>
        <v>14049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0.12705530642750373</v>
      </c>
      <c r="D59" s="43">
        <f t="shared" si="22"/>
        <v>2.5055164068616985E-2</v>
      </c>
      <c r="E59" s="43">
        <f t="shared" si="22"/>
        <v>1.7866040287564951E-2</v>
      </c>
      <c r="F59" s="43">
        <f t="shared" si="22"/>
        <v>8.7550715353405931E-2</v>
      </c>
      <c r="G59" s="43">
        <f t="shared" si="22"/>
        <v>4.2707666026051675E-4</v>
      </c>
      <c r="H59" s="43">
        <f t="shared" si="22"/>
        <v>7.1179443376752797E-5</v>
      </c>
      <c r="I59" s="43">
        <f t="shared" si="22"/>
        <v>1.1032813723396684E-2</v>
      </c>
      <c r="J59" s="43">
        <f t="shared" si="22"/>
        <v>4.8402021496191903E-3</v>
      </c>
      <c r="K59" s="43">
        <f t="shared" si="22"/>
        <v>9.2533276389778635E-4</v>
      </c>
      <c r="L59" s="43">
        <f t="shared" si="22"/>
        <v>2.1353833013025838E-4</v>
      </c>
      <c r="M59" s="43">
        <f t="shared" si="22"/>
        <v>0.72496263079222723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0.46195652173913043</v>
      </c>
      <c r="D60" s="44">
        <f t="shared" ref="D60:N60" si="23">D58/$O$58</f>
        <v>9.1097308488612833E-2</v>
      </c>
      <c r="E60" s="44">
        <f t="shared" si="23"/>
        <v>6.4958592132505169E-2</v>
      </c>
      <c r="F60" s="44">
        <f t="shared" si="23"/>
        <v>0.31832298136645965</v>
      </c>
      <c r="G60" s="44">
        <f t="shared" si="23"/>
        <v>1.5527950310559005E-3</v>
      </c>
      <c r="H60" s="44">
        <f t="shared" si="23"/>
        <v>2.5879917184265012E-4</v>
      </c>
      <c r="I60" s="44">
        <f t="shared" si="23"/>
        <v>4.0113871635610768E-2</v>
      </c>
      <c r="J60" s="44">
        <f t="shared" si="23"/>
        <v>1.7598343685300208E-2</v>
      </c>
      <c r="K60" s="44">
        <f t="shared" si="23"/>
        <v>3.3643892339544515E-3</v>
      </c>
      <c r="L60" s="44">
        <f t="shared" si="23"/>
        <v>7.7639751552795026E-4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Kibuye-Makindye'!C3:G3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63" t="str">
        <f>'24.07 Makindye-Kibuye'!G5:H5</f>
        <v>FUELEX MAKINDYE</v>
      </c>
      <c r="H5" s="64"/>
      <c r="I5" s="14"/>
      <c r="J5" s="2" t="s">
        <v>5</v>
      </c>
      <c r="K5" s="63" t="str">
        <f>'24.07 Makindye-Kibuye'!K5:L5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Kibuye-Makindye'!D6:E6</f>
        <v>KIBUYE</v>
      </c>
      <c r="E6" s="64"/>
      <c r="F6" s="2" t="s">
        <v>2</v>
      </c>
      <c r="G6" s="63" t="str">
        <f>'22.07 Kibuye-Makindye'!G6:H6</f>
        <v>MAKINDYE</v>
      </c>
      <c r="H6" s="64"/>
      <c r="J6" s="2" t="s">
        <v>21</v>
      </c>
      <c r="K6" s="63" t="str">
        <f>'24.07 Makindye-Kibuye'!K6:L6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46</v>
      </c>
      <c r="D10" s="50">
        <v>11</v>
      </c>
      <c r="E10" s="50">
        <v>2</v>
      </c>
      <c r="F10" s="50">
        <v>48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220</v>
      </c>
      <c r="N10" s="50">
        <v>0</v>
      </c>
      <c r="O10" s="15">
        <f t="shared" ref="O10:O57" si="0">SUM(C10:L10,N10)</f>
        <v>109</v>
      </c>
      <c r="P10" s="15">
        <f t="shared" ref="P10:P57" si="1">SUM(C10:N10)</f>
        <v>329</v>
      </c>
      <c r="R10" s="1" t="s">
        <v>6</v>
      </c>
      <c r="S10" s="17">
        <f t="shared" ref="S10:AF10" si="2">SUM(C10:C13)</f>
        <v>193</v>
      </c>
      <c r="T10" s="17">
        <f t="shared" si="2"/>
        <v>50</v>
      </c>
      <c r="U10" s="17">
        <f t="shared" si="2"/>
        <v>13</v>
      </c>
      <c r="V10" s="17">
        <f t="shared" si="2"/>
        <v>171</v>
      </c>
      <c r="W10" s="17">
        <f t="shared" si="2"/>
        <v>2</v>
      </c>
      <c r="X10" s="17">
        <f t="shared" si="2"/>
        <v>0</v>
      </c>
      <c r="Y10" s="17">
        <f t="shared" si="2"/>
        <v>9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892</v>
      </c>
      <c r="AD10" s="17">
        <f t="shared" si="2"/>
        <v>0</v>
      </c>
      <c r="AE10" s="31">
        <f t="shared" si="2"/>
        <v>441</v>
      </c>
      <c r="AF10" s="31">
        <f t="shared" si="2"/>
        <v>1333</v>
      </c>
    </row>
    <row r="11" spans="2:32" s="6" customFormat="1" ht="23.1" customHeight="1" x14ac:dyDescent="0.25">
      <c r="B11" s="23" t="s">
        <v>38</v>
      </c>
      <c r="C11" s="50">
        <v>54</v>
      </c>
      <c r="D11" s="50">
        <v>9</v>
      </c>
      <c r="E11" s="50">
        <v>4</v>
      </c>
      <c r="F11" s="50">
        <v>45</v>
      </c>
      <c r="G11" s="50">
        <v>1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213</v>
      </c>
      <c r="N11" s="50">
        <v>0</v>
      </c>
      <c r="O11" s="15">
        <f t="shared" si="0"/>
        <v>114</v>
      </c>
      <c r="P11" s="15">
        <f t="shared" si="1"/>
        <v>327</v>
      </c>
      <c r="R11" s="1" t="s">
        <v>7</v>
      </c>
      <c r="S11" s="17">
        <f t="shared" ref="S11:AF11" si="3">SUM(C14:C17)</f>
        <v>125</v>
      </c>
      <c r="T11" s="17">
        <f t="shared" si="3"/>
        <v>42</v>
      </c>
      <c r="U11" s="17">
        <f t="shared" si="3"/>
        <v>16</v>
      </c>
      <c r="V11" s="17">
        <f t="shared" si="3"/>
        <v>114</v>
      </c>
      <c r="W11" s="17">
        <f t="shared" si="3"/>
        <v>4</v>
      </c>
      <c r="X11" s="17">
        <f t="shared" si="3"/>
        <v>1</v>
      </c>
      <c r="Y11" s="17">
        <f t="shared" si="3"/>
        <v>6</v>
      </c>
      <c r="Z11" s="17">
        <f t="shared" si="3"/>
        <v>7</v>
      </c>
      <c r="AA11" s="17">
        <f t="shared" si="3"/>
        <v>2</v>
      </c>
      <c r="AB11" s="17">
        <f t="shared" si="3"/>
        <v>0</v>
      </c>
      <c r="AC11" s="17">
        <f t="shared" si="3"/>
        <v>898</v>
      </c>
      <c r="AD11" s="17">
        <f t="shared" si="3"/>
        <v>0</v>
      </c>
      <c r="AE11" s="31">
        <f t="shared" si="3"/>
        <v>317</v>
      </c>
      <c r="AF11" s="31">
        <f t="shared" si="3"/>
        <v>1215</v>
      </c>
    </row>
    <row r="12" spans="2:32" ht="23.1" customHeight="1" x14ac:dyDescent="0.25">
      <c r="B12" s="23" t="s">
        <v>39</v>
      </c>
      <c r="C12" s="50">
        <v>49</v>
      </c>
      <c r="D12" s="50">
        <v>12</v>
      </c>
      <c r="E12" s="50">
        <v>3</v>
      </c>
      <c r="F12" s="50">
        <v>41</v>
      </c>
      <c r="G12" s="50">
        <v>0</v>
      </c>
      <c r="H12" s="50">
        <v>0</v>
      </c>
      <c r="I12" s="50">
        <v>1</v>
      </c>
      <c r="J12" s="50">
        <v>2</v>
      </c>
      <c r="K12" s="50">
        <v>0</v>
      </c>
      <c r="L12" s="50">
        <v>0</v>
      </c>
      <c r="M12" s="50">
        <v>224</v>
      </c>
      <c r="N12" s="50">
        <v>0</v>
      </c>
      <c r="O12" s="15">
        <f t="shared" si="0"/>
        <v>108</v>
      </c>
      <c r="P12" s="15">
        <f t="shared" si="1"/>
        <v>332</v>
      </c>
      <c r="R12" s="1" t="s">
        <v>8</v>
      </c>
      <c r="S12" s="17">
        <f t="shared" ref="S12:AF12" si="4">SUM(C18:C21)</f>
        <v>109</v>
      </c>
      <c r="T12" s="17">
        <f t="shared" si="4"/>
        <v>42</v>
      </c>
      <c r="U12" s="17">
        <f t="shared" si="4"/>
        <v>21</v>
      </c>
      <c r="V12" s="17">
        <f t="shared" si="4"/>
        <v>87</v>
      </c>
      <c r="W12" s="17">
        <f t="shared" si="4"/>
        <v>1</v>
      </c>
      <c r="X12" s="17">
        <f t="shared" si="4"/>
        <v>0</v>
      </c>
      <c r="Y12" s="17">
        <f t="shared" si="4"/>
        <v>14</v>
      </c>
      <c r="Z12" s="17">
        <f t="shared" si="4"/>
        <v>9</v>
      </c>
      <c r="AA12" s="17">
        <f t="shared" si="4"/>
        <v>3</v>
      </c>
      <c r="AB12" s="17">
        <f t="shared" si="4"/>
        <v>0</v>
      </c>
      <c r="AC12" s="17">
        <f t="shared" si="4"/>
        <v>991</v>
      </c>
      <c r="AD12" s="17">
        <f t="shared" si="4"/>
        <v>0</v>
      </c>
      <c r="AE12" s="31">
        <f t="shared" si="4"/>
        <v>286</v>
      </c>
      <c r="AF12" s="31">
        <f t="shared" si="4"/>
        <v>1277</v>
      </c>
    </row>
    <row r="13" spans="2:32" ht="23.1" customHeight="1" x14ac:dyDescent="0.25">
      <c r="B13" s="23" t="s">
        <v>40</v>
      </c>
      <c r="C13" s="50">
        <v>44</v>
      </c>
      <c r="D13" s="50">
        <v>18</v>
      </c>
      <c r="E13" s="50">
        <v>4</v>
      </c>
      <c r="F13" s="50">
        <v>37</v>
      </c>
      <c r="G13" s="50">
        <v>1</v>
      </c>
      <c r="H13" s="50">
        <v>0</v>
      </c>
      <c r="I13" s="50">
        <v>6</v>
      </c>
      <c r="J13" s="50">
        <v>0</v>
      </c>
      <c r="K13" s="50">
        <v>0</v>
      </c>
      <c r="L13" s="50">
        <v>0</v>
      </c>
      <c r="M13" s="50">
        <v>235</v>
      </c>
      <c r="N13" s="50">
        <v>0</v>
      </c>
      <c r="O13" s="15">
        <f t="shared" si="0"/>
        <v>110</v>
      </c>
      <c r="P13" s="15">
        <f t="shared" si="1"/>
        <v>345</v>
      </c>
      <c r="R13" s="1" t="s">
        <v>9</v>
      </c>
      <c r="S13" s="17">
        <f t="shared" ref="S13:AF13" si="5">SUM(C22:C25)</f>
        <v>131</v>
      </c>
      <c r="T13" s="17">
        <f t="shared" si="5"/>
        <v>39</v>
      </c>
      <c r="U13" s="17">
        <f t="shared" si="5"/>
        <v>36</v>
      </c>
      <c r="V13" s="17">
        <f t="shared" si="5"/>
        <v>81</v>
      </c>
      <c r="W13" s="17">
        <f t="shared" si="5"/>
        <v>2</v>
      </c>
      <c r="X13" s="17">
        <f t="shared" si="5"/>
        <v>1</v>
      </c>
      <c r="Y13" s="17">
        <f t="shared" si="5"/>
        <v>13</v>
      </c>
      <c r="Z13" s="17">
        <f t="shared" si="5"/>
        <v>5</v>
      </c>
      <c r="AA13" s="17">
        <f t="shared" si="5"/>
        <v>3</v>
      </c>
      <c r="AB13" s="17">
        <f t="shared" si="5"/>
        <v>0</v>
      </c>
      <c r="AC13" s="17">
        <f t="shared" si="5"/>
        <v>760</v>
      </c>
      <c r="AD13" s="17">
        <f t="shared" si="5"/>
        <v>0</v>
      </c>
      <c r="AE13" s="31">
        <f t="shared" si="5"/>
        <v>311</v>
      </c>
      <c r="AF13" s="31">
        <f t="shared" si="5"/>
        <v>1071</v>
      </c>
    </row>
    <row r="14" spans="2:32" ht="23.1" customHeight="1" x14ac:dyDescent="0.25">
      <c r="B14" s="23" t="s">
        <v>41</v>
      </c>
      <c r="C14" s="50">
        <v>28</v>
      </c>
      <c r="D14" s="50">
        <v>11</v>
      </c>
      <c r="E14" s="50">
        <v>6</v>
      </c>
      <c r="F14" s="50">
        <v>26</v>
      </c>
      <c r="G14" s="50">
        <v>0</v>
      </c>
      <c r="H14" s="50">
        <v>1</v>
      </c>
      <c r="I14" s="50">
        <v>1</v>
      </c>
      <c r="J14" s="50">
        <v>2</v>
      </c>
      <c r="K14" s="50">
        <v>1</v>
      </c>
      <c r="L14" s="50">
        <v>0</v>
      </c>
      <c r="M14" s="50">
        <v>215</v>
      </c>
      <c r="N14" s="50">
        <v>0</v>
      </c>
      <c r="O14" s="15">
        <f t="shared" si="0"/>
        <v>76</v>
      </c>
      <c r="P14" s="15">
        <f t="shared" si="1"/>
        <v>291</v>
      </c>
      <c r="R14" s="1" t="s">
        <v>10</v>
      </c>
      <c r="S14" s="17">
        <f t="shared" ref="S14:AF14" si="6">SUM(C26:C29)</f>
        <v>153</v>
      </c>
      <c r="T14" s="17">
        <f t="shared" si="6"/>
        <v>87</v>
      </c>
      <c r="U14" s="17">
        <f t="shared" si="6"/>
        <v>30</v>
      </c>
      <c r="V14" s="17">
        <f t="shared" si="6"/>
        <v>82</v>
      </c>
      <c r="W14" s="17">
        <f t="shared" si="6"/>
        <v>1</v>
      </c>
      <c r="X14" s="17">
        <f t="shared" si="6"/>
        <v>0</v>
      </c>
      <c r="Y14" s="17">
        <f t="shared" si="6"/>
        <v>10</v>
      </c>
      <c r="Z14" s="17">
        <f t="shared" si="6"/>
        <v>9</v>
      </c>
      <c r="AA14" s="17">
        <f t="shared" si="6"/>
        <v>1</v>
      </c>
      <c r="AB14" s="17">
        <f t="shared" si="6"/>
        <v>1</v>
      </c>
      <c r="AC14" s="17">
        <f t="shared" si="6"/>
        <v>800</v>
      </c>
      <c r="AD14" s="17">
        <f t="shared" si="6"/>
        <v>0</v>
      </c>
      <c r="AE14" s="31">
        <f t="shared" si="6"/>
        <v>374</v>
      </c>
      <c r="AF14" s="31">
        <f t="shared" si="6"/>
        <v>1174</v>
      </c>
    </row>
    <row r="15" spans="2:32" ht="23.1" customHeight="1" x14ac:dyDescent="0.25">
      <c r="B15" s="23" t="s">
        <v>42</v>
      </c>
      <c r="C15" s="50">
        <v>33</v>
      </c>
      <c r="D15" s="50">
        <v>7</v>
      </c>
      <c r="E15" s="50">
        <v>3</v>
      </c>
      <c r="F15" s="50">
        <v>28</v>
      </c>
      <c r="G15" s="50">
        <v>2</v>
      </c>
      <c r="H15" s="50">
        <v>0</v>
      </c>
      <c r="I15" s="50">
        <v>1</v>
      </c>
      <c r="J15" s="50">
        <v>2</v>
      </c>
      <c r="K15" s="50">
        <v>0</v>
      </c>
      <c r="L15" s="50">
        <v>0</v>
      </c>
      <c r="M15" s="50">
        <v>211</v>
      </c>
      <c r="N15" s="50">
        <v>0</v>
      </c>
      <c r="O15" s="15">
        <f t="shared" si="0"/>
        <v>76</v>
      </c>
      <c r="P15" s="15">
        <f t="shared" si="1"/>
        <v>287</v>
      </c>
      <c r="R15" s="1" t="s">
        <v>11</v>
      </c>
      <c r="S15" s="17">
        <f t="shared" ref="S15:AF15" si="7">SUM(C30:C33)</f>
        <v>165</v>
      </c>
      <c r="T15" s="17">
        <f t="shared" si="7"/>
        <v>62</v>
      </c>
      <c r="U15" s="17">
        <f t="shared" si="7"/>
        <v>39</v>
      </c>
      <c r="V15" s="17">
        <f t="shared" si="7"/>
        <v>83</v>
      </c>
      <c r="W15" s="17">
        <f t="shared" si="7"/>
        <v>0</v>
      </c>
      <c r="X15" s="17">
        <f t="shared" si="7"/>
        <v>0</v>
      </c>
      <c r="Y15" s="17">
        <f t="shared" si="7"/>
        <v>5</v>
      </c>
      <c r="Z15" s="17">
        <f t="shared" si="7"/>
        <v>19</v>
      </c>
      <c r="AA15" s="17">
        <f t="shared" si="7"/>
        <v>8</v>
      </c>
      <c r="AB15" s="17">
        <f t="shared" si="7"/>
        <v>0</v>
      </c>
      <c r="AC15" s="17">
        <f t="shared" si="7"/>
        <v>803</v>
      </c>
      <c r="AD15" s="17">
        <f t="shared" si="7"/>
        <v>0</v>
      </c>
      <c r="AE15" s="31">
        <f t="shared" si="7"/>
        <v>381</v>
      </c>
      <c r="AF15" s="31">
        <f t="shared" si="7"/>
        <v>1184</v>
      </c>
    </row>
    <row r="16" spans="2:32" ht="23.1" customHeight="1" x14ac:dyDescent="0.25">
      <c r="B16" s="23" t="s">
        <v>43</v>
      </c>
      <c r="C16" s="50">
        <v>30</v>
      </c>
      <c r="D16" s="50">
        <v>17</v>
      </c>
      <c r="E16" s="50">
        <v>1</v>
      </c>
      <c r="F16" s="50">
        <v>30</v>
      </c>
      <c r="G16" s="50">
        <v>1</v>
      </c>
      <c r="H16" s="50">
        <v>0</v>
      </c>
      <c r="I16" s="50">
        <v>3</v>
      </c>
      <c r="J16" s="50">
        <v>1</v>
      </c>
      <c r="K16" s="50">
        <v>1</v>
      </c>
      <c r="L16" s="50">
        <v>0</v>
      </c>
      <c r="M16" s="50">
        <v>235</v>
      </c>
      <c r="N16" s="50">
        <v>0</v>
      </c>
      <c r="O16" s="15">
        <f t="shared" si="0"/>
        <v>84</v>
      </c>
      <c r="P16" s="15">
        <f t="shared" si="1"/>
        <v>319</v>
      </c>
      <c r="R16" s="1" t="s">
        <v>12</v>
      </c>
      <c r="S16" s="17">
        <f t="shared" ref="S16:AF16" si="8">SUM(C34:C37)</f>
        <v>198</v>
      </c>
      <c r="T16" s="17">
        <f t="shared" si="8"/>
        <v>47</v>
      </c>
      <c r="U16" s="17">
        <f t="shared" si="8"/>
        <v>22</v>
      </c>
      <c r="V16" s="17">
        <f t="shared" si="8"/>
        <v>87</v>
      </c>
      <c r="W16" s="17">
        <f t="shared" si="8"/>
        <v>1</v>
      </c>
      <c r="X16" s="17">
        <f t="shared" si="8"/>
        <v>0</v>
      </c>
      <c r="Y16" s="17">
        <f t="shared" si="8"/>
        <v>6</v>
      </c>
      <c r="Z16" s="17">
        <f t="shared" si="8"/>
        <v>4</v>
      </c>
      <c r="AA16" s="17">
        <f t="shared" si="8"/>
        <v>1</v>
      </c>
      <c r="AB16" s="17">
        <f t="shared" si="8"/>
        <v>0</v>
      </c>
      <c r="AC16" s="17">
        <f t="shared" si="8"/>
        <v>656</v>
      </c>
      <c r="AD16" s="17">
        <f t="shared" si="8"/>
        <v>0</v>
      </c>
      <c r="AE16" s="31">
        <f t="shared" si="8"/>
        <v>366</v>
      </c>
      <c r="AF16" s="31">
        <f t="shared" si="8"/>
        <v>1022</v>
      </c>
    </row>
    <row r="17" spans="2:32" ht="23.1" customHeight="1" x14ac:dyDescent="0.25">
      <c r="B17" s="23" t="s">
        <v>44</v>
      </c>
      <c r="C17" s="50">
        <v>34</v>
      </c>
      <c r="D17" s="50">
        <v>7</v>
      </c>
      <c r="E17" s="50">
        <v>6</v>
      </c>
      <c r="F17" s="50">
        <v>30</v>
      </c>
      <c r="G17" s="50">
        <v>1</v>
      </c>
      <c r="H17" s="50">
        <v>0</v>
      </c>
      <c r="I17" s="50">
        <v>1</v>
      </c>
      <c r="J17" s="50">
        <v>2</v>
      </c>
      <c r="K17" s="50">
        <v>0</v>
      </c>
      <c r="L17" s="50">
        <v>0</v>
      </c>
      <c r="M17" s="50">
        <v>237</v>
      </c>
      <c r="N17" s="50">
        <v>0</v>
      </c>
      <c r="O17" s="15">
        <f t="shared" si="0"/>
        <v>81</v>
      </c>
      <c r="P17" s="15">
        <f t="shared" si="1"/>
        <v>318</v>
      </c>
      <c r="R17" s="1" t="s">
        <v>13</v>
      </c>
      <c r="S17" s="17">
        <f t="shared" ref="S17:AF17" si="9">SUM(C38:C41)</f>
        <v>178</v>
      </c>
      <c r="T17" s="17">
        <f t="shared" si="9"/>
        <v>113</v>
      </c>
      <c r="U17" s="17">
        <f t="shared" si="9"/>
        <v>15</v>
      </c>
      <c r="V17" s="17">
        <f t="shared" si="9"/>
        <v>115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702</v>
      </c>
      <c r="AD17" s="17">
        <f t="shared" si="9"/>
        <v>0</v>
      </c>
      <c r="AE17" s="31">
        <f t="shared" si="9"/>
        <v>430</v>
      </c>
      <c r="AF17" s="31">
        <f t="shared" si="9"/>
        <v>1132</v>
      </c>
    </row>
    <row r="18" spans="2:32" ht="23.1" customHeight="1" x14ac:dyDescent="0.25">
      <c r="B18" s="23" t="s">
        <v>45</v>
      </c>
      <c r="C18" s="50">
        <v>26</v>
      </c>
      <c r="D18" s="50">
        <v>9</v>
      </c>
      <c r="E18" s="50">
        <v>4</v>
      </c>
      <c r="F18" s="50">
        <v>21</v>
      </c>
      <c r="G18" s="50">
        <v>0</v>
      </c>
      <c r="H18" s="50">
        <v>0</v>
      </c>
      <c r="I18" s="50">
        <v>3</v>
      </c>
      <c r="J18" s="50">
        <v>1</v>
      </c>
      <c r="K18" s="50">
        <v>1</v>
      </c>
      <c r="L18" s="50">
        <v>0</v>
      </c>
      <c r="M18" s="50">
        <v>260</v>
      </c>
      <c r="N18" s="50">
        <v>0</v>
      </c>
      <c r="O18" s="15">
        <f t="shared" si="0"/>
        <v>65</v>
      </c>
      <c r="P18" s="15">
        <f t="shared" si="1"/>
        <v>325</v>
      </c>
      <c r="R18" s="1" t="s">
        <v>14</v>
      </c>
      <c r="S18" s="17">
        <f t="shared" ref="S18:AF18" si="10">SUM(C42:C45)</f>
        <v>270</v>
      </c>
      <c r="T18" s="17">
        <f t="shared" si="10"/>
        <v>105</v>
      </c>
      <c r="U18" s="17">
        <f t="shared" si="10"/>
        <v>22</v>
      </c>
      <c r="V18" s="17">
        <f t="shared" si="10"/>
        <v>156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3</v>
      </c>
      <c r="AA18" s="17">
        <f t="shared" si="10"/>
        <v>3</v>
      </c>
      <c r="AB18" s="17">
        <f t="shared" si="10"/>
        <v>1</v>
      </c>
      <c r="AC18" s="17">
        <f t="shared" si="10"/>
        <v>590</v>
      </c>
      <c r="AD18" s="17">
        <f t="shared" si="10"/>
        <v>0</v>
      </c>
      <c r="AE18" s="31">
        <f t="shared" si="10"/>
        <v>570</v>
      </c>
      <c r="AF18" s="31">
        <f t="shared" si="10"/>
        <v>1160</v>
      </c>
    </row>
    <row r="19" spans="2:32" ht="23.1" customHeight="1" x14ac:dyDescent="0.25">
      <c r="B19" s="23" t="s">
        <v>46</v>
      </c>
      <c r="C19" s="50">
        <v>25</v>
      </c>
      <c r="D19" s="50">
        <v>10</v>
      </c>
      <c r="E19" s="50">
        <v>7</v>
      </c>
      <c r="F19" s="50">
        <v>26</v>
      </c>
      <c r="G19" s="50">
        <v>0</v>
      </c>
      <c r="H19" s="50">
        <v>0</v>
      </c>
      <c r="I19" s="50">
        <v>2</v>
      </c>
      <c r="J19" s="50">
        <v>3</v>
      </c>
      <c r="K19" s="50">
        <v>0</v>
      </c>
      <c r="L19" s="50">
        <v>0</v>
      </c>
      <c r="M19" s="50">
        <v>230</v>
      </c>
      <c r="N19" s="50">
        <v>0</v>
      </c>
      <c r="O19" s="15">
        <f t="shared" si="0"/>
        <v>73</v>
      </c>
      <c r="P19" s="15">
        <f t="shared" si="1"/>
        <v>303</v>
      </c>
      <c r="R19" s="1" t="s">
        <v>15</v>
      </c>
      <c r="S19" s="17">
        <f t="shared" ref="S19:AF19" si="11">SUM(C46:C49)</f>
        <v>219</v>
      </c>
      <c r="T19" s="17">
        <f t="shared" si="11"/>
        <v>80</v>
      </c>
      <c r="U19" s="17">
        <f t="shared" si="11"/>
        <v>22</v>
      </c>
      <c r="V19" s="17">
        <f t="shared" si="11"/>
        <v>97</v>
      </c>
      <c r="W19" s="17">
        <f t="shared" si="11"/>
        <v>3</v>
      </c>
      <c r="X19" s="17">
        <f t="shared" si="11"/>
        <v>0</v>
      </c>
      <c r="Y19" s="17">
        <f t="shared" si="11"/>
        <v>8</v>
      </c>
      <c r="Z19" s="17">
        <f t="shared" si="11"/>
        <v>4</v>
      </c>
      <c r="AA19" s="17">
        <f t="shared" si="11"/>
        <v>1</v>
      </c>
      <c r="AB19" s="17">
        <f t="shared" si="11"/>
        <v>0</v>
      </c>
      <c r="AC19" s="17">
        <f t="shared" si="11"/>
        <v>684</v>
      </c>
      <c r="AD19" s="17">
        <f t="shared" si="11"/>
        <v>0</v>
      </c>
      <c r="AE19" s="31">
        <f t="shared" si="11"/>
        <v>434</v>
      </c>
      <c r="AF19" s="31">
        <f t="shared" si="11"/>
        <v>1118</v>
      </c>
    </row>
    <row r="20" spans="2:32" ht="23.1" customHeight="1" x14ac:dyDescent="0.25">
      <c r="B20" s="23" t="s">
        <v>47</v>
      </c>
      <c r="C20" s="50">
        <v>20</v>
      </c>
      <c r="D20" s="50">
        <v>14</v>
      </c>
      <c r="E20" s="50">
        <v>1</v>
      </c>
      <c r="F20" s="50">
        <v>25</v>
      </c>
      <c r="G20" s="50">
        <v>0</v>
      </c>
      <c r="H20" s="50">
        <v>0</v>
      </c>
      <c r="I20" s="50">
        <v>4</v>
      </c>
      <c r="J20" s="50">
        <v>4</v>
      </c>
      <c r="K20" s="50">
        <v>1</v>
      </c>
      <c r="L20" s="50">
        <v>0</v>
      </c>
      <c r="M20" s="50">
        <v>251</v>
      </c>
      <c r="N20" s="50">
        <v>0</v>
      </c>
      <c r="O20" s="15">
        <f t="shared" si="0"/>
        <v>69</v>
      </c>
      <c r="P20" s="15">
        <f t="shared" si="1"/>
        <v>320</v>
      </c>
      <c r="R20" s="1" t="s">
        <v>16</v>
      </c>
      <c r="S20" s="17">
        <f t="shared" ref="S20:AF20" si="12">SUM(C50:C53)</f>
        <v>290</v>
      </c>
      <c r="T20" s="17">
        <f t="shared" si="12"/>
        <v>67</v>
      </c>
      <c r="U20" s="17">
        <f t="shared" si="12"/>
        <v>31</v>
      </c>
      <c r="V20" s="17">
        <f t="shared" si="12"/>
        <v>167</v>
      </c>
      <c r="W20" s="17">
        <f t="shared" si="12"/>
        <v>3</v>
      </c>
      <c r="X20" s="17">
        <f t="shared" si="12"/>
        <v>1</v>
      </c>
      <c r="Y20" s="17">
        <f t="shared" si="12"/>
        <v>4</v>
      </c>
      <c r="Z20" s="17">
        <f t="shared" si="12"/>
        <v>4</v>
      </c>
      <c r="AA20" s="17">
        <f t="shared" si="12"/>
        <v>3</v>
      </c>
      <c r="AB20" s="17">
        <f t="shared" si="12"/>
        <v>0</v>
      </c>
      <c r="AC20" s="17">
        <f t="shared" si="12"/>
        <v>831</v>
      </c>
      <c r="AD20" s="17">
        <f t="shared" si="12"/>
        <v>0</v>
      </c>
      <c r="AE20" s="31">
        <f t="shared" si="12"/>
        <v>570</v>
      </c>
      <c r="AF20" s="31">
        <f t="shared" si="12"/>
        <v>1401</v>
      </c>
    </row>
    <row r="21" spans="2:32" ht="23.1" customHeight="1" x14ac:dyDescent="0.25">
      <c r="B21" s="23" t="s">
        <v>48</v>
      </c>
      <c r="C21" s="50">
        <v>38</v>
      </c>
      <c r="D21" s="50">
        <v>9</v>
      </c>
      <c r="E21" s="50">
        <v>9</v>
      </c>
      <c r="F21" s="50">
        <v>15</v>
      </c>
      <c r="G21" s="50">
        <v>1</v>
      </c>
      <c r="H21" s="50">
        <v>0</v>
      </c>
      <c r="I21" s="50">
        <v>5</v>
      </c>
      <c r="J21" s="50">
        <v>1</v>
      </c>
      <c r="K21" s="50">
        <v>1</v>
      </c>
      <c r="L21" s="50">
        <v>0</v>
      </c>
      <c r="M21" s="50">
        <v>250</v>
      </c>
      <c r="N21" s="50">
        <v>0</v>
      </c>
      <c r="O21" s="15">
        <f t="shared" si="0"/>
        <v>79</v>
      </c>
      <c r="P21" s="15">
        <f t="shared" si="1"/>
        <v>329</v>
      </c>
      <c r="R21" s="36" t="s">
        <v>20</v>
      </c>
      <c r="S21" s="34">
        <f t="shared" ref="S21:AF21" si="13">SUM(C54:C57)</f>
        <v>317</v>
      </c>
      <c r="T21" s="17">
        <f t="shared" si="13"/>
        <v>60</v>
      </c>
      <c r="U21" s="17">
        <f t="shared" si="13"/>
        <v>23</v>
      </c>
      <c r="V21" s="17">
        <f t="shared" si="13"/>
        <v>43</v>
      </c>
      <c r="W21" s="17">
        <f t="shared" si="13"/>
        <v>7</v>
      </c>
      <c r="X21" s="17">
        <f t="shared" si="13"/>
        <v>1</v>
      </c>
      <c r="Y21" s="17">
        <f t="shared" si="13"/>
        <v>5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730</v>
      </c>
      <c r="AD21" s="17">
        <f t="shared" si="13"/>
        <v>0</v>
      </c>
      <c r="AE21" s="31">
        <f t="shared" si="13"/>
        <v>457</v>
      </c>
      <c r="AF21" s="31">
        <f t="shared" si="13"/>
        <v>1187</v>
      </c>
    </row>
    <row r="22" spans="2:32" ht="23.1" customHeight="1" x14ac:dyDescent="0.25">
      <c r="B22" s="23" t="s">
        <v>49</v>
      </c>
      <c r="C22" s="50">
        <v>40</v>
      </c>
      <c r="D22" s="50">
        <v>12</v>
      </c>
      <c r="E22" s="50">
        <v>7</v>
      </c>
      <c r="F22" s="50">
        <v>22</v>
      </c>
      <c r="G22" s="50">
        <v>2</v>
      </c>
      <c r="H22" s="50">
        <v>0</v>
      </c>
      <c r="I22" s="50">
        <v>5</v>
      </c>
      <c r="J22" s="50">
        <v>1</v>
      </c>
      <c r="K22" s="50">
        <v>0</v>
      </c>
      <c r="L22" s="50">
        <v>0</v>
      </c>
      <c r="M22" s="50">
        <v>220</v>
      </c>
      <c r="N22" s="50">
        <v>0</v>
      </c>
      <c r="O22" s="15">
        <f t="shared" si="0"/>
        <v>89</v>
      </c>
      <c r="P22" s="15">
        <f t="shared" si="1"/>
        <v>309</v>
      </c>
      <c r="R22" s="38" t="s">
        <v>90</v>
      </c>
      <c r="S22" s="39">
        <f>MAX(S10:S12)</f>
        <v>193</v>
      </c>
      <c r="T22" s="39">
        <f t="shared" ref="T22:AF22" si="14">MAX(T10:T12)</f>
        <v>50</v>
      </c>
      <c r="U22" s="39">
        <f t="shared" si="14"/>
        <v>21</v>
      </c>
      <c r="V22" s="39">
        <f t="shared" si="14"/>
        <v>171</v>
      </c>
      <c r="W22" s="39">
        <f t="shared" si="14"/>
        <v>4</v>
      </c>
      <c r="X22" s="39">
        <f t="shared" si="14"/>
        <v>1</v>
      </c>
      <c r="Y22" s="39">
        <f t="shared" si="14"/>
        <v>14</v>
      </c>
      <c r="Z22" s="39">
        <f t="shared" si="14"/>
        <v>9</v>
      </c>
      <c r="AA22" s="39">
        <f t="shared" si="14"/>
        <v>3</v>
      </c>
      <c r="AB22" s="39">
        <f t="shared" si="14"/>
        <v>0</v>
      </c>
      <c r="AC22" s="39">
        <f t="shared" si="14"/>
        <v>991</v>
      </c>
      <c r="AD22" s="39">
        <f t="shared" si="14"/>
        <v>0</v>
      </c>
      <c r="AE22" s="40">
        <f t="shared" si="14"/>
        <v>441</v>
      </c>
      <c r="AF22" s="40">
        <f t="shared" si="14"/>
        <v>1333</v>
      </c>
    </row>
    <row r="23" spans="2:32" ht="23.1" customHeight="1" x14ac:dyDescent="0.25">
      <c r="B23" s="23" t="s">
        <v>50</v>
      </c>
      <c r="C23" s="50">
        <v>31</v>
      </c>
      <c r="D23" s="50">
        <v>9</v>
      </c>
      <c r="E23" s="50">
        <v>7</v>
      </c>
      <c r="F23" s="50">
        <v>20</v>
      </c>
      <c r="G23" s="50">
        <v>0</v>
      </c>
      <c r="H23" s="50">
        <v>1</v>
      </c>
      <c r="I23" s="50">
        <v>0</v>
      </c>
      <c r="J23" s="50">
        <v>1</v>
      </c>
      <c r="K23" s="50">
        <v>0</v>
      </c>
      <c r="L23" s="50">
        <v>0</v>
      </c>
      <c r="M23" s="50">
        <v>185</v>
      </c>
      <c r="N23" s="50">
        <v>0</v>
      </c>
      <c r="O23" s="15">
        <f t="shared" si="0"/>
        <v>69</v>
      </c>
      <c r="P23" s="15">
        <f t="shared" si="1"/>
        <v>254</v>
      </c>
      <c r="R23" s="38" t="s">
        <v>91</v>
      </c>
      <c r="S23" s="39">
        <f>MAX(S13:S18)</f>
        <v>270</v>
      </c>
      <c r="T23" s="39">
        <f t="shared" ref="T23:AF23" si="15">MAX(T13:T18)</f>
        <v>113</v>
      </c>
      <c r="U23" s="39">
        <f t="shared" si="15"/>
        <v>39</v>
      </c>
      <c r="V23" s="39">
        <f t="shared" si="15"/>
        <v>156</v>
      </c>
      <c r="W23" s="39">
        <f t="shared" si="15"/>
        <v>2</v>
      </c>
      <c r="X23" s="39">
        <f t="shared" si="15"/>
        <v>1</v>
      </c>
      <c r="Y23" s="39">
        <f t="shared" si="15"/>
        <v>13</v>
      </c>
      <c r="Z23" s="39">
        <f t="shared" si="15"/>
        <v>19</v>
      </c>
      <c r="AA23" s="39">
        <f t="shared" si="15"/>
        <v>8</v>
      </c>
      <c r="AB23" s="39">
        <f t="shared" si="15"/>
        <v>1</v>
      </c>
      <c r="AC23" s="39">
        <f t="shared" si="15"/>
        <v>803</v>
      </c>
      <c r="AD23" s="39">
        <f t="shared" si="15"/>
        <v>0</v>
      </c>
      <c r="AE23" s="40">
        <f t="shared" si="15"/>
        <v>570</v>
      </c>
      <c r="AF23" s="40">
        <f t="shared" si="15"/>
        <v>1184</v>
      </c>
    </row>
    <row r="24" spans="2:32" ht="23.1" customHeight="1" x14ac:dyDescent="0.25">
      <c r="B24" s="23" t="s">
        <v>51</v>
      </c>
      <c r="C24" s="50">
        <v>38</v>
      </c>
      <c r="D24" s="50">
        <v>9</v>
      </c>
      <c r="E24" s="50">
        <v>9</v>
      </c>
      <c r="F24" s="50">
        <v>17</v>
      </c>
      <c r="G24" s="50">
        <v>0</v>
      </c>
      <c r="H24" s="50">
        <v>0</v>
      </c>
      <c r="I24" s="50">
        <v>3</v>
      </c>
      <c r="J24" s="50">
        <v>1</v>
      </c>
      <c r="K24" s="50">
        <v>1</v>
      </c>
      <c r="L24" s="50">
        <v>0</v>
      </c>
      <c r="M24" s="50">
        <v>190</v>
      </c>
      <c r="N24" s="50">
        <v>0</v>
      </c>
      <c r="O24" s="15">
        <f t="shared" si="0"/>
        <v>78</v>
      </c>
      <c r="P24" s="15">
        <f t="shared" si="1"/>
        <v>268</v>
      </c>
      <c r="R24" s="38" t="s">
        <v>92</v>
      </c>
      <c r="S24" s="39">
        <f>MAX(S19:S21)</f>
        <v>317</v>
      </c>
      <c r="T24" s="39">
        <f t="shared" ref="T24:AF24" si="16">MAX(T19:T21)</f>
        <v>80</v>
      </c>
      <c r="U24" s="39">
        <f t="shared" si="16"/>
        <v>31</v>
      </c>
      <c r="V24" s="39">
        <f t="shared" si="16"/>
        <v>167</v>
      </c>
      <c r="W24" s="39">
        <f t="shared" si="16"/>
        <v>7</v>
      </c>
      <c r="X24" s="39">
        <f t="shared" si="16"/>
        <v>1</v>
      </c>
      <c r="Y24" s="39">
        <f t="shared" si="16"/>
        <v>8</v>
      </c>
      <c r="Z24" s="39">
        <f t="shared" si="16"/>
        <v>4</v>
      </c>
      <c r="AA24" s="39">
        <f t="shared" si="16"/>
        <v>3</v>
      </c>
      <c r="AB24" s="39">
        <f t="shared" si="16"/>
        <v>0</v>
      </c>
      <c r="AC24" s="39">
        <f t="shared" si="16"/>
        <v>831</v>
      </c>
      <c r="AD24" s="39">
        <f t="shared" si="16"/>
        <v>0</v>
      </c>
      <c r="AE24" s="40">
        <f t="shared" si="16"/>
        <v>570</v>
      </c>
      <c r="AF24" s="40">
        <f t="shared" si="16"/>
        <v>1401</v>
      </c>
    </row>
    <row r="25" spans="2:32" ht="23.1" customHeight="1" x14ac:dyDescent="0.25">
      <c r="B25" s="23" t="s">
        <v>52</v>
      </c>
      <c r="C25" s="50">
        <v>22</v>
      </c>
      <c r="D25" s="50">
        <v>9</v>
      </c>
      <c r="E25" s="50">
        <v>13</v>
      </c>
      <c r="F25" s="50">
        <v>22</v>
      </c>
      <c r="G25" s="50">
        <v>0</v>
      </c>
      <c r="H25" s="50">
        <v>0</v>
      </c>
      <c r="I25" s="50">
        <v>5</v>
      </c>
      <c r="J25" s="50">
        <v>2</v>
      </c>
      <c r="K25" s="50">
        <v>2</v>
      </c>
      <c r="L25" s="50">
        <v>0</v>
      </c>
      <c r="M25" s="50">
        <v>165</v>
      </c>
      <c r="N25" s="50">
        <v>0</v>
      </c>
      <c r="O25" s="15">
        <f t="shared" si="0"/>
        <v>75</v>
      </c>
      <c r="P25" s="15">
        <f t="shared" si="1"/>
        <v>240</v>
      </c>
      <c r="R25" s="37" t="s">
        <v>85</v>
      </c>
      <c r="S25" s="35">
        <f t="shared" ref="S25:AF25" si="17">SUM(S10:S12)</f>
        <v>427</v>
      </c>
      <c r="T25" s="16">
        <f t="shared" si="17"/>
        <v>134</v>
      </c>
      <c r="U25" s="16">
        <f t="shared" si="17"/>
        <v>50</v>
      </c>
      <c r="V25" s="16">
        <f t="shared" si="17"/>
        <v>372</v>
      </c>
      <c r="W25" s="16">
        <f t="shared" si="17"/>
        <v>7</v>
      </c>
      <c r="X25" s="16">
        <f t="shared" si="17"/>
        <v>1</v>
      </c>
      <c r="Y25" s="16">
        <f t="shared" si="17"/>
        <v>29</v>
      </c>
      <c r="Z25" s="16">
        <f t="shared" si="17"/>
        <v>19</v>
      </c>
      <c r="AA25" s="16">
        <f t="shared" si="17"/>
        <v>5</v>
      </c>
      <c r="AB25" s="16">
        <f t="shared" si="17"/>
        <v>0</v>
      </c>
      <c r="AC25" s="16">
        <f t="shared" si="17"/>
        <v>2781</v>
      </c>
      <c r="AD25" s="16">
        <f t="shared" si="17"/>
        <v>0</v>
      </c>
      <c r="AE25" s="32">
        <f t="shared" si="17"/>
        <v>1044</v>
      </c>
      <c r="AF25" s="32">
        <f t="shared" si="17"/>
        <v>3825</v>
      </c>
    </row>
    <row r="26" spans="2:32" ht="23.1" customHeight="1" x14ac:dyDescent="0.25">
      <c r="B26" s="23" t="s">
        <v>53</v>
      </c>
      <c r="C26" s="50">
        <v>40</v>
      </c>
      <c r="D26" s="50">
        <v>23</v>
      </c>
      <c r="E26" s="50">
        <v>8</v>
      </c>
      <c r="F26" s="50">
        <v>21</v>
      </c>
      <c r="G26" s="50">
        <v>0</v>
      </c>
      <c r="H26" s="50">
        <v>0</v>
      </c>
      <c r="I26" s="50">
        <v>3</v>
      </c>
      <c r="J26" s="50">
        <v>1</v>
      </c>
      <c r="K26" s="50">
        <v>0</v>
      </c>
      <c r="L26" s="50">
        <v>0</v>
      </c>
      <c r="M26" s="50">
        <v>180</v>
      </c>
      <c r="N26" s="50">
        <v>0</v>
      </c>
      <c r="O26" s="15">
        <f t="shared" si="0"/>
        <v>96</v>
      </c>
      <c r="P26" s="15">
        <f t="shared" si="1"/>
        <v>276</v>
      </c>
      <c r="R26" s="28" t="s">
        <v>86</v>
      </c>
      <c r="S26" s="16">
        <f t="shared" ref="S26:AF26" si="18">SUM(S13:S18)</f>
        <v>1095</v>
      </c>
      <c r="T26" s="16">
        <f t="shared" si="18"/>
        <v>453</v>
      </c>
      <c r="U26" s="16">
        <f t="shared" si="18"/>
        <v>164</v>
      </c>
      <c r="V26" s="16">
        <f t="shared" si="18"/>
        <v>604</v>
      </c>
      <c r="W26" s="16">
        <f t="shared" si="18"/>
        <v>4</v>
      </c>
      <c r="X26" s="16">
        <f t="shared" si="18"/>
        <v>1</v>
      </c>
      <c r="Y26" s="16">
        <f t="shared" si="18"/>
        <v>49</v>
      </c>
      <c r="Z26" s="16">
        <f t="shared" si="18"/>
        <v>44</v>
      </c>
      <c r="AA26" s="16">
        <f t="shared" si="18"/>
        <v>16</v>
      </c>
      <c r="AB26" s="16">
        <f t="shared" si="18"/>
        <v>2</v>
      </c>
      <c r="AC26" s="16">
        <f t="shared" si="18"/>
        <v>4311</v>
      </c>
      <c r="AD26" s="16">
        <f t="shared" si="18"/>
        <v>0</v>
      </c>
      <c r="AE26" s="32">
        <f t="shared" si="18"/>
        <v>2432</v>
      </c>
      <c r="AF26" s="32">
        <f t="shared" si="18"/>
        <v>6743</v>
      </c>
    </row>
    <row r="27" spans="2:32" ht="23.1" customHeight="1" x14ac:dyDescent="0.25">
      <c r="B27" s="23" t="s">
        <v>54</v>
      </c>
      <c r="C27" s="50">
        <v>29</v>
      </c>
      <c r="D27" s="50">
        <v>16</v>
      </c>
      <c r="E27" s="50">
        <v>5</v>
      </c>
      <c r="F27" s="50">
        <v>18</v>
      </c>
      <c r="G27" s="50">
        <v>0</v>
      </c>
      <c r="H27" s="50">
        <v>0</v>
      </c>
      <c r="I27" s="50">
        <v>0</v>
      </c>
      <c r="J27" s="50">
        <v>4</v>
      </c>
      <c r="K27" s="50">
        <v>0</v>
      </c>
      <c r="L27" s="50">
        <v>0</v>
      </c>
      <c r="M27" s="50">
        <v>191</v>
      </c>
      <c r="N27" s="50">
        <v>0</v>
      </c>
      <c r="O27" s="15">
        <f t="shared" si="0"/>
        <v>72</v>
      </c>
      <c r="P27" s="15">
        <f t="shared" si="1"/>
        <v>263</v>
      </c>
      <c r="R27" s="29" t="s">
        <v>87</v>
      </c>
      <c r="S27" s="16">
        <f t="shared" ref="S27:AF27" si="19">SUM(S19:S21)</f>
        <v>826</v>
      </c>
      <c r="T27" s="16">
        <f t="shared" si="19"/>
        <v>207</v>
      </c>
      <c r="U27" s="16">
        <f t="shared" si="19"/>
        <v>76</v>
      </c>
      <c r="V27" s="16">
        <f t="shared" si="19"/>
        <v>307</v>
      </c>
      <c r="W27" s="16">
        <f t="shared" si="19"/>
        <v>13</v>
      </c>
      <c r="X27" s="16">
        <f t="shared" si="19"/>
        <v>2</v>
      </c>
      <c r="Y27" s="16">
        <f t="shared" si="19"/>
        <v>17</v>
      </c>
      <c r="Z27" s="16">
        <f t="shared" si="19"/>
        <v>8</v>
      </c>
      <c r="AA27" s="16">
        <f t="shared" si="19"/>
        <v>5</v>
      </c>
      <c r="AB27" s="16">
        <f t="shared" si="19"/>
        <v>0</v>
      </c>
      <c r="AC27" s="16">
        <f t="shared" si="19"/>
        <v>2245</v>
      </c>
      <c r="AD27" s="16">
        <f t="shared" si="19"/>
        <v>0</v>
      </c>
      <c r="AE27" s="32">
        <f t="shared" si="19"/>
        <v>1461</v>
      </c>
      <c r="AF27" s="32">
        <f t="shared" si="19"/>
        <v>3706</v>
      </c>
    </row>
    <row r="28" spans="2:32" ht="23.1" customHeight="1" x14ac:dyDescent="0.25">
      <c r="B28" s="23" t="s">
        <v>55</v>
      </c>
      <c r="C28" s="50">
        <v>42</v>
      </c>
      <c r="D28" s="50">
        <v>25</v>
      </c>
      <c r="E28" s="50">
        <v>10</v>
      </c>
      <c r="F28" s="50">
        <v>22</v>
      </c>
      <c r="G28" s="50">
        <v>0</v>
      </c>
      <c r="H28" s="50">
        <v>0</v>
      </c>
      <c r="I28" s="50">
        <v>5</v>
      </c>
      <c r="J28" s="50">
        <v>2</v>
      </c>
      <c r="K28" s="50">
        <v>1</v>
      </c>
      <c r="L28" s="50">
        <v>1</v>
      </c>
      <c r="M28" s="50">
        <v>204</v>
      </c>
      <c r="N28" s="50">
        <v>0</v>
      </c>
      <c r="O28" s="15">
        <f t="shared" si="0"/>
        <v>108</v>
      </c>
      <c r="P28" s="15">
        <f t="shared" si="1"/>
        <v>312</v>
      </c>
      <c r="R28" s="5" t="s">
        <v>17</v>
      </c>
      <c r="S28" s="16">
        <f t="shared" ref="S28:AF28" si="20">SUM(S10:S21)</f>
        <v>2348</v>
      </c>
      <c r="T28" s="16">
        <f t="shared" si="20"/>
        <v>794</v>
      </c>
      <c r="U28" s="16">
        <f t="shared" si="20"/>
        <v>290</v>
      </c>
      <c r="V28" s="16">
        <f t="shared" si="20"/>
        <v>1283</v>
      </c>
      <c r="W28" s="16">
        <f t="shared" si="20"/>
        <v>24</v>
      </c>
      <c r="X28" s="16">
        <f t="shared" si="20"/>
        <v>4</v>
      </c>
      <c r="Y28" s="16">
        <f t="shared" si="20"/>
        <v>95</v>
      </c>
      <c r="Z28" s="16">
        <f t="shared" si="20"/>
        <v>71</v>
      </c>
      <c r="AA28" s="16">
        <f t="shared" si="20"/>
        <v>26</v>
      </c>
      <c r="AB28" s="16">
        <f t="shared" si="20"/>
        <v>2</v>
      </c>
      <c r="AC28" s="16">
        <f t="shared" si="20"/>
        <v>9337</v>
      </c>
      <c r="AD28" s="16">
        <f t="shared" si="20"/>
        <v>0</v>
      </c>
      <c r="AE28" s="32">
        <f t="shared" si="20"/>
        <v>4937</v>
      </c>
      <c r="AF28" s="32">
        <f t="shared" si="20"/>
        <v>14274</v>
      </c>
    </row>
    <row r="29" spans="2:32" ht="23.1" customHeight="1" x14ac:dyDescent="0.25">
      <c r="B29" s="23" t="s">
        <v>56</v>
      </c>
      <c r="C29" s="50">
        <v>42</v>
      </c>
      <c r="D29" s="50">
        <v>23</v>
      </c>
      <c r="E29" s="50">
        <v>7</v>
      </c>
      <c r="F29" s="50">
        <v>21</v>
      </c>
      <c r="G29" s="50">
        <v>1</v>
      </c>
      <c r="H29" s="50">
        <v>0</v>
      </c>
      <c r="I29" s="50">
        <v>2</v>
      </c>
      <c r="J29" s="50">
        <v>2</v>
      </c>
      <c r="K29" s="50">
        <v>0</v>
      </c>
      <c r="L29" s="50">
        <v>0</v>
      </c>
      <c r="M29" s="50">
        <v>225</v>
      </c>
      <c r="N29" s="50">
        <v>0</v>
      </c>
      <c r="O29" s="15">
        <f t="shared" si="0"/>
        <v>98</v>
      </c>
      <c r="P29" s="15">
        <f t="shared" si="1"/>
        <v>323</v>
      </c>
      <c r="R29"/>
      <c r="S29" s="20"/>
      <c r="T29" s="19"/>
    </row>
    <row r="30" spans="2:32" ht="23.1" customHeight="1" x14ac:dyDescent="0.25">
      <c r="B30" s="23" t="s">
        <v>57</v>
      </c>
      <c r="C30" s="50">
        <v>48</v>
      </c>
      <c r="D30" s="50">
        <v>23</v>
      </c>
      <c r="E30" s="50">
        <v>17</v>
      </c>
      <c r="F30" s="50">
        <v>20</v>
      </c>
      <c r="G30" s="50">
        <v>0</v>
      </c>
      <c r="H30" s="50">
        <v>0</v>
      </c>
      <c r="I30" s="50">
        <v>0</v>
      </c>
      <c r="J30" s="50">
        <v>7</v>
      </c>
      <c r="K30" s="50">
        <v>1</v>
      </c>
      <c r="L30" s="50">
        <v>0</v>
      </c>
      <c r="M30" s="50">
        <v>208</v>
      </c>
      <c r="N30" s="50">
        <v>0</v>
      </c>
      <c r="O30" s="15">
        <f t="shared" si="0"/>
        <v>116</v>
      </c>
      <c r="P30" s="15">
        <f t="shared" si="1"/>
        <v>324</v>
      </c>
    </row>
    <row r="31" spans="2:32" ht="23.1" customHeight="1" x14ac:dyDescent="0.25">
      <c r="B31" s="24" t="s">
        <v>58</v>
      </c>
      <c r="C31" s="50">
        <v>42</v>
      </c>
      <c r="D31" s="50">
        <v>12</v>
      </c>
      <c r="E31" s="50">
        <v>12</v>
      </c>
      <c r="F31" s="50">
        <v>28</v>
      </c>
      <c r="G31" s="50">
        <v>0</v>
      </c>
      <c r="H31" s="50">
        <v>0</v>
      </c>
      <c r="I31" s="50">
        <v>3</v>
      </c>
      <c r="J31" s="50">
        <v>4</v>
      </c>
      <c r="K31" s="50">
        <v>2</v>
      </c>
      <c r="L31" s="50">
        <v>0</v>
      </c>
      <c r="M31" s="50">
        <v>210</v>
      </c>
      <c r="N31" s="50">
        <v>0</v>
      </c>
      <c r="O31" s="15">
        <f t="shared" si="0"/>
        <v>103</v>
      </c>
      <c r="P31" s="15">
        <f t="shared" si="1"/>
        <v>313</v>
      </c>
    </row>
    <row r="32" spans="2:32" ht="23.1" customHeight="1" x14ac:dyDescent="0.25">
      <c r="B32" s="24" t="s">
        <v>59</v>
      </c>
      <c r="C32" s="50">
        <v>33</v>
      </c>
      <c r="D32" s="50">
        <v>14</v>
      </c>
      <c r="E32" s="50">
        <v>8</v>
      </c>
      <c r="F32" s="50">
        <v>19</v>
      </c>
      <c r="G32" s="50">
        <v>0</v>
      </c>
      <c r="H32" s="50">
        <v>0</v>
      </c>
      <c r="I32" s="50">
        <v>1</v>
      </c>
      <c r="J32" s="50">
        <v>4</v>
      </c>
      <c r="K32" s="50">
        <v>3</v>
      </c>
      <c r="L32" s="50">
        <v>0</v>
      </c>
      <c r="M32" s="50">
        <v>205</v>
      </c>
      <c r="N32" s="50">
        <v>0</v>
      </c>
      <c r="O32" s="15">
        <f t="shared" si="0"/>
        <v>82</v>
      </c>
      <c r="P32" s="15">
        <f t="shared" si="1"/>
        <v>287</v>
      </c>
    </row>
    <row r="33" spans="2:20" ht="23.1" customHeight="1" x14ac:dyDescent="0.25">
      <c r="B33" s="23" t="s">
        <v>60</v>
      </c>
      <c r="C33" s="50">
        <v>42</v>
      </c>
      <c r="D33" s="50">
        <v>13</v>
      </c>
      <c r="E33" s="50">
        <v>2</v>
      </c>
      <c r="F33" s="50">
        <v>16</v>
      </c>
      <c r="G33" s="50">
        <v>0</v>
      </c>
      <c r="H33" s="50">
        <v>0</v>
      </c>
      <c r="I33" s="50">
        <v>1</v>
      </c>
      <c r="J33" s="50">
        <v>4</v>
      </c>
      <c r="K33" s="50">
        <v>2</v>
      </c>
      <c r="L33" s="50">
        <v>0</v>
      </c>
      <c r="M33" s="50">
        <v>180</v>
      </c>
      <c r="N33" s="50">
        <v>0</v>
      </c>
      <c r="O33" s="15">
        <f t="shared" si="0"/>
        <v>80</v>
      </c>
      <c r="P33" s="15">
        <f t="shared" si="1"/>
        <v>260</v>
      </c>
    </row>
    <row r="34" spans="2:20" ht="23.1" customHeight="1" x14ac:dyDescent="0.25">
      <c r="B34" s="24" t="s">
        <v>61</v>
      </c>
      <c r="C34" s="50">
        <v>54</v>
      </c>
      <c r="D34" s="50">
        <v>15</v>
      </c>
      <c r="E34" s="50">
        <v>5</v>
      </c>
      <c r="F34" s="50">
        <v>30</v>
      </c>
      <c r="G34" s="50">
        <v>0</v>
      </c>
      <c r="H34" s="50">
        <v>0</v>
      </c>
      <c r="I34" s="50">
        <v>3</v>
      </c>
      <c r="J34" s="50">
        <v>2</v>
      </c>
      <c r="K34" s="50">
        <v>0</v>
      </c>
      <c r="L34" s="50">
        <v>0</v>
      </c>
      <c r="M34" s="50">
        <v>190</v>
      </c>
      <c r="N34" s="50">
        <v>0</v>
      </c>
      <c r="O34" s="15">
        <f t="shared" si="0"/>
        <v>109</v>
      </c>
      <c r="P34" s="15">
        <f t="shared" si="1"/>
        <v>299</v>
      </c>
    </row>
    <row r="35" spans="2:20" ht="23.1" customHeight="1" x14ac:dyDescent="0.25">
      <c r="B35" s="24" t="s">
        <v>62</v>
      </c>
      <c r="C35" s="50">
        <v>41</v>
      </c>
      <c r="D35" s="50">
        <v>14</v>
      </c>
      <c r="E35" s="50">
        <v>5</v>
      </c>
      <c r="F35" s="50">
        <v>23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175</v>
      </c>
      <c r="N35" s="50">
        <v>0</v>
      </c>
      <c r="O35" s="15">
        <f t="shared" si="0"/>
        <v>84</v>
      </c>
      <c r="P35" s="15">
        <f t="shared" si="1"/>
        <v>259</v>
      </c>
    </row>
    <row r="36" spans="2:20" ht="23.1" customHeight="1" x14ac:dyDescent="0.25">
      <c r="B36" s="24" t="s">
        <v>63</v>
      </c>
      <c r="C36" s="50">
        <v>47</v>
      </c>
      <c r="D36" s="50">
        <v>14</v>
      </c>
      <c r="E36" s="50">
        <v>5</v>
      </c>
      <c r="F36" s="50">
        <v>16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181</v>
      </c>
      <c r="N36" s="50">
        <v>0</v>
      </c>
      <c r="O36" s="15">
        <f t="shared" si="0"/>
        <v>85</v>
      </c>
      <c r="P36" s="15">
        <f t="shared" si="1"/>
        <v>266</v>
      </c>
    </row>
    <row r="37" spans="2:20" ht="23.1" customHeight="1" x14ac:dyDescent="0.25">
      <c r="B37" s="23" t="s">
        <v>64</v>
      </c>
      <c r="C37" s="50">
        <v>56</v>
      </c>
      <c r="D37" s="50">
        <v>4</v>
      </c>
      <c r="E37" s="50">
        <v>7</v>
      </c>
      <c r="F37" s="50">
        <v>18</v>
      </c>
      <c r="G37" s="50">
        <v>1</v>
      </c>
      <c r="H37" s="50">
        <v>0</v>
      </c>
      <c r="I37" s="50">
        <v>0</v>
      </c>
      <c r="J37" s="50">
        <v>1</v>
      </c>
      <c r="K37" s="50">
        <v>1</v>
      </c>
      <c r="L37" s="50">
        <v>0</v>
      </c>
      <c r="M37" s="50">
        <v>110</v>
      </c>
      <c r="N37" s="50">
        <v>0</v>
      </c>
      <c r="O37" s="15">
        <f t="shared" si="0"/>
        <v>88</v>
      </c>
      <c r="P37" s="15">
        <f t="shared" si="1"/>
        <v>198</v>
      </c>
    </row>
    <row r="38" spans="2:20" ht="23.1" customHeight="1" x14ac:dyDescent="0.25">
      <c r="B38" s="24" t="s">
        <v>65</v>
      </c>
      <c r="C38" s="50">
        <v>50</v>
      </c>
      <c r="D38" s="50">
        <v>23</v>
      </c>
      <c r="E38" s="50">
        <v>4</v>
      </c>
      <c r="F38" s="50">
        <v>27</v>
      </c>
      <c r="G38" s="50">
        <v>0</v>
      </c>
      <c r="H38" s="50">
        <v>0</v>
      </c>
      <c r="I38" s="50">
        <v>3</v>
      </c>
      <c r="J38" s="50">
        <v>1</v>
      </c>
      <c r="K38" s="50">
        <v>0</v>
      </c>
      <c r="L38" s="50">
        <v>0</v>
      </c>
      <c r="M38" s="50">
        <v>170</v>
      </c>
      <c r="N38" s="50">
        <v>0</v>
      </c>
      <c r="O38" s="15">
        <f t="shared" si="0"/>
        <v>108</v>
      </c>
      <c r="P38" s="15">
        <f t="shared" si="1"/>
        <v>278</v>
      </c>
    </row>
    <row r="39" spans="2:20" ht="23.1" customHeight="1" x14ac:dyDescent="0.25">
      <c r="B39" s="24" t="s">
        <v>66</v>
      </c>
      <c r="C39" s="50">
        <v>45</v>
      </c>
      <c r="D39" s="50">
        <v>15</v>
      </c>
      <c r="E39" s="50">
        <v>5</v>
      </c>
      <c r="F39" s="50">
        <v>25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160</v>
      </c>
      <c r="N39" s="50">
        <v>0</v>
      </c>
      <c r="O39" s="15">
        <f t="shared" si="0"/>
        <v>91</v>
      </c>
      <c r="P39" s="15">
        <f t="shared" si="1"/>
        <v>251</v>
      </c>
    </row>
    <row r="40" spans="2:20" ht="23.1" customHeight="1" x14ac:dyDescent="0.25">
      <c r="B40" s="24" t="s">
        <v>67</v>
      </c>
      <c r="C40" s="50">
        <v>63</v>
      </c>
      <c r="D40" s="50">
        <v>40</v>
      </c>
      <c r="E40" s="50">
        <v>6</v>
      </c>
      <c r="F40" s="50">
        <v>28</v>
      </c>
      <c r="G40" s="50">
        <v>0</v>
      </c>
      <c r="H40" s="50">
        <v>0</v>
      </c>
      <c r="I40" s="50">
        <v>1</v>
      </c>
      <c r="J40" s="50">
        <v>3</v>
      </c>
      <c r="K40" s="50">
        <v>0</v>
      </c>
      <c r="L40" s="50">
        <v>0</v>
      </c>
      <c r="M40" s="50">
        <v>142</v>
      </c>
      <c r="N40" s="50">
        <v>0</v>
      </c>
      <c r="O40" s="15">
        <f t="shared" si="0"/>
        <v>141</v>
      </c>
      <c r="P40" s="15">
        <f t="shared" si="1"/>
        <v>283</v>
      </c>
    </row>
    <row r="41" spans="2:20" ht="23.1" customHeight="1" x14ac:dyDescent="0.25">
      <c r="B41" s="23" t="s">
        <v>68</v>
      </c>
      <c r="C41" s="50">
        <v>20</v>
      </c>
      <c r="D41" s="50">
        <v>35</v>
      </c>
      <c r="E41" s="50">
        <v>0</v>
      </c>
      <c r="F41" s="50">
        <v>35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230</v>
      </c>
      <c r="N41" s="50">
        <v>0</v>
      </c>
      <c r="O41" s="15">
        <f t="shared" si="0"/>
        <v>90</v>
      </c>
      <c r="P41" s="15">
        <f t="shared" si="1"/>
        <v>320</v>
      </c>
    </row>
    <row r="42" spans="2:20" ht="23.1" customHeight="1" x14ac:dyDescent="0.25">
      <c r="B42" s="24" t="s">
        <v>69</v>
      </c>
      <c r="C42" s="50">
        <v>68</v>
      </c>
      <c r="D42" s="50">
        <v>28</v>
      </c>
      <c r="E42" s="50">
        <v>6</v>
      </c>
      <c r="F42" s="50">
        <v>32</v>
      </c>
      <c r="G42" s="50">
        <v>0</v>
      </c>
      <c r="H42" s="50">
        <v>0</v>
      </c>
      <c r="I42" s="50">
        <v>3</v>
      </c>
      <c r="J42" s="50">
        <v>0</v>
      </c>
      <c r="K42" s="50">
        <v>1</v>
      </c>
      <c r="L42" s="50">
        <v>0</v>
      </c>
      <c r="M42" s="50">
        <v>175</v>
      </c>
      <c r="N42" s="50">
        <v>0</v>
      </c>
      <c r="O42" s="15">
        <f t="shared" si="0"/>
        <v>138</v>
      </c>
      <c r="P42" s="15">
        <f t="shared" si="1"/>
        <v>313</v>
      </c>
    </row>
    <row r="43" spans="2:20" ht="23.1" customHeight="1" x14ac:dyDescent="0.25">
      <c r="B43" s="23" t="s">
        <v>70</v>
      </c>
      <c r="C43" s="50">
        <v>57</v>
      </c>
      <c r="D43" s="50">
        <v>17</v>
      </c>
      <c r="E43" s="50">
        <v>9</v>
      </c>
      <c r="F43" s="50">
        <v>30</v>
      </c>
      <c r="G43" s="50">
        <v>0</v>
      </c>
      <c r="H43" s="50">
        <v>0</v>
      </c>
      <c r="I43" s="50">
        <v>3</v>
      </c>
      <c r="J43" s="50">
        <v>2</v>
      </c>
      <c r="K43" s="50">
        <v>2</v>
      </c>
      <c r="L43" s="50">
        <v>0</v>
      </c>
      <c r="M43" s="50">
        <v>120</v>
      </c>
      <c r="N43" s="50">
        <v>0</v>
      </c>
      <c r="O43" s="15">
        <f t="shared" si="0"/>
        <v>120</v>
      </c>
      <c r="P43" s="15">
        <f t="shared" si="1"/>
        <v>240</v>
      </c>
    </row>
    <row r="44" spans="2:20" ht="23.1" customHeight="1" x14ac:dyDescent="0.25">
      <c r="B44" s="25" t="s">
        <v>71</v>
      </c>
      <c r="C44" s="50">
        <v>68</v>
      </c>
      <c r="D44" s="50">
        <v>15</v>
      </c>
      <c r="E44" s="50">
        <v>7</v>
      </c>
      <c r="F44" s="50">
        <v>19</v>
      </c>
      <c r="G44" s="50">
        <v>0</v>
      </c>
      <c r="H44" s="50">
        <v>0</v>
      </c>
      <c r="I44" s="50">
        <v>4</v>
      </c>
      <c r="J44" s="50">
        <v>1</v>
      </c>
      <c r="K44" s="50">
        <v>0</v>
      </c>
      <c r="L44" s="50">
        <v>1</v>
      </c>
      <c r="M44" s="50">
        <v>152</v>
      </c>
      <c r="N44" s="50">
        <v>0</v>
      </c>
      <c r="O44" s="15">
        <f t="shared" si="0"/>
        <v>115</v>
      </c>
      <c r="P44" s="15">
        <f t="shared" si="1"/>
        <v>267</v>
      </c>
    </row>
    <row r="45" spans="2:20" ht="23.1" customHeight="1" x14ac:dyDescent="0.25">
      <c r="B45" s="23" t="s">
        <v>72</v>
      </c>
      <c r="C45" s="50">
        <v>77</v>
      </c>
      <c r="D45" s="50">
        <v>45</v>
      </c>
      <c r="E45" s="50">
        <v>0</v>
      </c>
      <c r="F45" s="50">
        <v>75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143</v>
      </c>
      <c r="N45" s="50">
        <v>0</v>
      </c>
      <c r="O45" s="15">
        <f t="shared" si="0"/>
        <v>197</v>
      </c>
      <c r="P45" s="15">
        <f t="shared" si="1"/>
        <v>340</v>
      </c>
    </row>
    <row r="46" spans="2:20" ht="23.1" customHeight="1" x14ac:dyDescent="0.25">
      <c r="B46" s="24" t="s">
        <v>73</v>
      </c>
      <c r="C46" s="50">
        <v>43</v>
      </c>
      <c r="D46" s="50">
        <v>18</v>
      </c>
      <c r="E46" s="50">
        <v>6</v>
      </c>
      <c r="F46" s="50">
        <v>12</v>
      </c>
      <c r="G46" s="50">
        <v>0</v>
      </c>
      <c r="H46" s="50">
        <v>0</v>
      </c>
      <c r="I46" s="50">
        <v>2</v>
      </c>
      <c r="J46" s="50">
        <v>3</v>
      </c>
      <c r="K46" s="50">
        <v>1</v>
      </c>
      <c r="L46" s="50">
        <v>0</v>
      </c>
      <c r="M46" s="50">
        <v>164</v>
      </c>
      <c r="N46" s="50">
        <v>0</v>
      </c>
      <c r="O46" s="15">
        <f t="shared" si="0"/>
        <v>85</v>
      </c>
      <c r="P46" s="15">
        <f t="shared" si="1"/>
        <v>249</v>
      </c>
      <c r="R46" s="8"/>
      <c r="T46"/>
    </row>
    <row r="47" spans="2:20" ht="23.1" customHeight="1" x14ac:dyDescent="0.25">
      <c r="B47" s="24" t="s">
        <v>74</v>
      </c>
      <c r="C47" s="50">
        <v>55</v>
      </c>
      <c r="D47" s="50">
        <v>22</v>
      </c>
      <c r="E47" s="50">
        <v>9</v>
      </c>
      <c r="F47" s="50">
        <v>19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170</v>
      </c>
      <c r="N47" s="50">
        <v>0</v>
      </c>
      <c r="O47" s="15">
        <f t="shared" si="0"/>
        <v>108</v>
      </c>
      <c r="P47" s="15">
        <f t="shared" si="1"/>
        <v>278</v>
      </c>
      <c r="R47" s="8"/>
      <c r="T47"/>
    </row>
    <row r="48" spans="2:20" ht="23.1" customHeight="1" x14ac:dyDescent="0.25">
      <c r="B48" s="24" t="s">
        <v>75</v>
      </c>
      <c r="C48" s="50">
        <v>65</v>
      </c>
      <c r="D48" s="50">
        <v>12</v>
      </c>
      <c r="E48" s="50">
        <v>3</v>
      </c>
      <c r="F48" s="50">
        <v>50</v>
      </c>
      <c r="G48" s="50">
        <v>1</v>
      </c>
      <c r="H48" s="50">
        <v>0</v>
      </c>
      <c r="I48" s="50">
        <v>1</v>
      </c>
      <c r="J48" s="50">
        <v>1</v>
      </c>
      <c r="K48" s="50">
        <v>0</v>
      </c>
      <c r="L48" s="50">
        <v>0</v>
      </c>
      <c r="M48" s="50">
        <v>172</v>
      </c>
      <c r="N48" s="50">
        <v>0</v>
      </c>
      <c r="O48" s="15">
        <f t="shared" si="0"/>
        <v>133</v>
      </c>
      <c r="P48" s="15">
        <f t="shared" si="1"/>
        <v>305</v>
      </c>
      <c r="R48" s="8"/>
      <c r="T48"/>
    </row>
    <row r="49" spans="2:20" ht="23.1" customHeight="1" x14ac:dyDescent="0.25">
      <c r="B49" s="23" t="s">
        <v>76</v>
      </c>
      <c r="C49" s="50">
        <v>56</v>
      </c>
      <c r="D49" s="50">
        <v>28</v>
      </c>
      <c r="E49" s="50">
        <v>4</v>
      </c>
      <c r="F49" s="50">
        <v>16</v>
      </c>
      <c r="G49" s="50">
        <v>2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178</v>
      </c>
      <c r="N49" s="50">
        <v>0</v>
      </c>
      <c r="O49" s="15">
        <f t="shared" si="0"/>
        <v>108</v>
      </c>
      <c r="P49" s="15">
        <f t="shared" si="1"/>
        <v>286</v>
      </c>
      <c r="R49" s="8"/>
      <c r="T49"/>
    </row>
    <row r="50" spans="2:20" ht="23.1" customHeight="1" x14ac:dyDescent="0.25">
      <c r="B50" s="24" t="s">
        <v>77</v>
      </c>
      <c r="C50" s="50">
        <v>83</v>
      </c>
      <c r="D50" s="50">
        <v>15</v>
      </c>
      <c r="E50" s="50">
        <v>10</v>
      </c>
      <c r="F50" s="50">
        <v>50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190</v>
      </c>
      <c r="N50" s="50">
        <v>0</v>
      </c>
      <c r="O50" s="15">
        <f t="shared" si="0"/>
        <v>160</v>
      </c>
      <c r="P50" s="15">
        <f t="shared" si="1"/>
        <v>350</v>
      </c>
      <c r="R50" s="8"/>
      <c r="T50"/>
    </row>
    <row r="51" spans="2:20" ht="23.1" customHeight="1" x14ac:dyDescent="0.25">
      <c r="B51" s="24" t="s">
        <v>78</v>
      </c>
      <c r="C51" s="50">
        <v>53</v>
      </c>
      <c r="D51" s="50">
        <v>18</v>
      </c>
      <c r="E51" s="50">
        <v>7</v>
      </c>
      <c r="F51" s="50">
        <v>27</v>
      </c>
      <c r="G51" s="50">
        <v>1</v>
      </c>
      <c r="H51" s="50">
        <v>0</v>
      </c>
      <c r="I51" s="50">
        <v>1</v>
      </c>
      <c r="J51" s="50">
        <v>0</v>
      </c>
      <c r="K51" s="50">
        <v>1</v>
      </c>
      <c r="L51" s="50">
        <v>0</v>
      </c>
      <c r="M51" s="50">
        <v>220</v>
      </c>
      <c r="N51" s="50">
        <v>0</v>
      </c>
      <c r="O51" s="15">
        <f t="shared" si="0"/>
        <v>108</v>
      </c>
      <c r="P51" s="15">
        <f t="shared" si="1"/>
        <v>328</v>
      </c>
      <c r="R51" s="8"/>
      <c r="T51"/>
    </row>
    <row r="52" spans="2:20" ht="23.1" customHeight="1" x14ac:dyDescent="0.25">
      <c r="B52" s="24" t="s">
        <v>79</v>
      </c>
      <c r="C52" s="50">
        <v>90</v>
      </c>
      <c r="D52" s="50">
        <v>13</v>
      </c>
      <c r="E52" s="50">
        <v>14</v>
      </c>
      <c r="F52" s="50">
        <v>37</v>
      </c>
      <c r="G52" s="50">
        <v>1</v>
      </c>
      <c r="H52" s="50">
        <v>0</v>
      </c>
      <c r="I52" s="50">
        <v>1</v>
      </c>
      <c r="J52" s="50">
        <v>4</v>
      </c>
      <c r="K52" s="50">
        <v>2</v>
      </c>
      <c r="L52" s="50">
        <v>0</v>
      </c>
      <c r="M52" s="50">
        <v>200</v>
      </c>
      <c r="N52" s="50">
        <v>0</v>
      </c>
      <c r="O52" s="15">
        <f t="shared" si="0"/>
        <v>162</v>
      </c>
      <c r="P52" s="15">
        <f t="shared" si="1"/>
        <v>362</v>
      </c>
      <c r="R52" s="8"/>
      <c r="T52"/>
    </row>
    <row r="53" spans="2:20" ht="23.1" customHeight="1" x14ac:dyDescent="0.25">
      <c r="B53" s="23" t="s">
        <v>80</v>
      </c>
      <c r="C53" s="50">
        <v>64</v>
      </c>
      <c r="D53" s="50">
        <v>21</v>
      </c>
      <c r="E53" s="50">
        <v>0</v>
      </c>
      <c r="F53" s="50">
        <v>53</v>
      </c>
      <c r="G53" s="50">
        <v>1</v>
      </c>
      <c r="H53" s="50">
        <v>1</v>
      </c>
      <c r="I53" s="50">
        <v>0</v>
      </c>
      <c r="J53" s="50">
        <v>0</v>
      </c>
      <c r="K53" s="50">
        <v>0</v>
      </c>
      <c r="L53" s="50">
        <v>0</v>
      </c>
      <c r="M53" s="50">
        <v>221</v>
      </c>
      <c r="N53" s="50">
        <v>0</v>
      </c>
      <c r="O53" s="15">
        <f t="shared" si="0"/>
        <v>140</v>
      </c>
      <c r="P53" s="15">
        <f t="shared" si="1"/>
        <v>361</v>
      </c>
      <c r="R53" s="8"/>
      <c r="T53"/>
    </row>
    <row r="54" spans="2:20" ht="23.1" customHeight="1" x14ac:dyDescent="0.25">
      <c r="B54" s="23" t="s">
        <v>81</v>
      </c>
      <c r="C54" s="50">
        <v>71</v>
      </c>
      <c r="D54" s="50">
        <v>15</v>
      </c>
      <c r="E54" s="50">
        <v>6</v>
      </c>
      <c r="F54" s="50">
        <v>11</v>
      </c>
      <c r="G54" s="50">
        <v>1</v>
      </c>
      <c r="H54" s="50">
        <v>0</v>
      </c>
      <c r="I54" s="50">
        <v>3</v>
      </c>
      <c r="J54" s="50">
        <v>0</v>
      </c>
      <c r="K54" s="50">
        <v>1</v>
      </c>
      <c r="L54" s="50">
        <v>0</v>
      </c>
      <c r="M54" s="50">
        <v>200</v>
      </c>
      <c r="N54" s="50">
        <v>0</v>
      </c>
      <c r="O54" s="15">
        <f t="shared" si="0"/>
        <v>108</v>
      </c>
      <c r="P54" s="15">
        <f t="shared" si="1"/>
        <v>308</v>
      </c>
      <c r="R54" s="8"/>
      <c r="T54"/>
    </row>
    <row r="55" spans="2:20" ht="23.1" customHeight="1" x14ac:dyDescent="0.25">
      <c r="B55" s="23" t="s">
        <v>82</v>
      </c>
      <c r="C55" s="50">
        <v>93</v>
      </c>
      <c r="D55" s="50">
        <v>16</v>
      </c>
      <c r="E55" s="50">
        <v>4</v>
      </c>
      <c r="F55" s="50">
        <v>10</v>
      </c>
      <c r="G55" s="50">
        <v>2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150</v>
      </c>
      <c r="N55" s="50">
        <v>0</v>
      </c>
      <c r="O55" s="15">
        <f t="shared" si="0"/>
        <v>126</v>
      </c>
      <c r="P55" s="15">
        <f t="shared" si="1"/>
        <v>276</v>
      </c>
      <c r="R55" s="8"/>
      <c r="T55"/>
    </row>
    <row r="56" spans="2:20" ht="23.1" customHeight="1" x14ac:dyDescent="0.25">
      <c r="B56" s="23" t="s">
        <v>83</v>
      </c>
      <c r="C56" s="50">
        <v>73</v>
      </c>
      <c r="D56" s="50">
        <v>16</v>
      </c>
      <c r="E56" s="50">
        <v>3</v>
      </c>
      <c r="F56" s="50">
        <v>11</v>
      </c>
      <c r="G56" s="50">
        <v>4</v>
      </c>
      <c r="H56" s="50">
        <v>1</v>
      </c>
      <c r="I56" s="50">
        <v>1</v>
      </c>
      <c r="J56" s="50">
        <v>0</v>
      </c>
      <c r="K56" s="50">
        <v>0</v>
      </c>
      <c r="L56" s="50">
        <v>0</v>
      </c>
      <c r="M56" s="50">
        <v>210</v>
      </c>
      <c r="N56" s="50">
        <v>0</v>
      </c>
      <c r="O56" s="15">
        <f t="shared" si="0"/>
        <v>109</v>
      </c>
      <c r="P56" s="15">
        <f t="shared" si="1"/>
        <v>319</v>
      </c>
      <c r="R56" s="8"/>
      <c r="T56"/>
    </row>
    <row r="57" spans="2:20" ht="23.1" customHeight="1" x14ac:dyDescent="0.25">
      <c r="B57" s="23" t="s">
        <v>84</v>
      </c>
      <c r="C57" s="50">
        <v>80</v>
      </c>
      <c r="D57" s="50">
        <v>13</v>
      </c>
      <c r="E57" s="50">
        <v>10</v>
      </c>
      <c r="F57" s="50">
        <v>11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170</v>
      </c>
      <c r="N57" s="50">
        <v>0</v>
      </c>
      <c r="O57" s="15">
        <f t="shared" si="0"/>
        <v>114</v>
      </c>
      <c r="P57" s="15">
        <f t="shared" si="1"/>
        <v>284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2348</v>
      </c>
      <c r="D58" s="16">
        <f t="shared" si="21"/>
        <v>794</v>
      </c>
      <c r="E58" s="16">
        <f t="shared" si="21"/>
        <v>290</v>
      </c>
      <c r="F58" s="16">
        <f t="shared" si="21"/>
        <v>1283</v>
      </c>
      <c r="G58" s="16">
        <f t="shared" si="21"/>
        <v>24</v>
      </c>
      <c r="H58" s="16">
        <f t="shared" si="21"/>
        <v>4</v>
      </c>
      <c r="I58" s="16">
        <f t="shared" si="21"/>
        <v>95</v>
      </c>
      <c r="J58" s="16">
        <f t="shared" si="21"/>
        <v>71</v>
      </c>
      <c r="K58" s="16">
        <f t="shared" si="21"/>
        <v>26</v>
      </c>
      <c r="L58" s="16">
        <f t="shared" si="21"/>
        <v>2</v>
      </c>
      <c r="M58" s="16">
        <f t="shared" si="21"/>
        <v>9337</v>
      </c>
      <c r="N58" s="16">
        <f t="shared" si="21"/>
        <v>0</v>
      </c>
      <c r="O58" s="16">
        <f t="shared" si="21"/>
        <v>4937</v>
      </c>
      <c r="P58" s="16">
        <f t="shared" si="21"/>
        <v>14274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0.16449488580636121</v>
      </c>
      <c r="D59" s="43">
        <f t="shared" si="22"/>
        <v>5.562561300266218E-2</v>
      </c>
      <c r="E59" s="43">
        <f t="shared" si="22"/>
        <v>2.0316659660921957E-2</v>
      </c>
      <c r="F59" s="43">
        <f t="shared" si="22"/>
        <v>8.9883704637803E-2</v>
      </c>
      <c r="G59" s="43">
        <f t="shared" si="22"/>
        <v>1.6813787305590584E-3</v>
      </c>
      <c r="H59" s="43">
        <f t="shared" si="22"/>
        <v>2.8022978842650974E-4</v>
      </c>
      <c r="I59" s="43">
        <f t="shared" si="22"/>
        <v>6.6554574751296067E-3</v>
      </c>
      <c r="J59" s="43">
        <f t="shared" si="22"/>
        <v>4.9740787445705483E-3</v>
      </c>
      <c r="K59" s="43">
        <f t="shared" si="22"/>
        <v>1.8214936247723133E-3</v>
      </c>
      <c r="L59" s="43">
        <f t="shared" si="22"/>
        <v>1.4011489421325487E-4</v>
      </c>
      <c r="M59" s="43">
        <f t="shared" si="22"/>
        <v>0.65412638363458031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0.47559246505975289</v>
      </c>
      <c r="D60" s="44">
        <f t="shared" ref="D60:N60" si="23">D58/$O$58</f>
        <v>0.16082641280129634</v>
      </c>
      <c r="E60" s="44">
        <f t="shared" si="23"/>
        <v>5.8740125582337453E-2</v>
      </c>
      <c r="F60" s="44">
        <f t="shared" si="23"/>
        <v>0.2598744176625481</v>
      </c>
      <c r="G60" s="44">
        <f t="shared" si="23"/>
        <v>4.8612517723313755E-3</v>
      </c>
      <c r="H60" s="44">
        <f t="shared" si="23"/>
        <v>8.1020862872189592E-4</v>
      </c>
      <c r="I60" s="44">
        <f t="shared" si="23"/>
        <v>1.9242454932145027E-2</v>
      </c>
      <c r="J60" s="44">
        <f t="shared" si="23"/>
        <v>1.4381203159813652E-2</v>
      </c>
      <c r="K60" s="44">
        <f t="shared" si="23"/>
        <v>5.2663560866923233E-3</v>
      </c>
      <c r="L60" s="44">
        <f t="shared" si="23"/>
        <v>4.0510431436094796E-4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Makindye-Kibuye'!C3:G3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'25.07 Kibuye-Makindye'!D5</f>
        <v>25.07.19</v>
      </c>
      <c r="E5" s="3"/>
      <c r="F5" s="41" t="s">
        <v>1</v>
      </c>
      <c r="G5" s="63" t="str">
        <f>'25.07 Kibuye-Makindye'!G5:H5</f>
        <v>FUELEX MAKINDYE</v>
      </c>
      <c r="H5" s="64"/>
      <c r="I5" s="14"/>
      <c r="J5" s="2" t="s">
        <v>5</v>
      </c>
      <c r="K5" s="63" t="str">
        <f>'25.07 Kibuye-Makindye'!K5:L5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Makindye-Kibuye'!D6:E6</f>
        <v>MAKINDYE</v>
      </c>
      <c r="E6" s="64"/>
      <c r="F6" s="2" t="s">
        <v>2</v>
      </c>
      <c r="G6" s="63" t="str">
        <f>'22.07 Makindye-Kibuye'!G6:H6</f>
        <v>KIBUYE</v>
      </c>
      <c r="H6" s="64"/>
      <c r="J6" s="2" t="s">
        <v>21</v>
      </c>
      <c r="K6" s="63" t="str">
        <f>'25.07 Kibuye-Makindye'!K6:L6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35</v>
      </c>
      <c r="D10" s="50">
        <v>5</v>
      </c>
      <c r="E10" s="50">
        <v>3</v>
      </c>
      <c r="F10" s="50">
        <v>12</v>
      </c>
      <c r="G10" s="50">
        <v>0</v>
      </c>
      <c r="H10" s="50">
        <v>0</v>
      </c>
      <c r="I10" s="50">
        <v>4</v>
      </c>
      <c r="J10" s="50">
        <v>0</v>
      </c>
      <c r="K10" s="50">
        <v>0</v>
      </c>
      <c r="L10" s="50">
        <v>0</v>
      </c>
      <c r="M10" s="50">
        <v>230</v>
      </c>
      <c r="N10" s="50">
        <v>0</v>
      </c>
      <c r="O10" s="15">
        <f t="shared" ref="O10:O57" si="0">SUM(C10:L10,N10)</f>
        <v>59</v>
      </c>
      <c r="P10" s="15">
        <f t="shared" ref="P10:P57" si="1">SUM(C10:N10)</f>
        <v>289</v>
      </c>
      <c r="R10" s="1" t="s">
        <v>6</v>
      </c>
      <c r="S10" s="17">
        <f t="shared" ref="S10:AF10" si="2">SUM(C10:C13)</f>
        <v>164</v>
      </c>
      <c r="T10" s="17">
        <f t="shared" si="2"/>
        <v>21</v>
      </c>
      <c r="U10" s="17">
        <f t="shared" si="2"/>
        <v>11</v>
      </c>
      <c r="V10" s="17">
        <f t="shared" si="2"/>
        <v>58</v>
      </c>
      <c r="W10" s="17">
        <f t="shared" si="2"/>
        <v>0</v>
      </c>
      <c r="X10" s="17">
        <f t="shared" si="2"/>
        <v>0</v>
      </c>
      <c r="Y10" s="17">
        <f t="shared" si="2"/>
        <v>18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965</v>
      </c>
      <c r="AD10" s="17">
        <f t="shared" si="2"/>
        <v>0</v>
      </c>
      <c r="AE10" s="31">
        <f t="shared" si="2"/>
        <v>276</v>
      </c>
      <c r="AF10" s="31">
        <f t="shared" si="2"/>
        <v>1241</v>
      </c>
    </row>
    <row r="11" spans="2:32" s="6" customFormat="1" ht="23.1" customHeight="1" x14ac:dyDescent="0.25">
      <c r="B11" s="23" t="s">
        <v>38</v>
      </c>
      <c r="C11" s="50">
        <v>35</v>
      </c>
      <c r="D11" s="50">
        <v>8</v>
      </c>
      <c r="E11" s="50">
        <v>3</v>
      </c>
      <c r="F11" s="50">
        <v>10</v>
      </c>
      <c r="G11" s="50">
        <v>0</v>
      </c>
      <c r="H11" s="50">
        <v>0</v>
      </c>
      <c r="I11" s="50">
        <v>4</v>
      </c>
      <c r="J11" s="50">
        <v>1</v>
      </c>
      <c r="K11" s="50">
        <v>0</v>
      </c>
      <c r="L11" s="50">
        <v>0</v>
      </c>
      <c r="M11" s="50">
        <v>240</v>
      </c>
      <c r="N11" s="50">
        <v>0</v>
      </c>
      <c r="O11" s="15">
        <f t="shared" si="0"/>
        <v>61</v>
      </c>
      <c r="P11" s="15">
        <f t="shared" si="1"/>
        <v>301</v>
      </c>
      <c r="R11" s="1" t="s">
        <v>7</v>
      </c>
      <c r="S11" s="17">
        <f t="shared" ref="S11:AF11" si="3">SUM(C14:C17)</f>
        <v>136</v>
      </c>
      <c r="T11" s="17">
        <f t="shared" si="3"/>
        <v>18</v>
      </c>
      <c r="U11" s="17">
        <f t="shared" si="3"/>
        <v>12</v>
      </c>
      <c r="V11" s="17">
        <f t="shared" si="3"/>
        <v>47</v>
      </c>
      <c r="W11" s="17">
        <f t="shared" si="3"/>
        <v>1</v>
      </c>
      <c r="X11" s="17">
        <f t="shared" si="3"/>
        <v>0</v>
      </c>
      <c r="Y11" s="17">
        <f t="shared" si="3"/>
        <v>13</v>
      </c>
      <c r="Z11" s="17">
        <f t="shared" si="3"/>
        <v>5</v>
      </c>
      <c r="AA11" s="17">
        <f t="shared" si="3"/>
        <v>1</v>
      </c>
      <c r="AB11" s="17">
        <f t="shared" si="3"/>
        <v>0</v>
      </c>
      <c r="AC11" s="17">
        <f t="shared" si="3"/>
        <v>1015</v>
      </c>
      <c r="AD11" s="17">
        <f t="shared" si="3"/>
        <v>0</v>
      </c>
      <c r="AE11" s="31">
        <f t="shared" si="3"/>
        <v>233</v>
      </c>
      <c r="AF11" s="31">
        <f t="shared" si="3"/>
        <v>1248</v>
      </c>
    </row>
    <row r="12" spans="2:32" ht="23.1" customHeight="1" x14ac:dyDescent="0.25">
      <c r="B12" s="23" t="s">
        <v>39</v>
      </c>
      <c r="C12" s="50">
        <v>45</v>
      </c>
      <c r="D12" s="50">
        <v>1</v>
      </c>
      <c r="E12" s="50">
        <v>4</v>
      </c>
      <c r="F12" s="50">
        <v>20</v>
      </c>
      <c r="G12" s="50">
        <v>0</v>
      </c>
      <c r="H12" s="50">
        <v>0</v>
      </c>
      <c r="I12" s="50">
        <v>5</v>
      </c>
      <c r="J12" s="50">
        <v>3</v>
      </c>
      <c r="K12" s="50">
        <v>0</v>
      </c>
      <c r="L12" s="50">
        <v>0</v>
      </c>
      <c r="M12" s="50">
        <v>245</v>
      </c>
      <c r="N12" s="50">
        <v>0</v>
      </c>
      <c r="O12" s="15">
        <f t="shared" si="0"/>
        <v>78</v>
      </c>
      <c r="P12" s="15">
        <f t="shared" si="1"/>
        <v>323</v>
      </c>
      <c r="R12" s="1" t="s">
        <v>8</v>
      </c>
      <c r="S12" s="17">
        <f t="shared" ref="S12:AF12" si="4">SUM(C18:C21)</f>
        <v>169</v>
      </c>
      <c r="T12" s="17">
        <f t="shared" si="4"/>
        <v>22</v>
      </c>
      <c r="U12" s="17">
        <f t="shared" si="4"/>
        <v>19</v>
      </c>
      <c r="V12" s="17">
        <f t="shared" si="4"/>
        <v>114</v>
      </c>
      <c r="W12" s="17">
        <f t="shared" si="4"/>
        <v>1</v>
      </c>
      <c r="X12" s="17">
        <f t="shared" si="4"/>
        <v>0</v>
      </c>
      <c r="Y12" s="17">
        <f t="shared" si="4"/>
        <v>10</v>
      </c>
      <c r="Z12" s="17">
        <f t="shared" si="4"/>
        <v>6</v>
      </c>
      <c r="AA12" s="17">
        <f t="shared" si="4"/>
        <v>0</v>
      </c>
      <c r="AB12" s="17">
        <f t="shared" si="4"/>
        <v>1</v>
      </c>
      <c r="AC12" s="17">
        <f t="shared" si="4"/>
        <v>1020</v>
      </c>
      <c r="AD12" s="17">
        <f t="shared" si="4"/>
        <v>0</v>
      </c>
      <c r="AE12" s="31">
        <f t="shared" si="4"/>
        <v>342</v>
      </c>
      <c r="AF12" s="31">
        <f t="shared" si="4"/>
        <v>1362</v>
      </c>
    </row>
    <row r="13" spans="2:32" ht="23.1" customHeight="1" x14ac:dyDescent="0.25">
      <c r="B13" s="23" t="s">
        <v>40</v>
      </c>
      <c r="C13" s="50">
        <v>49</v>
      </c>
      <c r="D13" s="50">
        <v>7</v>
      </c>
      <c r="E13" s="50">
        <v>1</v>
      </c>
      <c r="F13" s="50">
        <v>16</v>
      </c>
      <c r="G13" s="50">
        <v>0</v>
      </c>
      <c r="H13" s="50">
        <v>0</v>
      </c>
      <c r="I13" s="50">
        <v>5</v>
      </c>
      <c r="J13" s="50">
        <v>0</v>
      </c>
      <c r="K13" s="50">
        <v>0</v>
      </c>
      <c r="L13" s="50">
        <v>0</v>
      </c>
      <c r="M13" s="50">
        <v>250</v>
      </c>
      <c r="N13" s="50">
        <v>0</v>
      </c>
      <c r="O13" s="15">
        <f t="shared" si="0"/>
        <v>78</v>
      </c>
      <c r="P13" s="15">
        <f t="shared" si="1"/>
        <v>328</v>
      </c>
      <c r="R13" s="1" t="s">
        <v>9</v>
      </c>
      <c r="S13" s="17">
        <f t="shared" ref="S13:AF13" si="5">SUM(C22:C25)</f>
        <v>178</v>
      </c>
      <c r="T13" s="17">
        <f t="shared" si="5"/>
        <v>39</v>
      </c>
      <c r="U13" s="17">
        <f t="shared" si="5"/>
        <v>36</v>
      </c>
      <c r="V13" s="17">
        <f t="shared" si="5"/>
        <v>111</v>
      </c>
      <c r="W13" s="17">
        <f t="shared" si="5"/>
        <v>6</v>
      </c>
      <c r="X13" s="17">
        <f t="shared" si="5"/>
        <v>1</v>
      </c>
      <c r="Y13" s="17">
        <f t="shared" si="5"/>
        <v>11</v>
      </c>
      <c r="Z13" s="17">
        <f t="shared" si="5"/>
        <v>10</v>
      </c>
      <c r="AA13" s="17">
        <f t="shared" si="5"/>
        <v>1</v>
      </c>
      <c r="AB13" s="17">
        <f t="shared" si="5"/>
        <v>0</v>
      </c>
      <c r="AC13" s="17">
        <f t="shared" si="5"/>
        <v>1020</v>
      </c>
      <c r="AD13" s="17">
        <f t="shared" si="5"/>
        <v>0</v>
      </c>
      <c r="AE13" s="31">
        <f t="shared" si="5"/>
        <v>393</v>
      </c>
      <c r="AF13" s="31">
        <f t="shared" si="5"/>
        <v>1413</v>
      </c>
    </row>
    <row r="14" spans="2:32" ht="23.1" customHeight="1" x14ac:dyDescent="0.25">
      <c r="B14" s="23" t="s">
        <v>41</v>
      </c>
      <c r="C14" s="50">
        <v>47</v>
      </c>
      <c r="D14" s="50">
        <v>4</v>
      </c>
      <c r="E14" s="50">
        <v>1</v>
      </c>
      <c r="F14" s="50">
        <v>6</v>
      </c>
      <c r="G14" s="50">
        <v>0</v>
      </c>
      <c r="H14" s="50">
        <v>0</v>
      </c>
      <c r="I14" s="50">
        <v>8</v>
      </c>
      <c r="J14" s="50">
        <v>1</v>
      </c>
      <c r="K14" s="50">
        <v>1</v>
      </c>
      <c r="L14" s="50">
        <v>0</v>
      </c>
      <c r="M14" s="50">
        <v>245</v>
      </c>
      <c r="N14" s="50">
        <v>0</v>
      </c>
      <c r="O14" s="15">
        <f t="shared" si="0"/>
        <v>68</v>
      </c>
      <c r="P14" s="15">
        <f t="shared" si="1"/>
        <v>313</v>
      </c>
      <c r="R14" s="1" t="s">
        <v>10</v>
      </c>
      <c r="S14" s="17">
        <f t="shared" ref="S14:AF14" si="6">SUM(C26:C29)</f>
        <v>145</v>
      </c>
      <c r="T14" s="17">
        <f t="shared" si="6"/>
        <v>21</v>
      </c>
      <c r="U14" s="17">
        <f t="shared" si="6"/>
        <v>32</v>
      </c>
      <c r="V14" s="17">
        <f t="shared" si="6"/>
        <v>114</v>
      </c>
      <c r="W14" s="17">
        <f t="shared" si="6"/>
        <v>2</v>
      </c>
      <c r="X14" s="17">
        <f t="shared" si="6"/>
        <v>0</v>
      </c>
      <c r="Y14" s="17">
        <f t="shared" si="6"/>
        <v>10</v>
      </c>
      <c r="Z14" s="17">
        <f t="shared" si="6"/>
        <v>11</v>
      </c>
      <c r="AA14" s="17">
        <f t="shared" si="6"/>
        <v>2</v>
      </c>
      <c r="AB14" s="17">
        <f t="shared" si="6"/>
        <v>0</v>
      </c>
      <c r="AC14" s="17">
        <f t="shared" si="6"/>
        <v>980</v>
      </c>
      <c r="AD14" s="17">
        <f t="shared" si="6"/>
        <v>0</v>
      </c>
      <c r="AE14" s="31">
        <f t="shared" si="6"/>
        <v>337</v>
      </c>
      <c r="AF14" s="31">
        <f t="shared" si="6"/>
        <v>1317</v>
      </c>
    </row>
    <row r="15" spans="2:32" ht="23.1" customHeight="1" x14ac:dyDescent="0.25">
      <c r="B15" s="23" t="s">
        <v>42</v>
      </c>
      <c r="C15" s="50">
        <v>33</v>
      </c>
      <c r="D15" s="50">
        <v>4</v>
      </c>
      <c r="E15" s="50">
        <v>2</v>
      </c>
      <c r="F15" s="50">
        <v>10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250</v>
      </c>
      <c r="N15" s="50">
        <v>0</v>
      </c>
      <c r="O15" s="15">
        <f t="shared" si="0"/>
        <v>52</v>
      </c>
      <c r="P15" s="15">
        <f t="shared" si="1"/>
        <v>302</v>
      </c>
      <c r="R15" s="1" t="s">
        <v>11</v>
      </c>
      <c r="S15" s="17">
        <f t="shared" ref="S15:AF15" si="7">SUM(C30:C33)</f>
        <v>117</v>
      </c>
      <c r="T15" s="17">
        <f t="shared" si="7"/>
        <v>26</v>
      </c>
      <c r="U15" s="17">
        <f t="shared" si="7"/>
        <v>18</v>
      </c>
      <c r="V15" s="17">
        <f t="shared" si="7"/>
        <v>96</v>
      </c>
      <c r="W15" s="17">
        <f t="shared" si="7"/>
        <v>0</v>
      </c>
      <c r="X15" s="17">
        <f t="shared" si="7"/>
        <v>0</v>
      </c>
      <c r="Y15" s="17">
        <f t="shared" si="7"/>
        <v>15</v>
      </c>
      <c r="Z15" s="17">
        <f t="shared" si="7"/>
        <v>8</v>
      </c>
      <c r="AA15" s="17">
        <f t="shared" si="7"/>
        <v>1</v>
      </c>
      <c r="AB15" s="17">
        <f t="shared" si="7"/>
        <v>0</v>
      </c>
      <c r="AC15" s="17">
        <f t="shared" si="7"/>
        <v>940</v>
      </c>
      <c r="AD15" s="17">
        <f t="shared" si="7"/>
        <v>0</v>
      </c>
      <c r="AE15" s="31">
        <f t="shared" si="7"/>
        <v>281</v>
      </c>
      <c r="AF15" s="31">
        <f t="shared" si="7"/>
        <v>1221</v>
      </c>
    </row>
    <row r="16" spans="2:32" ht="23.1" customHeight="1" x14ac:dyDescent="0.25">
      <c r="B16" s="23" t="s">
        <v>43</v>
      </c>
      <c r="C16" s="50">
        <v>20</v>
      </c>
      <c r="D16" s="50">
        <v>4</v>
      </c>
      <c r="E16" s="50">
        <v>3</v>
      </c>
      <c r="F16" s="50">
        <v>12</v>
      </c>
      <c r="G16" s="50">
        <v>1</v>
      </c>
      <c r="H16" s="50">
        <v>0</v>
      </c>
      <c r="I16" s="50">
        <v>1</v>
      </c>
      <c r="J16" s="50">
        <v>3</v>
      </c>
      <c r="K16" s="50">
        <v>0</v>
      </c>
      <c r="L16" s="50">
        <v>0</v>
      </c>
      <c r="M16" s="50">
        <v>245</v>
      </c>
      <c r="N16" s="50">
        <v>0</v>
      </c>
      <c r="O16" s="15">
        <f t="shared" si="0"/>
        <v>44</v>
      </c>
      <c r="P16" s="15">
        <f t="shared" si="1"/>
        <v>289</v>
      </c>
      <c r="R16" s="1" t="s">
        <v>12</v>
      </c>
      <c r="S16" s="17">
        <f t="shared" ref="S16:AF16" si="8">SUM(C34:C37)</f>
        <v>112</v>
      </c>
      <c r="T16" s="17">
        <f t="shared" si="8"/>
        <v>23</v>
      </c>
      <c r="U16" s="17">
        <f t="shared" si="8"/>
        <v>12</v>
      </c>
      <c r="V16" s="17">
        <f t="shared" si="8"/>
        <v>126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12</v>
      </c>
      <c r="AA16" s="17">
        <f t="shared" si="8"/>
        <v>1</v>
      </c>
      <c r="AB16" s="17">
        <f t="shared" si="8"/>
        <v>0</v>
      </c>
      <c r="AC16" s="17">
        <f t="shared" si="8"/>
        <v>905</v>
      </c>
      <c r="AD16" s="17">
        <f t="shared" si="8"/>
        <v>0</v>
      </c>
      <c r="AE16" s="31">
        <f t="shared" si="8"/>
        <v>298</v>
      </c>
      <c r="AF16" s="31">
        <f t="shared" si="8"/>
        <v>1203</v>
      </c>
    </row>
    <row r="17" spans="2:32" ht="23.1" customHeight="1" x14ac:dyDescent="0.25">
      <c r="B17" s="23" t="s">
        <v>44</v>
      </c>
      <c r="C17" s="50">
        <v>36</v>
      </c>
      <c r="D17" s="50">
        <v>6</v>
      </c>
      <c r="E17" s="50">
        <v>6</v>
      </c>
      <c r="F17" s="50">
        <v>19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275</v>
      </c>
      <c r="N17" s="50">
        <v>0</v>
      </c>
      <c r="O17" s="15">
        <f t="shared" si="0"/>
        <v>69</v>
      </c>
      <c r="P17" s="15">
        <f t="shared" si="1"/>
        <v>344</v>
      </c>
      <c r="R17" s="1" t="s">
        <v>13</v>
      </c>
      <c r="S17" s="17">
        <f t="shared" ref="S17:AF17" si="9">SUM(C38:C41)</f>
        <v>124</v>
      </c>
      <c r="T17" s="17">
        <f t="shared" si="9"/>
        <v>66</v>
      </c>
      <c r="U17" s="17">
        <f t="shared" si="9"/>
        <v>12</v>
      </c>
      <c r="V17" s="17">
        <f t="shared" si="9"/>
        <v>101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6</v>
      </c>
      <c r="AA17" s="17">
        <f t="shared" si="9"/>
        <v>0</v>
      </c>
      <c r="AB17" s="17">
        <f t="shared" si="9"/>
        <v>1</v>
      </c>
      <c r="AC17" s="17">
        <f t="shared" si="9"/>
        <v>795</v>
      </c>
      <c r="AD17" s="17">
        <f t="shared" si="9"/>
        <v>0</v>
      </c>
      <c r="AE17" s="31">
        <f t="shared" si="9"/>
        <v>315</v>
      </c>
      <c r="AF17" s="31">
        <f t="shared" si="9"/>
        <v>1110</v>
      </c>
    </row>
    <row r="18" spans="2:32" ht="23.1" customHeight="1" x14ac:dyDescent="0.25">
      <c r="B18" s="23" t="s">
        <v>45</v>
      </c>
      <c r="C18" s="50">
        <v>45</v>
      </c>
      <c r="D18" s="50">
        <v>2</v>
      </c>
      <c r="E18" s="50">
        <v>4</v>
      </c>
      <c r="F18" s="50">
        <v>35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280</v>
      </c>
      <c r="N18" s="50">
        <v>0</v>
      </c>
      <c r="O18" s="15">
        <f t="shared" si="0"/>
        <v>88</v>
      </c>
      <c r="P18" s="15">
        <f t="shared" si="1"/>
        <v>368</v>
      </c>
      <c r="R18" s="1" t="s">
        <v>14</v>
      </c>
      <c r="S18" s="17">
        <f t="shared" ref="S18:AF18" si="10">SUM(C42:C45)</f>
        <v>94</v>
      </c>
      <c r="T18" s="17">
        <f t="shared" si="10"/>
        <v>14</v>
      </c>
      <c r="U18" s="17">
        <f t="shared" si="10"/>
        <v>17</v>
      </c>
      <c r="V18" s="17">
        <f t="shared" si="10"/>
        <v>143</v>
      </c>
      <c r="W18" s="17">
        <f t="shared" si="10"/>
        <v>0</v>
      </c>
      <c r="X18" s="17">
        <f t="shared" si="10"/>
        <v>2</v>
      </c>
      <c r="Y18" s="17">
        <f t="shared" si="10"/>
        <v>0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840</v>
      </c>
      <c r="AD18" s="17">
        <f t="shared" si="10"/>
        <v>0</v>
      </c>
      <c r="AE18" s="31">
        <f t="shared" si="10"/>
        <v>274</v>
      </c>
      <c r="AF18" s="31">
        <f t="shared" si="10"/>
        <v>1114</v>
      </c>
    </row>
    <row r="19" spans="2:32" ht="23.1" customHeight="1" x14ac:dyDescent="0.25">
      <c r="B19" s="23" t="s">
        <v>46</v>
      </c>
      <c r="C19" s="50">
        <v>40</v>
      </c>
      <c r="D19" s="50">
        <v>7</v>
      </c>
      <c r="E19" s="50">
        <v>4</v>
      </c>
      <c r="F19" s="50">
        <v>24</v>
      </c>
      <c r="G19" s="50">
        <v>0</v>
      </c>
      <c r="H19" s="50">
        <v>0</v>
      </c>
      <c r="I19" s="50">
        <v>2</v>
      </c>
      <c r="J19" s="50">
        <v>3</v>
      </c>
      <c r="K19" s="50">
        <v>0</v>
      </c>
      <c r="L19" s="50">
        <v>0</v>
      </c>
      <c r="M19" s="50">
        <v>245</v>
      </c>
      <c r="N19" s="50">
        <v>0</v>
      </c>
      <c r="O19" s="15">
        <f t="shared" si="0"/>
        <v>80</v>
      </c>
      <c r="P19" s="15">
        <f t="shared" si="1"/>
        <v>325</v>
      </c>
      <c r="R19" s="1" t="s">
        <v>15</v>
      </c>
      <c r="S19" s="17">
        <f t="shared" ref="S19:AF19" si="11">SUM(C46:C49)</f>
        <v>101</v>
      </c>
      <c r="T19" s="17">
        <f t="shared" si="11"/>
        <v>13</v>
      </c>
      <c r="U19" s="17">
        <f t="shared" si="11"/>
        <v>20</v>
      </c>
      <c r="V19" s="17">
        <f t="shared" si="11"/>
        <v>125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6</v>
      </c>
      <c r="AA19" s="17">
        <f t="shared" si="11"/>
        <v>0</v>
      </c>
      <c r="AB19" s="17">
        <f t="shared" si="11"/>
        <v>0</v>
      </c>
      <c r="AC19" s="17">
        <f t="shared" si="11"/>
        <v>895</v>
      </c>
      <c r="AD19" s="17">
        <f t="shared" si="11"/>
        <v>0</v>
      </c>
      <c r="AE19" s="31">
        <f t="shared" si="11"/>
        <v>275</v>
      </c>
      <c r="AF19" s="31">
        <f t="shared" si="11"/>
        <v>1170</v>
      </c>
    </row>
    <row r="20" spans="2:32" ht="23.1" customHeight="1" x14ac:dyDescent="0.25">
      <c r="B20" s="23" t="s">
        <v>47</v>
      </c>
      <c r="C20" s="50">
        <v>43</v>
      </c>
      <c r="D20" s="50">
        <v>6</v>
      </c>
      <c r="E20" s="50">
        <v>4</v>
      </c>
      <c r="F20" s="50">
        <v>18</v>
      </c>
      <c r="G20" s="50">
        <v>0</v>
      </c>
      <c r="H20" s="50">
        <v>0</v>
      </c>
      <c r="I20" s="50">
        <v>4</v>
      </c>
      <c r="J20" s="50">
        <v>1</v>
      </c>
      <c r="K20" s="50">
        <v>0</v>
      </c>
      <c r="L20" s="50">
        <v>1</v>
      </c>
      <c r="M20" s="50">
        <v>245</v>
      </c>
      <c r="N20" s="50">
        <v>0</v>
      </c>
      <c r="O20" s="15">
        <f t="shared" si="0"/>
        <v>77</v>
      </c>
      <c r="P20" s="15">
        <f t="shared" si="1"/>
        <v>322</v>
      </c>
      <c r="R20" s="1" t="s">
        <v>16</v>
      </c>
      <c r="S20" s="17">
        <f t="shared" ref="S20:AF20" si="12">SUM(C50:C53)</f>
        <v>88</v>
      </c>
      <c r="T20" s="17">
        <f t="shared" si="12"/>
        <v>16</v>
      </c>
      <c r="U20" s="17">
        <f t="shared" si="12"/>
        <v>37</v>
      </c>
      <c r="V20" s="17">
        <f t="shared" si="12"/>
        <v>97</v>
      </c>
      <c r="W20" s="17">
        <f t="shared" si="12"/>
        <v>1</v>
      </c>
      <c r="X20" s="17">
        <f t="shared" si="12"/>
        <v>0</v>
      </c>
      <c r="Y20" s="17">
        <f t="shared" si="12"/>
        <v>6</v>
      </c>
      <c r="Z20" s="17">
        <f t="shared" si="12"/>
        <v>4</v>
      </c>
      <c r="AA20" s="17">
        <f t="shared" si="12"/>
        <v>0</v>
      </c>
      <c r="AB20" s="17">
        <f t="shared" si="12"/>
        <v>0</v>
      </c>
      <c r="AC20" s="17">
        <f t="shared" si="12"/>
        <v>840</v>
      </c>
      <c r="AD20" s="17">
        <f t="shared" si="12"/>
        <v>0</v>
      </c>
      <c r="AE20" s="31">
        <f t="shared" si="12"/>
        <v>249</v>
      </c>
      <c r="AF20" s="31">
        <f t="shared" si="12"/>
        <v>1089</v>
      </c>
    </row>
    <row r="21" spans="2:32" ht="23.1" customHeight="1" x14ac:dyDescent="0.25">
      <c r="B21" s="23" t="s">
        <v>48</v>
      </c>
      <c r="C21" s="50">
        <v>41</v>
      </c>
      <c r="D21" s="50">
        <v>7</v>
      </c>
      <c r="E21" s="50">
        <v>7</v>
      </c>
      <c r="F21" s="50">
        <v>37</v>
      </c>
      <c r="G21" s="50">
        <v>1</v>
      </c>
      <c r="H21" s="50">
        <v>0</v>
      </c>
      <c r="I21" s="50">
        <v>3</v>
      </c>
      <c r="J21" s="50">
        <v>1</v>
      </c>
      <c r="K21" s="50">
        <v>0</v>
      </c>
      <c r="L21" s="50">
        <v>0</v>
      </c>
      <c r="M21" s="50">
        <v>250</v>
      </c>
      <c r="N21" s="50">
        <v>0</v>
      </c>
      <c r="O21" s="15">
        <f t="shared" si="0"/>
        <v>97</v>
      </c>
      <c r="P21" s="15">
        <f t="shared" si="1"/>
        <v>347</v>
      </c>
      <c r="R21" s="36" t="s">
        <v>20</v>
      </c>
      <c r="S21" s="34">
        <f t="shared" ref="S21:AF21" si="13">SUM(C54:C57)</f>
        <v>79</v>
      </c>
      <c r="T21" s="17">
        <f t="shared" si="13"/>
        <v>11</v>
      </c>
      <c r="U21" s="17">
        <f t="shared" si="13"/>
        <v>9</v>
      </c>
      <c r="V21" s="17">
        <f t="shared" si="13"/>
        <v>125</v>
      </c>
      <c r="W21" s="17">
        <f t="shared" si="13"/>
        <v>1</v>
      </c>
      <c r="X21" s="17">
        <f t="shared" si="13"/>
        <v>0</v>
      </c>
      <c r="Y21" s="17">
        <f t="shared" si="13"/>
        <v>6</v>
      </c>
      <c r="Z21" s="17">
        <f t="shared" si="13"/>
        <v>2</v>
      </c>
      <c r="AA21" s="17">
        <f t="shared" si="13"/>
        <v>1</v>
      </c>
      <c r="AB21" s="17">
        <f t="shared" si="13"/>
        <v>1</v>
      </c>
      <c r="AC21" s="17">
        <f t="shared" si="13"/>
        <v>845</v>
      </c>
      <c r="AD21" s="17">
        <f t="shared" si="13"/>
        <v>0</v>
      </c>
      <c r="AE21" s="31">
        <f t="shared" si="13"/>
        <v>235</v>
      </c>
      <c r="AF21" s="31">
        <f t="shared" si="13"/>
        <v>1080</v>
      </c>
    </row>
    <row r="22" spans="2:32" ht="23.1" customHeight="1" x14ac:dyDescent="0.25">
      <c r="B22" s="23" t="s">
        <v>49</v>
      </c>
      <c r="C22" s="50">
        <v>49</v>
      </c>
      <c r="D22" s="50">
        <v>13</v>
      </c>
      <c r="E22" s="50">
        <v>10</v>
      </c>
      <c r="F22" s="50">
        <v>33</v>
      </c>
      <c r="G22" s="50">
        <v>1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270</v>
      </c>
      <c r="N22" s="50">
        <v>0</v>
      </c>
      <c r="O22" s="15">
        <f t="shared" si="0"/>
        <v>107</v>
      </c>
      <c r="P22" s="15">
        <f t="shared" si="1"/>
        <v>377</v>
      </c>
      <c r="R22" s="38" t="s">
        <v>90</v>
      </c>
      <c r="S22" s="39">
        <f>MAX(S10:S12)</f>
        <v>169</v>
      </c>
      <c r="T22" s="39">
        <f t="shared" ref="T22:AF22" si="14">MAX(T10:T12)</f>
        <v>22</v>
      </c>
      <c r="U22" s="39">
        <f t="shared" si="14"/>
        <v>19</v>
      </c>
      <c r="V22" s="39">
        <f t="shared" si="14"/>
        <v>114</v>
      </c>
      <c r="W22" s="39">
        <f t="shared" si="14"/>
        <v>1</v>
      </c>
      <c r="X22" s="39">
        <f t="shared" si="14"/>
        <v>0</v>
      </c>
      <c r="Y22" s="39">
        <f t="shared" si="14"/>
        <v>18</v>
      </c>
      <c r="Z22" s="39">
        <f t="shared" si="14"/>
        <v>6</v>
      </c>
      <c r="AA22" s="39">
        <f t="shared" si="14"/>
        <v>1</v>
      </c>
      <c r="AB22" s="39">
        <f t="shared" si="14"/>
        <v>1</v>
      </c>
      <c r="AC22" s="39">
        <f t="shared" si="14"/>
        <v>1020</v>
      </c>
      <c r="AD22" s="39">
        <f t="shared" si="14"/>
        <v>0</v>
      </c>
      <c r="AE22" s="40">
        <f t="shared" si="14"/>
        <v>342</v>
      </c>
      <c r="AF22" s="40">
        <f t="shared" si="14"/>
        <v>1362</v>
      </c>
    </row>
    <row r="23" spans="2:32" ht="23.1" customHeight="1" x14ac:dyDescent="0.25">
      <c r="B23" s="23" t="s">
        <v>50</v>
      </c>
      <c r="C23" s="50">
        <v>50</v>
      </c>
      <c r="D23" s="50">
        <v>8</v>
      </c>
      <c r="E23" s="50">
        <v>9</v>
      </c>
      <c r="F23" s="50">
        <v>23</v>
      </c>
      <c r="G23" s="50">
        <v>4</v>
      </c>
      <c r="H23" s="50">
        <v>0</v>
      </c>
      <c r="I23" s="50">
        <v>4</v>
      </c>
      <c r="J23" s="50">
        <v>5</v>
      </c>
      <c r="K23" s="50">
        <v>0</v>
      </c>
      <c r="L23" s="50">
        <v>0</v>
      </c>
      <c r="M23" s="50">
        <v>245</v>
      </c>
      <c r="N23" s="50">
        <v>0</v>
      </c>
      <c r="O23" s="15">
        <f t="shared" si="0"/>
        <v>103</v>
      </c>
      <c r="P23" s="15">
        <f t="shared" si="1"/>
        <v>348</v>
      </c>
      <c r="R23" s="38" t="s">
        <v>91</v>
      </c>
      <c r="S23" s="39">
        <f>MAX(S13:S18)</f>
        <v>178</v>
      </c>
      <c r="T23" s="39">
        <f t="shared" ref="T23:AF23" si="15">MAX(T13:T18)</f>
        <v>66</v>
      </c>
      <c r="U23" s="39">
        <f t="shared" si="15"/>
        <v>36</v>
      </c>
      <c r="V23" s="39">
        <f t="shared" si="15"/>
        <v>143</v>
      </c>
      <c r="W23" s="39">
        <f t="shared" si="15"/>
        <v>6</v>
      </c>
      <c r="X23" s="39">
        <f t="shared" si="15"/>
        <v>2</v>
      </c>
      <c r="Y23" s="39">
        <f t="shared" si="15"/>
        <v>15</v>
      </c>
      <c r="Z23" s="39">
        <f t="shared" si="15"/>
        <v>12</v>
      </c>
      <c r="AA23" s="39">
        <f t="shared" si="15"/>
        <v>2</v>
      </c>
      <c r="AB23" s="39">
        <f t="shared" si="15"/>
        <v>1</v>
      </c>
      <c r="AC23" s="39">
        <f t="shared" si="15"/>
        <v>1020</v>
      </c>
      <c r="AD23" s="39">
        <f t="shared" si="15"/>
        <v>0</v>
      </c>
      <c r="AE23" s="40">
        <f t="shared" si="15"/>
        <v>393</v>
      </c>
      <c r="AF23" s="40">
        <f t="shared" si="15"/>
        <v>1413</v>
      </c>
    </row>
    <row r="24" spans="2:32" ht="23.1" customHeight="1" x14ac:dyDescent="0.25">
      <c r="B24" s="23" t="s">
        <v>51</v>
      </c>
      <c r="C24" s="50">
        <v>40</v>
      </c>
      <c r="D24" s="50">
        <v>9</v>
      </c>
      <c r="E24" s="50">
        <v>6</v>
      </c>
      <c r="F24" s="50">
        <v>25</v>
      </c>
      <c r="G24" s="50">
        <v>0</v>
      </c>
      <c r="H24" s="50">
        <v>0</v>
      </c>
      <c r="I24" s="50">
        <v>2</v>
      </c>
      <c r="J24" s="50">
        <v>2</v>
      </c>
      <c r="K24" s="50">
        <v>0</v>
      </c>
      <c r="L24" s="50">
        <v>0</v>
      </c>
      <c r="M24" s="50">
        <v>245</v>
      </c>
      <c r="N24" s="50">
        <v>0</v>
      </c>
      <c r="O24" s="15">
        <f t="shared" si="0"/>
        <v>84</v>
      </c>
      <c r="P24" s="15">
        <f t="shared" si="1"/>
        <v>329</v>
      </c>
      <c r="R24" s="38" t="s">
        <v>92</v>
      </c>
      <c r="S24" s="39">
        <f>MAX(S19:S21)</f>
        <v>101</v>
      </c>
      <c r="T24" s="39">
        <f t="shared" ref="T24:AF24" si="16">MAX(T19:T21)</f>
        <v>16</v>
      </c>
      <c r="U24" s="39">
        <f t="shared" si="16"/>
        <v>37</v>
      </c>
      <c r="V24" s="39">
        <f t="shared" si="16"/>
        <v>125</v>
      </c>
      <c r="W24" s="39">
        <f t="shared" si="16"/>
        <v>1</v>
      </c>
      <c r="X24" s="39">
        <f t="shared" si="16"/>
        <v>0</v>
      </c>
      <c r="Y24" s="39">
        <f t="shared" si="16"/>
        <v>10</v>
      </c>
      <c r="Z24" s="39">
        <f t="shared" si="16"/>
        <v>6</v>
      </c>
      <c r="AA24" s="39">
        <f t="shared" si="16"/>
        <v>1</v>
      </c>
      <c r="AB24" s="39">
        <f t="shared" si="16"/>
        <v>1</v>
      </c>
      <c r="AC24" s="39">
        <f t="shared" si="16"/>
        <v>895</v>
      </c>
      <c r="AD24" s="39">
        <f t="shared" si="16"/>
        <v>0</v>
      </c>
      <c r="AE24" s="40">
        <f t="shared" si="16"/>
        <v>275</v>
      </c>
      <c r="AF24" s="40">
        <f t="shared" si="16"/>
        <v>1170</v>
      </c>
    </row>
    <row r="25" spans="2:32" ht="23.1" customHeight="1" x14ac:dyDescent="0.25">
      <c r="B25" s="23" t="s">
        <v>52</v>
      </c>
      <c r="C25" s="50">
        <v>39</v>
      </c>
      <c r="D25" s="50">
        <v>9</v>
      </c>
      <c r="E25" s="50">
        <v>11</v>
      </c>
      <c r="F25" s="50">
        <v>30</v>
      </c>
      <c r="G25" s="50">
        <v>1</v>
      </c>
      <c r="H25" s="50">
        <v>1</v>
      </c>
      <c r="I25" s="50">
        <v>5</v>
      </c>
      <c r="J25" s="50">
        <v>2</v>
      </c>
      <c r="K25" s="50">
        <v>1</v>
      </c>
      <c r="L25" s="50">
        <v>0</v>
      </c>
      <c r="M25" s="50">
        <v>260</v>
      </c>
      <c r="N25" s="50">
        <v>0</v>
      </c>
      <c r="O25" s="15">
        <f t="shared" si="0"/>
        <v>99</v>
      </c>
      <c r="P25" s="15">
        <f t="shared" si="1"/>
        <v>359</v>
      </c>
      <c r="R25" s="37" t="s">
        <v>85</v>
      </c>
      <c r="S25" s="35">
        <f t="shared" ref="S25:AF25" si="17">SUM(S10:S12)</f>
        <v>469</v>
      </c>
      <c r="T25" s="16">
        <f t="shared" si="17"/>
        <v>61</v>
      </c>
      <c r="U25" s="16">
        <f t="shared" si="17"/>
        <v>42</v>
      </c>
      <c r="V25" s="16">
        <f t="shared" si="17"/>
        <v>219</v>
      </c>
      <c r="W25" s="16">
        <f t="shared" si="17"/>
        <v>2</v>
      </c>
      <c r="X25" s="16">
        <f t="shared" si="17"/>
        <v>0</v>
      </c>
      <c r="Y25" s="16">
        <f t="shared" si="17"/>
        <v>41</v>
      </c>
      <c r="Z25" s="16">
        <f t="shared" si="17"/>
        <v>15</v>
      </c>
      <c r="AA25" s="16">
        <f t="shared" si="17"/>
        <v>1</v>
      </c>
      <c r="AB25" s="16">
        <f t="shared" si="17"/>
        <v>1</v>
      </c>
      <c r="AC25" s="16">
        <f t="shared" si="17"/>
        <v>3000</v>
      </c>
      <c r="AD25" s="16">
        <f t="shared" si="17"/>
        <v>0</v>
      </c>
      <c r="AE25" s="32">
        <f t="shared" si="17"/>
        <v>851</v>
      </c>
      <c r="AF25" s="32">
        <f t="shared" si="17"/>
        <v>3851</v>
      </c>
    </row>
    <row r="26" spans="2:32" ht="23.1" customHeight="1" x14ac:dyDescent="0.25">
      <c r="B26" s="23" t="s">
        <v>53</v>
      </c>
      <c r="C26" s="50">
        <v>30</v>
      </c>
      <c r="D26" s="50">
        <v>10</v>
      </c>
      <c r="E26" s="50">
        <v>6</v>
      </c>
      <c r="F26" s="50">
        <v>23</v>
      </c>
      <c r="G26" s="50">
        <v>0</v>
      </c>
      <c r="H26" s="50">
        <v>0</v>
      </c>
      <c r="I26" s="50">
        <v>2</v>
      </c>
      <c r="J26" s="50">
        <v>0</v>
      </c>
      <c r="K26" s="50">
        <v>1</v>
      </c>
      <c r="L26" s="50">
        <v>0</v>
      </c>
      <c r="M26" s="50">
        <v>245</v>
      </c>
      <c r="N26" s="50">
        <v>0</v>
      </c>
      <c r="O26" s="15">
        <f t="shared" si="0"/>
        <v>72</v>
      </c>
      <c r="P26" s="15">
        <f t="shared" si="1"/>
        <v>317</v>
      </c>
      <c r="R26" s="28" t="s">
        <v>86</v>
      </c>
      <c r="S26" s="16">
        <f t="shared" ref="S26:AF26" si="18">SUM(S13:S18)</f>
        <v>770</v>
      </c>
      <c r="T26" s="16">
        <f t="shared" si="18"/>
        <v>189</v>
      </c>
      <c r="U26" s="16">
        <f t="shared" si="18"/>
        <v>127</v>
      </c>
      <c r="V26" s="16">
        <f t="shared" si="18"/>
        <v>691</v>
      </c>
      <c r="W26" s="16">
        <f t="shared" si="18"/>
        <v>8</v>
      </c>
      <c r="X26" s="16">
        <f t="shared" si="18"/>
        <v>3</v>
      </c>
      <c r="Y26" s="16">
        <f t="shared" si="18"/>
        <v>53</v>
      </c>
      <c r="Z26" s="16">
        <f t="shared" si="18"/>
        <v>51</v>
      </c>
      <c r="AA26" s="16">
        <f t="shared" si="18"/>
        <v>5</v>
      </c>
      <c r="AB26" s="16">
        <f t="shared" si="18"/>
        <v>1</v>
      </c>
      <c r="AC26" s="16">
        <f t="shared" si="18"/>
        <v>5480</v>
      </c>
      <c r="AD26" s="16">
        <f t="shared" si="18"/>
        <v>0</v>
      </c>
      <c r="AE26" s="32">
        <f t="shared" si="18"/>
        <v>1898</v>
      </c>
      <c r="AF26" s="32">
        <f t="shared" si="18"/>
        <v>7378</v>
      </c>
    </row>
    <row r="27" spans="2:32" ht="23.1" customHeight="1" x14ac:dyDescent="0.25">
      <c r="B27" s="23" t="s">
        <v>54</v>
      </c>
      <c r="C27" s="50">
        <v>39</v>
      </c>
      <c r="D27" s="50">
        <v>2</v>
      </c>
      <c r="E27" s="50">
        <v>12</v>
      </c>
      <c r="F27" s="50">
        <v>23</v>
      </c>
      <c r="G27" s="50">
        <v>2</v>
      </c>
      <c r="H27" s="50">
        <v>0</v>
      </c>
      <c r="I27" s="50">
        <v>3</v>
      </c>
      <c r="J27" s="50">
        <v>2</v>
      </c>
      <c r="K27" s="50">
        <v>1</v>
      </c>
      <c r="L27" s="50">
        <v>0</v>
      </c>
      <c r="M27" s="50">
        <v>250</v>
      </c>
      <c r="N27" s="50">
        <v>0</v>
      </c>
      <c r="O27" s="15">
        <f t="shared" si="0"/>
        <v>84</v>
      </c>
      <c r="P27" s="15">
        <f t="shared" si="1"/>
        <v>334</v>
      </c>
      <c r="R27" s="29" t="s">
        <v>87</v>
      </c>
      <c r="S27" s="16">
        <f t="shared" ref="S27:AF27" si="19">SUM(S19:S21)</f>
        <v>268</v>
      </c>
      <c r="T27" s="16">
        <f t="shared" si="19"/>
        <v>40</v>
      </c>
      <c r="U27" s="16">
        <f t="shared" si="19"/>
        <v>66</v>
      </c>
      <c r="V27" s="16">
        <f t="shared" si="19"/>
        <v>347</v>
      </c>
      <c r="W27" s="16">
        <f t="shared" si="19"/>
        <v>2</v>
      </c>
      <c r="X27" s="16">
        <f t="shared" si="19"/>
        <v>0</v>
      </c>
      <c r="Y27" s="16">
        <f t="shared" si="19"/>
        <v>22</v>
      </c>
      <c r="Z27" s="16">
        <f t="shared" si="19"/>
        <v>12</v>
      </c>
      <c r="AA27" s="16">
        <f t="shared" si="19"/>
        <v>1</v>
      </c>
      <c r="AB27" s="16">
        <f t="shared" si="19"/>
        <v>1</v>
      </c>
      <c r="AC27" s="16">
        <f t="shared" si="19"/>
        <v>2580</v>
      </c>
      <c r="AD27" s="16">
        <f t="shared" si="19"/>
        <v>0</v>
      </c>
      <c r="AE27" s="32">
        <f t="shared" si="19"/>
        <v>759</v>
      </c>
      <c r="AF27" s="32">
        <f t="shared" si="19"/>
        <v>3339</v>
      </c>
    </row>
    <row r="28" spans="2:32" ht="23.1" customHeight="1" x14ac:dyDescent="0.25">
      <c r="B28" s="23" t="s">
        <v>55</v>
      </c>
      <c r="C28" s="50">
        <v>52</v>
      </c>
      <c r="D28" s="50">
        <v>4</v>
      </c>
      <c r="E28" s="50">
        <v>9</v>
      </c>
      <c r="F28" s="50">
        <v>40</v>
      </c>
      <c r="G28" s="50">
        <v>0</v>
      </c>
      <c r="H28" s="50">
        <v>0</v>
      </c>
      <c r="I28" s="50">
        <v>3</v>
      </c>
      <c r="J28" s="50">
        <v>4</v>
      </c>
      <c r="K28" s="50">
        <v>0</v>
      </c>
      <c r="L28" s="50">
        <v>0</v>
      </c>
      <c r="M28" s="50">
        <v>245</v>
      </c>
      <c r="N28" s="50">
        <v>0</v>
      </c>
      <c r="O28" s="15">
        <f t="shared" si="0"/>
        <v>112</v>
      </c>
      <c r="P28" s="15">
        <f t="shared" si="1"/>
        <v>357</v>
      </c>
      <c r="R28" s="5" t="s">
        <v>17</v>
      </c>
      <c r="S28" s="16">
        <f t="shared" ref="S28:AF28" si="20">SUM(S10:S21)</f>
        <v>1507</v>
      </c>
      <c r="T28" s="16">
        <f t="shared" si="20"/>
        <v>290</v>
      </c>
      <c r="U28" s="16">
        <f t="shared" si="20"/>
        <v>235</v>
      </c>
      <c r="V28" s="16">
        <f t="shared" si="20"/>
        <v>1257</v>
      </c>
      <c r="W28" s="16">
        <f t="shared" si="20"/>
        <v>12</v>
      </c>
      <c r="X28" s="16">
        <f t="shared" si="20"/>
        <v>3</v>
      </c>
      <c r="Y28" s="16">
        <f t="shared" si="20"/>
        <v>116</v>
      </c>
      <c r="Z28" s="16">
        <f t="shared" si="20"/>
        <v>78</v>
      </c>
      <c r="AA28" s="16">
        <f t="shared" si="20"/>
        <v>7</v>
      </c>
      <c r="AB28" s="16">
        <f t="shared" si="20"/>
        <v>3</v>
      </c>
      <c r="AC28" s="16">
        <f t="shared" si="20"/>
        <v>11060</v>
      </c>
      <c r="AD28" s="16">
        <f t="shared" si="20"/>
        <v>0</v>
      </c>
      <c r="AE28" s="32">
        <f t="shared" si="20"/>
        <v>3508</v>
      </c>
      <c r="AF28" s="32">
        <f t="shared" si="20"/>
        <v>14568</v>
      </c>
    </row>
    <row r="29" spans="2:32" ht="23.1" customHeight="1" x14ac:dyDescent="0.25">
      <c r="B29" s="23" t="s">
        <v>56</v>
      </c>
      <c r="C29" s="50">
        <v>24</v>
      </c>
      <c r="D29" s="50">
        <v>5</v>
      </c>
      <c r="E29" s="50">
        <v>5</v>
      </c>
      <c r="F29" s="50">
        <v>28</v>
      </c>
      <c r="G29" s="50">
        <v>0</v>
      </c>
      <c r="H29" s="50">
        <v>0</v>
      </c>
      <c r="I29" s="50">
        <v>2</v>
      </c>
      <c r="J29" s="50">
        <v>5</v>
      </c>
      <c r="K29" s="50">
        <v>0</v>
      </c>
      <c r="L29" s="50">
        <v>0</v>
      </c>
      <c r="M29" s="50">
        <v>240</v>
      </c>
      <c r="N29" s="50">
        <v>0</v>
      </c>
      <c r="O29" s="15">
        <f t="shared" si="0"/>
        <v>69</v>
      </c>
      <c r="P29" s="15">
        <f t="shared" si="1"/>
        <v>309</v>
      </c>
      <c r="R29"/>
      <c r="S29" s="20"/>
      <c r="T29" s="19"/>
    </row>
    <row r="30" spans="2:32" ht="23.1" customHeight="1" x14ac:dyDescent="0.25">
      <c r="B30" s="23" t="s">
        <v>57</v>
      </c>
      <c r="C30" s="50">
        <v>41</v>
      </c>
      <c r="D30" s="50">
        <v>2</v>
      </c>
      <c r="E30" s="50">
        <v>3</v>
      </c>
      <c r="F30" s="50">
        <v>30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235</v>
      </c>
      <c r="N30" s="50">
        <v>0</v>
      </c>
      <c r="O30" s="15">
        <f t="shared" si="0"/>
        <v>80</v>
      </c>
      <c r="P30" s="15">
        <f t="shared" si="1"/>
        <v>315</v>
      </c>
    </row>
    <row r="31" spans="2:32" ht="23.1" customHeight="1" x14ac:dyDescent="0.25">
      <c r="B31" s="24" t="s">
        <v>58</v>
      </c>
      <c r="C31" s="50">
        <v>22</v>
      </c>
      <c r="D31" s="50">
        <v>11</v>
      </c>
      <c r="E31" s="50">
        <v>7</v>
      </c>
      <c r="F31" s="50">
        <v>30</v>
      </c>
      <c r="G31" s="50">
        <v>0</v>
      </c>
      <c r="H31" s="50">
        <v>0</v>
      </c>
      <c r="I31" s="50">
        <v>3</v>
      </c>
      <c r="J31" s="50">
        <v>1</v>
      </c>
      <c r="K31" s="50">
        <v>0</v>
      </c>
      <c r="L31" s="50">
        <v>0</v>
      </c>
      <c r="M31" s="50">
        <v>210</v>
      </c>
      <c r="N31" s="50">
        <v>0</v>
      </c>
      <c r="O31" s="15">
        <f t="shared" si="0"/>
        <v>74</v>
      </c>
      <c r="P31" s="15">
        <f t="shared" si="1"/>
        <v>284</v>
      </c>
    </row>
    <row r="32" spans="2:32" ht="23.1" customHeight="1" x14ac:dyDescent="0.25">
      <c r="B32" s="24" t="s">
        <v>59</v>
      </c>
      <c r="C32" s="50">
        <v>31</v>
      </c>
      <c r="D32" s="50">
        <v>8</v>
      </c>
      <c r="E32" s="50">
        <v>4</v>
      </c>
      <c r="F32" s="50">
        <v>21</v>
      </c>
      <c r="G32" s="50">
        <v>0</v>
      </c>
      <c r="H32" s="50">
        <v>0</v>
      </c>
      <c r="I32" s="50">
        <v>3</v>
      </c>
      <c r="J32" s="50">
        <v>4</v>
      </c>
      <c r="K32" s="50">
        <v>1</v>
      </c>
      <c r="L32" s="50">
        <v>0</v>
      </c>
      <c r="M32" s="50">
        <v>245</v>
      </c>
      <c r="N32" s="50">
        <v>0</v>
      </c>
      <c r="O32" s="15">
        <f t="shared" si="0"/>
        <v>72</v>
      </c>
      <c r="P32" s="15">
        <f t="shared" si="1"/>
        <v>317</v>
      </c>
    </row>
    <row r="33" spans="2:20" ht="23.1" customHeight="1" x14ac:dyDescent="0.25">
      <c r="B33" s="23" t="s">
        <v>60</v>
      </c>
      <c r="C33" s="50">
        <v>23</v>
      </c>
      <c r="D33" s="50">
        <v>5</v>
      </c>
      <c r="E33" s="50">
        <v>4</v>
      </c>
      <c r="F33" s="50">
        <v>15</v>
      </c>
      <c r="G33" s="50">
        <v>0</v>
      </c>
      <c r="H33" s="50">
        <v>0</v>
      </c>
      <c r="I33" s="50">
        <v>6</v>
      </c>
      <c r="J33" s="50">
        <v>2</v>
      </c>
      <c r="K33" s="50">
        <v>0</v>
      </c>
      <c r="L33" s="50">
        <v>0</v>
      </c>
      <c r="M33" s="50">
        <v>250</v>
      </c>
      <c r="N33" s="50">
        <v>0</v>
      </c>
      <c r="O33" s="15">
        <f t="shared" si="0"/>
        <v>55</v>
      </c>
      <c r="P33" s="15">
        <f t="shared" si="1"/>
        <v>305</v>
      </c>
    </row>
    <row r="34" spans="2:20" ht="23.1" customHeight="1" x14ac:dyDescent="0.25">
      <c r="B34" s="24" t="s">
        <v>61</v>
      </c>
      <c r="C34" s="50">
        <v>31</v>
      </c>
      <c r="D34" s="50">
        <v>7</v>
      </c>
      <c r="E34" s="50">
        <v>0</v>
      </c>
      <c r="F34" s="50">
        <v>20</v>
      </c>
      <c r="G34" s="50">
        <v>0</v>
      </c>
      <c r="H34" s="50">
        <v>0</v>
      </c>
      <c r="I34" s="50">
        <v>5</v>
      </c>
      <c r="J34" s="50">
        <v>6</v>
      </c>
      <c r="K34" s="50">
        <v>0</v>
      </c>
      <c r="L34" s="50">
        <v>0</v>
      </c>
      <c r="M34" s="50">
        <v>240</v>
      </c>
      <c r="N34" s="50">
        <v>0</v>
      </c>
      <c r="O34" s="15">
        <f t="shared" si="0"/>
        <v>69</v>
      </c>
      <c r="P34" s="15">
        <f t="shared" si="1"/>
        <v>309</v>
      </c>
    </row>
    <row r="35" spans="2:20" ht="23.1" customHeight="1" x14ac:dyDescent="0.25">
      <c r="B35" s="24" t="s">
        <v>62</v>
      </c>
      <c r="C35" s="50">
        <v>31</v>
      </c>
      <c r="D35" s="50">
        <v>8</v>
      </c>
      <c r="E35" s="50">
        <v>4</v>
      </c>
      <c r="F35" s="50">
        <v>40</v>
      </c>
      <c r="G35" s="50">
        <v>0</v>
      </c>
      <c r="H35" s="50">
        <v>0</v>
      </c>
      <c r="I35" s="50">
        <v>4</v>
      </c>
      <c r="J35" s="50">
        <v>2</v>
      </c>
      <c r="K35" s="50">
        <v>1</v>
      </c>
      <c r="L35" s="50">
        <v>0</v>
      </c>
      <c r="M35" s="50">
        <v>245</v>
      </c>
      <c r="N35" s="50">
        <v>0</v>
      </c>
      <c r="O35" s="15">
        <f t="shared" si="0"/>
        <v>90</v>
      </c>
      <c r="P35" s="15">
        <f t="shared" si="1"/>
        <v>335</v>
      </c>
    </row>
    <row r="36" spans="2:20" ht="23.1" customHeight="1" x14ac:dyDescent="0.25">
      <c r="B36" s="24" t="s">
        <v>63</v>
      </c>
      <c r="C36" s="50">
        <v>25</v>
      </c>
      <c r="D36" s="50">
        <v>4</v>
      </c>
      <c r="E36" s="50">
        <v>6</v>
      </c>
      <c r="F36" s="50">
        <v>32</v>
      </c>
      <c r="G36" s="50">
        <v>0</v>
      </c>
      <c r="H36" s="50">
        <v>0</v>
      </c>
      <c r="I36" s="50">
        <v>3</v>
      </c>
      <c r="J36" s="50">
        <v>3</v>
      </c>
      <c r="K36" s="50">
        <v>0</v>
      </c>
      <c r="L36" s="50">
        <v>0</v>
      </c>
      <c r="M36" s="50">
        <v>210</v>
      </c>
      <c r="N36" s="50">
        <v>0</v>
      </c>
      <c r="O36" s="15">
        <f t="shared" si="0"/>
        <v>73</v>
      </c>
      <c r="P36" s="15">
        <f t="shared" si="1"/>
        <v>283</v>
      </c>
    </row>
    <row r="37" spans="2:20" ht="23.1" customHeight="1" x14ac:dyDescent="0.25">
      <c r="B37" s="23" t="s">
        <v>64</v>
      </c>
      <c r="C37" s="50">
        <v>25</v>
      </c>
      <c r="D37" s="50">
        <v>4</v>
      </c>
      <c r="E37" s="50">
        <v>2</v>
      </c>
      <c r="F37" s="50">
        <v>34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210</v>
      </c>
      <c r="N37" s="50">
        <v>0</v>
      </c>
      <c r="O37" s="15">
        <f t="shared" si="0"/>
        <v>66</v>
      </c>
      <c r="P37" s="15">
        <f t="shared" si="1"/>
        <v>276</v>
      </c>
    </row>
    <row r="38" spans="2:20" ht="23.1" customHeight="1" x14ac:dyDescent="0.25">
      <c r="B38" s="24" t="s">
        <v>65</v>
      </c>
      <c r="C38" s="50">
        <v>22</v>
      </c>
      <c r="D38" s="50">
        <v>13</v>
      </c>
      <c r="E38" s="50">
        <v>4</v>
      </c>
      <c r="F38" s="50">
        <v>33</v>
      </c>
      <c r="G38" s="50">
        <v>0</v>
      </c>
      <c r="H38" s="50">
        <v>0</v>
      </c>
      <c r="I38" s="50">
        <v>1</v>
      </c>
      <c r="J38" s="50">
        <v>2</v>
      </c>
      <c r="K38" s="50">
        <v>0</v>
      </c>
      <c r="L38" s="50">
        <v>0</v>
      </c>
      <c r="M38" s="50">
        <v>235</v>
      </c>
      <c r="N38" s="50">
        <v>0</v>
      </c>
      <c r="O38" s="15">
        <f t="shared" si="0"/>
        <v>75</v>
      </c>
      <c r="P38" s="15">
        <f t="shared" si="1"/>
        <v>310</v>
      </c>
    </row>
    <row r="39" spans="2:20" ht="23.1" customHeight="1" x14ac:dyDescent="0.25">
      <c r="B39" s="24" t="s">
        <v>66</v>
      </c>
      <c r="C39" s="50">
        <v>35</v>
      </c>
      <c r="D39" s="50">
        <v>17</v>
      </c>
      <c r="E39" s="50">
        <v>2</v>
      </c>
      <c r="F39" s="50">
        <v>22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205</v>
      </c>
      <c r="N39" s="50">
        <v>0</v>
      </c>
      <c r="O39" s="15">
        <f t="shared" si="0"/>
        <v>79</v>
      </c>
      <c r="P39" s="15">
        <f t="shared" si="1"/>
        <v>284</v>
      </c>
    </row>
    <row r="40" spans="2:20" ht="23.1" customHeight="1" x14ac:dyDescent="0.25">
      <c r="B40" s="24" t="s">
        <v>67</v>
      </c>
      <c r="C40" s="50">
        <v>45</v>
      </c>
      <c r="D40" s="50">
        <v>16</v>
      </c>
      <c r="E40" s="50">
        <v>6</v>
      </c>
      <c r="F40" s="50">
        <v>11</v>
      </c>
      <c r="G40" s="50">
        <v>0</v>
      </c>
      <c r="H40" s="50">
        <v>0</v>
      </c>
      <c r="I40" s="50">
        <v>2</v>
      </c>
      <c r="J40" s="50">
        <v>2</v>
      </c>
      <c r="K40" s="50">
        <v>0</v>
      </c>
      <c r="L40" s="50">
        <v>1</v>
      </c>
      <c r="M40" s="50">
        <v>160</v>
      </c>
      <c r="N40" s="50">
        <v>0</v>
      </c>
      <c r="O40" s="15">
        <f t="shared" si="0"/>
        <v>83</v>
      </c>
      <c r="P40" s="15">
        <f t="shared" si="1"/>
        <v>243</v>
      </c>
    </row>
    <row r="41" spans="2:20" ht="23.1" customHeight="1" x14ac:dyDescent="0.25">
      <c r="B41" s="23" t="s">
        <v>68</v>
      </c>
      <c r="C41" s="50">
        <v>22</v>
      </c>
      <c r="D41" s="50">
        <v>20</v>
      </c>
      <c r="E41" s="50">
        <v>0</v>
      </c>
      <c r="F41" s="50">
        <v>35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195</v>
      </c>
      <c r="N41" s="50">
        <v>0</v>
      </c>
      <c r="O41" s="15">
        <f t="shared" si="0"/>
        <v>78</v>
      </c>
      <c r="P41" s="15">
        <f t="shared" si="1"/>
        <v>273</v>
      </c>
    </row>
    <row r="42" spans="2:20" ht="23.1" customHeight="1" x14ac:dyDescent="0.25">
      <c r="B42" s="24" t="s">
        <v>69</v>
      </c>
      <c r="C42" s="50">
        <v>25</v>
      </c>
      <c r="D42" s="50">
        <v>2</v>
      </c>
      <c r="E42" s="50">
        <v>3</v>
      </c>
      <c r="F42" s="50">
        <v>40</v>
      </c>
      <c r="G42" s="50">
        <v>0</v>
      </c>
      <c r="H42" s="50">
        <v>1</v>
      </c>
      <c r="I42" s="50">
        <v>0</v>
      </c>
      <c r="J42" s="50">
        <v>0</v>
      </c>
      <c r="K42" s="50">
        <v>0</v>
      </c>
      <c r="L42" s="50">
        <v>0</v>
      </c>
      <c r="M42" s="50">
        <v>210</v>
      </c>
      <c r="N42" s="50">
        <v>0</v>
      </c>
      <c r="O42" s="15">
        <f t="shared" si="0"/>
        <v>71</v>
      </c>
      <c r="P42" s="15">
        <f t="shared" si="1"/>
        <v>281</v>
      </c>
    </row>
    <row r="43" spans="2:20" ht="23.1" customHeight="1" x14ac:dyDescent="0.25">
      <c r="B43" s="23" t="s">
        <v>70</v>
      </c>
      <c r="C43" s="50">
        <v>27</v>
      </c>
      <c r="D43" s="50">
        <v>3</v>
      </c>
      <c r="E43" s="50">
        <v>3</v>
      </c>
      <c r="F43" s="50">
        <v>40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205</v>
      </c>
      <c r="N43" s="50">
        <v>0</v>
      </c>
      <c r="O43" s="15">
        <f t="shared" si="0"/>
        <v>74</v>
      </c>
      <c r="P43" s="15">
        <f t="shared" si="1"/>
        <v>279</v>
      </c>
    </row>
    <row r="44" spans="2:20" ht="23.1" customHeight="1" x14ac:dyDescent="0.25">
      <c r="B44" s="25" t="s">
        <v>71</v>
      </c>
      <c r="C44" s="50">
        <v>20</v>
      </c>
      <c r="D44" s="50">
        <v>5</v>
      </c>
      <c r="E44" s="50">
        <v>7</v>
      </c>
      <c r="F44" s="50">
        <v>18</v>
      </c>
      <c r="G44" s="50">
        <v>0</v>
      </c>
      <c r="H44" s="50">
        <v>0</v>
      </c>
      <c r="I44" s="50">
        <v>0</v>
      </c>
      <c r="J44" s="50">
        <v>2</v>
      </c>
      <c r="K44" s="50">
        <v>0</v>
      </c>
      <c r="L44" s="50">
        <v>0</v>
      </c>
      <c r="M44" s="50">
        <v>180</v>
      </c>
      <c r="N44" s="50">
        <v>0</v>
      </c>
      <c r="O44" s="15">
        <f t="shared" si="0"/>
        <v>52</v>
      </c>
      <c r="P44" s="15">
        <f t="shared" si="1"/>
        <v>232</v>
      </c>
    </row>
    <row r="45" spans="2:20" ht="23.1" customHeight="1" x14ac:dyDescent="0.25">
      <c r="B45" s="23" t="s">
        <v>72</v>
      </c>
      <c r="C45" s="50">
        <v>22</v>
      </c>
      <c r="D45" s="50">
        <v>4</v>
      </c>
      <c r="E45" s="50">
        <v>4</v>
      </c>
      <c r="F45" s="50">
        <v>45</v>
      </c>
      <c r="G45" s="50">
        <v>0</v>
      </c>
      <c r="H45" s="50">
        <v>1</v>
      </c>
      <c r="I45" s="50">
        <v>0</v>
      </c>
      <c r="J45" s="50">
        <v>1</v>
      </c>
      <c r="K45" s="50">
        <v>0</v>
      </c>
      <c r="L45" s="50">
        <v>0</v>
      </c>
      <c r="M45" s="50">
        <v>245</v>
      </c>
      <c r="N45" s="50">
        <v>0</v>
      </c>
      <c r="O45" s="15">
        <f t="shared" si="0"/>
        <v>77</v>
      </c>
      <c r="P45" s="15">
        <f t="shared" si="1"/>
        <v>322</v>
      </c>
    </row>
    <row r="46" spans="2:20" ht="23.1" customHeight="1" x14ac:dyDescent="0.25">
      <c r="B46" s="24" t="s">
        <v>73</v>
      </c>
      <c r="C46" s="50">
        <v>20</v>
      </c>
      <c r="D46" s="50">
        <v>3</v>
      </c>
      <c r="E46" s="50">
        <v>4</v>
      </c>
      <c r="F46" s="50">
        <v>34</v>
      </c>
      <c r="G46" s="50">
        <v>0</v>
      </c>
      <c r="H46" s="50">
        <v>0</v>
      </c>
      <c r="I46" s="50">
        <v>2</v>
      </c>
      <c r="J46" s="50">
        <v>2</v>
      </c>
      <c r="K46" s="50">
        <v>0</v>
      </c>
      <c r="L46" s="50">
        <v>0</v>
      </c>
      <c r="M46" s="50">
        <v>220</v>
      </c>
      <c r="N46" s="50">
        <v>0</v>
      </c>
      <c r="O46" s="15">
        <f t="shared" si="0"/>
        <v>65</v>
      </c>
      <c r="P46" s="15">
        <f t="shared" si="1"/>
        <v>285</v>
      </c>
      <c r="R46" s="8"/>
      <c r="T46"/>
    </row>
    <row r="47" spans="2:20" ht="23.1" customHeight="1" x14ac:dyDescent="0.25">
      <c r="B47" s="24" t="s">
        <v>74</v>
      </c>
      <c r="C47" s="50">
        <v>35</v>
      </c>
      <c r="D47" s="50">
        <v>5</v>
      </c>
      <c r="E47" s="50">
        <v>8</v>
      </c>
      <c r="F47" s="50">
        <v>25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220</v>
      </c>
      <c r="N47" s="50">
        <v>0</v>
      </c>
      <c r="O47" s="15">
        <f t="shared" si="0"/>
        <v>77</v>
      </c>
      <c r="P47" s="15">
        <f t="shared" si="1"/>
        <v>297</v>
      </c>
      <c r="R47" s="8"/>
      <c r="T47"/>
    </row>
    <row r="48" spans="2:20" ht="23.1" customHeight="1" x14ac:dyDescent="0.25">
      <c r="B48" s="24" t="s">
        <v>75</v>
      </c>
      <c r="C48" s="50">
        <v>16</v>
      </c>
      <c r="D48" s="50">
        <v>1</v>
      </c>
      <c r="E48" s="50">
        <v>2</v>
      </c>
      <c r="F48" s="50">
        <v>32</v>
      </c>
      <c r="G48" s="50">
        <v>0</v>
      </c>
      <c r="H48" s="50">
        <v>0</v>
      </c>
      <c r="I48" s="50">
        <v>2</v>
      </c>
      <c r="J48" s="50">
        <v>2</v>
      </c>
      <c r="K48" s="50">
        <v>0</v>
      </c>
      <c r="L48" s="50">
        <v>0</v>
      </c>
      <c r="M48" s="50">
        <v>235</v>
      </c>
      <c r="N48" s="50">
        <v>0</v>
      </c>
      <c r="O48" s="15">
        <f t="shared" si="0"/>
        <v>55</v>
      </c>
      <c r="P48" s="15">
        <f t="shared" si="1"/>
        <v>290</v>
      </c>
      <c r="R48" s="8"/>
      <c r="T48"/>
    </row>
    <row r="49" spans="2:20" ht="23.1" customHeight="1" x14ac:dyDescent="0.25">
      <c r="B49" s="23" t="s">
        <v>76</v>
      </c>
      <c r="C49" s="50">
        <v>30</v>
      </c>
      <c r="D49" s="50">
        <v>4</v>
      </c>
      <c r="E49" s="50">
        <v>6</v>
      </c>
      <c r="F49" s="50">
        <v>34</v>
      </c>
      <c r="G49" s="50">
        <v>0</v>
      </c>
      <c r="H49" s="50">
        <v>0</v>
      </c>
      <c r="I49" s="50">
        <v>2</v>
      </c>
      <c r="J49" s="50">
        <v>2</v>
      </c>
      <c r="K49" s="50">
        <v>0</v>
      </c>
      <c r="L49" s="50">
        <v>0</v>
      </c>
      <c r="M49" s="50">
        <v>220</v>
      </c>
      <c r="N49" s="50">
        <v>0</v>
      </c>
      <c r="O49" s="15">
        <f t="shared" si="0"/>
        <v>78</v>
      </c>
      <c r="P49" s="15">
        <f t="shared" si="1"/>
        <v>298</v>
      </c>
      <c r="R49" s="8"/>
      <c r="T49"/>
    </row>
    <row r="50" spans="2:20" ht="23.1" customHeight="1" x14ac:dyDescent="0.25">
      <c r="B50" s="24" t="s">
        <v>77</v>
      </c>
      <c r="C50" s="50">
        <v>27</v>
      </c>
      <c r="D50" s="50">
        <v>5</v>
      </c>
      <c r="E50" s="50">
        <v>6</v>
      </c>
      <c r="F50" s="50">
        <v>26</v>
      </c>
      <c r="G50" s="50">
        <v>0</v>
      </c>
      <c r="H50" s="50">
        <v>0</v>
      </c>
      <c r="I50" s="50">
        <v>0</v>
      </c>
      <c r="J50" s="50">
        <v>3</v>
      </c>
      <c r="K50" s="50">
        <v>0</v>
      </c>
      <c r="L50" s="50">
        <v>0</v>
      </c>
      <c r="M50" s="50">
        <v>240</v>
      </c>
      <c r="N50" s="50">
        <v>0</v>
      </c>
      <c r="O50" s="15">
        <f t="shared" si="0"/>
        <v>67</v>
      </c>
      <c r="P50" s="15">
        <f t="shared" si="1"/>
        <v>307</v>
      </c>
      <c r="R50" s="8"/>
      <c r="T50"/>
    </row>
    <row r="51" spans="2:20" ht="23.1" customHeight="1" x14ac:dyDescent="0.25">
      <c r="B51" s="24" t="s">
        <v>78</v>
      </c>
      <c r="C51" s="50">
        <v>18</v>
      </c>
      <c r="D51" s="50">
        <v>2</v>
      </c>
      <c r="E51" s="50">
        <v>1</v>
      </c>
      <c r="F51" s="50">
        <v>25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210</v>
      </c>
      <c r="N51" s="50">
        <v>0</v>
      </c>
      <c r="O51" s="15">
        <f t="shared" si="0"/>
        <v>49</v>
      </c>
      <c r="P51" s="15">
        <f t="shared" si="1"/>
        <v>259</v>
      </c>
      <c r="R51" s="8"/>
      <c r="T51"/>
    </row>
    <row r="52" spans="2:20" ht="23.1" customHeight="1" x14ac:dyDescent="0.25">
      <c r="B52" s="24" t="s">
        <v>79</v>
      </c>
      <c r="C52" s="50">
        <v>20</v>
      </c>
      <c r="D52" s="50">
        <v>6</v>
      </c>
      <c r="E52" s="50">
        <v>15</v>
      </c>
      <c r="F52" s="50">
        <v>13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210</v>
      </c>
      <c r="N52" s="50">
        <v>0</v>
      </c>
      <c r="O52" s="15">
        <f t="shared" si="0"/>
        <v>54</v>
      </c>
      <c r="P52" s="15">
        <f t="shared" si="1"/>
        <v>264</v>
      </c>
      <c r="R52" s="8"/>
      <c r="T52"/>
    </row>
    <row r="53" spans="2:20" ht="23.1" customHeight="1" x14ac:dyDescent="0.25">
      <c r="B53" s="23" t="s">
        <v>80</v>
      </c>
      <c r="C53" s="50">
        <v>23</v>
      </c>
      <c r="D53" s="50">
        <v>3</v>
      </c>
      <c r="E53" s="50">
        <v>15</v>
      </c>
      <c r="F53" s="50">
        <v>33</v>
      </c>
      <c r="G53" s="50">
        <v>1</v>
      </c>
      <c r="H53" s="50">
        <v>0</v>
      </c>
      <c r="I53" s="50">
        <v>3</v>
      </c>
      <c r="J53" s="50">
        <v>1</v>
      </c>
      <c r="K53" s="50">
        <v>0</v>
      </c>
      <c r="L53" s="50">
        <v>0</v>
      </c>
      <c r="M53" s="50">
        <v>180</v>
      </c>
      <c r="N53" s="50">
        <v>0</v>
      </c>
      <c r="O53" s="15">
        <f t="shared" si="0"/>
        <v>79</v>
      </c>
      <c r="P53" s="15">
        <f t="shared" si="1"/>
        <v>259</v>
      </c>
      <c r="R53" s="8"/>
      <c r="T53"/>
    </row>
    <row r="54" spans="2:20" ht="23.1" customHeight="1" x14ac:dyDescent="0.25">
      <c r="B54" s="23" t="s">
        <v>81</v>
      </c>
      <c r="C54" s="50">
        <v>25</v>
      </c>
      <c r="D54" s="50">
        <v>3</v>
      </c>
      <c r="E54" s="50">
        <v>3</v>
      </c>
      <c r="F54" s="50">
        <v>42</v>
      </c>
      <c r="G54" s="50">
        <v>0</v>
      </c>
      <c r="H54" s="50">
        <v>0</v>
      </c>
      <c r="I54" s="50">
        <v>3</v>
      </c>
      <c r="J54" s="50">
        <v>2</v>
      </c>
      <c r="K54" s="50">
        <v>0</v>
      </c>
      <c r="L54" s="50">
        <v>1</v>
      </c>
      <c r="M54" s="50">
        <v>210</v>
      </c>
      <c r="N54" s="50">
        <v>0</v>
      </c>
      <c r="O54" s="15">
        <f t="shared" si="0"/>
        <v>79</v>
      </c>
      <c r="P54" s="15">
        <f t="shared" si="1"/>
        <v>289</v>
      </c>
      <c r="R54" s="8"/>
      <c r="T54"/>
    </row>
    <row r="55" spans="2:20" ht="23.1" customHeight="1" x14ac:dyDescent="0.25">
      <c r="B55" s="23" t="s">
        <v>82</v>
      </c>
      <c r="C55" s="50">
        <v>20</v>
      </c>
      <c r="D55" s="50">
        <v>2</v>
      </c>
      <c r="E55" s="50">
        <v>2</v>
      </c>
      <c r="F55" s="50">
        <v>33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215</v>
      </c>
      <c r="N55" s="50">
        <v>0</v>
      </c>
      <c r="O55" s="15">
        <f t="shared" si="0"/>
        <v>60</v>
      </c>
      <c r="P55" s="15">
        <f t="shared" si="1"/>
        <v>275</v>
      </c>
      <c r="R55" s="8"/>
      <c r="T55"/>
    </row>
    <row r="56" spans="2:20" ht="23.1" customHeight="1" x14ac:dyDescent="0.25">
      <c r="B56" s="23" t="s">
        <v>83</v>
      </c>
      <c r="C56" s="50">
        <v>16</v>
      </c>
      <c r="D56" s="50">
        <v>6</v>
      </c>
      <c r="E56" s="50">
        <v>4</v>
      </c>
      <c r="F56" s="50">
        <v>30</v>
      </c>
      <c r="G56" s="50">
        <v>0</v>
      </c>
      <c r="H56" s="50">
        <v>0</v>
      </c>
      <c r="I56" s="50">
        <v>1</v>
      </c>
      <c r="J56" s="50">
        <v>0</v>
      </c>
      <c r="K56" s="50">
        <v>1</v>
      </c>
      <c r="L56" s="50">
        <v>0</v>
      </c>
      <c r="M56" s="50">
        <v>210</v>
      </c>
      <c r="N56" s="50">
        <v>0</v>
      </c>
      <c r="O56" s="15">
        <f t="shared" si="0"/>
        <v>58</v>
      </c>
      <c r="P56" s="15">
        <f t="shared" si="1"/>
        <v>268</v>
      </c>
      <c r="R56" s="8"/>
      <c r="T56"/>
    </row>
    <row r="57" spans="2:20" ht="23.1" customHeight="1" x14ac:dyDescent="0.25">
      <c r="B57" s="23" t="s">
        <v>84</v>
      </c>
      <c r="C57" s="50">
        <v>18</v>
      </c>
      <c r="D57" s="50">
        <v>0</v>
      </c>
      <c r="E57" s="50">
        <v>0</v>
      </c>
      <c r="F57" s="50">
        <v>20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210</v>
      </c>
      <c r="N57" s="50">
        <v>0</v>
      </c>
      <c r="O57" s="15">
        <f t="shared" si="0"/>
        <v>38</v>
      </c>
      <c r="P57" s="15">
        <f t="shared" si="1"/>
        <v>248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1507</v>
      </c>
      <c r="D58" s="16">
        <f t="shared" si="21"/>
        <v>290</v>
      </c>
      <c r="E58" s="16">
        <f t="shared" si="21"/>
        <v>235</v>
      </c>
      <c r="F58" s="16">
        <f t="shared" si="21"/>
        <v>1257</v>
      </c>
      <c r="G58" s="16">
        <f t="shared" si="21"/>
        <v>12</v>
      </c>
      <c r="H58" s="16">
        <f t="shared" si="21"/>
        <v>3</v>
      </c>
      <c r="I58" s="16">
        <f t="shared" si="21"/>
        <v>116</v>
      </c>
      <c r="J58" s="16">
        <f t="shared" si="21"/>
        <v>78</v>
      </c>
      <c r="K58" s="16">
        <f t="shared" si="21"/>
        <v>7</v>
      </c>
      <c r="L58" s="16">
        <f t="shared" si="21"/>
        <v>3</v>
      </c>
      <c r="M58" s="16">
        <f t="shared" si="21"/>
        <v>11060</v>
      </c>
      <c r="N58" s="16">
        <f t="shared" si="21"/>
        <v>0</v>
      </c>
      <c r="O58" s="16">
        <f t="shared" si="21"/>
        <v>3508</v>
      </c>
      <c r="P58" s="16">
        <f t="shared" si="21"/>
        <v>14568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0.10344590884129599</v>
      </c>
      <c r="D59" s="43">
        <f t="shared" si="22"/>
        <v>1.9906644700713894E-2</v>
      </c>
      <c r="E59" s="43">
        <f t="shared" si="22"/>
        <v>1.613124656781988E-2</v>
      </c>
      <c r="F59" s="43">
        <f t="shared" si="22"/>
        <v>8.6285008237232286E-2</v>
      </c>
      <c r="G59" s="43">
        <f t="shared" si="22"/>
        <v>8.2372322899505767E-4</v>
      </c>
      <c r="H59" s="43">
        <f t="shared" si="22"/>
        <v>2.0593080724876442E-4</v>
      </c>
      <c r="I59" s="43">
        <f t="shared" si="22"/>
        <v>7.9626578802855577E-3</v>
      </c>
      <c r="J59" s="43">
        <f t="shared" si="22"/>
        <v>5.3542009884678752E-3</v>
      </c>
      <c r="K59" s="43">
        <f t="shared" si="22"/>
        <v>4.8050521691378364E-4</v>
      </c>
      <c r="L59" s="43">
        <f t="shared" si="22"/>
        <v>2.0593080724876442E-4</v>
      </c>
      <c r="M59" s="43">
        <f t="shared" si="22"/>
        <v>0.75919824272377812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0.42958950969213228</v>
      </c>
      <c r="D60" s="44">
        <f t="shared" ref="D60:N60" si="23">D58/$O$58</f>
        <v>8.2668187001140245E-2</v>
      </c>
      <c r="E60" s="44">
        <f t="shared" si="23"/>
        <v>6.698973774230331E-2</v>
      </c>
      <c r="F60" s="44">
        <f t="shared" si="23"/>
        <v>0.35832383124287343</v>
      </c>
      <c r="G60" s="44">
        <f t="shared" si="23"/>
        <v>3.4207525655644243E-3</v>
      </c>
      <c r="H60" s="44">
        <f t="shared" si="23"/>
        <v>8.5518814139110607E-4</v>
      </c>
      <c r="I60" s="44">
        <f t="shared" si="23"/>
        <v>3.3067274800456098E-2</v>
      </c>
      <c r="J60" s="44">
        <f t="shared" si="23"/>
        <v>2.2234891676168756E-2</v>
      </c>
      <c r="K60" s="44">
        <f t="shared" si="23"/>
        <v>1.9954389965792475E-3</v>
      </c>
      <c r="L60" s="44">
        <f t="shared" si="23"/>
        <v>8.5518814139110607E-4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K62" sqref="K6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Kibuye-Makindye'!C3:G3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3" t="str">
        <f>'25.07 Makindye-Kibuye'!G5:H5</f>
        <v>FUELEX MAKINDYE</v>
      </c>
      <c r="H5" s="64"/>
      <c r="I5" s="14"/>
      <c r="J5" s="2" t="s">
        <v>5</v>
      </c>
      <c r="K5" s="63" t="str">
        <f>'25.07 Makindye-Kibuye'!K5:L5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Kibuye-Makindye'!D6:E6</f>
        <v>KIBUYE</v>
      </c>
      <c r="E6" s="64"/>
      <c r="F6" s="2" t="s">
        <v>2</v>
      </c>
      <c r="G6" s="63" t="str">
        <f>'22.07 Kibuye-Makindye'!G6:H6</f>
        <v>MAKINDYE</v>
      </c>
      <c r="H6" s="64"/>
      <c r="J6" s="2" t="s">
        <v>21</v>
      </c>
      <c r="K6" s="63" t="str">
        <f>'25.07 Makindye-Kibuye'!K6:L6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20</v>
      </c>
      <c r="D10" s="50">
        <v>4</v>
      </c>
      <c r="E10" s="50">
        <v>2</v>
      </c>
      <c r="F10" s="50">
        <v>15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100</v>
      </c>
      <c r="N10" s="50">
        <v>0</v>
      </c>
      <c r="O10" s="15">
        <f t="shared" ref="O10:O57" si="0">SUM(C10:L10,N10)</f>
        <v>42</v>
      </c>
      <c r="P10" s="15">
        <f t="shared" ref="P10:P57" si="1">SUM(C10:N10)</f>
        <v>142</v>
      </c>
      <c r="R10" s="1" t="s">
        <v>6</v>
      </c>
      <c r="S10" s="17">
        <f t="shared" ref="S10:AF10" si="2">SUM(C10:C13)</f>
        <v>147</v>
      </c>
      <c r="T10" s="17">
        <f t="shared" si="2"/>
        <v>37</v>
      </c>
      <c r="U10" s="17">
        <f t="shared" si="2"/>
        <v>17</v>
      </c>
      <c r="V10" s="17">
        <f t="shared" si="2"/>
        <v>115</v>
      </c>
      <c r="W10" s="17">
        <f t="shared" si="2"/>
        <v>3</v>
      </c>
      <c r="X10" s="17">
        <f t="shared" si="2"/>
        <v>1</v>
      </c>
      <c r="Y10" s="17">
        <f t="shared" si="2"/>
        <v>3</v>
      </c>
      <c r="Z10" s="17">
        <f t="shared" si="2"/>
        <v>5</v>
      </c>
      <c r="AA10" s="17">
        <f t="shared" si="2"/>
        <v>3</v>
      </c>
      <c r="AB10" s="17">
        <f t="shared" si="2"/>
        <v>0</v>
      </c>
      <c r="AC10" s="17">
        <f t="shared" si="2"/>
        <v>696</v>
      </c>
      <c r="AD10" s="17">
        <f t="shared" si="2"/>
        <v>0</v>
      </c>
      <c r="AE10" s="31">
        <f t="shared" si="2"/>
        <v>331</v>
      </c>
      <c r="AF10" s="31">
        <f t="shared" si="2"/>
        <v>1027</v>
      </c>
    </row>
    <row r="11" spans="2:32" s="6" customFormat="1" ht="23.1" customHeight="1" x14ac:dyDescent="0.25">
      <c r="B11" s="45" t="s">
        <v>38</v>
      </c>
      <c r="C11" s="50">
        <v>30</v>
      </c>
      <c r="D11" s="50">
        <v>11</v>
      </c>
      <c r="E11" s="50">
        <v>4</v>
      </c>
      <c r="F11" s="50">
        <v>39</v>
      </c>
      <c r="G11" s="50">
        <v>1</v>
      </c>
      <c r="H11" s="50">
        <v>1</v>
      </c>
      <c r="I11" s="50">
        <v>2</v>
      </c>
      <c r="J11" s="50">
        <v>2</v>
      </c>
      <c r="K11" s="50">
        <v>1</v>
      </c>
      <c r="L11" s="50">
        <v>0</v>
      </c>
      <c r="M11" s="50">
        <v>185</v>
      </c>
      <c r="N11" s="50">
        <v>0</v>
      </c>
      <c r="O11" s="15">
        <f t="shared" si="0"/>
        <v>91</v>
      </c>
      <c r="P11" s="15">
        <f t="shared" si="1"/>
        <v>276</v>
      </c>
      <c r="R11" s="1" t="s">
        <v>7</v>
      </c>
      <c r="S11" s="17">
        <f t="shared" ref="S11:AF11" si="3">SUM(C14:C17)</f>
        <v>144</v>
      </c>
      <c r="T11" s="17">
        <f t="shared" si="3"/>
        <v>57</v>
      </c>
      <c r="U11" s="17">
        <f t="shared" si="3"/>
        <v>19</v>
      </c>
      <c r="V11" s="17">
        <f t="shared" si="3"/>
        <v>134</v>
      </c>
      <c r="W11" s="17">
        <f t="shared" si="3"/>
        <v>6</v>
      </c>
      <c r="X11" s="17">
        <f t="shared" si="3"/>
        <v>1</v>
      </c>
      <c r="Y11" s="17">
        <f t="shared" si="3"/>
        <v>8</v>
      </c>
      <c r="Z11" s="17">
        <f t="shared" si="3"/>
        <v>3</v>
      </c>
      <c r="AA11" s="17">
        <f t="shared" si="3"/>
        <v>2</v>
      </c>
      <c r="AB11" s="17">
        <f t="shared" si="3"/>
        <v>0</v>
      </c>
      <c r="AC11" s="17">
        <f t="shared" si="3"/>
        <v>750</v>
      </c>
      <c r="AD11" s="17">
        <f t="shared" si="3"/>
        <v>0</v>
      </c>
      <c r="AE11" s="31">
        <f t="shared" si="3"/>
        <v>374</v>
      </c>
      <c r="AF11" s="31">
        <f t="shared" si="3"/>
        <v>1124</v>
      </c>
    </row>
    <row r="12" spans="2:32" ht="23.1" customHeight="1" x14ac:dyDescent="0.25">
      <c r="B12" s="45" t="s">
        <v>39</v>
      </c>
      <c r="C12" s="50">
        <v>29</v>
      </c>
      <c r="D12" s="50">
        <v>9</v>
      </c>
      <c r="E12" s="50">
        <v>4</v>
      </c>
      <c r="F12" s="50">
        <v>34</v>
      </c>
      <c r="G12" s="50">
        <v>0</v>
      </c>
      <c r="H12" s="50">
        <v>0</v>
      </c>
      <c r="I12" s="50">
        <v>1</v>
      </c>
      <c r="J12" s="50">
        <v>0</v>
      </c>
      <c r="K12" s="50">
        <v>1</v>
      </c>
      <c r="L12" s="50">
        <v>0</v>
      </c>
      <c r="M12" s="50">
        <v>191</v>
      </c>
      <c r="N12" s="50">
        <v>0</v>
      </c>
      <c r="O12" s="15">
        <f t="shared" si="0"/>
        <v>78</v>
      </c>
      <c r="P12" s="15">
        <f t="shared" si="1"/>
        <v>269</v>
      </c>
      <c r="R12" s="1" t="s">
        <v>8</v>
      </c>
      <c r="S12" s="17">
        <f t="shared" ref="S12:AF12" si="4">SUM(C18:C21)</f>
        <v>108</v>
      </c>
      <c r="T12" s="17">
        <f t="shared" si="4"/>
        <v>26</v>
      </c>
      <c r="U12" s="17">
        <f t="shared" si="4"/>
        <v>21</v>
      </c>
      <c r="V12" s="17">
        <f t="shared" si="4"/>
        <v>88</v>
      </c>
      <c r="W12" s="17">
        <f t="shared" si="4"/>
        <v>3</v>
      </c>
      <c r="X12" s="17">
        <f t="shared" si="4"/>
        <v>0</v>
      </c>
      <c r="Y12" s="17">
        <f t="shared" si="4"/>
        <v>14</v>
      </c>
      <c r="Z12" s="17">
        <f t="shared" si="4"/>
        <v>7</v>
      </c>
      <c r="AA12" s="17">
        <f t="shared" si="4"/>
        <v>1</v>
      </c>
      <c r="AB12" s="17">
        <f t="shared" si="4"/>
        <v>0</v>
      </c>
      <c r="AC12" s="17">
        <f t="shared" si="4"/>
        <v>775</v>
      </c>
      <c r="AD12" s="17">
        <f t="shared" si="4"/>
        <v>0</v>
      </c>
      <c r="AE12" s="31">
        <f t="shared" si="4"/>
        <v>268</v>
      </c>
      <c r="AF12" s="31">
        <f t="shared" si="4"/>
        <v>1043</v>
      </c>
    </row>
    <row r="13" spans="2:32" ht="23.1" customHeight="1" x14ac:dyDescent="0.25">
      <c r="B13" s="45" t="s">
        <v>40</v>
      </c>
      <c r="C13" s="50">
        <v>68</v>
      </c>
      <c r="D13" s="50">
        <v>13</v>
      </c>
      <c r="E13" s="50">
        <v>7</v>
      </c>
      <c r="F13" s="50">
        <v>27</v>
      </c>
      <c r="G13" s="50">
        <v>2</v>
      </c>
      <c r="H13" s="50">
        <v>0</v>
      </c>
      <c r="I13" s="50">
        <v>0</v>
      </c>
      <c r="J13" s="50">
        <v>3</v>
      </c>
      <c r="K13" s="50">
        <v>0</v>
      </c>
      <c r="L13" s="50">
        <v>0</v>
      </c>
      <c r="M13" s="50">
        <v>220</v>
      </c>
      <c r="N13" s="50">
        <v>0</v>
      </c>
      <c r="O13" s="15">
        <f t="shared" si="0"/>
        <v>120</v>
      </c>
      <c r="P13" s="15">
        <f t="shared" si="1"/>
        <v>340</v>
      </c>
      <c r="R13" s="1" t="s">
        <v>9</v>
      </c>
      <c r="S13" s="17">
        <f t="shared" ref="S13:AF13" si="5">SUM(C22:C25)</f>
        <v>139</v>
      </c>
      <c r="T13" s="17">
        <f t="shared" si="5"/>
        <v>50</v>
      </c>
      <c r="U13" s="17">
        <f t="shared" si="5"/>
        <v>22</v>
      </c>
      <c r="V13" s="17">
        <f t="shared" si="5"/>
        <v>104</v>
      </c>
      <c r="W13" s="17">
        <f t="shared" si="5"/>
        <v>0</v>
      </c>
      <c r="X13" s="17">
        <f t="shared" si="5"/>
        <v>0</v>
      </c>
      <c r="Y13" s="17">
        <f t="shared" si="5"/>
        <v>9</v>
      </c>
      <c r="Z13" s="17">
        <f t="shared" si="5"/>
        <v>4</v>
      </c>
      <c r="AA13" s="17">
        <f t="shared" si="5"/>
        <v>3</v>
      </c>
      <c r="AB13" s="17">
        <f t="shared" si="5"/>
        <v>1</v>
      </c>
      <c r="AC13" s="17">
        <f t="shared" si="5"/>
        <v>720</v>
      </c>
      <c r="AD13" s="17">
        <f t="shared" si="5"/>
        <v>0</v>
      </c>
      <c r="AE13" s="31">
        <f t="shared" si="5"/>
        <v>332</v>
      </c>
      <c r="AF13" s="31">
        <f t="shared" si="5"/>
        <v>1052</v>
      </c>
    </row>
    <row r="14" spans="2:32" ht="23.1" customHeight="1" x14ac:dyDescent="0.25">
      <c r="B14" s="45" t="s">
        <v>41</v>
      </c>
      <c r="C14" s="50">
        <v>23</v>
      </c>
      <c r="D14" s="50">
        <v>13</v>
      </c>
      <c r="E14" s="50">
        <v>4</v>
      </c>
      <c r="F14" s="50">
        <v>41</v>
      </c>
      <c r="G14" s="50">
        <v>3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170</v>
      </c>
      <c r="N14" s="50">
        <v>0</v>
      </c>
      <c r="O14" s="15">
        <f t="shared" si="0"/>
        <v>87</v>
      </c>
      <c r="P14" s="15">
        <f t="shared" si="1"/>
        <v>257</v>
      </c>
      <c r="R14" s="1" t="s">
        <v>10</v>
      </c>
      <c r="S14" s="17">
        <f t="shared" ref="S14:AF14" si="6">SUM(C26:C29)</f>
        <v>368</v>
      </c>
      <c r="T14" s="17">
        <f t="shared" si="6"/>
        <v>43</v>
      </c>
      <c r="U14" s="17">
        <f t="shared" si="6"/>
        <v>28</v>
      </c>
      <c r="V14" s="17">
        <f t="shared" si="6"/>
        <v>65</v>
      </c>
      <c r="W14" s="17">
        <f t="shared" si="6"/>
        <v>2</v>
      </c>
      <c r="X14" s="17">
        <f t="shared" si="6"/>
        <v>0</v>
      </c>
      <c r="Y14" s="17">
        <f t="shared" si="6"/>
        <v>5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730</v>
      </c>
      <c r="AD14" s="17">
        <f t="shared" si="6"/>
        <v>0</v>
      </c>
      <c r="AE14" s="31">
        <f t="shared" si="6"/>
        <v>513</v>
      </c>
      <c r="AF14" s="31">
        <f t="shared" si="6"/>
        <v>1243</v>
      </c>
    </row>
    <row r="15" spans="2:32" ht="23.1" customHeight="1" x14ac:dyDescent="0.25">
      <c r="B15" s="45" t="s">
        <v>42</v>
      </c>
      <c r="C15" s="50">
        <v>53</v>
      </c>
      <c r="D15" s="50">
        <v>16</v>
      </c>
      <c r="E15" s="50">
        <v>4</v>
      </c>
      <c r="F15" s="50">
        <v>31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180</v>
      </c>
      <c r="N15" s="50">
        <v>0</v>
      </c>
      <c r="O15" s="15">
        <f t="shared" si="0"/>
        <v>104</v>
      </c>
      <c r="P15" s="15">
        <f t="shared" si="1"/>
        <v>284</v>
      </c>
      <c r="R15" s="1" t="s">
        <v>11</v>
      </c>
      <c r="S15" s="17">
        <f t="shared" ref="S15:AF15" si="7">SUM(C30:C33)</f>
        <v>331</v>
      </c>
      <c r="T15" s="17">
        <f t="shared" si="7"/>
        <v>30</v>
      </c>
      <c r="U15" s="17">
        <f t="shared" si="7"/>
        <v>25</v>
      </c>
      <c r="V15" s="17">
        <f t="shared" si="7"/>
        <v>51</v>
      </c>
      <c r="W15" s="17">
        <f t="shared" si="7"/>
        <v>0</v>
      </c>
      <c r="X15" s="17">
        <f t="shared" si="7"/>
        <v>0</v>
      </c>
      <c r="Y15" s="17">
        <f t="shared" si="7"/>
        <v>20</v>
      </c>
      <c r="Z15" s="17">
        <f t="shared" si="7"/>
        <v>6</v>
      </c>
      <c r="AA15" s="17">
        <f t="shared" si="7"/>
        <v>4</v>
      </c>
      <c r="AB15" s="17">
        <f t="shared" si="7"/>
        <v>0</v>
      </c>
      <c r="AC15" s="17">
        <f t="shared" si="7"/>
        <v>740</v>
      </c>
      <c r="AD15" s="17">
        <f t="shared" si="7"/>
        <v>0</v>
      </c>
      <c r="AE15" s="31">
        <f t="shared" si="7"/>
        <v>467</v>
      </c>
      <c r="AF15" s="31">
        <f t="shared" si="7"/>
        <v>1207</v>
      </c>
    </row>
    <row r="16" spans="2:32" ht="23.1" customHeight="1" x14ac:dyDescent="0.25">
      <c r="B16" s="45" t="s">
        <v>43</v>
      </c>
      <c r="C16" s="50">
        <v>39</v>
      </c>
      <c r="D16" s="50">
        <v>21</v>
      </c>
      <c r="E16" s="50">
        <v>7</v>
      </c>
      <c r="F16" s="50">
        <v>42</v>
      </c>
      <c r="G16" s="50">
        <v>2</v>
      </c>
      <c r="H16" s="50">
        <v>0</v>
      </c>
      <c r="I16" s="50">
        <v>4</v>
      </c>
      <c r="J16" s="50">
        <v>3</v>
      </c>
      <c r="K16" s="50">
        <v>2</v>
      </c>
      <c r="L16" s="50">
        <v>0</v>
      </c>
      <c r="M16" s="50">
        <v>215</v>
      </c>
      <c r="N16" s="50">
        <v>0</v>
      </c>
      <c r="O16" s="15">
        <f t="shared" si="0"/>
        <v>120</v>
      </c>
      <c r="P16" s="15">
        <f t="shared" si="1"/>
        <v>335</v>
      </c>
      <c r="R16" s="1" t="s">
        <v>12</v>
      </c>
      <c r="S16" s="17">
        <f t="shared" ref="S16:AF16" si="8">SUM(C34:C37)</f>
        <v>155</v>
      </c>
      <c r="T16" s="17">
        <f t="shared" si="8"/>
        <v>59</v>
      </c>
      <c r="U16" s="17">
        <f t="shared" si="8"/>
        <v>20</v>
      </c>
      <c r="V16" s="17">
        <f t="shared" si="8"/>
        <v>61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3</v>
      </c>
      <c r="AA16" s="17">
        <f t="shared" si="8"/>
        <v>0</v>
      </c>
      <c r="AB16" s="17">
        <f t="shared" si="8"/>
        <v>1</v>
      </c>
      <c r="AC16" s="17">
        <f t="shared" si="8"/>
        <v>811</v>
      </c>
      <c r="AD16" s="17">
        <f t="shared" si="8"/>
        <v>0</v>
      </c>
      <c r="AE16" s="31">
        <f t="shared" si="8"/>
        <v>305</v>
      </c>
      <c r="AF16" s="31">
        <f t="shared" si="8"/>
        <v>1116</v>
      </c>
    </row>
    <row r="17" spans="2:32" ht="23.1" customHeight="1" x14ac:dyDescent="0.25">
      <c r="B17" s="45" t="s">
        <v>44</v>
      </c>
      <c r="C17" s="50">
        <v>29</v>
      </c>
      <c r="D17" s="50">
        <v>7</v>
      </c>
      <c r="E17" s="50">
        <v>4</v>
      </c>
      <c r="F17" s="50">
        <v>20</v>
      </c>
      <c r="G17" s="50">
        <v>1</v>
      </c>
      <c r="H17" s="50">
        <v>1</v>
      </c>
      <c r="I17" s="50">
        <v>1</v>
      </c>
      <c r="J17" s="50">
        <v>0</v>
      </c>
      <c r="K17" s="50">
        <v>0</v>
      </c>
      <c r="L17" s="50">
        <v>0</v>
      </c>
      <c r="M17" s="50">
        <v>185</v>
      </c>
      <c r="N17" s="50">
        <v>0</v>
      </c>
      <c r="O17" s="15">
        <f t="shared" si="0"/>
        <v>63</v>
      </c>
      <c r="P17" s="15">
        <f t="shared" si="1"/>
        <v>248</v>
      </c>
      <c r="R17" s="1" t="s">
        <v>13</v>
      </c>
      <c r="S17" s="17">
        <f t="shared" ref="S17:AF17" si="9">SUM(C38:C41)</f>
        <v>216</v>
      </c>
      <c r="T17" s="17">
        <f t="shared" si="9"/>
        <v>36</v>
      </c>
      <c r="U17" s="17">
        <f t="shared" si="9"/>
        <v>6</v>
      </c>
      <c r="V17" s="17">
        <f t="shared" si="9"/>
        <v>35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3</v>
      </c>
      <c r="AA17" s="17">
        <f t="shared" si="9"/>
        <v>2</v>
      </c>
      <c r="AB17" s="17">
        <f t="shared" si="9"/>
        <v>1</v>
      </c>
      <c r="AC17" s="17">
        <f t="shared" si="9"/>
        <v>841</v>
      </c>
      <c r="AD17" s="17">
        <f t="shared" si="9"/>
        <v>0</v>
      </c>
      <c r="AE17" s="31">
        <f t="shared" si="9"/>
        <v>301</v>
      </c>
      <c r="AF17" s="31">
        <f t="shared" si="9"/>
        <v>1142</v>
      </c>
    </row>
    <row r="18" spans="2:32" ht="23.1" customHeight="1" x14ac:dyDescent="0.25">
      <c r="B18" s="45" t="s">
        <v>45</v>
      </c>
      <c r="C18" s="50">
        <v>37</v>
      </c>
      <c r="D18" s="50">
        <v>8</v>
      </c>
      <c r="E18" s="50">
        <v>2</v>
      </c>
      <c r="F18" s="50">
        <v>31</v>
      </c>
      <c r="G18" s="50">
        <v>3</v>
      </c>
      <c r="H18" s="50">
        <v>0</v>
      </c>
      <c r="I18" s="50">
        <v>1</v>
      </c>
      <c r="J18" s="50">
        <v>2</v>
      </c>
      <c r="K18" s="50">
        <v>0</v>
      </c>
      <c r="L18" s="50">
        <v>0</v>
      </c>
      <c r="M18" s="50">
        <v>190</v>
      </c>
      <c r="N18" s="50">
        <v>0</v>
      </c>
      <c r="O18" s="15">
        <f t="shared" si="0"/>
        <v>84</v>
      </c>
      <c r="P18" s="15">
        <f t="shared" si="1"/>
        <v>274</v>
      </c>
      <c r="R18" s="1" t="s">
        <v>14</v>
      </c>
      <c r="S18" s="17">
        <f t="shared" ref="S18:AF18" si="10">SUM(C42:C45)</f>
        <v>202</v>
      </c>
      <c r="T18" s="17">
        <f t="shared" si="10"/>
        <v>52</v>
      </c>
      <c r="U18" s="17">
        <f t="shared" si="10"/>
        <v>33</v>
      </c>
      <c r="V18" s="17">
        <f t="shared" si="10"/>
        <v>84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1</v>
      </c>
      <c r="AA18" s="17">
        <f t="shared" si="10"/>
        <v>2</v>
      </c>
      <c r="AB18" s="17">
        <f t="shared" si="10"/>
        <v>1</v>
      </c>
      <c r="AC18" s="17">
        <f t="shared" si="10"/>
        <v>815</v>
      </c>
      <c r="AD18" s="17">
        <f t="shared" si="10"/>
        <v>0</v>
      </c>
      <c r="AE18" s="31">
        <f t="shared" si="10"/>
        <v>378</v>
      </c>
      <c r="AF18" s="31">
        <f t="shared" si="10"/>
        <v>1193</v>
      </c>
    </row>
    <row r="19" spans="2:32" ht="23.1" customHeight="1" x14ac:dyDescent="0.25">
      <c r="B19" s="45" t="s">
        <v>46</v>
      </c>
      <c r="C19" s="50">
        <v>29</v>
      </c>
      <c r="D19" s="50">
        <v>8</v>
      </c>
      <c r="E19" s="50">
        <v>12</v>
      </c>
      <c r="F19" s="50">
        <v>19</v>
      </c>
      <c r="G19" s="50">
        <v>0</v>
      </c>
      <c r="H19" s="50">
        <v>0</v>
      </c>
      <c r="I19" s="50">
        <v>5</v>
      </c>
      <c r="J19" s="50">
        <v>4</v>
      </c>
      <c r="K19" s="50">
        <v>0</v>
      </c>
      <c r="L19" s="50">
        <v>0</v>
      </c>
      <c r="M19" s="50">
        <v>220</v>
      </c>
      <c r="N19" s="50">
        <v>0</v>
      </c>
      <c r="O19" s="15">
        <f t="shared" si="0"/>
        <v>77</v>
      </c>
      <c r="P19" s="15">
        <f t="shared" si="1"/>
        <v>297</v>
      </c>
      <c r="R19" s="1" t="s">
        <v>15</v>
      </c>
      <c r="S19" s="17">
        <f t="shared" ref="S19:AF19" si="11">SUM(C46:C49)</f>
        <v>199</v>
      </c>
      <c r="T19" s="17">
        <f t="shared" si="11"/>
        <v>71</v>
      </c>
      <c r="U19" s="17">
        <f t="shared" si="11"/>
        <v>22</v>
      </c>
      <c r="V19" s="17">
        <f t="shared" si="11"/>
        <v>55</v>
      </c>
      <c r="W19" s="17">
        <f t="shared" si="11"/>
        <v>1</v>
      </c>
      <c r="X19" s="17">
        <f t="shared" si="11"/>
        <v>0</v>
      </c>
      <c r="Y19" s="17">
        <f t="shared" si="11"/>
        <v>9</v>
      </c>
      <c r="Z19" s="17">
        <f t="shared" si="11"/>
        <v>8</v>
      </c>
      <c r="AA19" s="17">
        <f t="shared" si="11"/>
        <v>3</v>
      </c>
      <c r="AB19" s="17">
        <f t="shared" si="11"/>
        <v>0</v>
      </c>
      <c r="AC19" s="17">
        <f t="shared" si="11"/>
        <v>785</v>
      </c>
      <c r="AD19" s="17">
        <f t="shared" si="11"/>
        <v>0</v>
      </c>
      <c r="AE19" s="31">
        <f t="shared" si="11"/>
        <v>368</v>
      </c>
      <c r="AF19" s="31">
        <f t="shared" si="11"/>
        <v>1153</v>
      </c>
    </row>
    <row r="20" spans="2:32" ht="23.1" customHeight="1" x14ac:dyDescent="0.25">
      <c r="B20" s="45" t="s">
        <v>47</v>
      </c>
      <c r="C20" s="50">
        <v>21</v>
      </c>
      <c r="D20" s="50">
        <v>7</v>
      </c>
      <c r="E20" s="50">
        <v>2</v>
      </c>
      <c r="F20" s="50">
        <v>15</v>
      </c>
      <c r="G20" s="50">
        <v>0</v>
      </c>
      <c r="H20" s="50">
        <v>0</v>
      </c>
      <c r="I20" s="50">
        <v>7</v>
      </c>
      <c r="J20" s="50">
        <v>1</v>
      </c>
      <c r="K20" s="50">
        <v>0</v>
      </c>
      <c r="L20" s="50">
        <v>0</v>
      </c>
      <c r="M20" s="50">
        <v>200</v>
      </c>
      <c r="N20" s="50">
        <v>0</v>
      </c>
      <c r="O20" s="15">
        <f t="shared" si="0"/>
        <v>53</v>
      </c>
      <c r="P20" s="15">
        <f t="shared" si="1"/>
        <v>253</v>
      </c>
      <c r="R20" s="1" t="s">
        <v>16</v>
      </c>
      <c r="S20" s="17">
        <f t="shared" ref="S20:AF20" si="12">SUM(C50:C53)</f>
        <v>160</v>
      </c>
      <c r="T20" s="17">
        <f t="shared" si="12"/>
        <v>75</v>
      </c>
      <c r="U20" s="17">
        <f t="shared" si="12"/>
        <v>25</v>
      </c>
      <c r="V20" s="17">
        <f t="shared" si="12"/>
        <v>65</v>
      </c>
      <c r="W20" s="17">
        <f t="shared" si="12"/>
        <v>1</v>
      </c>
      <c r="X20" s="17">
        <f t="shared" si="12"/>
        <v>0</v>
      </c>
      <c r="Y20" s="17">
        <f t="shared" si="12"/>
        <v>7</v>
      </c>
      <c r="Z20" s="17">
        <f t="shared" si="12"/>
        <v>2</v>
      </c>
      <c r="AA20" s="17">
        <f t="shared" si="12"/>
        <v>3</v>
      </c>
      <c r="AB20" s="17">
        <f t="shared" si="12"/>
        <v>1</v>
      </c>
      <c r="AC20" s="17">
        <f t="shared" si="12"/>
        <v>850</v>
      </c>
      <c r="AD20" s="17">
        <f t="shared" si="12"/>
        <v>0</v>
      </c>
      <c r="AE20" s="31">
        <f t="shared" si="12"/>
        <v>339</v>
      </c>
      <c r="AF20" s="31">
        <f t="shared" si="12"/>
        <v>1189</v>
      </c>
    </row>
    <row r="21" spans="2:32" ht="23.1" customHeight="1" x14ac:dyDescent="0.25">
      <c r="B21" s="45" t="s">
        <v>48</v>
      </c>
      <c r="C21" s="50">
        <v>21</v>
      </c>
      <c r="D21" s="50">
        <v>3</v>
      </c>
      <c r="E21" s="50">
        <v>5</v>
      </c>
      <c r="F21" s="50">
        <v>23</v>
      </c>
      <c r="G21" s="50">
        <v>0</v>
      </c>
      <c r="H21" s="50">
        <v>0</v>
      </c>
      <c r="I21" s="50">
        <v>1</v>
      </c>
      <c r="J21" s="50">
        <v>0</v>
      </c>
      <c r="K21" s="50">
        <v>1</v>
      </c>
      <c r="L21" s="50">
        <v>0</v>
      </c>
      <c r="M21" s="50">
        <v>165</v>
      </c>
      <c r="N21" s="50">
        <v>0</v>
      </c>
      <c r="O21" s="15">
        <f t="shared" si="0"/>
        <v>54</v>
      </c>
      <c r="P21" s="15">
        <f t="shared" si="1"/>
        <v>219</v>
      </c>
      <c r="R21" s="36" t="s">
        <v>20</v>
      </c>
      <c r="S21" s="34">
        <f t="shared" ref="S21:AF21" si="13">SUM(C54:C57)</f>
        <v>358</v>
      </c>
      <c r="T21" s="17">
        <f t="shared" si="13"/>
        <v>66</v>
      </c>
      <c r="U21" s="17">
        <f t="shared" si="13"/>
        <v>21</v>
      </c>
      <c r="V21" s="17">
        <f t="shared" si="13"/>
        <v>33</v>
      </c>
      <c r="W21" s="17">
        <f t="shared" si="13"/>
        <v>4</v>
      </c>
      <c r="X21" s="17">
        <f t="shared" si="13"/>
        <v>4</v>
      </c>
      <c r="Y21" s="17">
        <f t="shared" si="13"/>
        <v>3</v>
      </c>
      <c r="Z21" s="17">
        <f t="shared" si="13"/>
        <v>2</v>
      </c>
      <c r="AA21" s="17">
        <f t="shared" si="13"/>
        <v>4</v>
      </c>
      <c r="AB21" s="17">
        <f t="shared" si="13"/>
        <v>2</v>
      </c>
      <c r="AC21" s="17">
        <f t="shared" si="13"/>
        <v>710</v>
      </c>
      <c r="AD21" s="17">
        <f t="shared" si="13"/>
        <v>0</v>
      </c>
      <c r="AE21" s="31">
        <f t="shared" si="13"/>
        <v>497</v>
      </c>
      <c r="AF21" s="31">
        <f t="shared" si="13"/>
        <v>1207</v>
      </c>
    </row>
    <row r="22" spans="2:32" ht="23.1" customHeight="1" x14ac:dyDescent="0.25">
      <c r="B22" s="45" t="s">
        <v>49</v>
      </c>
      <c r="C22" s="50">
        <v>36</v>
      </c>
      <c r="D22" s="50">
        <v>13</v>
      </c>
      <c r="E22" s="50">
        <v>7</v>
      </c>
      <c r="F22" s="50">
        <v>26</v>
      </c>
      <c r="G22" s="50">
        <v>0</v>
      </c>
      <c r="H22" s="50">
        <v>0</v>
      </c>
      <c r="I22" s="50">
        <v>3</v>
      </c>
      <c r="J22" s="50">
        <v>1</v>
      </c>
      <c r="K22" s="50">
        <v>1</v>
      </c>
      <c r="L22" s="50">
        <v>0</v>
      </c>
      <c r="M22" s="50">
        <v>165</v>
      </c>
      <c r="N22" s="50">
        <v>0</v>
      </c>
      <c r="O22" s="15">
        <f t="shared" si="0"/>
        <v>87</v>
      </c>
      <c r="P22" s="15">
        <f t="shared" si="1"/>
        <v>252</v>
      </c>
      <c r="R22" s="36" t="s">
        <v>147</v>
      </c>
      <c r="S22" s="34">
        <f>SUM(C58:C61)</f>
        <v>189.5</v>
      </c>
      <c r="T22" s="34">
        <f t="shared" ref="T22:AF22" si="14">SUM(D58:D61)</f>
        <v>68</v>
      </c>
      <c r="U22" s="34">
        <f t="shared" si="14"/>
        <v>28</v>
      </c>
      <c r="V22" s="34">
        <f t="shared" si="14"/>
        <v>51.5</v>
      </c>
      <c r="W22" s="34">
        <f t="shared" si="14"/>
        <v>0.5</v>
      </c>
      <c r="X22" s="34">
        <f t="shared" si="14"/>
        <v>1</v>
      </c>
      <c r="Y22" s="34">
        <f t="shared" si="14"/>
        <v>7</v>
      </c>
      <c r="Z22" s="34">
        <f t="shared" si="14"/>
        <v>5.5</v>
      </c>
      <c r="AA22" s="34">
        <f t="shared" si="14"/>
        <v>0.5</v>
      </c>
      <c r="AB22" s="34">
        <f t="shared" si="14"/>
        <v>0</v>
      </c>
      <c r="AC22" s="34">
        <f t="shared" si="14"/>
        <v>402.5</v>
      </c>
      <c r="AD22" s="34">
        <f t="shared" si="14"/>
        <v>0</v>
      </c>
      <c r="AE22" s="31">
        <f t="shared" si="14"/>
        <v>351.5</v>
      </c>
      <c r="AF22" s="31">
        <f t="shared" si="14"/>
        <v>754</v>
      </c>
    </row>
    <row r="23" spans="2:32" ht="23.1" customHeight="1" x14ac:dyDescent="0.25">
      <c r="B23" s="45" t="s">
        <v>50</v>
      </c>
      <c r="C23" s="50">
        <v>26</v>
      </c>
      <c r="D23" s="50">
        <v>7</v>
      </c>
      <c r="E23" s="50">
        <v>8</v>
      </c>
      <c r="F23" s="50">
        <v>21</v>
      </c>
      <c r="G23" s="50">
        <v>0</v>
      </c>
      <c r="H23" s="50">
        <v>0</v>
      </c>
      <c r="I23" s="50">
        <v>4</v>
      </c>
      <c r="J23" s="50">
        <v>0</v>
      </c>
      <c r="K23" s="50">
        <v>1</v>
      </c>
      <c r="L23" s="50">
        <v>0</v>
      </c>
      <c r="M23" s="50">
        <v>150</v>
      </c>
      <c r="N23" s="50">
        <v>0</v>
      </c>
      <c r="O23" s="15">
        <f t="shared" si="0"/>
        <v>67</v>
      </c>
      <c r="P23" s="15">
        <f t="shared" si="1"/>
        <v>217</v>
      </c>
      <c r="R23" s="36" t="s">
        <v>148</v>
      </c>
      <c r="S23" s="34">
        <f>SUM(C62:C65)</f>
        <v>157</v>
      </c>
      <c r="T23" s="34">
        <f t="shared" ref="T23:AF23" si="15">SUM(D62:D65)</f>
        <v>42</v>
      </c>
      <c r="U23" s="34">
        <f t="shared" si="15"/>
        <v>30</v>
      </c>
      <c r="V23" s="34">
        <f t="shared" si="15"/>
        <v>60</v>
      </c>
      <c r="W23" s="34">
        <f t="shared" si="15"/>
        <v>0</v>
      </c>
      <c r="X23" s="34">
        <f t="shared" si="15"/>
        <v>1</v>
      </c>
      <c r="Y23" s="34">
        <f t="shared" si="15"/>
        <v>13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414</v>
      </c>
      <c r="AD23" s="34">
        <f t="shared" si="15"/>
        <v>0</v>
      </c>
      <c r="AE23" s="31">
        <f t="shared" si="15"/>
        <v>304</v>
      </c>
      <c r="AF23" s="31">
        <f t="shared" si="15"/>
        <v>718</v>
      </c>
    </row>
    <row r="24" spans="2:32" ht="23.1" customHeight="1" x14ac:dyDescent="0.25">
      <c r="B24" s="45" t="s">
        <v>51</v>
      </c>
      <c r="C24" s="50">
        <v>42</v>
      </c>
      <c r="D24" s="50">
        <v>8</v>
      </c>
      <c r="E24" s="50">
        <v>5</v>
      </c>
      <c r="F24" s="50">
        <v>34</v>
      </c>
      <c r="G24" s="50">
        <v>0</v>
      </c>
      <c r="H24" s="50">
        <v>0</v>
      </c>
      <c r="I24" s="50">
        <v>2</v>
      </c>
      <c r="J24" s="50">
        <v>1</v>
      </c>
      <c r="K24" s="50">
        <v>0</v>
      </c>
      <c r="L24" s="50">
        <v>1</v>
      </c>
      <c r="M24" s="50">
        <v>205</v>
      </c>
      <c r="N24" s="50">
        <v>0</v>
      </c>
      <c r="O24" s="15">
        <f t="shared" si="0"/>
        <v>93</v>
      </c>
      <c r="P24" s="15">
        <f t="shared" si="1"/>
        <v>298</v>
      </c>
      <c r="R24" s="36" t="s">
        <v>149</v>
      </c>
      <c r="S24" s="34">
        <f>SUM(C66:C69)</f>
        <v>204</v>
      </c>
      <c r="T24" s="34">
        <f t="shared" ref="T24:AF24" si="16">SUM(D66:D69)</f>
        <v>42</v>
      </c>
      <c r="U24" s="34">
        <f t="shared" si="16"/>
        <v>30</v>
      </c>
      <c r="V24" s="34">
        <f t="shared" si="16"/>
        <v>54</v>
      </c>
      <c r="W24" s="34">
        <f t="shared" si="16"/>
        <v>0</v>
      </c>
      <c r="X24" s="34">
        <f t="shared" si="16"/>
        <v>0</v>
      </c>
      <c r="Y24" s="34">
        <f t="shared" si="16"/>
        <v>12</v>
      </c>
      <c r="Z24" s="34">
        <f t="shared" si="16"/>
        <v>3</v>
      </c>
      <c r="AA24" s="34">
        <f t="shared" si="16"/>
        <v>0</v>
      </c>
      <c r="AB24" s="34">
        <f t="shared" si="16"/>
        <v>0</v>
      </c>
      <c r="AC24" s="34">
        <f t="shared" si="16"/>
        <v>307</v>
      </c>
      <c r="AD24" s="34">
        <f t="shared" si="16"/>
        <v>0</v>
      </c>
      <c r="AE24" s="31">
        <f t="shared" si="16"/>
        <v>345</v>
      </c>
      <c r="AF24" s="31">
        <f t="shared" si="16"/>
        <v>652</v>
      </c>
    </row>
    <row r="25" spans="2:32" ht="23.1" customHeight="1" x14ac:dyDescent="0.25">
      <c r="B25" s="45" t="s">
        <v>52</v>
      </c>
      <c r="C25" s="50">
        <v>35</v>
      </c>
      <c r="D25" s="50">
        <v>22</v>
      </c>
      <c r="E25" s="50">
        <v>2</v>
      </c>
      <c r="F25" s="50">
        <v>23</v>
      </c>
      <c r="G25" s="50">
        <v>0</v>
      </c>
      <c r="H25" s="50">
        <v>0</v>
      </c>
      <c r="I25" s="50">
        <v>0</v>
      </c>
      <c r="J25" s="50">
        <v>2</v>
      </c>
      <c r="K25" s="50">
        <v>1</v>
      </c>
      <c r="L25" s="50">
        <v>0</v>
      </c>
      <c r="M25" s="50">
        <v>200</v>
      </c>
      <c r="N25" s="50">
        <v>0</v>
      </c>
      <c r="O25" s="15">
        <f t="shared" si="0"/>
        <v>85</v>
      </c>
      <c r="P25" s="15">
        <f t="shared" si="1"/>
        <v>285</v>
      </c>
      <c r="R25" s="36" t="s">
        <v>150</v>
      </c>
      <c r="S25" s="34">
        <f>SUM(C70:C73)</f>
        <v>161</v>
      </c>
      <c r="T25" s="34">
        <f t="shared" ref="T25:AF25" si="17">SUM(D70:D73)</f>
        <v>64</v>
      </c>
      <c r="U25" s="34">
        <f t="shared" si="17"/>
        <v>29</v>
      </c>
      <c r="V25" s="34">
        <f t="shared" si="17"/>
        <v>20</v>
      </c>
      <c r="W25" s="34">
        <f t="shared" si="17"/>
        <v>1</v>
      </c>
      <c r="X25" s="34">
        <f t="shared" si="17"/>
        <v>3</v>
      </c>
      <c r="Y25" s="34">
        <f t="shared" si="17"/>
        <v>14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332</v>
      </c>
      <c r="AD25" s="34">
        <f t="shared" si="17"/>
        <v>0</v>
      </c>
      <c r="AE25" s="31">
        <f t="shared" si="17"/>
        <v>292</v>
      </c>
      <c r="AF25" s="31">
        <f t="shared" si="17"/>
        <v>624</v>
      </c>
    </row>
    <row r="26" spans="2:32" ht="23.1" customHeight="1" x14ac:dyDescent="0.25">
      <c r="B26" s="45" t="s">
        <v>53</v>
      </c>
      <c r="C26" s="50">
        <v>80</v>
      </c>
      <c r="D26" s="50">
        <v>11</v>
      </c>
      <c r="E26" s="50">
        <v>3</v>
      </c>
      <c r="F26" s="50">
        <v>13</v>
      </c>
      <c r="G26" s="50">
        <v>1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205</v>
      </c>
      <c r="N26" s="50">
        <v>0</v>
      </c>
      <c r="O26" s="15">
        <f t="shared" si="0"/>
        <v>111</v>
      </c>
      <c r="P26" s="15">
        <f t="shared" si="1"/>
        <v>316</v>
      </c>
      <c r="R26" s="36" t="s">
        <v>151</v>
      </c>
      <c r="S26" s="34">
        <f>SUM(C74:C77)</f>
        <v>120</v>
      </c>
      <c r="T26" s="34">
        <f t="shared" ref="T26:AF26" si="18">SUM(D74:D77)</f>
        <v>35</v>
      </c>
      <c r="U26" s="34">
        <f t="shared" si="18"/>
        <v>11</v>
      </c>
      <c r="V26" s="34">
        <f t="shared" si="18"/>
        <v>9</v>
      </c>
      <c r="W26" s="34">
        <f t="shared" si="18"/>
        <v>0</v>
      </c>
      <c r="X26" s="34">
        <f t="shared" si="18"/>
        <v>0</v>
      </c>
      <c r="Y26" s="34">
        <f t="shared" si="18"/>
        <v>12</v>
      </c>
      <c r="Z26" s="34">
        <f t="shared" si="18"/>
        <v>2</v>
      </c>
      <c r="AA26" s="34">
        <f t="shared" si="18"/>
        <v>0</v>
      </c>
      <c r="AB26" s="34">
        <f t="shared" si="18"/>
        <v>0</v>
      </c>
      <c r="AC26" s="34">
        <f t="shared" si="18"/>
        <v>216</v>
      </c>
      <c r="AD26" s="34">
        <f t="shared" si="18"/>
        <v>0</v>
      </c>
      <c r="AE26" s="31">
        <f t="shared" si="18"/>
        <v>189</v>
      </c>
      <c r="AF26" s="31">
        <f t="shared" si="18"/>
        <v>405</v>
      </c>
    </row>
    <row r="27" spans="2:32" ht="23.1" customHeight="1" x14ac:dyDescent="0.25">
      <c r="B27" s="45" t="s">
        <v>54</v>
      </c>
      <c r="C27" s="50">
        <v>95</v>
      </c>
      <c r="D27" s="50">
        <v>5</v>
      </c>
      <c r="E27" s="50">
        <v>2</v>
      </c>
      <c r="F27" s="50">
        <v>15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160</v>
      </c>
      <c r="N27" s="50">
        <v>0</v>
      </c>
      <c r="O27" s="15">
        <f t="shared" si="0"/>
        <v>117</v>
      </c>
      <c r="P27" s="15">
        <f t="shared" si="1"/>
        <v>277</v>
      </c>
      <c r="R27" s="36" t="s">
        <v>152</v>
      </c>
      <c r="S27" s="34">
        <f>SUM(C78:C81)</f>
        <v>106</v>
      </c>
      <c r="T27" s="34">
        <f t="shared" ref="T27:AF27" si="19">SUM(D78:D81)</f>
        <v>30</v>
      </c>
      <c r="U27" s="34">
        <f t="shared" si="19"/>
        <v>7</v>
      </c>
      <c r="V27" s="34">
        <f t="shared" si="19"/>
        <v>13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204</v>
      </c>
      <c r="AD27" s="34">
        <f t="shared" si="19"/>
        <v>0</v>
      </c>
      <c r="AE27" s="31">
        <f t="shared" si="19"/>
        <v>160</v>
      </c>
      <c r="AF27" s="31">
        <f t="shared" si="19"/>
        <v>364</v>
      </c>
    </row>
    <row r="28" spans="2:32" ht="23.1" customHeight="1" x14ac:dyDescent="0.25">
      <c r="B28" s="45" t="s">
        <v>55</v>
      </c>
      <c r="C28" s="50">
        <v>110</v>
      </c>
      <c r="D28" s="50">
        <v>15</v>
      </c>
      <c r="E28" s="50">
        <v>11</v>
      </c>
      <c r="F28" s="50">
        <v>26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175</v>
      </c>
      <c r="N28" s="50">
        <v>0</v>
      </c>
      <c r="O28" s="15">
        <f t="shared" si="0"/>
        <v>166</v>
      </c>
      <c r="P28" s="15">
        <f t="shared" si="1"/>
        <v>341</v>
      </c>
      <c r="R28" s="36" t="s">
        <v>153</v>
      </c>
      <c r="S28" s="34">
        <f>SUM(C82:C85)</f>
        <v>65</v>
      </c>
      <c r="T28" s="34">
        <f t="shared" ref="T28:AF28" si="20">SUM(D82:D85)</f>
        <v>14</v>
      </c>
      <c r="U28" s="34">
        <f t="shared" si="20"/>
        <v>2</v>
      </c>
      <c r="V28" s="34">
        <f t="shared" si="20"/>
        <v>6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0</v>
      </c>
      <c r="AA28" s="34">
        <f t="shared" si="20"/>
        <v>1</v>
      </c>
      <c r="AB28" s="34">
        <f t="shared" si="20"/>
        <v>1</v>
      </c>
      <c r="AC28" s="34">
        <f t="shared" si="20"/>
        <v>126</v>
      </c>
      <c r="AD28" s="34">
        <f t="shared" si="20"/>
        <v>0</v>
      </c>
      <c r="AE28" s="31">
        <f t="shared" si="20"/>
        <v>93</v>
      </c>
      <c r="AF28" s="31">
        <f t="shared" si="20"/>
        <v>219</v>
      </c>
    </row>
    <row r="29" spans="2:32" ht="23.1" customHeight="1" x14ac:dyDescent="0.25">
      <c r="B29" s="45" t="s">
        <v>56</v>
      </c>
      <c r="C29" s="50">
        <v>83</v>
      </c>
      <c r="D29" s="50">
        <v>12</v>
      </c>
      <c r="E29" s="50">
        <v>12</v>
      </c>
      <c r="F29" s="50">
        <v>11</v>
      </c>
      <c r="G29" s="50">
        <v>1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190</v>
      </c>
      <c r="N29" s="50">
        <v>0</v>
      </c>
      <c r="O29" s="15">
        <f t="shared" si="0"/>
        <v>119</v>
      </c>
      <c r="P29" s="15">
        <f t="shared" si="1"/>
        <v>309</v>
      </c>
      <c r="R29" s="36" t="s">
        <v>154</v>
      </c>
      <c r="S29" s="34">
        <f>SUM(C86:C89)</f>
        <v>31</v>
      </c>
      <c r="T29" s="34">
        <f t="shared" ref="T29:AF29" si="21">SUM(D86:D89)</f>
        <v>11</v>
      </c>
      <c r="U29" s="34">
        <f t="shared" si="21"/>
        <v>4</v>
      </c>
      <c r="V29" s="34">
        <f t="shared" si="21"/>
        <v>5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1</v>
      </c>
      <c r="AB29" s="34">
        <f t="shared" si="21"/>
        <v>0</v>
      </c>
      <c r="AC29" s="34">
        <f t="shared" si="21"/>
        <v>94</v>
      </c>
      <c r="AD29" s="34">
        <f t="shared" si="21"/>
        <v>0</v>
      </c>
      <c r="AE29" s="31">
        <f t="shared" si="21"/>
        <v>53</v>
      </c>
      <c r="AF29" s="31">
        <f t="shared" si="21"/>
        <v>147</v>
      </c>
    </row>
    <row r="30" spans="2:32" ht="23.1" customHeight="1" x14ac:dyDescent="0.25">
      <c r="B30" s="45" t="s">
        <v>57</v>
      </c>
      <c r="C30" s="50">
        <v>110</v>
      </c>
      <c r="D30" s="50">
        <v>9</v>
      </c>
      <c r="E30" s="50">
        <v>12</v>
      </c>
      <c r="F30" s="50">
        <v>13</v>
      </c>
      <c r="G30" s="50">
        <v>0</v>
      </c>
      <c r="H30" s="50">
        <v>0</v>
      </c>
      <c r="I30" s="50">
        <v>11</v>
      </c>
      <c r="J30" s="50">
        <v>4</v>
      </c>
      <c r="K30" s="50">
        <v>2</v>
      </c>
      <c r="L30" s="50">
        <v>0</v>
      </c>
      <c r="M30" s="50">
        <v>170</v>
      </c>
      <c r="N30" s="50">
        <v>0</v>
      </c>
      <c r="O30" s="15">
        <f t="shared" si="0"/>
        <v>161</v>
      </c>
      <c r="P30" s="15">
        <f t="shared" si="1"/>
        <v>331</v>
      </c>
      <c r="R30" s="36" t="s">
        <v>155</v>
      </c>
      <c r="S30" s="34">
        <f>SUM(C90:C93)</f>
        <v>21</v>
      </c>
      <c r="T30" s="34">
        <f t="shared" ref="T30:AF30" si="22">SUM(D90:D93)</f>
        <v>6</v>
      </c>
      <c r="U30" s="34">
        <f t="shared" si="22"/>
        <v>2</v>
      </c>
      <c r="V30" s="34">
        <f t="shared" si="22"/>
        <v>3</v>
      </c>
      <c r="W30" s="34">
        <f t="shared" si="22"/>
        <v>0</v>
      </c>
      <c r="X30" s="34">
        <f t="shared" si="22"/>
        <v>0</v>
      </c>
      <c r="Y30" s="34">
        <f t="shared" si="22"/>
        <v>5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46</v>
      </c>
      <c r="AD30" s="34">
        <f t="shared" si="22"/>
        <v>0</v>
      </c>
      <c r="AE30" s="31">
        <f t="shared" si="22"/>
        <v>37</v>
      </c>
      <c r="AF30" s="31">
        <f t="shared" si="22"/>
        <v>83</v>
      </c>
    </row>
    <row r="31" spans="2:32" ht="23.1" customHeight="1" x14ac:dyDescent="0.25">
      <c r="B31" s="46" t="s">
        <v>58</v>
      </c>
      <c r="C31" s="50">
        <v>73</v>
      </c>
      <c r="D31" s="50">
        <v>6</v>
      </c>
      <c r="E31" s="50">
        <v>7</v>
      </c>
      <c r="F31" s="50">
        <v>14</v>
      </c>
      <c r="G31" s="50">
        <v>0</v>
      </c>
      <c r="H31" s="50">
        <v>0</v>
      </c>
      <c r="I31" s="50">
        <v>2</v>
      </c>
      <c r="J31" s="50">
        <v>1</v>
      </c>
      <c r="K31" s="50">
        <v>1</v>
      </c>
      <c r="L31" s="50">
        <v>0</v>
      </c>
      <c r="M31" s="50">
        <v>220</v>
      </c>
      <c r="N31" s="50">
        <v>0</v>
      </c>
      <c r="O31" s="15">
        <f t="shared" si="0"/>
        <v>104</v>
      </c>
      <c r="P31" s="15">
        <f t="shared" si="1"/>
        <v>324</v>
      </c>
      <c r="R31" s="36" t="s">
        <v>156</v>
      </c>
      <c r="S31" s="34">
        <f>SUM(C94:C97)</f>
        <v>20</v>
      </c>
      <c r="T31" s="34">
        <f t="shared" ref="T31:AF31" si="23">SUM(D94:D97)</f>
        <v>8</v>
      </c>
      <c r="U31" s="34">
        <f t="shared" si="23"/>
        <v>6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8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63</v>
      </c>
      <c r="AD31" s="34">
        <f t="shared" si="23"/>
        <v>0</v>
      </c>
      <c r="AE31" s="31">
        <f t="shared" si="23"/>
        <v>46</v>
      </c>
      <c r="AF31" s="31">
        <f t="shared" si="23"/>
        <v>109</v>
      </c>
    </row>
    <row r="32" spans="2:32" ht="23.1" customHeight="1" x14ac:dyDescent="0.25">
      <c r="B32" s="46" t="s">
        <v>59</v>
      </c>
      <c r="C32" s="50">
        <v>78</v>
      </c>
      <c r="D32" s="50">
        <v>4</v>
      </c>
      <c r="E32" s="50">
        <v>2</v>
      </c>
      <c r="F32" s="50">
        <v>15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170</v>
      </c>
      <c r="N32" s="50">
        <v>0</v>
      </c>
      <c r="O32" s="15">
        <f t="shared" si="0"/>
        <v>103</v>
      </c>
      <c r="P32" s="15">
        <f t="shared" si="1"/>
        <v>273</v>
      </c>
      <c r="R32" s="33" t="s">
        <v>157</v>
      </c>
      <c r="S32" s="34">
        <f>SUM(C98:C101)</f>
        <v>19</v>
      </c>
      <c r="T32" s="34">
        <f t="shared" ref="T32:AF32" si="24">SUM(D98:D101)</f>
        <v>6</v>
      </c>
      <c r="U32" s="34">
        <f t="shared" si="24"/>
        <v>1</v>
      </c>
      <c r="V32" s="34">
        <f t="shared" si="24"/>
        <v>16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0</v>
      </c>
      <c r="AA32" s="34">
        <f t="shared" si="24"/>
        <v>0</v>
      </c>
      <c r="AB32" s="34">
        <f t="shared" si="24"/>
        <v>1</v>
      </c>
      <c r="AC32" s="34">
        <f t="shared" si="24"/>
        <v>103</v>
      </c>
      <c r="AD32" s="34">
        <f t="shared" si="24"/>
        <v>0</v>
      </c>
      <c r="AE32" s="31">
        <f t="shared" si="24"/>
        <v>45</v>
      </c>
      <c r="AF32" s="31">
        <f t="shared" si="24"/>
        <v>148</v>
      </c>
    </row>
    <row r="33" spans="2:32" ht="23.1" customHeight="1" x14ac:dyDescent="0.25">
      <c r="B33" s="45" t="s">
        <v>60</v>
      </c>
      <c r="C33" s="50">
        <v>70</v>
      </c>
      <c r="D33" s="50">
        <v>11</v>
      </c>
      <c r="E33" s="50">
        <v>4</v>
      </c>
      <c r="F33" s="50">
        <v>9</v>
      </c>
      <c r="G33" s="50">
        <v>0</v>
      </c>
      <c r="H33" s="50">
        <v>0</v>
      </c>
      <c r="I33" s="50">
        <v>4</v>
      </c>
      <c r="J33" s="50">
        <v>0</v>
      </c>
      <c r="K33" s="50">
        <v>1</v>
      </c>
      <c r="L33" s="50">
        <v>0</v>
      </c>
      <c r="M33" s="50">
        <v>180</v>
      </c>
      <c r="N33" s="50">
        <v>0</v>
      </c>
      <c r="O33" s="15">
        <f t="shared" si="0"/>
        <v>99</v>
      </c>
      <c r="P33" s="15">
        <f t="shared" si="1"/>
        <v>279</v>
      </c>
      <c r="R33" s="33" t="s">
        <v>158</v>
      </c>
      <c r="S33" s="34">
        <f>SUM(C102:C105)</f>
        <v>21</v>
      </c>
      <c r="T33" s="34">
        <f t="shared" ref="T33:AF33" si="25">SUM(D102:D105)</f>
        <v>1</v>
      </c>
      <c r="U33" s="34">
        <f t="shared" si="25"/>
        <v>8</v>
      </c>
      <c r="V33" s="34">
        <f t="shared" si="25"/>
        <v>26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4</v>
      </c>
      <c r="AB33" s="34">
        <f t="shared" si="25"/>
        <v>1</v>
      </c>
      <c r="AC33" s="34">
        <f t="shared" si="25"/>
        <v>103</v>
      </c>
      <c r="AD33" s="34">
        <f t="shared" si="25"/>
        <v>0</v>
      </c>
      <c r="AE33" s="31">
        <f t="shared" si="25"/>
        <v>61</v>
      </c>
      <c r="AF33" s="31">
        <f t="shared" si="25"/>
        <v>164</v>
      </c>
    </row>
    <row r="34" spans="2:32" ht="23.1" customHeight="1" x14ac:dyDescent="0.25">
      <c r="B34" s="46" t="s">
        <v>61</v>
      </c>
      <c r="C34" s="50">
        <v>33</v>
      </c>
      <c r="D34" s="50">
        <v>13</v>
      </c>
      <c r="E34" s="50">
        <v>5</v>
      </c>
      <c r="F34" s="50">
        <v>16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188</v>
      </c>
      <c r="N34" s="50">
        <v>0</v>
      </c>
      <c r="O34" s="15">
        <f t="shared" si="0"/>
        <v>71</v>
      </c>
      <c r="P34" s="15">
        <f t="shared" si="1"/>
        <v>259</v>
      </c>
      <c r="R34" s="38" t="s">
        <v>90</v>
      </c>
      <c r="S34" s="39">
        <f t="shared" ref="S34:AF34" si="26">MAX(S10:S12)</f>
        <v>147</v>
      </c>
      <c r="T34" s="39">
        <f t="shared" si="26"/>
        <v>57</v>
      </c>
      <c r="U34" s="39">
        <f t="shared" si="26"/>
        <v>21</v>
      </c>
      <c r="V34" s="39">
        <f t="shared" si="26"/>
        <v>134</v>
      </c>
      <c r="W34" s="39">
        <f t="shared" si="26"/>
        <v>6</v>
      </c>
      <c r="X34" s="39">
        <f t="shared" si="26"/>
        <v>1</v>
      </c>
      <c r="Y34" s="39">
        <f t="shared" si="26"/>
        <v>14</v>
      </c>
      <c r="Z34" s="39">
        <f t="shared" si="26"/>
        <v>7</v>
      </c>
      <c r="AA34" s="39">
        <f t="shared" si="26"/>
        <v>3</v>
      </c>
      <c r="AB34" s="39">
        <f t="shared" si="26"/>
        <v>0</v>
      </c>
      <c r="AC34" s="39">
        <f t="shared" si="26"/>
        <v>775</v>
      </c>
      <c r="AD34" s="39">
        <f t="shared" si="26"/>
        <v>0</v>
      </c>
      <c r="AE34" s="40">
        <f t="shared" si="26"/>
        <v>374</v>
      </c>
      <c r="AF34" s="40">
        <f t="shared" si="26"/>
        <v>1124</v>
      </c>
    </row>
    <row r="35" spans="2:32" ht="23.1" customHeight="1" x14ac:dyDescent="0.25">
      <c r="B35" s="46" t="s">
        <v>62</v>
      </c>
      <c r="C35" s="50">
        <v>36</v>
      </c>
      <c r="D35" s="50">
        <v>13</v>
      </c>
      <c r="E35" s="50">
        <v>7</v>
      </c>
      <c r="F35" s="50">
        <v>18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208</v>
      </c>
      <c r="N35" s="50">
        <v>0</v>
      </c>
      <c r="O35" s="15">
        <f t="shared" si="0"/>
        <v>74</v>
      </c>
      <c r="P35" s="15">
        <f t="shared" si="1"/>
        <v>282</v>
      </c>
      <c r="R35" s="38" t="s">
        <v>91</v>
      </c>
      <c r="S35" s="39">
        <f t="shared" ref="S35:AF35" si="27">MAX(S13:S18)</f>
        <v>368</v>
      </c>
      <c r="T35" s="39">
        <f t="shared" si="27"/>
        <v>59</v>
      </c>
      <c r="U35" s="39">
        <f t="shared" si="27"/>
        <v>33</v>
      </c>
      <c r="V35" s="39">
        <f t="shared" si="27"/>
        <v>104</v>
      </c>
      <c r="W35" s="39">
        <f t="shared" si="27"/>
        <v>2</v>
      </c>
      <c r="X35" s="39">
        <f t="shared" si="27"/>
        <v>0</v>
      </c>
      <c r="Y35" s="39">
        <f t="shared" si="27"/>
        <v>20</v>
      </c>
      <c r="Z35" s="39">
        <f t="shared" si="27"/>
        <v>6</v>
      </c>
      <c r="AA35" s="39">
        <f t="shared" si="27"/>
        <v>4</v>
      </c>
      <c r="AB35" s="39">
        <f t="shared" si="27"/>
        <v>1</v>
      </c>
      <c r="AC35" s="39">
        <f t="shared" si="27"/>
        <v>841</v>
      </c>
      <c r="AD35" s="39">
        <f t="shared" si="27"/>
        <v>0</v>
      </c>
      <c r="AE35" s="40">
        <f t="shared" si="27"/>
        <v>513</v>
      </c>
      <c r="AF35" s="40">
        <f t="shared" si="27"/>
        <v>1243</v>
      </c>
    </row>
    <row r="36" spans="2:32" ht="23.1" customHeight="1" x14ac:dyDescent="0.25">
      <c r="B36" s="46" t="s">
        <v>63</v>
      </c>
      <c r="C36" s="50">
        <v>42</v>
      </c>
      <c r="D36" s="50">
        <v>21</v>
      </c>
      <c r="E36" s="50">
        <v>8</v>
      </c>
      <c r="F36" s="50">
        <v>12</v>
      </c>
      <c r="G36" s="50">
        <v>0</v>
      </c>
      <c r="H36" s="50">
        <v>0</v>
      </c>
      <c r="I36" s="50">
        <v>2</v>
      </c>
      <c r="J36" s="50">
        <v>2</v>
      </c>
      <c r="K36" s="50">
        <v>0</v>
      </c>
      <c r="L36" s="50">
        <v>1</v>
      </c>
      <c r="M36" s="50">
        <v>205</v>
      </c>
      <c r="N36" s="50">
        <v>0</v>
      </c>
      <c r="O36" s="15">
        <f t="shared" si="0"/>
        <v>88</v>
      </c>
      <c r="P36" s="15">
        <f t="shared" si="1"/>
        <v>293</v>
      </c>
      <c r="R36" s="38" t="s">
        <v>92</v>
      </c>
      <c r="S36" s="39">
        <f t="shared" ref="S36:AF36" si="28">MAX(S19:S21)</f>
        <v>358</v>
      </c>
      <c r="T36" s="39">
        <f t="shared" si="28"/>
        <v>75</v>
      </c>
      <c r="U36" s="39">
        <f t="shared" si="28"/>
        <v>25</v>
      </c>
      <c r="V36" s="39">
        <f t="shared" si="28"/>
        <v>65</v>
      </c>
      <c r="W36" s="39">
        <f t="shared" si="28"/>
        <v>4</v>
      </c>
      <c r="X36" s="39">
        <f t="shared" si="28"/>
        <v>4</v>
      </c>
      <c r="Y36" s="39">
        <f t="shared" si="28"/>
        <v>9</v>
      </c>
      <c r="Z36" s="39">
        <f t="shared" si="28"/>
        <v>8</v>
      </c>
      <c r="AA36" s="39">
        <f t="shared" si="28"/>
        <v>4</v>
      </c>
      <c r="AB36" s="39">
        <f t="shared" si="28"/>
        <v>2</v>
      </c>
      <c r="AC36" s="39">
        <f t="shared" si="28"/>
        <v>850</v>
      </c>
      <c r="AD36" s="39">
        <f t="shared" si="28"/>
        <v>0</v>
      </c>
      <c r="AE36" s="40">
        <f t="shared" si="28"/>
        <v>497</v>
      </c>
      <c r="AF36" s="40">
        <f t="shared" si="28"/>
        <v>1207</v>
      </c>
    </row>
    <row r="37" spans="2:32" ht="23.1" customHeight="1" x14ac:dyDescent="0.25">
      <c r="B37" s="45" t="s">
        <v>64</v>
      </c>
      <c r="C37" s="50">
        <v>44</v>
      </c>
      <c r="D37" s="50">
        <v>12</v>
      </c>
      <c r="E37" s="50">
        <v>0</v>
      </c>
      <c r="F37" s="50">
        <v>15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210</v>
      </c>
      <c r="N37" s="50">
        <v>0</v>
      </c>
      <c r="O37" s="15">
        <f t="shared" si="0"/>
        <v>72</v>
      </c>
      <c r="P37" s="15">
        <f t="shared" si="1"/>
        <v>282</v>
      </c>
      <c r="R37" s="37" t="s">
        <v>85</v>
      </c>
      <c r="S37" s="35">
        <f t="shared" ref="S37:AF37" si="29">SUM(S10:S12)</f>
        <v>399</v>
      </c>
      <c r="T37" s="16">
        <f t="shared" si="29"/>
        <v>120</v>
      </c>
      <c r="U37" s="16">
        <f t="shared" si="29"/>
        <v>57</v>
      </c>
      <c r="V37" s="16">
        <f t="shared" si="29"/>
        <v>337</v>
      </c>
      <c r="W37" s="16">
        <f t="shared" si="29"/>
        <v>12</v>
      </c>
      <c r="X37" s="16">
        <f t="shared" si="29"/>
        <v>2</v>
      </c>
      <c r="Y37" s="16">
        <f t="shared" si="29"/>
        <v>25</v>
      </c>
      <c r="Z37" s="16">
        <f t="shared" si="29"/>
        <v>15</v>
      </c>
      <c r="AA37" s="16">
        <f t="shared" si="29"/>
        <v>6</v>
      </c>
      <c r="AB37" s="16">
        <f t="shared" si="29"/>
        <v>0</v>
      </c>
      <c r="AC37" s="16">
        <f t="shared" si="29"/>
        <v>2221</v>
      </c>
      <c r="AD37" s="16">
        <f t="shared" si="29"/>
        <v>0</v>
      </c>
      <c r="AE37" s="32">
        <f t="shared" si="29"/>
        <v>973</v>
      </c>
      <c r="AF37" s="32">
        <f t="shared" si="29"/>
        <v>3194</v>
      </c>
    </row>
    <row r="38" spans="2:32" ht="23.1" customHeight="1" x14ac:dyDescent="0.25">
      <c r="B38" s="46" t="s">
        <v>65</v>
      </c>
      <c r="C38" s="50">
        <v>62</v>
      </c>
      <c r="D38" s="50">
        <v>7</v>
      </c>
      <c r="E38" s="50">
        <v>3</v>
      </c>
      <c r="F38" s="50">
        <v>11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201</v>
      </c>
      <c r="N38" s="50">
        <v>0</v>
      </c>
      <c r="O38" s="15">
        <f t="shared" si="0"/>
        <v>85</v>
      </c>
      <c r="P38" s="15">
        <f t="shared" si="1"/>
        <v>286</v>
      </c>
      <c r="R38" s="28" t="s">
        <v>86</v>
      </c>
      <c r="S38" s="16">
        <f t="shared" ref="S38:AF38" si="30">SUM(S13:S18)</f>
        <v>1411</v>
      </c>
      <c r="T38" s="16">
        <f t="shared" si="30"/>
        <v>270</v>
      </c>
      <c r="U38" s="16">
        <f t="shared" si="30"/>
        <v>134</v>
      </c>
      <c r="V38" s="16">
        <f t="shared" si="30"/>
        <v>400</v>
      </c>
      <c r="W38" s="16">
        <f t="shared" si="30"/>
        <v>2</v>
      </c>
      <c r="X38" s="16">
        <f t="shared" si="30"/>
        <v>0</v>
      </c>
      <c r="Y38" s="16">
        <f t="shared" si="30"/>
        <v>45</v>
      </c>
      <c r="Z38" s="16">
        <f t="shared" si="30"/>
        <v>19</v>
      </c>
      <c r="AA38" s="16">
        <f t="shared" si="30"/>
        <v>11</v>
      </c>
      <c r="AB38" s="16">
        <f t="shared" si="30"/>
        <v>4</v>
      </c>
      <c r="AC38" s="16">
        <f t="shared" si="30"/>
        <v>4657</v>
      </c>
      <c r="AD38" s="16">
        <f t="shared" si="30"/>
        <v>0</v>
      </c>
      <c r="AE38" s="32">
        <f t="shared" si="30"/>
        <v>2296</v>
      </c>
      <c r="AF38" s="32">
        <f t="shared" si="30"/>
        <v>6953</v>
      </c>
    </row>
    <row r="39" spans="2:32" ht="23.1" customHeight="1" x14ac:dyDescent="0.25">
      <c r="B39" s="46" t="s">
        <v>66</v>
      </c>
      <c r="C39" s="50">
        <v>25</v>
      </c>
      <c r="D39" s="50">
        <v>8</v>
      </c>
      <c r="E39" s="50">
        <v>3</v>
      </c>
      <c r="F39" s="50">
        <v>11</v>
      </c>
      <c r="G39" s="50">
        <v>0</v>
      </c>
      <c r="H39" s="50">
        <v>0</v>
      </c>
      <c r="I39" s="50">
        <v>0</v>
      </c>
      <c r="J39" s="50">
        <v>2</v>
      </c>
      <c r="K39" s="50">
        <v>0</v>
      </c>
      <c r="L39" s="50">
        <v>1</v>
      </c>
      <c r="M39" s="50">
        <v>205</v>
      </c>
      <c r="N39" s="50">
        <v>0</v>
      </c>
      <c r="O39" s="15">
        <f t="shared" si="0"/>
        <v>50</v>
      </c>
      <c r="P39" s="15">
        <f t="shared" si="1"/>
        <v>255</v>
      </c>
      <c r="R39" s="29" t="s">
        <v>87</v>
      </c>
      <c r="S39" s="16">
        <f t="shared" ref="S39:AF39" si="31">SUM(S19:S21)</f>
        <v>717</v>
      </c>
      <c r="T39" s="16">
        <f t="shared" si="31"/>
        <v>212</v>
      </c>
      <c r="U39" s="16">
        <f t="shared" si="31"/>
        <v>68</v>
      </c>
      <c r="V39" s="16">
        <f t="shared" si="31"/>
        <v>153</v>
      </c>
      <c r="W39" s="16">
        <f t="shared" si="31"/>
        <v>6</v>
      </c>
      <c r="X39" s="16">
        <f t="shared" si="31"/>
        <v>4</v>
      </c>
      <c r="Y39" s="16">
        <f t="shared" si="31"/>
        <v>19</v>
      </c>
      <c r="Z39" s="16">
        <f t="shared" si="31"/>
        <v>12</v>
      </c>
      <c r="AA39" s="16">
        <f t="shared" si="31"/>
        <v>10</v>
      </c>
      <c r="AB39" s="16">
        <f t="shared" si="31"/>
        <v>3</v>
      </c>
      <c r="AC39" s="16">
        <f t="shared" si="31"/>
        <v>2345</v>
      </c>
      <c r="AD39" s="16">
        <f t="shared" si="31"/>
        <v>0</v>
      </c>
      <c r="AE39" s="32">
        <f t="shared" si="31"/>
        <v>1204</v>
      </c>
      <c r="AF39" s="32">
        <f t="shared" si="31"/>
        <v>3549</v>
      </c>
    </row>
    <row r="40" spans="2:32" ht="23.1" customHeight="1" x14ac:dyDescent="0.25">
      <c r="B40" s="46" t="s">
        <v>67</v>
      </c>
      <c r="C40" s="50">
        <v>34</v>
      </c>
      <c r="D40" s="50">
        <v>21</v>
      </c>
      <c r="E40" s="50">
        <v>0</v>
      </c>
      <c r="F40" s="50">
        <v>13</v>
      </c>
      <c r="G40" s="50">
        <v>0</v>
      </c>
      <c r="H40" s="50">
        <v>0</v>
      </c>
      <c r="I40" s="50">
        <v>0</v>
      </c>
      <c r="J40" s="50">
        <v>1</v>
      </c>
      <c r="K40" s="50">
        <v>2</v>
      </c>
      <c r="L40" s="50">
        <v>0</v>
      </c>
      <c r="M40" s="50">
        <v>195</v>
      </c>
      <c r="N40" s="50">
        <v>0</v>
      </c>
      <c r="O40" s="15">
        <f t="shared" si="0"/>
        <v>71</v>
      </c>
      <c r="P40" s="15">
        <f t="shared" si="1"/>
        <v>266</v>
      </c>
      <c r="R40" s="5" t="s">
        <v>17</v>
      </c>
      <c r="S40" s="16">
        <f t="shared" ref="S40:AF40" si="32">SUM(S10:S21)</f>
        <v>2527</v>
      </c>
      <c r="T40" s="16">
        <f t="shared" si="32"/>
        <v>602</v>
      </c>
      <c r="U40" s="16">
        <f t="shared" si="32"/>
        <v>259</v>
      </c>
      <c r="V40" s="16">
        <f t="shared" si="32"/>
        <v>890</v>
      </c>
      <c r="W40" s="16">
        <f t="shared" si="32"/>
        <v>20</v>
      </c>
      <c r="X40" s="16">
        <f t="shared" si="32"/>
        <v>6</v>
      </c>
      <c r="Y40" s="16">
        <f t="shared" si="32"/>
        <v>89</v>
      </c>
      <c r="Z40" s="16">
        <f t="shared" si="32"/>
        <v>46</v>
      </c>
      <c r="AA40" s="16">
        <f t="shared" si="32"/>
        <v>27</v>
      </c>
      <c r="AB40" s="16">
        <f t="shared" si="32"/>
        <v>7</v>
      </c>
      <c r="AC40" s="16">
        <f t="shared" si="32"/>
        <v>9223</v>
      </c>
      <c r="AD40" s="16">
        <f t="shared" si="32"/>
        <v>0</v>
      </c>
      <c r="AE40" s="32">
        <f t="shared" si="32"/>
        <v>4473</v>
      </c>
      <c r="AF40" s="32">
        <f t="shared" si="32"/>
        <v>13696</v>
      </c>
    </row>
    <row r="41" spans="2:32" ht="23.1" customHeight="1" x14ac:dyDescent="0.25">
      <c r="B41" s="45" t="s">
        <v>68</v>
      </c>
      <c r="C41" s="50">
        <v>95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240</v>
      </c>
      <c r="N41" s="50">
        <v>0</v>
      </c>
      <c r="O41" s="15">
        <f t="shared" si="0"/>
        <v>95</v>
      </c>
      <c r="P41" s="15">
        <f t="shared" si="1"/>
        <v>335</v>
      </c>
      <c r="R41" s="5" t="s">
        <v>160</v>
      </c>
      <c r="S41" s="16">
        <f>SUM(S10:S33)</f>
        <v>3641.5</v>
      </c>
      <c r="T41" s="16">
        <f t="shared" ref="T41:AF41" si="33">SUM(T10:T33)</f>
        <v>929</v>
      </c>
      <c r="U41" s="16">
        <f t="shared" si="33"/>
        <v>417</v>
      </c>
      <c r="V41" s="16">
        <f t="shared" si="33"/>
        <v>1156.5</v>
      </c>
      <c r="W41" s="16">
        <f t="shared" si="33"/>
        <v>21.5</v>
      </c>
      <c r="X41" s="16">
        <f t="shared" si="33"/>
        <v>11</v>
      </c>
      <c r="Y41" s="16">
        <f t="shared" si="33"/>
        <v>171</v>
      </c>
      <c r="Z41" s="16">
        <f t="shared" si="33"/>
        <v>58.5</v>
      </c>
      <c r="AA41" s="16">
        <f t="shared" si="33"/>
        <v>33.5</v>
      </c>
      <c r="AB41" s="16">
        <f t="shared" si="33"/>
        <v>10</v>
      </c>
      <c r="AC41" s="16">
        <f t="shared" si="33"/>
        <v>11633.5</v>
      </c>
      <c r="AD41" s="16">
        <f t="shared" si="33"/>
        <v>0</v>
      </c>
      <c r="AE41" s="32">
        <f t="shared" si="33"/>
        <v>6449.5</v>
      </c>
      <c r="AF41" s="32">
        <f t="shared" si="33"/>
        <v>18083</v>
      </c>
    </row>
    <row r="42" spans="2:32" ht="23.1" customHeight="1" x14ac:dyDescent="0.25">
      <c r="B42" s="46" t="s">
        <v>69</v>
      </c>
      <c r="C42" s="50">
        <v>35</v>
      </c>
      <c r="D42" s="50">
        <v>15</v>
      </c>
      <c r="E42" s="50">
        <v>16</v>
      </c>
      <c r="F42" s="50">
        <v>30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190</v>
      </c>
      <c r="N42" s="50">
        <v>0</v>
      </c>
      <c r="O42" s="15">
        <f t="shared" si="0"/>
        <v>97</v>
      </c>
      <c r="P42" s="15">
        <f t="shared" si="1"/>
        <v>287</v>
      </c>
      <c r="R42" s="5" t="s">
        <v>161</v>
      </c>
      <c r="S42" s="48">
        <f>S41/S40</f>
        <v>1.4410368025326474</v>
      </c>
      <c r="T42" s="48">
        <f t="shared" ref="T42:AF42" si="34">T41/T40</f>
        <v>1.5431893687707641</v>
      </c>
      <c r="U42" s="48">
        <f t="shared" si="34"/>
        <v>1.6100386100386099</v>
      </c>
      <c r="V42" s="48">
        <f t="shared" si="34"/>
        <v>1.2994382022471911</v>
      </c>
      <c r="W42" s="48">
        <f t="shared" si="34"/>
        <v>1.075</v>
      </c>
      <c r="X42" s="48">
        <f t="shared" si="34"/>
        <v>1.8333333333333333</v>
      </c>
      <c r="Y42" s="48">
        <f t="shared" si="34"/>
        <v>1.9213483146067416</v>
      </c>
      <c r="Z42" s="48">
        <f t="shared" si="34"/>
        <v>1.2717391304347827</v>
      </c>
      <c r="AA42" s="48">
        <f t="shared" si="34"/>
        <v>1.2407407407407407</v>
      </c>
      <c r="AB42" s="48">
        <f t="shared" si="34"/>
        <v>1.4285714285714286</v>
      </c>
      <c r="AC42" s="48">
        <f t="shared" si="34"/>
        <v>1.2613574758755286</v>
      </c>
      <c r="AD42" s="48" t="e">
        <f t="shared" si="34"/>
        <v>#DIV/0!</v>
      </c>
      <c r="AE42" s="48">
        <f t="shared" si="34"/>
        <v>1.4418734630002235</v>
      </c>
      <c r="AF42" s="48">
        <f t="shared" si="34"/>
        <v>1.3203125</v>
      </c>
    </row>
    <row r="43" spans="2:32" ht="23.1" customHeight="1" x14ac:dyDescent="0.25">
      <c r="B43" s="45" t="s">
        <v>70</v>
      </c>
      <c r="C43" s="50">
        <v>46</v>
      </c>
      <c r="D43" s="50">
        <v>14</v>
      </c>
      <c r="E43" s="50">
        <v>6</v>
      </c>
      <c r="F43" s="50">
        <v>22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210</v>
      </c>
      <c r="N43" s="50">
        <v>0</v>
      </c>
      <c r="O43" s="15">
        <f t="shared" si="0"/>
        <v>88</v>
      </c>
      <c r="P43" s="15">
        <f t="shared" si="1"/>
        <v>298</v>
      </c>
    </row>
    <row r="44" spans="2:32" ht="23.1" customHeight="1" x14ac:dyDescent="0.25">
      <c r="B44" s="47" t="s">
        <v>71</v>
      </c>
      <c r="C44" s="50">
        <v>51</v>
      </c>
      <c r="D44" s="50">
        <v>13</v>
      </c>
      <c r="E44" s="50">
        <v>4</v>
      </c>
      <c r="F44" s="50">
        <v>21</v>
      </c>
      <c r="G44" s="50">
        <v>0</v>
      </c>
      <c r="H44" s="50">
        <v>0</v>
      </c>
      <c r="I44" s="50">
        <v>1</v>
      </c>
      <c r="J44" s="50">
        <v>1</v>
      </c>
      <c r="K44" s="50">
        <v>1</v>
      </c>
      <c r="L44" s="50">
        <v>0</v>
      </c>
      <c r="M44" s="50">
        <v>195</v>
      </c>
      <c r="N44" s="50">
        <v>0</v>
      </c>
      <c r="O44" s="15">
        <f t="shared" si="0"/>
        <v>92</v>
      </c>
      <c r="P44" s="15">
        <f t="shared" si="1"/>
        <v>287</v>
      </c>
    </row>
    <row r="45" spans="2:32" ht="23.1" customHeight="1" x14ac:dyDescent="0.25">
      <c r="B45" s="45" t="s">
        <v>72</v>
      </c>
      <c r="C45" s="50">
        <v>70</v>
      </c>
      <c r="D45" s="50">
        <v>10</v>
      </c>
      <c r="E45" s="50">
        <v>7</v>
      </c>
      <c r="F45" s="50">
        <v>11</v>
      </c>
      <c r="G45" s="50">
        <v>0</v>
      </c>
      <c r="H45" s="50">
        <v>0</v>
      </c>
      <c r="I45" s="50">
        <v>1</v>
      </c>
      <c r="J45" s="50">
        <v>0</v>
      </c>
      <c r="K45" s="50">
        <v>1</v>
      </c>
      <c r="L45" s="50">
        <v>1</v>
      </c>
      <c r="M45" s="50">
        <v>220</v>
      </c>
      <c r="N45" s="50">
        <v>0</v>
      </c>
      <c r="O45" s="15">
        <f t="shared" si="0"/>
        <v>101</v>
      </c>
      <c r="P45" s="15">
        <f t="shared" si="1"/>
        <v>321</v>
      </c>
    </row>
    <row r="46" spans="2:32" ht="23.1" customHeight="1" x14ac:dyDescent="0.25">
      <c r="B46" s="46" t="s">
        <v>73</v>
      </c>
      <c r="C46" s="50">
        <v>49</v>
      </c>
      <c r="D46" s="50">
        <v>19</v>
      </c>
      <c r="E46" s="50">
        <v>7</v>
      </c>
      <c r="F46" s="50">
        <v>17</v>
      </c>
      <c r="G46" s="50">
        <v>0</v>
      </c>
      <c r="H46" s="50">
        <v>0</v>
      </c>
      <c r="I46" s="50">
        <v>4</v>
      </c>
      <c r="J46" s="50">
        <v>4</v>
      </c>
      <c r="K46" s="50">
        <v>1</v>
      </c>
      <c r="L46" s="50">
        <v>0</v>
      </c>
      <c r="M46" s="50">
        <v>225</v>
      </c>
      <c r="N46" s="50">
        <v>0</v>
      </c>
      <c r="O46" s="15">
        <f t="shared" si="0"/>
        <v>101</v>
      </c>
      <c r="P46" s="15">
        <f t="shared" si="1"/>
        <v>326</v>
      </c>
      <c r="R46" s="8"/>
      <c r="T46"/>
    </row>
    <row r="47" spans="2:32" ht="23.1" customHeight="1" x14ac:dyDescent="0.25">
      <c r="B47" s="46" t="s">
        <v>74</v>
      </c>
      <c r="C47" s="50">
        <v>65</v>
      </c>
      <c r="D47" s="50">
        <v>21</v>
      </c>
      <c r="E47" s="50">
        <v>6</v>
      </c>
      <c r="F47" s="50">
        <v>14</v>
      </c>
      <c r="G47" s="50">
        <v>1</v>
      </c>
      <c r="H47" s="50">
        <v>0</v>
      </c>
      <c r="I47" s="50">
        <v>3</v>
      </c>
      <c r="J47" s="50">
        <v>3</v>
      </c>
      <c r="K47" s="50">
        <v>1</v>
      </c>
      <c r="L47" s="50">
        <v>0</v>
      </c>
      <c r="M47" s="50">
        <v>180</v>
      </c>
      <c r="N47" s="50">
        <v>0</v>
      </c>
      <c r="O47" s="15">
        <f t="shared" si="0"/>
        <v>114</v>
      </c>
      <c r="P47" s="15">
        <f t="shared" si="1"/>
        <v>294</v>
      </c>
      <c r="R47" s="8"/>
      <c r="T47"/>
    </row>
    <row r="48" spans="2:32" ht="23.1" customHeight="1" x14ac:dyDescent="0.25">
      <c r="B48" s="46" t="s">
        <v>75</v>
      </c>
      <c r="C48" s="50">
        <v>45</v>
      </c>
      <c r="D48" s="50">
        <v>17</v>
      </c>
      <c r="E48" s="50">
        <v>6</v>
      </c>
      <c r="F48" s="50">
        <v>13</v>
      </c>
      <c r="G48" s="50">
        <v>0</v>
      </c>
      <c r="H48" s="50">
        <v>0</v>
      </c>
      <c r="I48" s="50">
        <v>0</v>
      </c>
      <c r="J48" s="50">
        <v>0</v>
      </c>
      <c r="K48" s="50">
        <v>1</v>
      </c>
      <c r="L48" s="50">
        <v>0</v>
      </c>
      <c r="M48" s="50">
        <v>220</v>
      </c>
      <c r="N48" s="50">
        <v>0</v>
      </c>
      <c r="O48" s="15">
        <f t="shared" si="0"/>
        <v>82</v>
      </c>
      <c r="P48" s="15">
        <f t="shared" si="1"/>
        <v>302</v>
      </c>
      <c r="R48" s="8"/>
      <c r="T48"/>
    </row>
    <row r="49" spans="2:20" ht="23.1" customHeight="1" x14ac:dyDescent="0.25">
      <c r="B49" s="45" t="s">
        <v>76</v>
      </c>
      <c r="C49" s="50">
        <v>40</v>
      </c>
      <c r="D49" s="50">
        <v>14</v>
      </c>
      <c r="E49" s="50">
        <v>3</v>
      </c>
      <c r="F49" s="50">
        <v>11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0</v>
      </c>
      <c r="M49" s="50">
        <v>160</v>
      </c>
      <c r="N49" s="50">
        <v>0</v>
      </c>
      <c r="O49" s="15">
        <f t="shared" si="0"/>
        <v>71</v>
      </c>
      <c r="P49" s="15">
        <f t="shared" si="1"/>
        <v>231</v>
      </c>
      <c r="R49" s="8"/>
      <c r="T49"/>
    </row>
    <row r="50" spans="2:20" ht="23.1" customHeight="1" x14ac:dyDescent="0.25">
      <c r="B50" s="46" t="s">
        <v>77</v>
      </c>
      <c r="C50" s="50">
        <v>55</v>
      </c>
      <c r="D50" s="50">
        <v>21</v>
      </c>
      <c r="E50" s="50">
        <v>7</v>
      </c>
      <c r="F50" s="50">
        <v>15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215</v>
      </c>
      <c r="N50" s="50">
        <v>0</v>
      </c>
      <c r="O50" s="15">
        <f t="shared" si="0"/>
        <v>100</v>
      </c>
      <c r="P50" s="15">
        <f t="shared" si="1"/>
        <v>315</v>
      </c>
      <c r="R50" s="8"/>
      <c r="T50"/>
    </row>
    <row r="51" spans="2:20" ht="23.1" customHeight="1" x14ac:dyDescent="0.25">
      <c r="B51" s="46" t="s">
        <v>78</v>
      </c>
      <c r="C51" s="50">
        <v>40</v>
      </c>
      <c r="D51" s="50">
        <v>26</v>
      </c>
      <c r="E51" s="50">
        <v>3</v>
      </c>
      <c r="F51" s="50">
        <v>22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200</v>
      </c>
      <c r="N51" s="50">
        <v>0</v>
      </c>
      <c r="O51" s="15">
        <f t="shared" si="0"/>
        <v>92</v>
      </c>
      <c r="P51" s="15">
        <f t="shared" si="1"/>
        <v>292</v>
      </c>
      <c r="R51" s="8"/>
      <c r="T51"/>
    </row>
    <row r="52" spans="2:20" ht="23.1" customHeight="1" x14ac:dyDescent="0.25">
      <c r="B52" s="46" t="s">
        <v>79</v>
      </c>
      <c r="C52" s="50">
        <v>16</v>
      </c>
      <c r="D52" s="50">
        <v>12</v>
      </c>
      <c r="E52" s="50">
        <v>5</v>
      </c>
      <c r="F52" s="50">
        <v>13</v>
      </c>
      <c r="G52" s="50">
        <v>0</v>
      </c>
      <c r="H52" s="50">
        <v>0</v>
      </c>
      <c r="I52" s="50">
        <v>4</v>
      </c>
      <c r="J52" s="50">
        <v>0</v>
      </c>
      <c r="K52" s="50">
        <v>3</v>
      </c>
      <c r="L52" s="50">
        <v>0</v>
      </c>
      <c r="M52" s="50">
        <v>210</v>
      </c>
      <c r="N52" s="50">
        <v>0</v>
      </c>
      <c r="O52" s="15">
        <f t="shared" si="0"/>
        <v>53</v>
      </c>
      <c r="P52" s="15">
        <f t="shared" si="1"/>
        <v>263</v>
      </c>
      <c r="R52" s="8"/>
      <c r="T52"/>
    </row>
    <row r="53" spans="2:20" ht="23.1" customHeight="1" x14ac:dyDescent="0.25">
      <c r="B53" s="45" t="s">
        <v>80</v>
      </c>
      <c r="C53" s="50">
        <v>49</v>
      </c>
      <c r="D53" s="50">
        <v>16</v>
      </c>
      <c r="E53" s="50">
        <v>10</v>
      </c>
      <c r="F53" s="50">
        <v>15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v>1</v>
      </c>
      <c r="M53" s="50">
        <v>225</v>
      </c>
      <c r="N53" s="50">
        <v>0</v>
      </c>
      <c r="O53" s="15">
        <f t="shared" si="0"/>
        <v>94</v>
      </c>
      <c r="P53" s="15">
        <f t="shared" si="1"/>
        <v>319</v>
      </c>
      <c r="R53" s="8"/>
      <c r="T53"/>
    </row>
    <row r="54" spans="2:20" ht="23.1" customHeight="1" x14ac:dyDescent="0.25">
      <c r="B54" s="45" t="s">
        <v>81</v>
      </c>
      <c r="C54" s="50">
        <v>75</v>
      </c>
      <c r="D54" s="50">
        <v>30</v>
      </c>
      <c r="E54" s="50">
        <v>6</v>
      </c>
      <c r="F54" s="50">
        <v>6</v>
      </c>
      <c r="G54" s="50">
        <v>1</v>
      </c>
      <c r="H54" s="50">
        <v>1</v>
      </c>
      <c r="I54" s="50">
        <v>0</v>
      </c>
      <c r="J54" s="50">
        <v>1</v>
      </c>
      <c r="K54" s="50">
        <v>0</v>
      </c>
      <c r="L54" s="50">
        <v>1</v>
      </c>
      <c r="M54" s="50">
        <v>170</v>
      </c>
      <c r="N54" s="50">
        <v>0</v>
      </c>
      <c r="O54" s="15">
        <f t="shared" si="0"/>
        <v>121</v>
      </c>
      <c r="P54" s="15">
        <f t="shared" si="1"/>
        <v>291</v>
      </c>
      <c r="R54" s="8"/>
      <c r="T54"/>
    </row>
    <row r="55" spans="2:20" ht="23.1" customHeight="1" x14ac:dyDescent="0.25">
      <c r="B55" s="45" t="s">
        <v>82</v>
      </c>
      <c r="C55" s="50">
        <v>71</v>
      </c>
      <c r="D55" s="50">
        <v>11</v>
      </c>
      <c r="E55" s="50">
        <v>4</v>
      </c>
      <c r="F55" s="50">
        <v>11</v>
      </c>
      <c r="G55" s="50">
        <v>0</v>
      </c>
      <c r="H55" s="50">
        <v>1</v>
      </c>
      <c r="I55" s="50">
        <v>3</v>
      </c>
      <c r="J55" s="50">
        <v>0</v>
      </c>
      <c r="K55" s="50">
        <v>2</v>
      </c>
      <c r="L55" s="50">
        <v>0</v>
      </c>
      <c r="M55" s="50">
        <v>130</v>
      </c>
      <c r="N55" s="50">
        <v>0</v>
      </c>
      <c r="O55" s="15">
        <f t="shared" si="0"/>
        <v>103</v>
      </c>
      <c r="P55" s="15">
        <f t="shared" si="1"/>
        <v>233</v>
      </c>
      <c r="R55" s="8"/>
      <c r="T55"/>
    </row>
    <row r="56" spans="2:20" ht="23.1" customHeight="1" x14ac:dyDescent="0.25">
      <c r="B56" s="45" t="s">
        <v>83</v>
      </c>
      <c r="C56" s="50">
        <v>125</v>
      </c>
      <c r="D56" s="50">
        <v>9</v>
      </c>
      <c r="E56" s="50">
        <v>2</v>
      </c>
      <c r="F56" s="50">
        <v>6</v>
      </c>
      <c r="G56" s="50">
        <v>2</v>
      </c>
      <c r="H56" s="50">
        <v>0</v>
      </c>
      <c r="I56" s="50">
        <v>0</v>
      </c>
      <c r="J56" s="50">
        <v>0</v>
      </c>
      <c r="K56" s="50">
        <v>1</v>
      </c>
      <c r="L56" s="50">
        <v>1</v>
      </c>
      <c r="M56" s="50">
        <v>220</v>
      </c>
      <c r="N56" s="50">
        <v>0</v>
      </c>
      <c r="O56" s="15">
        <f t="shared" si="0"/>
        <v>146</v>
      </c>
      <c r="P56" s="15">
        <f t="shared" si="1"/>
        <v>366</v>
      </c>
      <c r="R56" s="8"/>
      <c r="T56"/>
    </row>
    <row r="57" spans="2:20" ht="23.1" customHeight="1" x14ac:dyDescent="0.25">
      <c r="B57" s="45" t="s">
        <v>84</v>
      </c>
      <c r="C57" s="50">
        <v>87</v>
      </c>
      <c r="D57" s="50">
        <v>16</v>
      </c>
      <c r="E57" s="50">
        <v>9</v>
      </c>
      <c r="F57" s="50">
        <v>10</v>
      </c>
      <c r="G57" s="50">
        <v>1</v>
      </c>
      <c r="H57" s="50">
        <v>2</v>
      </c>
      <c r="I57" s="50">
        <v>0</v>
      </c>
      <c r="J57" s="50">
        <v>1</v>
      </c>
      <c r="K57" s="50">
        <v>1</v>
      </c>
      <c r="L57" s="50">
        <v>0</v>
      </c>
      <c r="M57" s="50">
        <v>190</v>
      </c>
      <c r="N57" s="50">
        <v>0</v>
      </c>
      <c r="O57" s="15">
        <f t="shared" si="0"/>
        <v>127</v>
      </c>
      <c r="P57" s="15">
        <f t="shared" si="1"/>
        <v>317</v>
      </c>
      <c r="R57" s="8"/>
      <c r="T57"/>
    </row>
    <row r="58" spans="2:20" ht="23.1" customHeight="1" x14ac:dyDescent="0.25">
      <c r="B58" s="45" t="s">
        <v>100</v>
      </c>
      <c r="C58" s="50">
        <f>AVERAGE(C57,C59)</f>
        <v>58.5</v>
      </c>
      <c r="D58" s="50">
        <f t="shared" ref="D58:L58" si="35">AVERAGE(D57,D59)</f>
        <v>17</v>
      </c>
      <c r="E58" s="50">
        <f t="shared" si="35"/>
        <v>9</v>
      </c>
      <c r="F58" s="50">
        <f t="shared" si="35"/>
        <v>10.5</v>
      </c>
      <c r="G58" s="50">
        <f t="shared" si="35"/>
        <v>0.5</v>
      </c>
      <c r="H58" s="50">
        <f t="shared" si="35"/>
        <v>1</v>
      </c>
      <c r="I58" s="50">
        <f t="shared" si="35"/>
        <v>0</v>
      </c>
      <c r="J58" s="50">
        <f t="shared" si="35"/>
        <v>1.5</v>
      </c>
      <c r="K58" s="50">
        <f t="shared" si="35"/>
        <v>0.5</v>
      </c>
      <c r="L58" s="50">
        <f t="shared" si="35"/>
        <v>0</v>
      </c>
      <c r="M58" s="50">
        <f>AVERAGE(M57,M59)</f>
        <v>132.5</v>
      </c>
      <c r="N58" s="50">
        <f t="shared" ref="N58" si="36">AVERAGE(N57,N59)</f>
        <v>0</v>
      </c>
      <c r="O58" s="15">
        <f t="shared" ref="O58:O105" si="37">SUM(C58:L58,N58)</f>
        <v>98.5</v>
      </c>
      <c r="P58" s="15">
        <f t="shared" ref="P58:P105" si="38">SUM(C58:N58)</f>
        <v>231</v>
      </c>
      <c r="R58" s="8"/>
      <c r="T58"/>
    </row>
    <row r="59" spans="2:20" ht="23.1" customHeight="1" x14ac:dyDescent="0.25">
      <c r="B59" s="45" t="s">
        <v>101</v>
      </c>
      <c r="C59" s="50">
        <v>30</v>
      </c>
      <c r="D59" s="50">
        <v>18</v>
      </c>
      <c r="E59" s="50">
        <v>9</v>
      </c>
      <c r="F59" s="50">
        <v>11</v>
      </c>
      <c r="G59" s="50">
        <v>0</v>
      </c>
      <c r="H59" s="50">
        <v>0</v>
      </c>
      <c r="I59" s="50">
        <v>0</v>
      </c>
      <c r="J59" s="50">
        <v>2</v>
      </c>
      <c r="K59" s="50">
        <v>0</v>
      </c>
      <c r="L59" s="50">
        <v>0</v>
      </c>
      <c r="M59" s="50">
        <v>75</v>
      </c>
      <c r="N59" s="50">
        <v>0</v>
      </c>
      <c r="O59" s="15">
        <f t="shared" si="37"/>
        <v>70</v>
      </c>
      <c r="P59" s="15">
        <f t="shared" si="38"/>
        <v>145</v>
      </c>
      <c r="R59" s="8"/>
      <c r="T59"/>
    </row>
    <row r="60" spans="2:20" ht="23.1" customHeight="1" x14ac:dyDescent="0.25">
      <c r="B60" s="45" t="s">
        <v>102</v>
      </c>
      <c r="C60" s="50">
        <v>36</v>
      </c>
      <c r="D60" s="50">
        <v>28</v>
      </c>
      <c r="E60" s="50">
        <v>6</v>
      </c>
      <c r="F60" s="50">
        <v>14</v>
      </c>
      <c r="G60" s="50">
        <v>0</v>
      </c>
      <c r="H60" s="50">
        <v>0</v>
      </c>
      <c r="I60" s="50">
        <v>4</v>
      </c>
      <c r="J60" s="50">
        <v>1</v>
      </c>
      <c r="K60" s="50">
        <v>0</v>
      </c>
      <c r="L60" s="50">
        <v>0</v>
      </c>
      <c r="M60" s="50">
        <v>95</v>
      </c>
      <c r="N60" s="50">
        <v>0</v>
      </c>
      <c r="O60" s="15">
        <f t="shared" si="37"/>
        <v>89</v>
      </c>
      <c r="P60" s="15">
        <f t="shared" si="38"/>
        <v>184</v>
      </c>
      <c r="R60" s="8"/>
      <c r="T60"/>
    </row>
    <row r="61" spans="2:20" ht="23.1" customHeight="1" x14ac:dyDescent="0.25">
      <c r="B61" s="45" t="s">
        <v>103</v>
      </c>
      <c r="C61" s="50">
        <v>65</v>
      </c>
      <c r="D61" s="50">
        <v>5</v>
      </c>
      <c r="E61" s="50">
        <v>4</v>
      </c>
      <c r="F61" s="50">
        <v>16</v>
      </c>
      <c r="G61" s="50">
        <v>0</v>
      </c>
      <c r="H61" s="50">
        <v>0</v>
      </c>
      <c r="I61" s="50">
        <v>3</v>
      </c>
      <c r="J61" s="50">
        <v>1</v>
      </c>
      <c r="K61" s="50">
        <v>0</v>
      </c>
      <c r="L61" s="50">
        <v>0</v>
      </c>
      <c r="M61" s="50">
        <v>100</v>
      </c>
      <c r="N61" s="50">
        <v>0</v>
      </c>
      <c r="O61" s="15">
        <f t="shared" si="37"/>
        <v>94</v>
      </c>
      <c r="P61" s="15">
        <f t="shared" si="38"/>
        <v>194</v>
      </c>
      <c r="R61" s="8"/>
      <c r="T61"/>
    </row>
    <row r="62" spans="2:20" ht="23.1" customHeight="1" x14ac:dyDescent="0.25">
      <c r="B62" s="45" t="s">
        <v>108</v>
      </c>
      <c r="C62" s="50">
        <v>29</v>
      </c>
      <c r="D62" s="50">
        <v>7</v>
      </c>
      <c r="E62" s="50">
        <v>5</v>
      </c>
      <c r="F62" s="50">
        <v>10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95</v>
      </c>
      <c r="N62" s="50">
        <v>0</v>
      </c>
      <c r="O62" s="15">
        <f t="shared" si="37"/>
        <v>51</v>
      </c>
      <c r="P62" s="15">
        <f t="shared" si="38"/>
        <v>146</v>
      </c>
      <c r="R62" s="8"/>
      <c r="T62"/>
    </row>
    <row r="63" spans="2:20" ht="23.1" customHeight="1" x14ac:dyDescent="0.25">
      <c r="B63" s="45" t="s">
        <v>109</v>
      </c>
      <c r="C63" s="50">
        <v>33</v>
      </c>
      <c r="D63" s="50">
        <v>9</v>
      </c>
      <c r="E63" s="50">
        <v>13</v>
      </c>
      <c r="F63" s="50">
        <v>15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105</v>
      </c>
      <c r="N63" s="50">
        <v>0</v>
      </c>
      <c r="O63" s="15">
        <f t="shared" si="37"/>
        <v>72</v>
      </c>
      <c r="P63" s="15">
        <f t="shared" si="38"/>
        <v>177</v>
      </c>
      <c r="R63" s="8"/>
      <c r="T63"/>
    </row>
    <row r="64" spans="2:20" ht="23.1" customHeight="1" x14ac:dyDescent="0.25">
      <c r="B64" s="45" t="s">
        <v>110</v>
      </c>
      <c r="C64" s="50">
        <v>43</v>
      </c>
      <c r="D64" s="50">
        <v>17</v>
      </c>
      <c r="E64" s="50">
        <v>8</v>
      </c>
      <c r="F64" s="50">
        <v>16</v>
      </c>
      <c r="G64" s="50">
        <v>0</v>
      </c>
      <c r="H64" s="50">
        <v>0</v>
      </c>
      <c r="I64" s="50">
        <v>6</v>
      </c>
      <c r="J64" s="50">
        <v>0</v>
      </c>
      <c r="K64" s="50">
        <v>0</v>
      </c>
      <c r="L64" s="50">
        <v>0</v>
      </c>
      <c r="M64" s="50">
        <v>120</v>
      </c>
      <c r="N64" s="50">
        <v>0</v>
      </c>
      <c r="O64" s="15">
        <f t="shared" si="37"/>
        <v>90</v>
      </c>
      <c r="P64" s="15">
        <f t="shared" si="38"/>
        <v>210</v>
      </c>
      <c r="R64" s="8"/>
      <c r="T64"/>
    </row>
    <row r="65" spans="2:20" ht="23.1" customHeight="1" x14ac:dyDescent="0.25">
      <c r="B65" s="45" t="s">
        <v>159</v>
      </c>
      <c r="C65" s="50">
        <v>52</v>
      </c>
      <c r="D65" s="50">
        <v>9</v>
      </c>
      <c r="E65" s="50">
        <v>4</v>
      </c>
      <c r="F65" s="50">
        <v>19</v>
      </c>
      <c r="G65" s="50">
        <v>0</v>
      </c>
      <c r="H65" s="50">
        <v>1</v>
      </c>
      <c r="I65" s="50">
        <v>5</v>
      </c>
      <c r="J65" s="50">
        <v>1</v>
      </c>
      <c r="K65" s="50">
        <v>0</v>
      </c>
      <c r="L65" s="50">
        <v>0</v>
      </c>
      <c r="M65" s="50">
        <v>94</v>
      </c>
      <c r="N65" s="50">
        <v>0</v>
      </c>
      <c r="O65" s="15">
        <f t="shared" si="37"/>
        <v>91</v>
      </c>
      <c r="P65" s="15">
        <f t="shared" si="38"/>
        <v>185</v>
      </c>
      <c r="R65" s="8"/>
      <c r="T65"/>
    </row>
    <row r="66" spans="2:20" ht="23.1" customHeight="1" x14ac:dyDescent="0.25">
      <c r="B66" s="45" t="s">
        <v>104</v>
      </c>
      <c r="C66" s="50">
        <v>41</v>
      </c>
      <c r="D66" s="50">
        <v>6</v>
      </c>
      <c r="E66" s="50">
        <v>7</v>
      </c>
      <c r="F66" s="50">
        <v>16</v>
      </c>
      <c r="G66" s="50">
        <v>0</v>
      </c>
      <c r="H66" s="50">
        <v>0</v>
      </c>
      <c r="I66" s="50">
        <v>2</v>
      </c>
      <c r="J66" s="50">
        <v>1</v>
      </c>
      <c r="K66" s="50">
        <v>0</v>
      </c>
      <c r="L66" s="50">
        <v>0</v>
      </c>
      <c r="M66" s="50">
        <v>90</v>
      </c>
      <c r="N66" s="50">
        <v>0</v>
      </c>
      <c r="O66" s="15">
        <f t="shared" si="37"/>
        <v>73</v>
      </c>
      <c r="P66" s="15">
        <f t="shared" si="38"/>
        <v>163</v>
      </c>
      <c r="R66" s="8"/>
      <c r="T66"/>
    </row>
    <row r="67" spans="2:20" ht="23.1" customHeight="1" x14ac:dyDescent="0.25">
      <c r="B67" s="45" t="s">
        <v>105</v>
      </c>
      <c r="C67" s="50">
        <v>45</v>
      </c>
      <c r="D67" s="50">
        <v>8</v>
      </c>
      <c r="E67" s="50">
        <v>9</v>
      </c>
      <c r="F67" s="50">
        <v>12</v>
      </c>
      <c r="G67" s="50">
        <v>0</v>
      </c>
      <c r="H67" s="50">
        <v>0</v>
      </c>
      <c r="I67" s="50">
        <v>9</v>
      </c>
      <c r="J67" s="50">
        <v>0</v>
      </c>
      <c r="K67" s="50">
        <v>0</v>
      </c>
      <c r="L67" s="50">
        <v>0</v>
      </c>
      <c r="M67" s="50">
        <v>70</v>
      </c>
      <c r="N67" s="50">
        <v>0</v>
      </c>
      <c r="O67" s="15">
        <f t="shared" si="37"/>
        <v>83</v>
      </c>
      <c r="P67" s="15">
        <f t="shared" si="38"/>
        <v>153</v>
      </c>
      <c r="R67" s="8"/>
      <c r="T67"/>
    </row>
    <row r="68" spans="2:20" ht="23.1" customHeight="1" x14ac:dyDescent="0.25">
      <c r="B68" s="45" t="s">
        <v>106</v>
      </c>
      <c r="C68" s="50">
        <v>74</v>
      </c>
      <c r="D68" s="50">
        <v>13</v>
      </c>
      <c r="E68" s="50">
        <v>5</v>
      </c>
      <c r="F68" s="50">
        <v>11</v>
      </c>
      <c r="G68" s="50">
        <v>0</v>
      </c>
      <c r="H68" s="50">
        <v>0</v>
      </c>
      <c r="I68" s="50">
        <v>1</v>
      </c>
      <c r="J68" s="50">
        <v>2</v>
      </c>
      <c r="K68" s="50">
        <v>0</v>
      </c>
      <c r="L68" s="50">
        <v>0</v>
      </c>
      <c r="M68" s="50">
        <v>78</v>
      </c>
      <c r="N68" s="50">
        <v>0</v>
      </c>
      <c r="O68" s="15">
        <f t="shared" si="37"/>
        <v>106</v>
      </c>
      <c r="P68" s="15">
        <f t="shared" si="38"/>
        <v>184</v>
      </c>
      <c r="R68" s="8"/>
      <c r="T68"/>
    </row>
    <row r="69" spans="2:20" ht="23.1" customHeight="1" x14ac:dyDescent="0.25">
      <c r="B69" s="45" t="s">
        <v>107</v>
      </c>
      <c r="C69" s="50">
        <v>44</v>
      </c>
      <c r="D69" s="50">
        <v>15</v>
      </c>
      <c r="E69" s="50">
        <v>9</v>
      </c>
      <c r="F69" s="50">
        <v>15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69</v>
      </c>
      <c r="N69" s="50">
        <v>0</v>
      </c>
      <c r="O69" s="15">
        <f t="shared" si="37"/>
        <v>83</v>
      </c>
      <c r="P69" s="15">
        <f t="shared" si="38"/>
        <v>152</v>
      </c>
      <c r="R69" s="8"/>
      <c r="T69"/>
    </row>
    <row r="70" spans="2:20" ht="23.1" customHeight="1" x14ac:dyDescent="0.25">
      <c r="B70" s="45" t="s">
        <v>111</v>
      </c>
      <c r="C70" s="50">
        <v>32</v>
      </c>
      <c r="D70" s="50">
        <v>12</v>
      </c>
      <c r="E70" s="50">
        <v>4</v>
      </c>
      <c r="F70" s="50">
        <v>4</v>
      </c>
      <c r="G70" s="50">
        <v>1</v>
      </c>
      <c r="H70" s="50">
        <v>1</v>
      </c>
      <c r="I70" s="50">
        <v>1</v>
      </c>
      <c r="J70" s="50">
        <v>0</v>
      </c>
      <c r="K70" s="50">
        <v>0</v>
      </c>
      <c r="L70" s="50">
        <v>0</v>
      </c>
      <c r="M70" s="50">
        <v>72</v>
      </c>
      <c r="N70" s="50">
        <v>0</v>
      </c>
      <c r="O70" s="15">
        <f t="shared" si="37"/>
        <v>55</v>
      </c>
      <c r="P70" s="15">
        <f t="shared" si="38"/>
        <v>127</v>
      </c>
      <c r="R70" s="8"/>
      <c r="T70"/>
    </row>
    <row r="71" spans="2:20" ht="23.1" customHeight="1" x14ac:dyDescent="0.25">
      <c r="B71" s="45" t="s">
        <v>112</v>
      </c>
      <c r="C71" s="50">
        <v>36</v>
      </c>
      <c r="D71" s="50">
        <v>26</v>
      </c>
      <c r="E71" s="50">
        <v>13</v>
      </c>
      <c r="F71" s="50">
        <v>9</v>
      </c>
      <c r="G71" s="50">
        <v>0</v>
      </c>
      <c r="H71" s="50">
        <v>2</v>
      </c>
      <c r="I71" s="50">
        <v>3</v>
      </c>
      <c r="J71" s="50">
        <v>0</v>
      </c>
      <c r="K71" s="50">
        <v>0</v>
      </c>
      <c r="L71" s="50">
        <v>0</v>
      </c>
      <c r="M71" s="50">
        <v>115</v>
      </c>
      <c r="N71" s="50">
        <v>0</v>
      </c>
      <c r="O71" s="15">
        <f t="shared" si="37"/>
        <v>89</v>
      </c>
      <c r="P71" s="15">
        <f t="shared" si="38"/>
        <v>204</v>
      </c>
      <c r="R71" s="8"/>
      <c r="T71"/>
    </row>
    <row r="72" spans="2:20" ht="23.1" customHeight="1" x14ac:dyDescent="0.25">
      <c r="B72" s="45" t="s">
        <v>113</v>
      </c>
      <c r="C72" s="50">
        <v>60</v>
      </c>
      <c r="D72" s="50">
        <v>12</v>
      </c>
      <c r="E72" s="50">
        <v>4</v>
      </c>
      <c r="F72" s="50">
        <v>6</v>
      </c>
      <c r="G72" s="50">
        <v>0</v>
      </c>
      <c r="H72" s="50">
        <v>0</v>
      </c>
      <c r="I72" s="50">
        <v>4</v>
      </c>
      <c r="J72" s="50">
        <v>0</v>
      </c>
      <c r="K72" s="50">
        <v>0</v>
      </c>
      <c r="L72" s="50">
        <v>0</v>
      </c>
      <c r="M72" s="50">
        <v>87</v>
      </c>
      <c r="N72" s="50">
        <v>0</v>
      </c>
      <c r="O72" s="15">
        <f t="shared" si="37"/>
        <v>86</v>
      </c>
      <c r="P72" s="15">
        <f t="shared" si="38"/>
        <v>173</v>
      </c>
      <c r="R72" s="8"/>
      <c r="T72"/>
    </row>
    <row r="73" spans="2:20" ht="23.1" customHeight="1" x14ac:dyDescent="0.25">
      <c r="B73" s="45" t="s">
        <v>114</v>
      </c>
      <c r="C73" s="50">
        <v>33</v>
      </c>
      <c r="D73" s="50">
        <v>14</v>
      </c>
      <c r="E73" s="50">
        <v>8</v>
      </c>
      <c r="F73" s="50">
        <v>1</v>
      </c>
      <c r="G73" s="50">
        <v>0</v>
      </c>
      <c r="H73" s="50">
        <v>0</v>
      </c>
      <c r="I73" s="50">
        <v>6</v>
      </c>
      <c r="J73" s="50">
        <v>0</v>
      </c>
      <c r="K73" s="50">
        <v>0</v>
      </c>
      <c r="L73" s="50">
        <v>0</v>
      </c>
      <c r="M73" s="50">
        <v>58</v>
      </c>
      <c r="N73" s="50">
        <v>0</v>
      </c>
      <c r="O73" s="15">
        <f t="shared" si="37"/>
        <v>62</v>
      </c>
      <c r="P73" s="15">
        <f t="shared" si="38"/>
        <v>120</v>
      </c>
      <c r="R73" s="8"/>
      <c r="T73"/>
    </row>
    <row r="74" spans="2:20" ht="23.1" customHeight="1" x14ac:dyDescent="0.25">
      <c r="B74" s="45" t="s">
        <v>115</v>
      </c>
      <c r="C74" s="50">
        <v>34</v>
      </c>
      <c r="D74" s="50">
        <v>8</v>
      </c>
      <c r="E74" s="50">
        <v>3</v>
      </c>
      <c r="F74" s="50">
        <v>0</v>
      </c>
      <c r="G74" s="50">
        <v>0</v>
      </c>
      <c r="H74" s="50">
        <v>0</v>
      </c>
      <c r="I74" s="50">
        <v>3</v>
      </c>
      <c r="J74" s="50">
        <v>0</v>
      </c>
      <c r="K74" s="50">
        <v>0</v>
      </c>
      <c r="L74" s="50">
        <v>0</v>
      </c>
      <c r="M74" s="50">
        <v>46</v>
      </c>
      <c r="N74" s="50">
        <v>0</v>
      </c>
      <c r="O74" s="15">
        <f t="shared" si="37"/>
        <v>48</v>
      </c>
      <c r="P74" s="15">
        <f t="shared" si="38"/>
        <v>94</v>
      </c>
      <c r="R74" s="8"/>
      <c r="T74"/>
    </row>
    <row r="75" spans="2:20" ht="23.1" customHeight="1" x14ac:dyDescent="0.25">
      <c r="B75" s="45" t="s">
        <v>116</v>
      </c>
      <c r="C75" s="50">
        <v>26</v>
      </c>
      <c r="D75" s="50">
        <v>11</v>
      </c>
      <c r="E75" s="50">
        <v>1</v>
      </c>
      <c r="F75" s="50">
        <v>4</v>
      </c>
      <c r="G75" s="50">
        <v>0</v>
      </c>
      <c r="H75" s="50">
        <v>0</v>
      </c>
      <c r="I75" s="50">
        <v>0</v>
      </c>
      <c r="J75" s="50">
        <v>1</v>
      </c>
      <c r="K75" s="50">
        <v>0</v>
      </c>
      <c r="L75" s="50">
        <v>0</v>
      </c>
      <c r="M75" s="50">
        <v>52</v>
      </c>
      <c r="N75" s="50">
        <v>0</v>
      </c>
      <c r="O75" s="15">
        <f t="shared" si="37"/>
        <v>43</v>
      </c>
      <c r="P75" s="15">
        <f t="shared" si="38"/>
        <v>95</v>
      </c>
      <c r="R75" s="8"/>
      <c r="T75"/>
    </row>
    <row r="76" spans="2:20" ht="23.1" customHeight="1" x14ac:dyDescent="0.25">
      <c r="B76" s="45" t="s">
        <v>117</v>
      </c>
      <c r="C76" s="50">
        <v>28</v>
      </c>
      <c r="D76" s="50">
        <v>7</v>
      </c>
      <c r="E76" s="50">
        <v>4</v>
      </c>
      <c r="F76" s="50">
        <v>2</v>
      </c>
      <c r="G76" s="50">
        <v>0</v>
      </c>
      <c r="H76" s="50">
        <v>0</v>
      </c>
      <c r="I76" s="50">
        <v>8</v>
      </c>
      <c r="J76" s="50">
        <v>0</v>
      </c>
      <c r="K76" s="50">
        <v>0</v>
      </c>
      <c r="L76" s="50">
        <v>0</v>
      </c>
      <c r="M76" s="50">
        <v>71</v>
      </c>
      <c r="N76" s="50">
        <v>0</v>
      </c>
      <c r="O76" s="15">
        <f t="shared" si="37"/>
        <v>49</v>
      </c>
      <c r="P76" s="15">
        <f t="shared" si="38"/>
        <v>120</v>
      </c>
      <c r="R76" s="8"/>
      <c r="T76"/>
    </row>
    <row r="77" spans="2:20" ht="23.1" customHeight="1" x14ac:dyDescent="0.25">
      <c r="B77" s="45" t="s">
        <v>118</v>
      </c>
      <c r="C77" s="50">
        <v>32</v>
      </c>
      <c r="D77" s="50">
        <v>9</v>
      </c>
      <c r="E77" s="50">
        <v>3</v>
      </c>
      <c r="F77" s="50">
        <v>3</v>
      </c>
      <c r="G77" s="50">
        <v>0</v>
      </c>
      <c r="H77" s="50">
        <v>0</v>
      </c>
      <c r="I77" s="50">
        <v>1</v>
      </c>
      <c r="J77" s="50">
        <v>1</v>
      </c>
      <c r="K77" s="50">
        <v>0</v>
      </c>
      <c r="L77" s="50">
        <v>0</v>
      </c>
      <c r="M77" s="50">
        <v>47</v>
      </c>
      <c r="N77" s="50">
        <v>0</v>
      </c>
      <c r="O77" s="15">
        <f t="shared" si="37"/>
        <v>49</v>
      </c>
      <c r="P77" s="15">
        <f t="shared" si="38"/>
        <v>96</v>
      </c>
      <c r="R77" s="8"/>
      <c r="T77"/>
    </row>
    <row r="78" spans="2:20" ht="23.1" customHeight="1" x14ac:dyDescent="0.25">
      <c r="B78" s="46" t="s">
        <v>119</v>
      </c>
      <c r="C78" s="50">
        <v>30</v>
      </c>
      <c r="D78" s="50">
        <v>10</v>
      </c>
      <c r="E78" s="50">
        <v>0</v>
      </c>
      <c r="F78" s="50">
        <v>1</v>
      </c>
      <c r="G78" s="50">
        <v>0</v>
      </c>
      <c r="H78" s="50">
        <v>0</v>
      </c>
      <c r="I78" s="50">
        <v>2</v>
      </c>
      <c r="J78" s="50">
        <v>0</v>
      </c>
      <c r="K78" s="50">
        <v>0</v>
      </c>
      <c r="L78" s="50">
        <v>0</v>
      </c>
      <c r="M78" s="50">
        <v>62</v>
      </c>
      <c r="N78" s="50">
        <v>0</v>
      </c>
      <c r="O78" s="15">
        <f t="shared" si="37"/>
        <v>43</v>
      </c>
      <c r="P78" s="15">
        <f t="shared" si="38"/>
        <v>105</v>
      </c>
      <c r="R78" s="8"/>
      <c r="T78"/>
    </row>
    <row r="79" spans="2:20" ht="23.1" customHeight="1" x14ac:dyDescent="0.25">
      <c r="B79" s="45" t="s">
        <v>120</v>
      </c>
      <c r="C79" s="50">
        <v>21</v>
      </c>
      <c r="D79" s="50">
        <v>4</v>
      </c>
      <c r="E79" s="50">
        <v>4</v>
      </c>
      <c r="F79" s="50">
        <v>4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57</v>
      </c>
      <c r="N79" s="50">
        <v>0</v>
      </c>
      <c r="O79" s="15">
        <f t="shared" si="37"/>
        <v>34</v>
      </c>
      <c r="P79" s="15">
        <f t="shared" si="38"/>
        <v>91</v>
      </c>
      <c r="R79" s="8"/>
      <c r="T79"/>
    </row>
    <row r="80" spans="2:20" ht="23.1" customHeight="1" x14ac:dyDescent="0.25">
      <c r="B80" s="47" t="s">
        <v>121</v>
      </c>
      <c r="C80" s="50">
        <v>31</v>
      </c>
      <c r="D80" s="50">
        <v>10</v>
      </c>
      <c r="E80" s="50">
        <v>1</v>
      </c>
      <c r="F80" s="50">
        <v>5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41</v>
      </c>
      <c r="N80" s="50">
        <v>0</v>
      </c>
      <c r="O80" s="15">
        <f t="shared" si="37"/>
        <v>47</v>
      </c>
      <c r="P80" s="15">
        <f t="shared" si="38"/>
        <v>88</v>
      </c>
      <c r="R80" s="8"/>
      <c r="T80"/>
    </row>
    <row r="81" spans="2:20" ht="23.1" customHeight="1" x14ac:dyDescent="0.25">
      <c r="B81" s="45" t="s">
        <v>122</v>
      </c>
      <c r="C81" s="50">
        <v>24</v>
      </c>
      <c r="D81" s="50">
        <v>6</v>
      </c>
      <c r="E81" s="50">
        <v>2</v>
      </c>
      <c r="F81" s="50">
        <v>3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44</v>
      </c>
      <c r="N81" s="50">
        <v>0</v>
      </c>
      <c r="O81" s="15">
        <f t="shared" si="37"/>
        <v>36</v>
      </c>
      <c r="P81" s="15">
        <f t="shared" si="38"/>
        <v>80</v>
      </c>
      <c r="R81" s="8"/>
      <c r="T81"/>
    </row>
    <row r="82" spans="2:20" ht="23.1" customHeight="1" x14ac:dyDescent="0.25">
      <c r="B82" s="46" t="s">
        <v>123</v>
      </c>
      <c r="C82" s="50">
        <v>18</v>
      </c>
      <c r="D82" s="50">
        <v>10</v>
      </c>
      <c r="E82" s="50">
        <v>1</v>
      </c>
      <c r="F82" s="50">
        <v>1</v>
      </c>
      <c r="G82" s="50">
        <v>0</v>
      </c>
      <c r="H82" s="50">
        <v>0</v>
      </c>
      <c r="I82" s="50">
        <v>3</v>
      </c>
      <c r="J82" s="50">
        <v>0</v>
      </c>
      <c r="K82" s="50">
        <v>0</v>
      </c>
      <c r="L82" s="50">
        <v>0</v>
      </c>
      <c r="M82" s="50">
        <v>25</v>
      </c>
      <c r="N82" s="50">
        <v>0</v>
      </c>
      <c r="O82" s="15">
        <f t="shared" si="37"/>
        <v>33</v>
      </c>
      <c r="P82" s="15">
        <f t="shared" si="38"/>
        <v>58</v>
      </c>
      <c r="R82" s="8"/>
      <c r="T82"/>
    </row>
    <row r="83" spans="2:20" ht="23.1" customHeight="1" x14ac:dyDescent="0.25">
      <c r="B83" s="45" t="s">
        <v>124</v>
      </c>
      <c r="C83" s="50">
        <v>25</v>
      </c>
      <c r="D83" s="50">
        <v>2</v>
      </c>
      <c r="E83" s="50">
        <v>1</v>
      </c>
      <c r="F83" s="50">
        <v>2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1</v>
      </c>
      <c r="M83" s="50">
        <v>30</v>
      </c>
      <c r="N83" s="50">
        <v>0</v>
      </c>
      <c r="O83" s="15">
        <f t="shared" si="37"/>
        <v>31</v>
      </c>
      <c r="P83" s="15">
        <f t="shared" si="38"/>
        <v>61</v>
      </c>
      <c r="R83" s="8"/>
      <c r="T83"/>
    </row>
    <row r="84" spans="2:20" ht="23.1" customHeight="1" x14ac:dyDescent="0.25">
      <c r="B84" s="47" t="s">
        <v>125</v>
      </c>
      <c r="C84" s="50">
        <v>16</v>
      </c>
      <c r="D84" s="50">
        <v>1</v>
      </c>
      <c r="E84" s="50">
        <v>0</v>
      </c>
      <c r="F84" s="50">
        <v>1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33</v>
      </c>
      <c r="N84" s="50">
        <v>0</v>
      </c>
      <c r="O84" s="15">
        <f t="shared" si="37"/>
        <v>19</v>
      </c>
      <c r="P84" s="15">
        <f t="shared" si="38"/>
        <v>52</v>
      </c>
      <c r="R84" s="8"/>
      <c r="T84"/>
    </row>
    <row r="85" spans="2:20" ht="23.1" customHeight="1" x14ac:dyDescent="0.25">
      <c r="B85" s="45" t="s">
        <v>126</v>
      </c>
      <c r="C85" s="50">
        <v>6</v>
      </c>
      <c r="D85" s="50">
        <v>1</v>
      </c>
      <c r="E85" s="50">
        <v>0</v>
      </c>
      <c r="F85" s="50">
        <v>2</v>
      </c>
      <c r="G85" s="50">
        <v>0</v>
      </c>
      <c r="H85" s="50">
        <v>0</v>
      </c>
      <c r="I85" s="50">
        <v>0</v>
      </c>
      <c r="J85" s="50">
        <v>0</v>
      </c>
      <c r="K85" s="50">
        <v>1</v>
      </c>
      <c r="L85" s="50">
        <v>0</v>
      </c>
      <c r="M85" s="50">
        <v>38</v>
      </c>
      <c r="N85" s="50">
        <v>0</v>
      </c>
      <c r="O85" s="15">
        <f t="shared" si="37"/>
        <v>10</v>
      </c>
      <c r="P85" s="15">
        <f t="shared" si="38"/>
        <v>48</v>
      </c>
      <c r="R85" s="8"/>
      <c r="T85"/>
    </row>
    <row r="86" spans="2:20" ht="23.1" customHeight="1" x14ac:dyDescent="0.25">
      <c r="B86" s="46" t="s">
        <v>127</v>
      </c>
      <c r="C86" s="50">
        <v>4</v>
      </c>
      <c r="D86" s="50">
        <v>2</v>
      </c>
      <c r="E86" s="50">
        <v>0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34</v>
      </c>
      <c r="N86" s="50">
        <v>0</v>
      </c>
      <c r="O86" s="15">
        <f t="shared" si="37"/>
        <v>7</v>
      </c>
      <c r="P86" s="15">
        <f t="shared" si="38"/>
        <v>41</v>
      </c>
      <c r="R86" s="8"/>
      <c r="T86"/>
    </row>
    <row r="87" spans="2:20" ht="23.1" customHeight="1" x14ac:dyDescent="0.25">
      <c r="B87" s="45" t="s">
        <v>128</v>
      </c>
      <c r="C87" s="50">
        <v>8</v>
      </c>
      <c r="D87" s="50">
        <v>3</v>
      </c>
      <c r="E87" s="50">
        <v>1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23</v>
      </c>
      <c r="N87" s="50">
        <v>0</v>
      </c>
      <c r="O87" s="15">
        <f t="shared" si="37"/>
        <v>13</v>
      </c>
      <c r="P87" s="15">
        <f t="shared" si="38"/>
        <v>36</v>
      </c>
      <c r="R87" s="8"/>
      <c r="T87"/>
    </row>
    <row r="88" spans="2:20" ht="23.1" customHeight="1" x14ac:dyDescent="0.25">
      <c r="B88" s="47" t="s">
        <v>129</v>
      </c>
      <c r="C88" s="50">
        <v>14</v>
      </c>
      <c r="D88" s="50">
        <v>4</v>
      </c>
      <c r="E88" s="50">
        <v>3</v>
      </c>
      <c r="F88" s="50">
        <v>1</v>
      </c>
      <c r="G88" s="50">
        <v>0</v>
      </c>
      <c r="H88" s="50">
        <v>0</v>
      </c>
      <c r="I88" s="50">
        <v>0</v>
      </c>
      <c r="J88" s="50">
        <v>0</v>
      </c>
      <c r="K88" s="50">
        <v>1</v>
      </c>
      <c r="L88" s="50">
        <v>0</v>
      </c>
      <c r="M88" s="50">
        <v>27</v>
      </c>
      <c r="N88" s="50">
        <v>0</v>
      </c>
      <c r="O88" s="15">
        <f t="shared" si="37"/>
        <v>23</v>
      </c>
      <c r="P88" s="15">
        <f t="shared" si="38"/>
        <v>50</v>
      </c>
      <c r="R88" s="8"/>
      <c r="T88"/>
    </row>
    <row r="89" spans="2:20" ht="23.1" customHeight="1" x14ac:dyDescent="0.25">
      <c r="B89" s="45" t="s">
        <v>130</v>
      </c>
      <c r="C89" s="50">
        <v>5</v>
      </c>
      <c r="D89" s="50">
        <v>2</v>
      </c>
      <c r="E89" s="50">
        <v>0</v>
      </c>
      <c r="F89" s="50">
        <v>2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10</v>
      </c>
      <c r="N89" s="50">
        <v>0</v>
      </c>
      <c r="O89" s="15">
        <f t="shared" si="37"/>
        <v>10</v>
      </c>
      <c r="P89" s="15">
        <f t="shared" si="38"/>
        <v>20</v>
      </c>
      <c r="R89" s="8"/>
      <c r="T89"/>
    </row>
    <row r="90" spans="2:20" ht="23.1" customHeight="1" x14ac:dyDescent="0.25">
      <c r="B90" s="46" t="s">
        <v>131</v>
      </c>
      <c r="C90" s="50">
        <v>5</v>
      </c>
      <c r="D90" s="50">
        <v>2</v>
      </c>
      <c r="E90" s="50">
        <v>2</v>
      </c>
      <c r="F90" s="50">
        <v>0</v>
      </c>
      <c r="G90" s="50">
        <v>0</v>
      </c>
      <c r="H90" s="50">
        <v>0</v>
      </c>
      <c r="I90" s="50">
        <v>2</v>
      </c>
      <c r="J90" s="50">
        <v>0</v>
      </c>
      <c r="K90" s="50">
        <v>0</v>
      </c>
      <c r="L90" s="50">
        <v>0</v>
      </c>
      <c r="M90" s="50">
        <v>13</v>
      </c>
      <c r="N90" s="50">
        <v>0</v>
      </c>
      <c r="O90" s="15">
        <f t="shared" si="37"/>
        <v>11</v>
      </c>
      <c r="P90" s="15">
        <f t="shared" si="38"/>
        <v>24</v>
      </c>
      <c r="R90" s="8"/>
      <c r="T90"/>
    </row>
    <row r="91" spans="2:20" ht="23.1" customHeight="1" x14ac:dyDescent="0.25">
      <c r="B91" s="45" t="s">
        <v>132</v>
      </c>
      <c r="C91" s="50">
        <v>2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8</v>
      </c>
      <c r="N91" s="50">
        <v>0</v>
      </c>
      <c r="O91" s="15">
        <f t="shared" si="37"/>
        <v>3</v>
      </c>
      <c r="P91" s="15">
        <f t="shared" si="38"/>
        <v>11</v>
      </c>
      <c r="R91" s="8"/>
      <c r="T91"/>
    </row>
    <row r="92" spans="2:20" ht="23.1" customHeight="1" x14ac:dyDescent="0.25">
      <c r="B92" s="47" t="s">
        <v>133</v>
      </c>
      <c r="C92" s="50">
        <v>8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4</v>
      </c>
      <c r="N92" s="50">
        <v>0</v>
      </c>
      <c r="O92" s="15">
        <f t="shared" si="37"/>
        <v>8</v>
      </c>
      <c r="P92" s="15">
        <f t="shared" si="38"/>
        <v>12</v>
      </c>
      <c r="R92" s="8"/>
      <c r="T92"/>
    </row>
    <row r="93" spans="2:20" ht="23.1" customHeight="1" x14ac:dyDescent="0.25">
      <c r="B93" s="45" t="s">
        <v>134</v>
      </c>
      <c r="C93" s="50">
        <v>6</v>
      </c>
      <c r="D93" s="50">
        <v>4</v>
      </c>
      <c r="E93" s="50">
        <v>0</v>
      </c>
      <c r="F93" s="50">
        <v>2</v>
      </c>
      <c r="G93" s="50">
        <v>0</v>
      </c>
      <c r="H93" s="50">
        <v>0</v>
      </c>
      <c r="I93" s="50">
        <v>3</v>
      </c>
      <c r="J93" s="50">
        <v>0</v>
      </c>
      <c r="K93" s="50">
        <v>0</v>
      </c>
      <c r="L93" s="50">
        <v>0</v>
      </c>
      <c r="M93" s="50">
        <v>21</v>
      </c>
      <c r="N93" s="50">
        <v>0</v>
      </c>
      <c r="O93" s="15">
        <f t="shared" si="37"/>
        <v>15</v>
      </c>
      <c r="P93" s="15">
        <f t="shared" si="38"/>
        <v>36</v>
      </c>
      <c r="R93" s="8"/>
      <c r="T93"/>
    </row>
    <row r="94" spans="2:20" ht="23.1" customHeight="1" x14ac:dyDescent="0.25">
      <c r="B94" s="46" t="s">
        <v>135</v>
      </c>
      <c r="C94" s="50">
        <v>5</v>
      </c>
      <c r="D94" s="50">
        <v>2</v>
      </c>
      <c r="E94" s="50">
        <v>1</v>
      </c>
      <c r="F94" s="50">
        <v>3</v>
      </c>
      <c r="G94" s="50">
        <v>0</v>
      </c>
      <c r="H94" s="50">
        <v>0</v>
      </c>
      <c r="I94" s="50">
        <v>2</v>
      </c>
      <c r="J94" s="50">
        <v>0</v>
      </c>
      <c r="K94" s="50">
        <v>0</v>
      </c>
      <c r="L94" s="50">
        <v>0</v>
      </c>
      <c r="M94" s="50">
        <v>22</v>
      </c>
      <c r="N94" s="50">
        <v>0</v>
      </c>
      <c r="O94" s="15">
        <f t="shared" si="37"/>
        <v>13</v>
      </c>
      <c r="P94" s="15">
        <f t="shared" si="38"/>
        <v>35</v>
      </c>
      <c r="R94" s="8"/>
      <c r="T94"/>
    </row>
    <row r="95" spans="2:20" ht="23.1" customHeight="1" x14ac:dyDescent="0.25">
      <c r="B95" s="45" t="s">
        <v>136</v>
      </c>
      <c r="C95" s="50">
        <v>3</v>
      </c>
      <c r="D95" s="50">
        <v>3</v>
      </c>
      <c r="E95" s="50">
        <v>1</v>
      </c>
      <c r="F95" s="50">
        <v>0</v>
      </c>
      <c r="G95" s="50">
        <v>0</v>
      </c>
      <c r="H95" s="50">
        <v>0</v>
      </c>
      <c r="I95" s="50">
        <v>2</v>
      </c>
      <c r="J95" s="50">
        <v>1</v>
      </c>
      <c r="K95" s="50">
        <v>0</v>
      </c>
      <c r="L95" s="50">
        <v>0</v>
      </c>
      <c r="M95" s="50">
        <v>20</v>
      </c>
      <c r="N95" s="50">
        <v>0</v>
      </c>
      <c r="O95" s="15">
        <f t="shared" si="37"/>
        <v>10</v>
      </c>
      <c r="P95" s="15">
        <f t="shared" si="38"/>
        <v>30</v>
      </c>
      <c r="R95" s="8"/>
      <c r="T95"/>
    </row>
    <row r="96" spans="2:20" ht="23.1" customHeight="1" x14ac:dyDescent="0.25">
      <c r="B96" s="47" t="s">
        <v>137</v>
      </c>
      <c r="C96" s="50">
        <v>5</v>
      </c>
      <c r="D96" s="50">
        <v>2</v>
      </c>
      <c r="E96" s="50">
        <v>3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11</v>
      </c>
      <c r="N96" s="50">
        <v>0</v>
      </c>
      <c r="O96" s="15">
        <f t="shared" si="37"/>
        <v>11</v>
      </c>
      <c r="P96" s="15">
        <f t="shared" si="38"/>
        <v>22</v>
      </c>
      <c r="R96" s="8"/>
      <c r="T96"/>
    </row>
    <row r="97" spans="2:20" ht="23.1" customHeight="1" x14ac:dyDescent="0.25">
      <c r="B97" s="45" t="s">
        <v>138</v>
      </c>
      <c r="C97" s="50">
        <v>7</v>
      </c>
      <c r="D97" s="50">
        <v>1</v>
      </c>
      <c r="E97" s="50">
        <v>1</v>
      </c>
      <c r="F97" s="50">
        <v>0</v>
      </c>
      <c r="G97" s="50">
        <v>0</v>
      </c>
      <c r="H97" s="50">
        <v>0</v>
      </c>
      <c r="I97" s="50">
        <v>3</v>
      </c>
      <c r="J97" s="50">
        <v>0</v>
      </c>
      <c r="K97" s="50">
        <v>0</v>
      </c>
      <c r="L97" s="50">
        <v>0</v>
      </c>
      <c r="M97" s="50">
        <v>10</v>
      </c>
      <c r="N97" s="50">
        <v>0</v>
      </c>
      <c r="O97" s="15">
        <f t="shared" si="37"/>
        <v>12</v>
      </c>
      <c r="P97" s="15">
        <f t="shared" si="38"/>
        <v>22</v>
      </c>
      <c r="R97" s="8"/>
      <c r="T97"/>
    </row>
    <row r="98" spans="2:20" ht="23.1" customHeight="1" x14ac:dyDescent="0.25">
      <c r="B98" s="46" t="s">
        <v>139</v>
      </c>
      <c r="C98" s="50">
        <v>1</v>
      </c>
      <c r="D98" s="50">
        <v>3</v>
      </c>
      <c r="E98" s="50">
        <v>1</v>
      </c>
      <c r="F98" s="50">
        <v>4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10</v>
      </c>
      <c r="N98" s="50">
        <v>0</v>
      </c>
      <c r="O98" s="15">
        <f t="shared" si="37"/>
        <v>10</v>
      </c>
      <c r="P98" s="15">
        <f t="shared" si="38"/>
        <v>20</v>
      </c>
      <c r="R98" s="8"/>
      <c r="T98"/>
    </row>
    <row r="99" spans="2:20" ht="23.1" customHeight="1" x14ac:dyDescent="0.25">
      <c r="B99" s="45" t="s">
        <v>140</v>
      </c>
      <c r="C99" s="50">
        <v>5</v>
      </c>
      <c r="D99" s="50">
        <v>1</v>
      </c>
      <c r="E99" s="50">
        <v>0</v>
      </c>
      <c r="F99" s="50">
        <v>5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1</v>
      </c>
      <c r="M99" s="50">
        <v>24</v>
      </c>
      <c r="N99" s="50">
        <v>0</v>
      </c>
      <c r="O99" s="15">
        <f t="shared" si="37"/>
        <v>12</v>
      </c>
      <c r="P99" s="15">
        <f t="shared" si="38"/>
        <v>36</v>
      </c>
      <c r="R99" s="8"/>
      <c r="T99"/>
    </row>
    <row r="100" spans="2:20" ht="23.1" customHeight="1" x14ac:dyDescent="0.25">
      <c r="B100" s="47" t="s">
        <v>141</v>
      </c>
      <c r="C100" s="50">
        <v>11</v>
      </c>
      <c r="D100" s="50">
        <v>0</v>
      </c>
      <c r="E100" s="50">
        <v>0</v>
      </c>
      <c r="F100" s="50">
        <v>3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27</v>
      </c>
      <c r="N100" s="50">
        <v>0</v>
      </c>
      <c r="O100" s="15">
        <f t="shared" si="37"/>
        <v>14</v>
      </c>
      <c r="P100" s="15">
        <f t="shared" si="38"/>
        <v>41</v>
      </c>
      <c r="R100" s="8"/>
      <c r="T100"/>
    </row>
    <row r="101" spans="2:20" ht="23.1" customHeight="1" x14ac:dyDescent="0.25">
      <c r="B101" s="45" t="s">
        <v>142</v>
      </c>
      <c r="C101" s="50">
        <v>2</v>
      </c>
      <c r="D101" s="50">
        <v>2</v>
      </c>
      <c r="E101" s="50">
        <v>0</v>
      </c>
      <c r="F101" s="50">
        <v>4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42</v>
      </c>
      <c r="N101" s="50">
        <v>0</v>
      </c>
      <c r="O101" s="15">
        <f t="shared" si="37"/>
        <v>9</v>
      </c>
      <c r="P101" s="15">
        <f t="shared" si="38"/>
        <v>51</v>
      </c>
      <c r="R101" s="8"/>
      <c r="T101"/>
    </row>
    <row r="102" spans="2:20" ht="23.1" customHeight="1" x14ac:dyDescent="0.25">
      <c r="B102" s="46" t="s">
        <v>143</v>
      </c>
      <c r="C102" s="50">
        <v>6</v>
      </c>
      <c r="D102" s="50">
        <v>0</v>
      </c>
      <c r="E102" s="50">
        <v>1</v>
      </c>
      <c r="F102" s="50">
        <v>7</v>
      </c>
      <c r="G102" s="50">
        <v>0</v>
      </c>
      <c r="H102" s="50">
        <v>0</v>
      </c>
      <c r="I102" s="50">
        <v>0</v>
      </c>
      <c r="J102" s="50">
        <v>0</v>
      </c>
      <c r="K102" s="50">
        <v>1</v>
      </c>
      <c r="L102" s="50">
        <v>0</v>
      </c>
      <c r="M102" s="50">
        <v>35</v>
      </c>
      <c r="N102" s="50">
        <v>0</v>
      </c>
      <c r="O102" s="15">
        <f t="shared" si="37"/>
        <v>15</v>
      </c>
      <c r="P102" s="15">
        <f t="shared" si="38"/>
        <v>50</v>
      </c>
      <c r="R102" s="8"/>
      <c r="T102"/>
    </row>
    <row r="103" spans="2:20" ht="23.1" customHeight="1" x14ac:dyDescent="0.25">
      <c r="B103" s="45" t="s">
        <v>144</v>
      </c>
      <c r="C103" s="50">
        <v>8</v>
      </c>
      <c r="D103" s="50">
        <v>0</v>
      </c>
      <c r="E103" s="50">
        <v>3</v>
      </c>
      <c r="F103" s="50">
        <v>8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1</v>
      </c>
      <c r="M103" s="50">
        <v>32</v>
      </c>
      <c r="N103" s="50">
        <v>0</v>
      </c>
      <c r="O103" s="15">
        <f t="shared" si="37"/>
        <v>21</v>
      </c>
      <c r="P103" s="15">
        <f t="shared" si="38"/>
        <v>53</v>
      </c>
      <c r="R103" s="8"/>
      <c r="T103"/>
    </row>
    <row r="104" spans="2:20" ht="23.1" customHeight="1" x14ac:dyDescent="0.25">
      <c r="B104" s="47" t="s">
        <v>145</v>
      </c>
      <c r="C104" s="50">
        <v>4</v>
      </c>
      <c r="D104" s="50">
        <v>1</v>
      </c>
      <c r="E104" s="50">
        <v>1</v>
      </c>
      <c r="F104" s="50">
        <v>3</v>
      </c>
      <c r="G104" s="50">
        <v>0</v>
      </c>
      <c r="H104" s="50">
        <v>0</v>
      </c>
      <c r="I104" s="50">
        <v>0</v>
      </c>
      <c r="J104" s="50">
        <v>0</v>
      </c>
      <c r="K104" s="50">
        <v>1</v>
      </c>
      <c r="L104" s="50">
        <v>0</v>
      </c>
      <c r="M104" s="50">
        <v>23</v>
      </c>
      <c r="N104" s="50">
        <v>0</v>
      </c>
      <c r="O104" s="15">
        <f t="shared" si="37"/>
        <v>10</v>
      </c>
      <c r="P104" s="15">
        <f t="shared" si="38"/>
        <v>33</v>
      </c>
      <c r="R104" s="8"/>
      <c r="T104"/>
    </row>
    <row r="105" spans="2:20" ht="23.1" customHeight="1" x14ac:dyDescent="0.25">
      <c r="B105" s="45" t="s">
        <v>146</v>
      </c>
      <c r="C105" s="50">
        <v>3</v>
      </c>
      <c r="D105" s="50">
        <v>0</v>
      </c>
      <c r="E105" s="50">
        <v>3</v>
      </c>
      <c r="F105" s="50">
        <v>8</v>
      </c>
      <c r="G105" s="50">
        <v>0</v>
      </c>
      <c r="H105" s="50">
        <v>0</v>
      </c>
      <c r="I105" s="50">
        <v>0</v>
      </c>
      <c r="J105" s="50">
        <v>0</v>
      </c>
      <c r="K105" s="50">
        <v>1</v>
      </c>
      <c r="L105" s="50">
        <v>0</v>
      </c>
      <c r="M105" s="50">
        <v>13</v>
      </c>
      <c r="N105" s="50">
        <v>0</v>
      </c>
      <c r="O105" s="15">
        <f t="shared" si="37"/>
        <v>15</v>
      </c>
      <c r="P105" s="15">
        <f t="shared" si="38"/>
        <v>28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3641.5</v>
      </c>
      <c r="D106" s="16">
        <f t="shared" ref="D106:N106" si="39">SUM(D10:D105)</f>
        <v>929</v>
      </c>
      <c r="E106" s="16">
        <f t="shared" si="39"/>
        <v>417</v>
      </c>
      <c r="F106" s="16">
        <f t="shared" si="39"/>
        <v>1156.5</v>
      </c>
      <c r="G106" s="16">
        <f t="shared" si="39"/>
        <v>21.5</v>
      </c>
      <c r="H106" s="16">
        <f t="shared" si="39"/>
        <v>11</v>
      </c>
      <c r="I106" s="16">
        <f t="shared" si="39"/>
        <v>171</v>
      </c>
      <c r="J106" s="16">
        <f t="shared" si="39"/>
        <v>58.5</v>
      </c>
      <c r="K106" s="16">
        <f t="shared" si="39"/>
        <v>33.5</v>
      </c>
      <c r="L106" s="16">
        <f t="shared" si="39"/>
        <v>10</v>
      </c>
      <c r="M106" s="16">
        <f t="shared" si="39"/>
        <v>11633.5</v>
      </c>
      <c r="N106" s="16">
        <f t="shared" si="39"/>
        <v>0</v>
      </c>
      <c r="O106" s="16">
        <f>SUM(O10:O105)</f>
        <v>6449.5</v>
      </c>
      <c r="P106" s="16">
        <f t="shared" ref="P106" si="40">SUM(P10:P105)</f>
        <v>18083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41">C106/$P$106</f>
        <v>0.20137698390753747</v>
      </c>
      <c r="D107" s="43">
        <f t="shared" si="41"/>
        <v>5.1374218879610682E-2</v>
      </c>
      <c r="E107" s="43">
        <f t="shared" si="41"/>
        <v>2.3060332909362383E-2</v>
      </c>
      <c r="F107" s="43">
        <f t="shared" si="41"/>
        <v>6.3955095946469059E-2</v>
      </c>
      <c r="G107" s="43">
        <f t="shared" si="41"/>
        <v>1.188962008516286E-3</v>
      </c>
      <c r="H107" s="43">
        <f t="shared" si="41"/>
        <v>6.083061438920533E-4</v>
      </c>
      <c r="I107" s="43">
        <f t="shared" si="41"/>
        <v>9.4563955095946471E-3</v>
      </c>
      <c r="J107" s="43">
        <f t="shared" si="41"/>
        <v>3.2350826743350108E-3</v>
      </c>
      <c r="K107" s="43">
        <f t="shared" si="41"/>
        <v>1.8525687109439805E-3</v>
      </c>
      <c r="L107" s="43">
        <f t="shared" si="41"/>
        <v>5.5300558535641207E-4</v>
      </c>
      <c r="M107" s="43">
        <f t="shared" si="41"/>
        <v>0.643339047724382</v>
      </c>
      <c r="N107" s="43">
        <f t="shared" si="41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0.56461741220249628</v>
      </c>
      <c r="D108" s="44">
        <f t="shared" ref="D108:N108" si="42">D106/$O$106</f>
        <v>0.14404217381192341</v>
      </c>
      <c r="E108" s="44">
        <f t="shared" si="42"/>
        <v>6.4656174897278859E-2</v>
      </c>
      <c r="F108" s="44">
        <f t="shared" si="42"/>
        <v>0.17931622606403597</v>
      </c>
      <c r="G108" s="44">
        <f t="shared" si="42"/>
        <v>3.3335917512985502E-3</v>
      </c>
      <c r="H108" s="44">
        <f t="shared" si="42"/>
        <v>1.7055585704318164E-3</v>
      </c>
      <c r="I108" s="44">
        <f t="shared" si="42"/>
        <v>2.6513683231258238E-2</v>
      </c>
      <c r="J108" s="44">
        <f t="shared" si="42"/>
        <v>9.0704705791146596E-3</v>
      </c>
      <c r="K108" s="44">
        <f t="shared" si="42"/>
        <v>5.1942011008605316E-3</v>
      </c>
      <c r="L108" s="44">
        <f t="shared" si="42"/>
        <v>1.5505077913016514E-3</v>
      </c>
      <c r="M108" s="44"/>
      <c r="N108" s="44">
        <f t="shared" si="42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55" zoomScale="60" workbookViewId="0">
      <selection activeCell="J19" sqref="J1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Kibuye-Makindye'!C3:G3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'26.07 Kibuye-Makindye-24h'!D5</f>
        <v>26.07.19</v>
      </c>
      <c r="E5" s="3"/>
      <c r="F5" s="41" t="s">
        <v>1</v>
      </c>
      <c r="G5" s="63" t="str">
        <f>'26.07 Kibuye-Makindye-24h'!G5:H5</f>
        <v>FUELEX MAKINDYE</v>
      </c>
      <c r="H5" s="64"/>
      <c r="I5" s="14"/>
      <c r="J5" s="2" t="s">
        <v>5</v>
      </c>
      <c r="K5" s="63" t="str">
        <f>'26.07 Kibuye-Makindye-24h'!K5:L5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Makindye-Kibuye'!D6:E6</f>
        <v>MAKINDYE</v>
      </c>
      <c r="E6" s="64"/>
      <c r="F6" s="2" t="s">
        <v>2</v>
      </c>
      <c r="G6" s="63" t="str">
        <f>'23.07 Makindye-Kibuye'!G6:H6</f>
        <v>KIBUYE</v>
      </c>
      <c r="H6" s="64"/>
      <c r="J6" s="2" t="s">
        <v>21</v>
      </c>
      <c r="K6" s="63" t="str">
        <f>'26.07 Kibuye-Makindye-24h'!K6:L6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51</v>
      </c>
      <c r="N10" s="50">
        <v>0</v>
      </c>
      <c r="O10" s="15">
        <f t="shared" ref="O10:O73" si="0">SUM(C10:L10,N10)</f>
        <v>21</v>
      </c>
      <c r="P10" s="15">
        <f t="shared" ref="P10:P73" si="1">SUM(C10:N10)</f>
        <v>72</v>
      </c>
      <c r="R10" s="1" t="s">
        <v>6</v>
      </c>
      <c r="S10" s="17">
        <f t="shared" ref="S10:AF10" si="2">SUM(C10:C13)</f>
        <v>167</v>
      </c>
      <c r="T10" s="17">
        <f t="shared" si="2"/>
        <v>21</v>
      </c>
      <c r="U10" s="17">
        <f t="shared" si="2"/>
        <v>11</v>
      </c>
      <c r="V10" s="17">
        <f t="shared" si="2"/>
        <v>14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3</v>
      </c>
      <c r="AA10" s="17">
        <f t="shared" si="2"/>
        <v>1</v>
      </c>
      <c r="AB10" s="17">
        <f t="shared" si="2"/>
        <v>0</v>
      </c>
      <c r="AC10" s="17">
        <f t="shared" si="2"/>
        <v>711</v>
      </c>
      <c r="AD10" s="17">
        <f t="shared" si="2"/>
        <v>0</v>
      </c>
      <c r="AE10" s="31">
        <f t="shared" si="2"/>
        <v>220</v>
      </c>
      <c r="AF10" s="31">
        <f t="shared" si="2"/>
        <v>931</v>
      </c>
    </row>
    <row r="11" spans="2:32" s="6" customFormat="1" ht="23.1" customHeight="1" x14ac:dyDescent="0.25">
      <c r="B11" s="45" t="s">
        <v>38</v>
      </c>
      <c r="C11" s="50">
        <v>54</v>
      </c>
      <c r="D11" s="50">
        <v>10</v>
      </c>
      <c r="E11" s="50">
        <v>6</v>
      </c>
      <c r="F11" s="50">
        <v>5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240</v>
      </c>
      <c r="N11" s="50">
        <v>0</v>
      </c>
      <c r="O11" s="15">
        <f t="shared" si="0"/>
        <v>77</v>
      </c>
      <c r="P11" s="15">
        <f t="shared" si="1"/>
        <v>317</v>
      </c>
      <c r="R11" s="1" t="s">
        <v>7</v>
      </c>
      <c r="S11" s="17">
        <f t="shared" ref="S11:AF11" si="3">SUM(C14:C17)</f>
        <v>102</v>
      </c>
      <c r="T11" s="17">
        <f t="shared" si="3"/>
        <v>13</v>
      </c>
      <c r="U11" s="17">
        <f t="shared" si="3"/>
        <v>10</v>
      </c>
      <c r="V11" s="17">
        <f t="shared" si="3"/>
        <v>50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2</v>
      </c>
      <c r="AA11" s="17">
        <f t="shared" si="3"/>
        <v>2</v>
      </c>
      <c r="AB11" s="17">
        <f t="shared" si="3"/>
        <v>0</v>
      </c>
      <c r="AC11" s="17">
        <f t="shared" si="3"/>
        <v>845</v>
      </c>
      <c r="AD11" s="17">
        <f t="shared" si="3"/>
        <v>0</v>
      </c>
      <c r="AE11" s="31">
        <f t="shared" si="3"/>
        <v>182</v>
      </c>
      <c r="AF11" s="31">
        <f t="shared" si="3"/>
        <v>1027</v>
      </c>
    </row>
    <row r="12" spans="2:32" ht="23.1" customHeight="1" x14ac:dyDescent="0.25">
      <c r="B12" s="45" t="s">
        <v>39</v>
      </c>
      <c r="C12" s="50">
        <v>45</v>
      </c>
      <c r="D12" s="50">
        <v>6</v>
      </c>
      <c r="E12" s="50">
        <v>5</v>
      </c>
      <c r="F12" s="50">
        <v>8</v>
      </c>
      <c r="G12" s="50">
        <v>0</v>
      </c>
      <c r="H12" s="50">
        <v>0</v>
      </c>
      <c r="I12" s="50">
        <v>1</v>
      </c>
      <c r="J12" s="50">
        <v>1</v>
      </c>
      <c r="K12" s="50">
        <v>1</v>
      </c>
      <c r="L12" s="50">
        <v>0</v>
      </c>
      <c r="M12" s="50">
        <v>210</v>
      </c>
      <c r="N12" s="50">
        <v>0</v>
      </c>
      <c r="O12" s="15">
        <f t="shared" si="0"/>
        <v>67</v>
      </c>
      <c r="P12" s="15">
        <f t="shared" si="1"/>
        <v>277</v>
      </c>
      <c r="R12" s="1" t="s">
        <v>8</v>
      </c>
      <c r="S12" s="17">
        <f t="shared" ref="S12:AF12" si="4">SUM(C18:C21)</f>
        <v>118</v>
      </c>
      <c r="T12" s="17">
        <f t="shared" si="4"/>
        <v>27</v>
      </c>
      <c r="U12" s="17">
        <f t="shared" si="4"/>
        <v>16</v>
      </c>
      <c r="V12" s="17">
        <f t="shared" si="4"/>
        <v>98</v>
      </c>
      <c r="W12" s="17">
        <f t="shared" si="4"/>
        <v>2</v>
      </c>
      <c r="X12" s="17">
        <f t="shared" si="4"/>
        <v>0</v>
      </c>
      <c r="Y12" s="17">
        <f t="shared" si="4"/>
        <v>10</v>
      </c>
      <c r="Z12" s="17">
        <f t="shared" si="4"/>
        <v>6</v>
      </c>
      <c r="AA12" s="17">
        <f t="shared" si="4"/>
        <v>2</v>
      </c>
      <c r="AB12" s="17">
        <f t="shared" si="4"/>
        <v>0</v>
      </c>
      <c r="AC12" s="17">
        <f t="shared" si="4"/>
        <v>875</v>
      </c>
      <c r="AD12" s="17">
        <f t="shared" si="4"/>
        <v>0</v>
      </c>
      <c r="AE12" s="31">
        <f t="shared" si="4"/>
        <v>279</v>
      </c>
      <c r="AF12" s="31">
        <f t="shared" si="4"/>
        <v>1154</v>
      </c>
    </row>
    <row r="13" spans="2:32" ht="23.1" customHeight="1" x14ac:dyDescent="0.25">
      <c r="B13" s="45" t="s">
        <v>40</v>
      </c>
      <c r="C13" s="50">
        <v>47</v>
      </c>
      <c r="D13" s="50">
        <v>5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210</v>
      </c>
      <c r="N13" s="50">
        <v>0</v>
      </c>
      <c r="O13" s="15">
        <f t="shared" si="0"/>
        <v>55</v>
      </c>
      <c r="P13" s="15">
        <f t="shared" si="1"/>
        <v>265</v>
      </c>
      <c r="R13" s="1" t="s">
        <v>9</v>
      </c>
      <c r="S13" s="17">
        <f t="shared" ref="S13:AF13" si="5">SUM(C22:C25)</f>
        <v>119</v>
      </c>
      <c r="T13" s="17">
        <f t="shared" si="5"/>
        <v>22</v>
      </c>
      <c r="U13" s="17">
        <f t="shared" si="5"/>
        <v>7</v>
      </c>
      <c r="V13" s="17">
        <f t="shared" si="5"/>
        <v>102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7</v>
      </c>
      <c r="AA13" s="17">
        <f t="shared" si="5"/>
        <v>3</v>
      </c>
      <c r="AB13" s="17">
        <f t="shared" si="5"/>
        <v>0</v>
      </c>
      <c r="AC13" s="17">
        <f t="shared" si="5"/>
        <v>845</v>
      </c>
      <c r="AD13" s="17">
        <f t="shared" si="5"/>
        <v>0</v>
      </c>
      <c r="AE13" s="31">
        <f t="shared" si="5"/>
        <v>265</v>
      </c>
      <c r="AF13" s="31">
        <f t="shared" si="5"/>
        <v>1110</v>
      </c>
    </row>
    <row r="14" spans="2:32" ht="23.1" customHeight="1" x14ac:dyDescent="0.25">
      <c r="B14" s="45" t="s">
        <v>41</v>
      </c>
      <c r="C14" s="50">
        <v>30</v>
      </c>
      <c r="D14" s="50">
        <v>4</v>
      </c>
      <c r="E14" s="50">
        <v>2</v>
      </c>
      <c r="F14" s="50">
        <v>9</v>
      </c>
      <c r="G14" s="50">
        <v>0</v>
      </c>
      <c r="H14" s="50">
        <v>0</v>
      </c>
      <c r="I14" s="50">
        <v>2</v>
      </c>
      <c r="J14" s="50">
        <v>1</v>
      </c>
      <c r="K14" s="50">
        <v>1</v>
      </c>
      <c r="L14" s="50">
        <v>0</v>
      </c>
      <c r="M14" s="50">
        <v>200</v>
      </c>
      <c r="N14" s="50">
        <v>0</v>
      </c>
      <c r="O14" s="15">
        <f t="shared" si="0"/>
        <v>49</v>
      </c>
      <c r="P14" s="15">
        <f t="shared" si="1"/>
        <v>249</v>
      </c>
      <c r="R14" s="1" t="s">
        <v>10</v>
      </c>
      <c r="S14" s="17">
        <f t="shared" ref="S14:AF14" si="6">SUM(C26:C29)</f>
        <v>79</v>
      </c>
      <c r="T14" s="17">
        <f t="shared" si="6"/>
        <v>16</v>
      </c>
      <c r="U14" s="17">
        <f t="shared" si="6"/>
        <v>13</v>
      </c>
      <c r="V14" s="17">
        <f t="shared" si="6"/>
        <v>94</v>
      </c>
      <c r="W14" s="17">
        <f t="shared" si="6"/>
        <v>0</v>
      </c>
      <c r="X14" s="17">
        <f t="shared" si="6"/>
        <v>0</v>
      </c>
      <c r="Y14" s="17">
        <f t="shared" si="6"/>
        <v>10</v>
      </c>
      <c r="Z14" s="17">
        <f t="shared" si="6"/>
        <v>10</v>
      </c>
      <c r="AA14" s="17">
        <f t="shared" si="6"/>
        <v>2</v>
      </c>
      <c r="AB14" s="17">
        <f t="shared" si="6"/>
        <v>0</v>
      </c>
      <c r="AC14" s="17">
        <f t="shared" si="6"/>
        <v>825</v>
      </c>
      <c r="AD14" s="17">
        <f t="shared" si="6"/>
        <v>0</v>
      </c>
      <c r="AE14" s="31">
        <f t="shared" si="6"/>
        <v>224</v>
      </c>
      <c r="AF14" s="31">
        <f t="shared" si="6"/>
        <v>1049</v>
      </c>
    </row>
    <row r="15" spans="2:32" ht="23.1" customHeight="1" x14ac:dyDescent="0.25">
      <c r="B15" s="45" t="s">
        <v>42</v>
      </c>
      <c r="C15" s="50">
        <v>27</v>
      </c>
      <c r="D15" s="50">
        <v>4</v>
      </c>
      <c r="E15" s="50">
        <v>0</v>
      </c>
      <c r="F15" s="50">
        <v>15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210</v>
      </c>
      <c r="N15" s="50">
        <v>0</v>
      </c>
      <c r="O15" s="15">
        <f t="shared" si="0"/>
        <v>46</v>
      </c>
      <c r="P15" s="15">
        <f t="shared" si="1"/>
        <v>256</v>
      </c>
      <c r="R15" s="1" t="s">
        <v>11</v>
      </c>
      <c r="S15" s="17">
        <f t="shared" ref="S15:AF15" si="7">SUM(C30:C33)</f>
        <v>136</v>
      </c>
      <c r="T15" s="17">
        <f t="shared" si="7"/>
        <v>21</v>
      </c>
      <c r="U15" s="17">
        <f t="shared" si="7"/>
        <v>14</v>
      </c>
      <c r="V15" s="17">
        <f t="shared" si="7"/>
        <v>172</v>
      </c>
      <c r="W15" s="17">
        <f t="shared" si="7"/>
        <v>0</v>
      </c>
      <c r="X15" s="17">
        <f t="shared" si="7"/>
        <v>0</v>
      </c>
      <c r="Y15" s="17">
        <f t="shared" si="7"/>
        <v>10</v>
      </c>
      <c r="Z15" s="17">
        <f t="shared" si="7"/>
        <v>4</v>
      </c>
      <c r="AA15" s="17">
        <f t="shared" si="7"/>
        <v>0</v>
      </c>
      <c r="AB15" s="17">
        <f t="shared" si="7"/>
        <v>0</v>
      </c>
      <c r="AC15" s="17">
        <f t="shared" si="7"/>
        <v>755</v>
      </c>
      <c r="AD15" s="17">
        <f t="shared" si="7"/>
        <v>0</v>
      </c>
      <c r="AE15" s="31">
        <f t="shared" si="7"/>
        <v>357</v>
      </c>
      <c r="AF15" s="31">
        <f t="shared" si="7"/>
        <v>1112</v>
      </c>
    </row>
    <row r="16" spans="2:32" ht="23.1" customHeight="1" x14ac:dyDescent="0.25">
      <c r="B16" s="45" t="s">
        <v>43</v>
      </c>
      <c r="C16" s="50">
        <v>17</v>
      </c>
      <c r="D16" s="50">
        <v>2</v>
      </c>
      <c r="E16" s="50">
        <v>5</v>
      </c>
      <c r="F16" s="50">
        <v>16</v>
      </c>
      <c r="G16" s="50">
        <v>0</v>
      </c>
      <c r="H16" s="50">
        <v>0</v>
      </c>
      <c r="I16" s="50">
        <v>0</v>
      </c>
      <c r="J16" s="50">
        <v>0</v>
      </c>
      <c r="K16" s="50">
        <v>1</v>
      </c>
      <c r="L16" s="50">
        <v>0</v>
      </c>
      <c r="M16" s="50">
        <v>240</v>
      </c>
      <c r="N16" s="50">
        <v>0</v>
      </c>
      <c r="O16" s="15">
        <f t="shared" si="0"/>
        <v>41</v>
      </c>
      <c r="P16" s="15">
        <f t="shared" si="1"/>
        <v>281</v>
      </c>
      <c r="R16" s="1" t="s">
        <v>12</v>
      </c>
      <c r="S16" s="17">
        <f t="shared" ref="S16:AF16" si="8">SUM(C34:C37)</f>
        <v>103</v>
      </c>
      <c r="T16" s="17">
        <f t="shared" si="8"/>
        <v>14</v>
      </c>
      <c r="U16" s="17">
        <f t="shared" si="8"/>
        <v>15</v>
      </c>
      <c r="V16" s="17">
        <f t="shared" si="8"/>
        <v>125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795</v>
      </c>
      <c r="AD16" s="17">
        <f t="shared" si="8"/>
        <v>0</v>
      </c>
      <c r="AE16" s="31">
        <f t="shared" si="8"/>
        <v>265</v>
      </c>
      <c r="AF16" s="31">
        <f t="shared" si="8"/>
        <v>1060</v>
      </c>
    </row>
    <row r="17" spans="2:32" ht="23.1" customHeight="1" x14ac:dyDescent="0.25">
      <c r="B17" s="45" t="s">
        <v>44</v>
      </c>
      <c r="C17" s="50">
        <v>28</v>
      </c>
      <c r="D17" s="50">
        <v>3</v>
      </c>
      <c r="E17" s="50">
        <v>3</v>
      </c>
      <c r="F17" s="50">
        <v>10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195</v>
      </c>
      <c r="N17" s="50">
        <v>0</v>
      </c>
      <c r="O17" s="15">
        <f t="shared" si="0"/>
        <v>46</v>
      </c>
      <c r="P17" s="15">
        <f t="shared" si="1"/>
        <v>241</v>
      </c>
      <c r="R17" s="1" t="s">
        <v>13</v>
      </c>
      <c r="S17" s="17">
        <f t="shared" ref="S17:AF17" si="9">SUM(C38:C41)</f>
        <v>84</v>
      </c>
      <c r="T17" s="17">
        <f t="shared" si="9"/>
        <v>17</v>
      </c>
      <c r="U17" s="17">
        <f t="shared" si="9"/>
        <v>9</v>
      </c>
      <c r="V17" s="17">
        <f t="shared" si="9"/>
        <v>122</v>
      </c>
      <c r="W17" s="17">
        <f t="shared" si="9"/>
        <v>0</v>
      </c>
      <c r="X17" s="17">
        <f t="shared" si="9"/>
        <v>1</v>
      </c>
      <c r="Y17" s="17">
        <f t="shared" si="9"/>
        <v>5</v>
      </c>
      <c r="Z17" s="17">
        <f t="shared" si="9"/>
        <v>6</v>
      </c>
      <c r="AA17" s="17">
        <f t="shared" si="9"/>
        <v>0</v>
      </c>
      <c r="AB17" s="17">
        <f t="shared" si="9"/>
        <v>0</v>
      </c>
      <c r="AC17" s="17">
        <f t="shared" si="9"/>
        <v>860</v>
      </c>
      <c r="AD17" s="17">
        <f t="shared" si="9"/>
        <v>0</v>
      </c>
      <c r="AE17" s="31">
        <f t="shared" si="9"/>
        <v>244</v>
      </c>
      <c r="AF17" s="31">
        <f t="shared" si="9"/>
        <v>1104</v>
      </c>
    </row>
    <row r="18" spans="2:32" ht="23.1" customHeight="1" x14ac:dyDescent="0.25">
      <c r="B18" s="45" t="s">
        <v>45</v>
      </c>
      <c r="C18" s="50">
        <v>29</v>
      </c>
      <c r="D18" s="50">
        <v>5</v>
      </c>
      <c r="E18" s="50">
        <v>4</v>
      </c>
      <c r="F18" s="50">
        <v>27</v>
      </c>
      <c r="G18" s="50">
        <v>0</v>
      </c>
      <c r="H18" s="50">
        <v>0</v>
      </c>
      <c r="I18" s="50">
        <v>2</v>
      </c>
      <c r="J18" s="50">
        <v>0</v>
      </c>
      <c r="K18" s="50">
        <v>1</v>
      </c>
      <c r="L18" s="50">
        <v>0</v>
      </c>
      <c r="M18" s="50">
        <v>240</v>
      </c>
      <c r="N18" s="50">
        <v>0</v>
      </c>
      <c r="O18" s="15">
        <f t="shared" si="0"/>
        <v>68</v>
      </c>
      <c r="P18" s="15">
        <f t="shared" si="1"/>
        <v>308</v>
      </c>
      <c r="R18" s="1" t="s">
        <v>14</v>
      </c>
      <c r="S18" s="17">
        <f t="shared" ref="S18:AF18" si="10">SUM(C42:C45)</f>
        <v>115</v>
      </c>
      <c r="T18" s="17">
        <f t="shared" si="10"/>
        <v>44</v>
      </c>
      <c r="U18" s="17">
        <f t="shared" si="10"/>
        <v>22</v>
      </c>
      <c r="V18" s="17">
        <f t="shared" si="10"/>
        <v>103</v>
      </c>
      <c r="W18" s="17">
        <f t="shared" si="10"/>
        <v>0</v>
      </c>
      <c r="X18" s="17">
        <f t="shared" si="10"/>
        <v>0</v>
      </c>
      <c r="Y18" s="17">
        <f t="shared" si="10"/>
        <v>20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985</v>
      </c>
      <c r="AD18" s="17">
        <f t="shared" si="10"/>
        <v>0</v>
      </c>
      <c r="AE18" s="31">
        <f t="shared" si="10"/>
        <v>305</v>
      </c>
      <c r="AF18" s="31">
        <f t="shared" si="10"/>
        <v>1290</v>
      </c>
    </row>
    <row r="19" spans="2:32" ht="23.1" customHeight="1" x14ac:dyDescent="0.25">
      <c r="B19" s="45" t="s">
        <v>46</v>
      </c>
      <c r="C19" s="50">
        <v>32</v>
      </c>
      <c r="D19" s="50">
        <v>8</v>
      </c>
      <c r="E19" s="50">
        <v>6</v>
      </c>
      <c r="F19" s="50">
        <v>26</v>
      </c>
      <c r="G19" s="50">
        <v>0</v>
      </c>
      <c r="H19" s="50">
        <v>0</v>
      </c>
      <c r="I19" s="50">
        <v>0</v>
      </c>
      <c r="J19" s="50">
        <v>4</v>
      </c>
      <c r="K19" s="50">
        <v>0</v>
      </c>
      <c r="L19" s="50">
        <v>0</v>
      </c>
      <c r="M19" s="50">
        <v>210</v>
      </c>
      <c r="N19" s="50">
        <v>0</v>
      </c>
      <c r="O19" s="15">
        <f t="shared" si="0"/>
        <v>76</v>
      </c>
      <c r="P19" s="15">
        <f t="shared" si="1"/>
        <v>286</v>
      </c>
      <c r="R19" s="1" t="s">
        <v>15</v>
      </c>
      <c r="S19" s="17">
        <f t="shared" ref="S19:AF19" si="11">SUM(C46:C49)</f>
        <v>123</v>
      </c>
      <c r="T19" s="17">
        <f t="shared" si="11"/>
        <v>11</v>
      </c>
      <c r="U19" s="17">
        <f t="shared" si="11"/>
        <v>8</v>
      </c>
      <c r="V19" s="17">
        <f t="shared" si="11"/>
        <v>133</v>
      </c>
      <c r="W19" s="17">
        <f t="shared" si="11"/>
        <v>1</v>
      </c>
      <c r="X19" s="17">
        <f t="shared" si="11"/>
        <v>0</v>
      </c>
      <c r="Y19" s="17">
        <f t="shared" si="11"/>
        <v>13</v>
      </c>
      <c r="Z19" s="17">
        <f t="shared" si="11"/>
        <v>5</v>
      </c>
      <c r="AA19" s="17">
        <f t="shared" si="11"/>
        <v>1</v>
      </c>
      <c r="AB19" s="17">
        <f t="shared" si="11"/>
        <v>0</v>
      </c>
      <c r="AC19" s="17">
        <f t="shared" si="11"/>
        <v>715</v>
      </c>
      <c r="AD19" s="17">
        <f t="shared" si="11"/>
        <v>0</v>
      </c>
      <c r="AE19" s="31">
        <f t="shared" si="11"/>
        <v>295</v>
      </c>
      <c r="AF19" s="31">
        <f t="shared" si="11"/>
        <v>1010</v>
      </c>
    </row>
    <row r="20" spans="2:32" ht="23.1" customHeight="1" x14ac:dyDescent="0.25">
      <c r="B20" s="45" t="s">
        <v>47</v>
      </c>
      <c r="C20" s="50">
        <v>30</v>
      </c>
      <c r="D20" s="50">
        <v>6</v>
      </c>
      <c r="E20" s="50">
        <v>4</v>
      </c>
      <c r="F20" s="50">
        <v>20</v>
      </c>
      <c r="G20" s="50">
        <v>0</v>
      </c>
      <c r="H20" s="50">
        <v>0</v>
      </c>
      <c r="I20" s="50">
        <v>6</v>
      </c>
      <c r="J20" s="50">
        <v>1</v>
      </c>
      <c r="K20" s="50">
        <v>0</v>
      </c>
      <c r="L20" s="50">
        <v>0</v>
      </c>
      <c r="M20" s="50">
        <v>215</v>
      </c>
      <c r="N20" s="50">
        <v>0</v>
      </c>
      <c r="O20" s="15">
        <f t="shared" si="0"/>
        <v>67</v>
      </c>
      <c r="P20" s="15">
        <f t="shared" si="1"/>
        <v>282</v>
      </c>
      <c r="R20" s="1" t="s">
        <v>16</v>
      </c>
      <c r="S20" s="17">
        <f t="shared" ref="S20:AF20" si="12">SUM(C50:C53)</f>
        <v>121</v>
      </c>
      <c r="T20" s="17">
        <f t="shared" si="12"/>
        <v>18</v>
      </c>
      <c r="U20" s="17">
        <f t="shared" si="12"/>
        <v>28</v>
      </c>
      <c r="V20" s="17">
        <f t="shared" si="12"/>
        <v>116</v>
      </c>
      <c r="W20" s="17">
        <f t="shared" si="12"/>
        <v>2</v>
      </c>
      <c r="X20" s="17">
        <f t="shared" si="12"/>
        <v>0</v>
      </c>
      <c r="Y20" s="17">
        <f t="shared" si="12"/>
        <v>7</v>
      </c>
      <c r="Z20" s="17">
        <f t="shared" si="12"/>
        <v>4</v>
      </c>
      <c r="AA20" s="17">
        <f t="shared" si="12"/>
        <v>3</v>
      </c>
      <c r="AB20" s="17">
        <f t="shared" si="12"/>
        <v>0</v>
      </c>
      <c r="AC20" s="17">
        <f t="shared" si="12"/>
        <v>715</v>
      </c>
      <c r="AD20" s="17">
        <f t="shared" si="12"/>
        <v>0</v>
      </c>
      <c r="AE20" s="31">
        <f t="shared" si="12"/>
        <v>299</v>
      </c>
      <c r="AF20" s="31">
        <f t="shared" si="12"/>
        <v>1014</v>
      </c>
    </row>
    <row r="21" spans="2:32" ht="23.1" customHeight="1" x14ac:dyDescent="0.25">
      <c r="B21" s="45" t="s">
        <v>48</v>
      </c>
      <c r="C21" s="50">
        <v>27</v>
      </c>
      <c r="D21" s="50">
        <v>8</v>
      </c>
      <c r="E21" s="50">
        <v>2</v>
      </c>
      <c r="F21" s="50">
        <v>25</v>
      </c>
      <c r="G21" s="50">
        <v>2</v>
      </c>
      <c r="H21" s="50">
        <v>0</v>
      </c>
      <c r="I21" s="50">
        <v>2</v>
      </c>
      <c r="J21" s="50">
        <v>1</v>
      </c>
      <c r="K21" s="50">
        <v>1</v>
      </c>
      <c r="L21" s="50">
        <v>0</v>
      </c>
      <c r="M21" s="50">
        <v>210</v>
      </c>
      <c r="N21" s="50">
        <v>0</v>
      </c>
      <c r="O21" s="15">
        <f t="shared" si="0"/>
        <v>68</v>
      </c>
      <c r="P21" s="15">
        <f t="shared" si="1"/>
        <v>278</v>
      </c>
      <c r="R21" s="36" t="s">
        <v>20</v>
      </c>
      <c r="S21" s="34">
        <f t="shared" ref="S21:AF21" si="13">SUM(C54:C57)</f>
        <v>81</v>
      </c>
      <c r="T21" s="17">
        <f t="shared" si="13"/>
        <v>5</v>
      </c>
      <c r="U21" s="17">
        <f t="shared" si="13"/>
        <v>0</v>
      </c>
      <c r="V21" s="17">
        <f t="shared" si="13"/>
        <v>88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640</v>
      </c>
      <c r="AD21" s="17">
        <f t="shared" si="13"/>
        <v>0</v>
      </c>
      <c r="AE21" s="31">
        <f t="shared" si="13"/>
        <v>184</v>
      </c>
      <c r="AF21" s="31">
        <f t="shared" si="13"/>
        <v>824</v>
      </c>
    </row>
    <row r="22" spans="2:32" ht="23.1" customHeight="1" x14ac:dyDescent="0.25">
      <c r="B22" s="45" t="s">
        <v>49</v>
      </c>
      <c r="C22" s="50">
        <v>40</v>
      </c>
      <c r="D22" s="50">
        <v>5</v>
      </c>
      <c r="E22" s="50">
        <v>0</v>
      </c>
      <c r="F22" s="50">
        <v>30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210</v>
      </c>
      <c r="N22" s="50">
        <v>0</v>
      </c>
      <c r="O22" s="15">
        <f t="shared" si="0"/>
        <v>78</v>
      </c>
      <c r="P22" s="15">
        <f t="shared" si="1"/>
        <v>288</v>
      </c>
      <c r="R22" s="36" t="s">
        <v>147</v>
      </c>
      <c r="S22" s="34">
        <f>SUM(C58:C61)</f>
        <v>150</v>
      </c>
      <c r="T22" s="34">
        <f t="shared" ref="T22:AF22" si="14">SUM(D58:D61)</f>
        <v>15</v>
      </c>
      <c r="U22" s="34">
        <f t="shared" si="14"/>
        <v>4</v>
      </c>
      <c r="V22" s="34">
        <f t="shared" si="14"/>
        <v>200</v>
      </c>
      <c r="W22" s="34">
        <f t="shared" si="14"/>
        <v>3</v>
      </c>
      <c r="X22" s="34">
        <f t="shared" si="14"/>
        <v>0</v>
      </c>
      <c r="Y22" s="34">
        <f t="shared" si="14"/>
        <v>2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310</v>
      </c>
      <c r="AD22" s="34">
        <f t="shared" si="14"/>
        <v>0</v>
      </c>
      <c r="AE22" s="31">
        <f t="shared" si="14"/>
        <v>375</v>
      </c>
      <c r="AF22" s="31">
        <f t="shared" si="14"/>
        <v>685</v>
      </c>
    </row>
    <row r="23" spans="2:32" ht="23.1" customHeight="1" x14ac:dyDescent="0.25">
      <c r="B23" s="45" t="s">
        <v>50</v>
      </c>
      <c r="C23" s="50">
        <v>30</v>
      </c>
      <c r="D23" s="50">
        <v>6</v>
      </c>
      <c r="E23" s="50">
        <v>2</v>
      </c>
      <c r="F23" s="50">
        <v>28</v>
      </c>
      <c r="G23" s="50">
        <v>0</v>
      </c>
      <c r="H23" s="50">
        <v>0</v>
      </c>
      <c r="I23" s="50">
        <v>1</v>
      </c>
      <c r="J23" s="50">
        <v>2</v>
      </c>
      <c r="K23" s="50">
        <v>0</v>
      </c>
      <c r="L23" s="50">
        <v>0</v>
      </c>
      <c r="M23" s="50">
        <v>210</v>
      </c>
      <c r="N23" s="50">
        <v>0</v>
      </c>
      <c r="O23" s="15">
        <f t="shared" si="0"/>
        <v>69</v>
      </c>
      <c r="P23" s="15">
        <f t="shared" si="1"/>
        <v>279</v>
      </c>
      <c r="R23" s="36" t="s">
        <v>148</v>
      </c>
      <c r="S23" s="34">
        <f>SUM(C62:C65)</f>
        <v>305</v>
      </c>
      <c r="T23" s="34">
        <f t="shared" ref="T23:AF23" si="15">SUM(D62:D65)</f>
        <v>15</v>
      </c>
      <c r="U23" s="34">
        <f t="shared" si="15"/>
        <v>3</v>
      </c>
      <c r="V23" s="34">
        <f t="shared" si="15"/>
        <v>405</v>
      </c>
      <c r="W23" s="34">
        <f t="shared" si="15"/>
        <v>0</v>
      </c>
      <c r="X23" s="34">
        <f t="shared" si="15"/>
        <v>0</v>
      </c>
      <c r="Y23" s="34">
        <f t="shared" si="15"/>
        <v>10</v>
      </c>
      <c r="Z23" s="34">
        <f t="shared" si="15"/>
        <v>3</v>
      </c>
      <c r="AA23" s="34">
        <f t="shared" si="15"/>
        <v>3</v>
      </c>
      <c r="AB23" s="34">
        <f t="shared" si="15"/>
        <v>0</v>
      </c>
      <c r="AC23" s="34">
        <f t="shared" si="15"/>
        <v>541</v>
      </c>
      <c r="AD23" s="34">
        <f t="shared" si="15"/>
        <v>0</v>
      </c>
      <c r="AE23" s="31">
        <f t="shared" si="15"/>
        <v>744</v>
      </c>
      <c r="AF23" s="31">
        <f t="shared" si="15"/>
        <v>1285</v>
      </c>
    </row>
    <row r="24" spans="2:32" ht="23.1" customHeight="1" x14ac:dyDescent="0.25">
      <c r="B24" s="45" t="s">
        <v>51</v>
      </c>
      <c r="C24" s="50">
        <v>21</v>
      </c>
      <c r="D24" s="50">
        <v>7</v>
      </c>
      <c r="E24" s="50">
        <v>3</v>
      </c>
      <c r="F24" s="50">
        <v>22</v>
      </c>
      <c r="G24" s="50">
        <v>0</v>
      </c>
      <c r="H24" s="50">
        <v>0</v>
      </c>
      <c r="I24" s="50">
        <v>1</v>
      </c>
      <c r="J24" s="50">
        <v>4</v>
      </c>
      <c r="K24" s="50">
        <v>3</v>
      </c>
      <c r="L24" s="50">
        <v>0</v>
      </c>
      <c r="M24" s="50">
        <v>215</v>
      </c>
      <c r="N24" s="50">
        <v>0</v>
      </c>
      <c r="O24" s="15">
        <f t="shared" si="0"/>
        <v>61</v>
      </c>
      <c r="P24" s="15">
        <f t="shared" si="1"/>
        <v>276</v>
      </c>
      <c r="R24" s="36" t="s">
        <v>149</v>
      </c>
      <c r="S24" s="34">
        <f>SUM(C66:C69)</f>
        <v>195</v>
      </c>
      <c r="T24" s="34">
        <f t="shared" ref="T24:AF24" si="16">SUM(D66:D69)</f>
        <v>21</v>
      </c>
      <c r="U24" s="34">
        <f t="shared" si="16"/>
        <v>7</v>
      </c>
      <c r="V24" s="34">
        <f t="shared" si="16"/>
        <v>115</v>
      </c>
      <c r="W24" s="34">
        <f t="shared" si="16"/>
        <v>2</v>
      </c>
      <c r="X24" s="34">
        <f t="shared" si="16"/>
        <v>0</v>
      </c>
      <c r="Y24" s="34">
        <f t="shared" si="16"/>
        <v>0</v>
      </c>
      <c r="Z24" s="34">
        <f t="shared" si="16"/>
        <v>7</v>
      </c>
      <c r="AA24" s="34">
        <f t="shared" si="16"/>
        <v>0</v>
      </c>
      <c r="AB24" s="34">
        <f t="shared" si="16"/>
        <v>0</v>
      </c>
      <c r="AC24" s="34">
        <f t="shared" si="16"/>
        <v>1082</v>
      </c>
      <c r="AD24" s="34">
        <f t="shared" si="16"/>
        <v>0</v>
      </c>
      <c r="AE24" s="31">
        <f t="shared" si="16"/>
        <v>347</v>
      </c>
      <c r="AF24" s="31">
        <f t="shared" si="16"/>
        <v>1429</v>
      </c>
    </row>
    <row r="25" spans="2:32" ht="23.1" customHeight="1" x14ac:dyDescent="0.25">
      <c r="B25" s="45" t="s">
        <v>52</v>
      </c>
      <c r="C25" s="50">
        <v>28</v>
      </c>
      <c r="D25" s="50">
        <v>4</v>
      </c>
      <c r="E25" s="50">
        <v>2</v>
      </c>
      <c r="F25" s="50">
        <v>22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210</v>
      </c>
      <c r="N25" s="50">
        <v>0</v>
      </c>
      <c r="O25" s="15">
        <f t="shared" si="0"/>
        <v>57</v>
      </c>
      <c r="P25" s="15">
        <f t="shared" si="1"/>
        <v>267</v>
      </c>
      <c r="R25" s="36" t="s">
        <v>150</v>
      </c>
      <c r="S25" s="34">
        <f>SUM(C70:C73)</f>
        <v>391</v>
      </c>
      <c r="T25" s="34">
        <f t="shared" ref="T25:AF25" si="17">SUM(D70:D73)</f>
        <v>14</v>
      </c>
      <c r="U25" s="34">
        <f t="shared" si="17"/>
        <v>4</v>
      </c>
      <c r="V25" s="34">
        <f t="shared" si="17"/>
        <v>165</v>
      </c>
      <c r="W25" s="34">
        <f t="shared" si="17"/>
        <v>0</v>
      </c>
      <c r="X25" s="34">
        <f t="shared" si="17"/>
        <v>0</v>
      </c>
      <c r="Y25" s="34">
        <f t="shared" si="17"/>
        <v>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965</v>
      </c>
      <c r="AD25" s="34">
        <f t="shared" si="17"/>
        <v>0</v>
      </c>
      <c r="AE25" s="31">
        <f t="shared" si="17"/>
        <v>579</v>
      </c>
      <c r="AF25" s="31">
        <f t="shared" si="17"/>
        <v>1544</v>
      </c>
    </row>
    <row r="26" spans="2:32" ht="23.1" customHeight="1" x14ac:dyDescent="0.25">
      <c r="B26" s="45" t="s">
        <v>53</v>
      </c>
      <c r="C26" s="50">
        <v>22</v>
      </c>
      <c r="D26" s="50">
        <v>6</v>
      </c>
      <c r="E26" s="50">
        <v>3</v>
      </c>
      <c r="F26" s="50">
        <v>29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190</v>
      </c>
      <c r="N26" s="50">
        <v>0</v>
      </c>
      <c r="O26" s="15">
        <f t="shared" si="0"/>
        <v>62</v>
      </c>
      <c r="P26" s="15">
        <f t="shared" si="1"/>
        <v>252</v>
      </c>
      <c r="R26" s="36" t="s">
        <v>151</v>
      </c>
      <c r="S26" s="34">
        <f>SUM(C74:C77)</f>
        <v>245</v>
      </c>
      <c r="T26" s="34">
        <f t="shared" ref="T26:AF26" si="18">SUM(D74:D77)</f>
        <v>9</v>
      </c>
      <c r="U26" s="34">
        <f t="shared" si="18"/>
        <v>6</v>
      </c>
      <c r="V26" s="34">
        <f t="shared" si="18"/>
        <v>135</v>
      </c>
      <c r="W26" s="34">
        <f t="shared" si="18"/>
        <v>2</v>
      </c>
      <c r="X26" s="34">
        <f t="shared" si="18"/>
        <v>0</v>
      </c>
      <c r="Y26" s="34">
        <f t="shared" si="18"/>
        <v>2</v>
      </c>
      <c r="Z26" s="34">
        <f t="shared" si="18"/>
        <v>5</v>
      </c>
      <c r="AA26" s="34">
        <f t="shared" si="18"/>
        <v>0</v>
      </c>
      <c r="AB26" s="34">
        <f t="shared" si="18"/>
        <v>0</v>
      </c>
      <c r="AC26" s="34">
        <f t="shared" si="18"/>
        <v>695</v>
      </c>
      <c r="AD26" s="34">
        <f t="shared" si="18"/>
        <v>1</v>
      </c>
      <c r="AE26" s="31">
        <f t="shared" si="18"/>
        <v>405</v>
      </c>
      <c r="AF26" s="31">
        <f t="shared" si="18"/>
        <v>1100</v>
      </c>
    </row>
    <row r="27" spans="2:32" ht="23.1" customHeight="1" x14ac:dyDescent="0.25">
      <c r="B27" s="45" t="s">
        <v>54</v>
      </c>
      <c r="C27" s="50">
        <v>15</v>
      </c>
      <c r="D27" s="50">
        <v>4</v>
      </c>
      <c r="E27" s="50">
        <v>4</v>
      </c>
      <c r="F27" s="50">
        <v>19</v>
      </c>
      <c r="G27" s="50">
        <v>0</v>
      </c>
      <c r="H27" s="50">
        <v>0</v>
      </c>
      <c r="I27" s="50">
        <v>7</v>
      </c>
      <c r="J27" s="50">
        <v>0</v>
      </c>
      <c r="K27" s="50">
        <v>2</v>
      </c>
      <c r="L27" s="50">
        <v>0</v>
      </c>
      <c r="M27" s="50">
        <v>210</v>
      </c>
      <c r="N27" s="50">
        <v>0</v>
      </c>
      <c r="O27" s="15">
        <f t="shared" si="0"/>
        <v>51</v>
      </c>
      <c r="P27" s="15">
        <f t="shared" si="1"/>
        <v>261</v>
      </c>
      <c r="R27" s="36" t="s">
        <v>152</v>
      </c>
      <c r="S27" s="34">
        <f>SUM(C78:C81)</f>
        <v>112</v>
      </c>
      <c r="T27" s="34">
        <f t="shared" ref="T27:AF27" si="19">SUM(D78:D81)</f>
        <v>2</v>
      </c>
      <c r="U27" s="34">
        <f t="shared" si="19"/>
        <v>0</v>
      </c>
      <c r="V27" s="34">
        <f t="shared" si="19"/>
        <v>4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565</v>
      </c>
      <c r="AD27" s="34">
        <f t="shared" si="19"/>
        <v>0</v>
      </c>
      <c r="AE27" s="31">
        <f t="shared" si="19"/>
        <v>119</v>
      </c>
      <c r="AF27" s="31">
        <f t="shared" si="19"/>
        <v>684</v>
      </c>
    </row>
    <row r="28" spans="2:32" ht="23.1" customHeight="1" x14ac:dyDescent="0.25">
      <c r="B28" s="45" t="s">
        <v>55</v>
      </c>
      <c r="C28" s="50">
        <v>16</v>
      </c>
      <c r="D28" s="50">
        <v>4</v>
      </c>
      <c r="E28" s="50">
        <v>4</v>
      </c>
      <c r="F28" s="50">
        <v>27</v>
      </c>
      <c r="G28" s="50">
        <v>0</v>
      </c>
      <c r="H28" s="50">
        <v>0</v>
      </c>
      <c r="I28" s="50">
        <v>1</v>
      </c>
      <c r="J28" s="50">
        <v>4</v>
      </c>
      <c r="K28" s="50">
        <v>0</v>
      </c>
      <c r="L28" s="50">
        <v>0</v>
      </c>
      <c r="M28" s="50">
        <v>210</v>
      </c>
      <c r="N28" s="50">
        <v>0</v>
      </c>
      <c r="O28" s="15">
        <f t="shared" si="0"/>
        <v>56</v>
      </c>
      <c r="P28" s="15">
        <f t="shared" si="1"/>
        <v>266</v>
      </c>
      <c r="R28" s="36" t="s">
        <v>153</v>
      </c>
      <c r="S28" s="34">
        <f>SUM(C82:C85)</f>
        <v>30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11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238</v>
      </c>
      <c r="AD28" s="34">
        <f t="shared" si="20"/>
        <v>0</v>
      </c>
      <c r="AE28" s="31">
        <f t="shared" si="20"/>
        <v>41</v>
      </c>
      <c r="AF28" s="31">
        <f t="shared" si="20"/>
        <v>279</v>
      </c>
    </row>
    <row r="29" spans="2:32" ht="23.1" customHeight="1" x14ac:dyDescent="0.25">
      <c r="B29" s="45" t="s">
        <v>56</v>
      </c>
      <c r="C29" s="50">
        <v>26</v>
      </c>
      <c r="D29" s="50">
        <v>2</v>
      </c>
      <c r="E29" s="50">
        <v>2</v>
      </c>
      <c r="F29" s="50">
        <v>19</v>
      </c>
      <c r="G29" s="50">
        <v>0</v>
      </c>
      <c r="H29" s="50">
        <v>0</v>
      </c>
      <c r="I29" s="50">
        <v>1</v>
      </c>
      <c r="J29" s="50">
        <v>5</v>
      </c>
      <c r="K29" s="50">
        <v>0</v>
      </c>
      <c r="L29" s="50">
        <v>0</v>
      </c>
      <c r="M29" s="50">
        <v>215</v>
      </c>
      <c r="N29" s="50">
        <v>0</v>
      </c>
      <c r="O29" s="15">
        <f t="shared" si="0"/>
        <v>55</v>
      </c>
      <c r="P29" s="15">
        <f t="shared" si="1"/>
        <v>270</v>
      </c>
      <c r="R29" s="36" t="s">
        <v>154</v>
      </c>
      <c r="S29" s="34">
        <f>SUM(C86:C89)</f>
        <v>31</v>
      </c>
      <c r="T29" s="34">
        <f t="shared" ref="T29:AF29" si="21">SUM(D86:D89)</f>
        <v>1</v>
      </c>
      <c r="U29" s="34">
        <f t="shared" si="21"/>
        <v>1</v>
      </c>
      <c r="V29" s="34">
        <f t="shared" si="21"/>
        <v>4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84</v>
      </c>
      <c r="AD29" s="34">
        <f t="shared" si="21"/>
        <v>0</v>
      </c>
      <c r="AE29" s="31">
        <f t="shared" si="21"/>
        <v>37</v>
      </c>
      <c r="AF29" s="31">
        <f t="shared" si="21"/>
        <v>121</v>
      </c>
    </row>
    <row r="30" spans="2:32" ht="23.1" customHeight="1" x14ac:dyDescent="0.25">
      <c r="B30" s="45" t="s">
        <v>57</v>
      </c>
      <c r="C30" s="50">
        <v>42</v>
      </c>
      <c r="D30" s="50">
        <v>4</v>
      </c>
      <c r="E30" s="50">
        <v>6</v>
      </c>
      <c r="F30" s="50">
        <v>71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210</v>
      </c>
      <c r="N30" s="50">
        <v>0</v>
      </c>
      <c r="O30" s="15">
        <f t="shared" si="0"/>
        <v>125</v>
      </c>
      <c r="P30" s="15">
        <f t="shared" si="1"/>
        <v>335</v>
      </c>
      <c r="R30" s="36" t="s">
        <v>155</v>
      </c>
      <c r="S30" s="34">
        <f>SUM(C90:C93)</f>
        <v>36</v>
      </c>
      <c r="T30" s="34">
        <f t="shared" ref="T30:AF30" si="22">SUM(D90:D93)</f>
        <v>3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1</v>
      </c>
      <c r="AA30" s="34">
        <f t="shared" si="22"/>
        <v>2</v>
      </c>
      <c r="AB30" s="34">
        <f t="shared" si="22"/>
        <v>0</v>
      </c>
      <c r="AC30" s="34">
        <f t="shared" si="22"/>
        <v>76</v>
      </c>
      <c r="AD30" s="34">
        <f t="shared" si="22"/>
        <v>0</v>
      </c>
      <c r="AE30" s="31">
        <f t="shared" si="22"/>
        <v>46</v>
      </c>
      <c r="AF30" s="31">
        <f t="shared" si="22"/>
        <v>122</v>
      </c>
    </row>
    <row r="31" spans="2:32" ht="23.1" customHeight="1" x14ac:dyDescent="0.25">
      <c r="B31" s="46" t="s">
        <v>58</v>
      </c>
      <c r="C31" s="50">
        <v>36</v>
      </c>
      <c r="D31" s="50">
        <v>7</v>
      </c>
      <c r="E31" s="50">
        <v>6</v>
      </c>
      <c r="F31" s="50">
        <v>40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180</v>
      </c>
      <c r="N31" s="50">
        <v>0</v>
      </c>
      <c r="O31" s="15">
        <f t="shared" si="0"/>
        <v>93</v>
      </c>
      <c r="P31" s="15">
        <f t="shared" si="1"/>
        <v>273</v>
      </c>
      <c r="R31" s="36" t="s">
        <v>156</v>
      </c>
      <c r="S31" s="34">
        <f>SUM(C94:C97)</f>
        <v>41</v>
      </c>
      <c r="T31" s="34">
        <f t="shared" ref="T31:AF31" si="23">SUM(D94:D97)</f>
        <v>3</v>
      </c>
      <c r="U31" s="34">
        <f t="shared" si="23"/>
        <v>1</v>
      </c>
      <c r="V31" s="34">
        <f t="shared" si="23"/>
        <v>39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90</v>
      </c>
      <c r="AD31" s="34">
        <f t="shared" si="23"/>
        <v>0</v>
      </c>
      <c r="AE31" s="31">
        <f t="shared" si="23"/>
        <v>84</v>
      </c>
      <c r="AF31" s="31">
        <f t="shared" si="23"/>
        <v>174</v>
      </c>
    </row>
    <row r="32" spans="2:32" ht="23.1" customHeight="1" x14ac:dyDescent="0.25">
      <c r="B32" s="46" t="s">
        <v>59</v>
      </c>
      <c r="C32" s="50">
        <v>32</v>
      </c>
      <c r="D32" s="50">
        <v>8</v>
      </c>
      <c r="E32" s="50">
        <v>2</v>
      </c>
      <c r="F32" s="50">
        <v>38</v>
      </c>
      <c r="G32" s="50">
        <v>0</v>
      </c>
      <c r="H32" s="50">
        <v>0</v>
      </c>
      <c r="I32" s="50">
        <v>4</v>
      </c>
      <c r="J32" s="50">
        <v>3</v>
      </c>
      <c r="K32" s="50">
        <v>0</v>
      </c>
      <c r="L32" s="50">
        <v>0</v>
      </c>
      <c r="M32" s="50">
        <v>185</v>
      </c>
      <c r="N32" s="50">
        <v>0</v>
      </c>
      <c r="O32" s="15">
        <f t="shared" si="0"/>
        <v>87</v>
      </c>
      <c r="P32" s="15">
        <f t="shared" si="1"/>
        <v>272</v>
      </c>
      <c r="R32" s="33" t="s">
        <v>157</v>
      </c>
      <c r="S32" s="34">
        <f>SUM(C98:C101)</f>
        <v>49</v>
      </c>
      <c r="T32" s="34">
        <f t="shared" ref="T32:AF32" si="24">SUM(D98:D101)</f>
        <v>5</v>
      </c>
      <c r="U32" s="34">
        <f t="shared" si="24"/>
        <v>27</v>
      </c>
      <c r="V32" s="34">
        <f t="shared" si="24"/>
        <v>46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3</v>
      </c>
      <c r="AA32" s="34">
        <f t="shared" si="24"/>
        <v>0</v>
      </c>
      <c r="AB32" s="34">
        <f t="shared" si="24"/>
        <v>1</v>
      </c>
      <c r="AC32" s="34">
        <f t="shared" si="24"/>
        <v>215</v>
      </c>
      <c r="AD32" s="34">
        <f t="shared" si="24"/>
        <v>0</v>
      </c>
      <c r="AE32" s="31">
        <f t="shared" si="24"/>
        <v>131</v>
      </c>
      <c r="AF32" s="31">
        <f t="shared" si="24"/>
        <v>346</v>
      </c>
    </row>
    <row r="33" spans="2:32" ht="23.1" customHeight="1" x14ac:dyDescent="0.25">
      <c r="B33" s="45" t="s">
        <v>60</v>
      </c>
      <c r="C33" s="50">
        <v>26</v>
      </c>
      <c r="D33" s="50">
        <v>2</v>
      </c>
      <c r="E33" s="50">
        <v>0</v>
      </c>
      <c r="F33" s="50">
        <v>23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180</v>
      </c>
      <c r="N33" s="50">
        <v>0</v>
      </c>
      <c r="O33" s="15">
        <f t="shared" si="0"/>
        <v>52</v>
      </c>
      <c r="P33" s="15">
        <f t="shared" si="1"/>
        <v>232</v>
      </c>
      <c r="R33" s="33" t="s">
        <v>158</v>
      </c>
      <c r="S33" s="34">
        <f>SUM(C102:C105)</f>
        <v>230</v>
      </c>
      <c r="T33" s="34">
        <f t="shared" ref="T33:AF33" si="25">SUM(D102:D105)</f>
        <v>9</v>
      </c>
      <c r="U33" s="34">
        <f t="shared" si="25"/>
        <v>0</v>
      </c>
      <c r="V33" s="34">
        <f t="shared" si="25"/>
        <v>330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265</v>
      </c>
      <c r="AD33" s="34">
        <f t="shared" si="25"/>
        <v>0</v>
      </c>
      <c r="AE33" s="31">
        <f t="shared" si="25"/>
        <v>571</v>
      </c>
      <c r="AF33" s="31">
        <f t="shared" si="25"/>
        <v>836</v>
      </c>
    </row>
    <row r="34" spans="2:32" ht="23.1" customHeight="1" x14ac:dyDescent="0.25">
      <c r="B34" s="46" t="s">
        <v>61</v>
      </c>
      <c r="C34" s="50">
        <v>23</v>
      </c>
      <c r="D34" s="50">
        <v>2</v>
      </c>
      <c r="E34" s="50">
        <v>4</v>
      </c>
      <c r="F34" s="50">
        <v>33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210</v>
      </c>
      <c r="N34" s="50">
        <v>0</v>
      </c>
      <c r="O34" s="15">
        <f t="shared" si="0"/>
        <v>65</v>
      </c>
      <c r="P34" s="15">
        <f t="shared" si="1"/>
        <v>275</v>
      </c>
      <c r="R34" s="38" t="s">
        <v>90</v>
      </c>
      <c r="S34" s="39">
        <f t="shared" ref="S34:AF34" si="26">MAX(S10:S12)</f>
        <v>167</v>
      </c>
      <c r="T34" s="39">
        <f t="shared" si="26"/>
        <v>27</v>
      </c>
      <c r="U34" s="39">
        <f t="shared" si="26"/>
        <v>16</v>
      </c>
      <c r="V34" s="39">
        <f t="shared" si="26"/>
        <v>98</v>
      </c>
      <c r="W34" s="39">
        <f t="shared" si="26"/>
        <v>2</v>
      </c>
      <c r="X34" s="39">
        <f t="shared" si="26"/>
        <v>0</v>
      </c>
      <c r="Y34" s="39">
        <f t="shared" si="26"/>
        <v>10</v>
      </c>
      <c r="Z34" s="39">
        <f t="shared" si="26"/>
        <v>6</v>
      </c>
      <c r="AA34" s="39">
        <f t="shared" si="26"/>
        <v>2</v>
      </c>
      <c r="AB34" s="39">
        <f t="shared" si="26"/>
        <v>0</v>
      </c>
      <c r="AC34" s="39">
        <f t="shared" si="26"/>
        <v>875</v>
      </c>
      <c r="AD34" s="39">
        <f t="shared" si="26"/>
        <v>0</v>
      </c>
      <c r="AE34" s="40">
        <f t="shared" si="26"/>
        <v>279</v>
      </c>
      <c r="AF34" s="40">
        <f t="shared" si="26"/>
        <v>1154</v>
      </c>
    </row>
    <row r="35" spans="2:32" ht="23.1" customHeight="1" x14ac:dyDescent="0.25">
      <c r="B35" s="46" t="s">
        <v>62</v>
      </c>
      <c r="C35" s="50">
        <v>33</v>
      </c>
      <c r="D35" s="50">
        <v>4</v>
      </c>
      <c r="E35" s="50">
        <v>6</v>
      </c>
      <c r="F35" s="50">
        <v>33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180</v>
      </c>
      <c r="N35" s="50">
        <v>0</v>
      </c>
      <c r="O35" s="15">
        <f t="shared" si="0"/>
        <v>79</v>
      </c>
      <c r="P35" s="15">
        <f t="shared" si="1"/>
        <v>259</v>
      </c>
      <c r="R35" s="38" t="s">
        <v>91</v>
      </c>
      <c r="S35" s="39">
        <f t="shared" ref="S35:AF35" si="27">MAX(S13:S18)</f>
        <v>136</v>
      </c>
      <c r="T35" s="39">
        <f t="shared" si="27"/>
        <v>44</v>
      </c>
      <c r="U35" s="39">
        <f t="shared" si="27"/>
        <v>22</v>
      </c>
      <c r="V35" s="39">
        <f t="shared" si="27"/>
        <v>172</v>
      </c>
      <c r="W35" s="39">
        <f t="shared" si="27"/>
        <v>0</v>
      </c>
      <c r="X35" s="39">
        <f t="shared" si="27"/>
        <v>1</v>
      </c>
      <c r="Y35" s="39">
        <f t="shared" si="27"/>
        <v>20</v>
      </c>
      <c r="Z35" s="39">
        <f t="shared" si="27"/>
        <v>10</v>
      </c>
      <c r="AA35" s="39">
        <f t="shared" si="27"/>
        <v>3</v>
      </c>
      <c r="AB35" s="39">
        <f t="shared" si="27"/>
        <v>0</v>
      </c>
      <c r="AC35" s="39">
        <f t="shared" si="27"/>
        <v>985</v>
      </c>
      <c r="AD35" s="39">
        <f t="shared" si="27"/>
        <v>0</v>
      </c>
      <c r="AE35" s="40">
        <f t="shared" si="27"/>
        <v>357</v>
      </c>
      <c r="AF35" s="40">
        <f t="shared" si="27"/>
        <v>1290</v>
      </c>
    </row>
    <row r="36" spans="2:32" ht="23.1" customHeight="1" x14ac:dyDescent="0.25">
      <c r="B36" s="46" t="s">
        <v>63</v>
      </c>
      <c r="C36" s="50">
        <v>20</v>
      </c>
      <c r="D36" s="50">
        <v>7</v>
      </c>
      <c r="E36" s="50">
        <v>5</v>
      </c>
      <c r="F36" s="50">
        <v>29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220</v>
      </c>
      <c r="N36" s="50">
        <v>0</v>
      </c>
      <c r="O36" s="15">
        <f t="shared" si="0"/>
        <v>61</v>
      </c>
      <c r="P36" s="15">
        <f t="shared" si="1"/>
        <v>281</v>
      </c>
      <c r="R36" s="38" t="s">
        <v>92</v>
      </c>
      <c r="S36" s="39">
        <f t="shared" ref="S36:AF36" si="28">MAX(S19:S21)</f>
        <v>123</v>
      </c>
      <c r="T36" s="39">
        <f t="shared" si="28"/>
        <v>18</v>
      </c>
      <c r="U36" s="39">
        <f t="shared" si="28"/>
        <v>28</v>
      </c>
      <c r="V36" s="39">
        <f t="shared" si="28"/>
        <v>133</v>
      </c>
      <c r="W36" s="39">
        <f t="shared" si="28"/>
        <v>2</v>
      </c>
      <c r="X36" s="39">
        <f t="shared" si="28"/>
        <v>0</v>
      </c>
      <c r="Y36" s="39">
        <f t="shared" si="28"/>
        <v>13</v>
      </c>
      <c r="Z36" s="39">
        <f t="shared" si="28"/>
        <v>5</v>
      </c>
      <c r="AA36" s="39">
        <f t="shared" si="28"/>
        <v>3</v>
      </c>
      <c r="AB36" s="39">
        <f t="shared" si="28"/>
        <v>0</v>
      </c>
      <c r="AC36" s="39">
        <f t="shared" si="28"/>
        <v>715</v>
      </c>
      <c r="AD36" s="39">
        <f t="shared" si="28"/>
        <v>0</v>
      </c>
      <c r="AE36" s="40">
        <f t="shared" si="28"/>
        <v>299</v>
      </c>
      <c r="AF36" s="40">
        <f t="shared" si="28"/>
        <v>1014</v>
      </c>
    </row>
    <row r="37" spans="2:32" ht="23.1" customHeight="1" x14ac:dyDescent="0.25">
      <c r="B37" s="45" t="s">
        <v>64</v>
      </c>
      <c r="C37" s="50">
        <v>27</v>
      </c>
      <c r="D37" s="50">
        <v>1</v>
      </c>
      <c r="E37" s="50">
        <v>0</v>
      </c>
      <c r="F37" s="50">
        <v>30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185</v>
      </c>
      <c r="N37" s="50">
        <v>0</v>
      </c>
      <c r="O37" s="15">
        <f t="shared" si="0"/>
        <v>60</v>
      </c>
      <c r="P37" s="15">
        <f t="shared" si="1"/>
        <v>245</v>
      </c>
      <c r="R37" s="37" t="s">
        <v>85</v>
      </c>
      <c r="S37" s="35">
        <f t="shared" ref="S37:AF37" si="29">SUM(S10:S12)</f>
        <v>387</v>
      </c>
      <c r="T37" s="16">
        <f t="shared" si="29"/>
        <v>61</v>
      </c>
      <c r="U37" s="16">
        <f t="shared" si="29"/>
        <v>37</v>
      </c>
      <c r="V37" s="16">
        <f t="shared" si="29"/>
        <v>162</v>
      </c>
      <c r="W37" s="16">
        <f t="shared" si="29"/>
        <v>2</v>
      </c>
      <c r="X37" s="16">
        <f t="shared" si="29"/>
        <v>0</v>
      </c>
      <c r="Y37" s="16">
        <f t="shared" si="29"/>
        <v>16</v>
      </c>
      <c r="Z37" s="16">
        <f t="shared" si="29"/>
        <v>11</v>
      </c>
      <c r="AA37" s="16">
        <f t="shared" si="29"/>
        <v>5</v>
      </c>
      <c r="AB37" s="16">
        <f t="shared" si="29"/>
        <v>0</v>
      </c>
      <c r="AC37" s="16">
        <f t="shared" si="29"/>
        <v>2431</v>
      </c>
      <c r="AD37" s="16">
        <f t="shared" si="29"/>
        <v>0</v>
      </c>
      <c r="AE37" s="32">
        <f t="shared" si="29"/>
        <v>681</v>
      </c>
      <c r="AF37" s="32">
        <f t="shared" si="29"/>
        <v>3112</v>
      </c>
    </row>
    <row r="38" spans="2:32" ht="23.1" customHeight="1" x14ac:dyDescent="0.25">
      <c r="B38" s="46" t="s">
        <v>65</v>
      </c>
      <c r="C38" s="50">
        <v>22</v>
      </c>
      <c r="D38" s="50">
        <v>2</v>
      </c>
      <c r="E38" s="50">
        <v>2</v>
      </c>
      <c r="F38" s="50">
        <v>41</v>
      </c>
      <c r="G38" s="50">
        <v>0</v>
      </c>
      <c r="H38" s="50">
        <v>0</v>
      </c>
      <c r="I38" s="50">
        <v>2</v>
      </c>
      <c r="J38" s="50">
        <v>3</v>
      </c>
      <c r="K38" s="50">
        <v>0</v>
      </c>
      <c r="L38" s="50">
        <v>0</v>
      </c>
      <c r="M38" s="50">
        <v>210</v>
      </c>
      <c r="N38" s="50">
        <v>0</v>
      </c>
      <c r="O38" s="15">
        <f t="shared" si="0"/>
        <v>72</v>
      </c>
      <c r="P38" s="15">
        <f t="shared" si="1"/>
        <v>282</v>
      </c>
      <c r="R38" s="28" t="s">
        <v>86</v>
      </c>
      <c r="S38" s="16">
        <f t="shared" ref="S38:AF38" si="30">SUM(S13:S18)</f>
        <v>636</v>
      </c>
      <c r="T38" s="16">
        <f t="shared" si="30"/>
        <v>134</v>
      </c>
      <c r="U38" s="16">
        <f t="shared" si="30"/>
        <v>80</v>
      </c>
      <c r="V38" s="16">
        <f t="shared" si="30"/>
        <v>718</v>
      </c>
      <c r="W38" s="16">
        <f t="shared" si="30"/>
        <v>0</v>
      </c>
      <c r="X38" s="16">
        <f t="shared" si="30"/>
        <v>1</v>
      </c>
      <c r="Y38" s="16">
        <f t="shared" si="30"/>
        <v>58</v>
      </c>
      <c r="Z38" s="16">
        <f t="shared" si="30"/>
        <v>27</v>
      </c>
      <c r="AA38" s="16">
        <f t="shared" si="30"/>
        <v>6</v>
      </c>
      <c r="AB38" s="16">
        <f t="shared" si="30"/>
        <v>0</v>
      </c>
      <c r="AC38" s="16">
        <f t="shared" si="30"/>
        <v>5065</v>
      </c>
      <c r="AD38" s="16">
        <f t="shared" si="30"/>
        <v>0</v>
      </c>
      <c r="AE38" s="32">
        <f t="shared" si="30"/>
        <v>1660</v>
      </c>
      <c r="AF38" s="32">
        <f t="shared" si="30"/>
        <v>6725</v>
      </c>
    </row>
    <row r="39" spans="2:32" ht="23.1" customHeight="1" x14ac:dyDescent="0.25">
      <c r="B39" s="46" t="s">
        <v>66</v>
      </c>
      <c r="C39" s="50">
        <v>23</v>
      </c>
      <c r="D39" s="50">
        <v>1</v>
      </c>
      <c r="E39" s="50">
        <v>0</v>
      </c>
      <c r="F39" s="50">
        <v>38</v>
      </c>
      <c r="G39" s="50">
        <v>0</v>
      </c>
      <c r="H39" s="50">
        <v>1</v>
      </c>
      <c r="I39" s="50">
        <v>2</v>
      </c>
      <c r="J39" s="50">
        <v>1</v>
      </c>
      <c r="K39" s="50">
        <v>0</v>
      </c>
      <c r="L39" s="50">
        <v>0</v>
      </c>
      <c r="M39" s="50">
        <v>180</v>
      </c>
      <c r="N39" s="50">
        <v>0</v>
      </c>
      <c r="O39" s="15">
        <f t="shared" si="0"/>
        <v>66</v>
      </c>
      <c r="P39" s="15">
        <f t="shared" si="1"/>
        <v>246</v>
      </c>
      <c r="R39" s="29" t="s">
        <v>87</v>
      </c>
      <c r="S39" s="16">
        <f t="shared" ref="S39:AF39" si="31">SUM(S19:S21)</f>
        <v>325</v>
      </c>
      <c r="T39" s="16">
        <f t="shared" si="31"/>
        <v>34</v>
      </c>
      <c r="U39" s="16">
        <f t="shared" si="31"/>
        <v>36</v>
      </c>
      <c r="V39" s="16">
        <f t="shared" si="31"/>
        <v>337</v>
      </c>
      <c r="W39" s="16">
        <f t="shared" si="31"/>
        <v>3</v>
      </c>
      <c r="X39" s="16">
        <f t="shared" si="31"/>
        <v>0</v>
      </c>
      <c r="Y39" s="16">
        <f t="shared" si="31"/>
        <v>26</v>
      </c>
      <c r="Z39" s="16">
        <f t="shared" si="31"/>
        <v>13</v>
      </c>
      <c r="AA39" s="16">
        <f t="shared" si="31"/>
        <v>4</v>
      </c>
      <c r="AB39" s="16">
        <f t="shared" si="31"/>
        <v>0</v>
      </c>
      <c r="AC39" s="16">
        <f t="shared" si="31"/>
        <v>2070</v>
      </c>
      <c r="AD39" s="16">
        <f t="shared" si="31"/>
        <v>0</v>
      </c>
      <c r="AE39" s="32">
        <f t="shared" si="31"/>
        <v>778</v>
      </c>
      <c r="AF39" s="32">
        <f t="shared" si="31"/>
        <v>2848</v>
      </c>
    </row>
    <row r="40" spans="2:32" ht="23.1" customHeight="1" x14ac:dyDescent="0.25">
      <c r="B40" s="46" t="s">
        <v>67</v>
      </c>
      <c r="C40" s="50">
        <v>27</v>
      </c>
      <c r="D40" s="50">
        <v>9</v>
      </c>
      <c r="E40" s="50">
        <v>4</v>
      </c>
      <c r="F40" s="50">
        <v>25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290</v>
      </c>
      <c r="N40" s="50">
        <v>0</v>
      </c>
      <c r="O40" s="15">
        <f t="shared" si="0"/>
        <v>67</v>
      </c>
      <c r="P40" s="15">
        <f t="shared" si="1"/>
        <v>357</v>
      </c>
      <c r="R40" s="5" t="s">
        <v>17</v>
      </c>
      <c r="S40" s="16">
        <f t="shared" ref="S40:AF40" si="32">SUM(S10:S21)</f>
        <v>1348</v>
      </c>
      <c r="T40" s="16">
        <f t="shared" si="32"/>
        <v>229</v>
      </c>
      <c r="U40" s="16">
        <f t="shared" si="32"/>
        <v>153</v>
      </c>
      <c r="V40" s="16">
        <f t="shared" si="32"/>
        <v>1217</v>
      </c>
      <c r="W40" s="16">
        <f t="shared" si="32"/>
        <v>5</v>
      </c>
      <c r="X40" s="16">
        <f t="shared" si="32"/>
        <v>1</v>
      </c>
      <c r="Y40" s="16">
        <f t="shared" si="32"/>
        <v>100</v>
      </c>
      <c r="Z40" s="16">
        <f t="shared" si="32"/>
        <v>51</v>
      </c>
      <c r="AA40" s="16">
        <f t="shared" si="32"/>
        <v>15</v>
      </c>
      <c r="AB40" s="16">
        <f t="shared" si="32"/>
        <v>0</v>
      </c>
      <c r="AC40" s="16">
        <f t="shared" si="32"/>
        <v>9566</v>
      </c>
      <c r="AD40" s="16">
        <f t="shared" si="32"/>
        <v>0</v>
      </c>
      <c r="AE40" s="32">
        <f t="shared" si="32"/>
        <v>3119</v>
      </c>
      <c r="AF40" s="32">
        <f t="shared" si="32"/>
        <v>12685</v>
      </c>
    </row>
    <row r="41" spans="2:32" ht="23.1" customHeight="1" x14ac:dyDescent="0.25">
      <c r="B41" s="45" t="s">
        <v>68</v>
      </c>
      <c r="C41" s="50">
        <v>12</v>
      </c>
      <c r="D41" s="50">
        <v>5</v>
      </c>
      <c r="E41" s="50">
        <v>3</v>
      </c>
      <c r="F41" s="50">
        <v>18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180</v>
      </c>
      <c r="N41" s="50">
        <v>0</v>
      </c>
      <c r="O41" s="15">
        <f t="shared" si="0"/>
        <v>39</v>
      </c>
      <c r="P41" s="15">
        <f t="shared" si="1"/>
        <v>219</v>
      </c>
      <c r="R41" s="5" t="s">
        <v>160</v>
      </c>
      <c r="S41" s="16">
        <f>SUM(S10:S33)</f>
        <v>3163</v>
      </c>
      <c r="T41" s="16">
        <f t="shared" ref="T41:AF41" si="33">SUM(T10:T33)</f>
        <v>326</v>
      </c>
      <c r="U41" s="16">
        <f t="shared" si="33"/>
        <v>206</v>
      </c>
      <c r="V41" s="16">
        <f t="shared" si="33"/>
        <v>2673</v>
      </c>
      <c r="W41" s="16">
        <f t="shared" si="33"/>
        <v>12</v>
      </c>
      <c r="X41" s="16">
        <f t="shared" si="33"/>
        <v>1</v>
      </c>
      <c r="Y41" s="16">
        <f t="shared" si="33"/>
        <v>123</v>
      </c>
      <c r="Z41" s="16">
        <f t="shared" si="33"/>
        <v>72</v>
      </c>
      <c r="AA41" s="16">
        <f t="shared" si="33"/>
        <v>20</v>
      </c>
      <c r="AB41" s="16">
        <f t="shared" si="33"/>
        <v>1</v>
      </c>
      <c r="AC41" s="16">
        <f t="shared" si="33"/>
        <v>14692</v>
      </c>
      <c r="AD41" s="16">
        <f t="shared" si="33"/>
        <v>1</v>
      </c>
      <c r="AE41" s="32">
        <f t="shared" si="33"/>
        <v>6598</v>
      </c>
      <c r="AF41" s="32">
        <f t="shared" si="33"/>
        <v>21290</v>
      </c>
    </row>
    <row r="42" spans="2:32" ht="23.1" customHeight="1" x14ac:dyDescent="0.25">
      <c r="B42" s="46" t="s">
        <v>69</v>
      </c>
      <c r="C42" s="50">
        <v>18</v>
      </c>
      <c r="D42" s="50">
        <v>12</v>
      </c>
      <c r="E42" s="50">
        <v>6</v>
      </c>
      <c r="F42" s="50">
        <v>16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260</v>
      </c>
      <c r="N42" s="50">
        <v>0</v>
      </c>
      <c r="O42" s="15">
        <f t="shared" si="0"/>
        <v>56</v>
      </c>
      <c r="P42" s="15">
        <f t="shared" si="1"/>
        <v>316</v>
      </c>
      <c r="R42" s="5" t="s">
        <v>161</v>
      </c>
      <c r="S42" s="48">
        <f>S41/S40</f>
        <v>2.3464391691394657</v>
      </c>
      <c r="T42" s="48">
        <f t="shared" ref="T42:AF42" si="34">T41/T40</f>
        <v>1.4235807860262009</v>
      </c>
      <c r="U42" s="48">
        <f t="shared" si="34"/>
        <v>1.34640522875817</v>
      </c>
      <c r="V42" s="48">
        <f t="shared" si="34"/>
        <v>2.1963845521774856</v>
      </c>
      <c r="W42" s="48">
        <f t="shared" si="34"/>
        <v>2.4</v>
      </c>
      <c r="X42" s="48">
        <f t="shared" si="34"/>
        <v>1</v>
      </c>
      <c r="Y42" s="48">
        <f t="shared" si="34"/>
        <v>1.23</v>
      </c>
      <c r="Z42" s="48">
        <f t="shared" si="34"/>
        <v>1.411764705882353</v>
      </c>
      <c r="AA42" s="48">
        <f t="shared" si="34"/>
        <v>1.3333333333333333</v>
      </c>
      <c r="AB42" s="48" t="e">
        <f t="shared" si="34"/>
        <v>#DIV/0!</v>
      </c>
      <c r="AC42" s="48">
        <f t="shared" si="34"/>
        <v>1.5358561572234999</v>
      </c>
      <c r="AD42" s="48" t="e">
        <f t="shared" si="34"/>
        <v>#DIV/0!</v>
      </c>
      <c r="AE42" s="48">
        <f t="shared" si="34"/>
        <v>2.1154216094902214</v>
      </c>
      <c r="AF42" s="48">
        <f t="shared" si="34"/>
        <v>1.67836026803311</v>
      </c>
    </row>
    <row r="43" spans="2:32" ht="23.1" customHeight="1" x14ac:dyDescent="0.25">
      <c r="B43" s="45" t="s">
        <v>70</v>
      </c>
      <c r="C43" s="50">
        <v>40</v>
      </c>
      <c r="D43" s="50">
        <v>20</v>
      </c>
      <c r="E43" s="50">
        <v>8</v>
      </c>
      <c r="F43" s="50">
        <v>40</v>
      </c>
      <c r="G43" s="50">
        <v>0</v>
      </c>
      <c r="H43" s="50">
        <v>0</v>
      </c>
      <c r="I43" s="50">
        <v>11</v>
      </c>
      <c r="J43" s="50">
        <v>0</v>
      </c>
      <c r="K43" s="50">
        <v>0</v>
      </c>
      <c r="L43" s="50">
        <v>0</v>
      </c>
      <c r="M43" s="50">
        <v>260</v>
      </c>
      <c r="N43" s="50">
        <v>0</v>
      </c>
      <c r="O43" s="15">
        <f t="shared" si="0"/>
        <v>119</v>
      </c>
      <c r="P43" s="15">
        <f t="shared" si="1"/>
        <v>379</v>
      </c>
    </row>
    <row r="44" spans="2:32" ht="23.1" customHeight="1" x14ac:dyDescent="0.25">
      <c r="B44" s="47" t="s">
        <v>71</v>
      </c>
      <c r="C44" s="50">
        <v>33</v>
      </c>
      <c r="D44" s="50">
        <v>5</v>
      </c>
      <c r="E44" s="50">
        <v>3</v>
      </c>
      <c r="F44" s="50">
        <v>24</v>
      </c>
      <c r="G44" s="50">
        <v>0</v>
      </c>
      <c r="H44" s="50">
        <v>0</v>
      </c>
      <c r="I44" s="50">
        <v>2</v>
      </c>
      <c r="J44" s="50">
        <v>0</v>
      </c>
      <c r="K44" s="50">
        <v>1</v>
      </c>
      <c r="L44" s="50">
        <v>0</v>
      </c>
      <c r="M44" s="50">
        <v>210</v>
      </c>
      <c r="N44" s="50">
        <v>0</v>
      </c>
      <c r="O44" s="15">
        <f t="shared" si="0"/>
        <v>68</v>
      </c>
      <c r="P44" s="15">
        <f t="shared" si="1"/>
        <v>278</v>
      </c>
    </row>
    <row r="45" spans="2:32" ht="23.1" customHeight="1" x14ac:dyDescent="0.25">
      <c r="B45" s="45" t="s">
        <v>72</v>
      </c>
      <c r="C45" s="50">
        <v>24</v>
      </c>
      <c r="D45" s="50">
        <v>7</v>
      </c>
      <c r="E45" s="50">
        <v>5</v>
      </c>
      <c r="F45" s="50">
        <v>23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255</v>
      </c>
      <c r="N45" s="50">
        <v>0</v>
      </c>
      <c r="O45" s="15">
        <f t="shared" si="0"/>
        <v>62</v>
      </c>
      <c r="P45" s="15">
        <f t="shared" si="1"/>
        <v>317</v>
      </c>
    </row>
    <row r="46" spans="2:32" ht="23.1" customHeight="1" x14ac:dyDescent="0.25">
      <c r="B46" s="46" t="s">
        <v>73</v>
      </c>
      <c r="C46" s="50">
        <v>34</v>
      </c>
      <c r="D46" s="50">
        <v>3</v>
      </c>
      <c r="E46" s="50">
        <v>3</v>
      </c>
      <c r="F46" s="50">
        <v>32</v>
      </c>
      <c r="G46" s="50">
        <v>0</v>
      </c>
      <c r="H46" s="50">
        <v>0</v>
      </c>
      <c r="I46" s="50">
        <v>4</v>
      </c>
      <c r="J46" s="50">
        <v>1</v>
      </c>
      <c r="K46" s="50">
        <v>0</v>
      </c>
      <c r="L46" s="50">
        <v>0</v>
      </c>
      <c r="M46" s="50">
        <v>170</v>
      </c>
      <c r="N46" s="50">
        <v>0</v>
      </c>
      <c r="O46" s="15">
        <f t="shared" si="0"/>
        <v>77</v>
      </c>
      <c r="P46" s="15">
        <f t="shared" si="1"/>
        <v>247</v>
      </c>
      <c r="R46" s="8"/>
      <c r="T46"/>
    </row>
    <row r="47" spans="2:32" ht="23.1" customHeight="1" x14ac:dyDescent="0.25">
      <c r="B47" s="46" t="s">
        <v>74</v>
      </c>
      <c r="C47" s="50">
        <v>28</v>
      </c>
      <c r="D47" s="50">
        <v>2</v>
      </c>
      <c r="E47" s="50">
        <v>1</v>
      </c>
      <c r="F47" s="50">
        <v>37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210</v>
      </c>
      <c r="N47" s="50">
        <v>0</v>
      </c>
      <c r="O47" s="15">
        <f t="shared" si="0"/>
        <v>68</v>
      </c>
      <c r="P47" s="15">
        <f t="shared" si="1"/>
        <v>278</v>
      </c>
      <c r="R47" s="8"/>
      <c r="T47"/>
    </row>
    <row r="48" spans="2:32" ht="23.1" customHeight="1" x14ac:dyDescent="0.25">
      <c r="B48" s="46" t="s">
        <v>75</v>
      </c>
      <c r="C48" s="50">
        <v>33</v>
      </c>
      <c r="D48" s="50">
        <v>6</v>
      </c>
      <c r="E48" s="50">
        <v>4</v>
      </c>
      <c r="F48" s="50">
        <v>32</v>
      </c>
      <c r="G48" s="50">
        <v>0</v>
      </c>
      <c r="H48" s="50">
        <v>0</v>
      </c>
      <c r="I48" s="50">
        <v>3</v>
      </c>
      <c r="J48" s="50">
        <v>2</v>
      </c>
      <c r="K48" s="50">
        <v>0</v>
      </c>
      <c r="L48" s="50">
        <v>0</v>
      </c>
      <c r="M48" s="50">
        <v>160</v>
      </c>
      <c r="N48" s="50">
        <v>0</v>
      </c>
      <c r="O48" s="15">
        <f t="shared" si="0"/>
        <v>80</v>
      </c>
      <c r="P48" s="15">
        <f t="shared" si="1"/>
        <v>240</v>
      </c>
      <c r="R48" s="8"/>
      <c r="T48"/>
    </row>
    <row r="49" spans="2:20" ht="23.1" customHeight="1" x14ac:dyDescent="0.25">
      <c r="B49" s="45" t="s">
        <v>76</v>
      </c>
      <c r="C49" s="50">
        <v>28</v>
      </c>
      <c r="D49" s="50">
        <v>0</v>
      </c>
      <c r="E49" s="50">
        <v>0</v>
      </c>
      <c r="F49" s="50">
        <v>32</v>
      </c>
      <c r="G49" s="50">
        <v>1</v>
      </c>
      <c r="H49" s="50">
        <v>0</v>
      </c>
      <c r="I49" s="50">
        <v>6</v>
      </c>
      <c r="J49" s="50">
        <v>2</v>
      </c>
      <c r="K49" s="50">
        <v>1</v>
      </c>
      <c r="L49" s="50">
        <v>0</v>
      </c>
      <c r="M49" s="50">
        <v>175</v>
      </c>
      <c r="N49" s="50">
        <v>0</v>
      </c>
      <c r="O49" s="15">
        <f t="shared" si="0"/>
        <v>70</v>
      </c>
      <c r="P49" s="15">
        <f t="shared" si="1"/>
        <v>245</v>
      </c>
      <c r="R49" s="8"/>
      <c r="T49"/>
    </row>
    <row r="50" spans="2:20" ht="23.1" customHeight="1" x14ac:dyDescent="0.25">
      <c r="B50" s="46" t="s">
        <v>77</v>
      </c>
      <c r="C50" s="50">
        <v>28</v>
      </c>
      <c r="D50" s="50">
        <v>5</v>
      </c>
      <c r="E50" s="50">
        <v>22</v>
      </c>
      <c r="F50" s="50">
        <v>34</v>
      </c>
      <c r="G50" s="50">
        <v>0</v>
      </c>
      <c r="H50" s="50">
        <v>0</v>
      </c>
      <c r="I50" s="50">
        <v>2</v>
      </c>
      <c r="J50" s="50">
        <v>1</v>
      </c>
      <c r="K50" s="50">
        <v>2</v>
      </c>
      <c r="L50" s="50">
        <v>0</v>
      </c>
      <c r="M50" s="50">
        <v>150</v>
      </c>
      <c r="N50" s="50">
        <v>0</v>
      </c>
      <c r="O50" s="15">
        <f t="shared" si="0"/>
        <v>94</v>
      </c>
      <c r="P50" s="15">
        <f t="shared" si="1"/>
        <v>244</v>
      </c>
      <c r="R50" s="8"/>
      <c r="T50"/>
    </row>
    <row r="51" spans="2:20" ht="23.1" customHeight="1" x14ac:dyDescent="0.25">
      <c r="B51" s="46" t="s">
        <v>78</v>
      </c>
      <c r="C51" s="50">
        <v>29</v>
      </c>
      <c r="D51" s="50">
        <v>5</v>
      </c>
      <c r="E51" s="50">
        <v>3</v>
      </c>
      <c r="F51" s="50">
        <v>23</v>
      </c>
      <c r="G51" s="50">
        <v>1</v>
      </c>
      <c r="H51" s="50">
        <v>0</v>
      </c>
      <c r="I51" s="50">
        <v>5</v>
      </c>
      <c r="J51" s="50">
        <v>0</v>
      </c>
      <c r="K51" s="50">
        <v>0</v>
      </c>
      <c r="L51" s="50">
        <v>0</v>
      </c>
      <c r="M51" s="50">
        <v>175</v>
      </c>
      <c r="N51" s="50">
        <v>0</v>
      </c>
      <c r="O51" s="15">
        <f t="shared" si="0"/>
        <v>66</v>
      </c>
      <c r="P51" s="15">
        <f t="shared" si="1"/>
        <v>241</v>
      </c>
      <c r="R51" s="8"/>
      <c r="T51"/>
    </row>
    <row r="52" spans="2:20" ht="23.1" customHeight="1" x14ac:dyDescent="0.25">
      <c r="B52" s="46" t="s">
        <v>79</v>
      </c>
      <c r="C52" s="50">
        <v>48</v>
      </c>
      <c r="D52" s="50">
        <v>4</v>
      </c>
      <c r="E52" s="50">
        <v>2</v>
      </c>
      <c r="F52" s="50">
        <v>34</v>
      </c>
      <c r="G52" s="50">
        <v>0</v>
      </c>
      <c r="H52" s="50">
        <v>0</v>
      </c>
      <c r="I52" s="50">
        <v>0</v>
      </c>
      <c r="J52" s="50">
        <v>2</v>
      </c>
      <c r="K52" s="50">
        <v>0</v>
      </c>
      <c r="L52" s="50">
        <v>0</v>
      </c>
      <c r="M52" s="50">
        <v>210</v>
      </c>
      <c r="N52" s="50">
        <v>0</v>
      </c>
      <c r="O52" s="15">
        <f t="shared" si="0"/>
        <v>90</v>
      </c>
      <c r="P52" s="15">
        <f t="shared" si="1"/>
        <v>300</v>
      </c>
      <c r="R52" s="8"/>
      <c r="T52"/>
    </row>
    <row r="53" spans="2:20" ht="23.1" customHeight="1" x14ac:dyDescent="0.25">
      <c r="B53" s="45" t="s">
        <v>80</v>
      </c>
      <c r="C53" s="50">
        <v>16</v>
      </c>
      <c r="D53" s="50">
        <v>4</v>
      </c>
      <c r="E53" s="50">
        <v>1</v>
      </c>
      <c r="F53" s="50">
        <v>25</v>
      </c>
      <c r="G53" s="50">
        <v>1</v>
      </c>
      <c r="H53" s="50">
        <v>0</v>
      </c>
      <c r="I53" s="50">
        <v>0</v>
      </c>
      <c r="J53" s="50">
        <v>1</v>
      </c>
      <c r="K53" s="50">
        <v>1</v>
      </c>
      <c r="L53" s="50">
        <v>0</v>
      </c>
      <c r="M53" s="50">
        <v>180</v>
      </c>
      <c r="N53" s="50">
        <v>0</v>
      </c>
      <c r="O53" s="15">
        <f t="shared" si="0"/>
        <v>49</v>
      </c>
      <c r="P53" s="15">
        <f t="shared" si="1"/>
        <v>229</v>
      </c>
      <c r="R53" s="8"/>
      <c r="T53"/>
    </row>
    <row r="54" spans="2:20" ht="23.1" customHeight="1" x14ac:dyDescent="0.25">
      <c r="B54" s="45" t="s">
        <v>81</v>
      </c>
      <c r="C54" s="50">
        <v>23</v>
      </c>
      <c r="D54" s="50">
        <v>5</v>
      </c>
      <c r="E54" s="50">
        <v>0</v>
      </c>
      <c r="F54" s="50">
        <v>18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0</v>
      </c>
      <c r="M54" s="50">
        <v>175</v>
      </c>
      <c r="N54" s="50">
        <v>0</v>
      </c>
      <c r="O54" s="15">
        <f t="shared" si="0"/>
        <v>49</v>
      </c>
      <c r="P54" s="15">
        <f t="shared" si="1"/>
        <v>224</v>
      </c>
      <c r="R54" s="8"/>
      <c r="T54"/>
    </row>
    <row r="55" spans="2:20" ht="23.1" customHeight="1" x14ac:dyDescent="0.25">
      <c r="B55" s="45" t="s">
        <v>82</v>
      </c>
      <c r="C55" s="50">
        <v>28</v>
      </c>
      <c r="D55" s="50">
        <v>0</v>
      </c>
      <c r="E55" s="50">
        <v>0</v>
      </c>
      <c r="F55" s="50">
        <v>30</v>
      </c>
      <c r="G55" s="50">
        <v>0</v>
      </c>
      <c r="H55" s="50">
        <v>0</v>
      </c>
      <c r="I55" s="50">
        <v>1</v>
      </c>
      <c r="J55" s="50">
        <v>2</v>
      </c>
      <c r="K55" s="50">
        <v>0</v>
      </c>
      <c r="L55" s="50">
        <v>0</v>
      </c>
      <c r="M55" s="50">
        <v>150</v>
      </c>
      <c r="N55" s="50">
        <v>0</v>
      </c>
      <c r="O55" s="15">
        <f t="shared" si="0"/>
        <v>61</v>
      </c>
      <c r="P55" s="15">
        <f t="shared" si="1"/>
        <v>211</v>
      </c>
      <c r="R55" s="8"/>
      <c r="T55"/>
    </row>
    <row r="56" spans="2:20" ht="23.1" customHeight="1" x14ac:dyDescent="0.25">
      <c r="B56" s="45" t="s">
        <v>83</v>
      </c>
      <c r="C56" s="50">
        <v>12</v>
      </c>
      <c r="D56" s="50">
        <v>0</v>
      </c>
      <c r="E56" s="50">
        <v>0</v>
      </c>
      <c r="F56" s="50">
        <v>17</v>
      </c>
      <c r="G56" s="50">
        <v>0</v>
      </c>
      <c r="H56" s="50">
        <v>0</v>
      </c>
      <c r="I56" s="50">
        <v>3</v>
      </c>
      <c r="J56" s="50">
        <v>1</v>
      </c>
      <c r="K56" s="50">
        <v>0</v>
      </c>
      <c r="L56" s="50">
        <v>0</v>
      </c>
      <c r="M56" s="50">
        <v>150</v>
      </c>
      <c r="N56" s="50">
        <v>0</v>
      </c>
      <c r="O56" s="15">
        <f t="shared" si="0"/>
        <v>33</v>
      </c>
      <c r="P56" s="15">
        <f t="shared" si="1"/>
        <v>183</v>
      </c>
      <c r="R56" s="8"/>
      <c r="T56"/>
    </row>
    <row r="57" spans="2:20" ht="23.1" customHeight="1" x14ac:dyDescent="0.25">
      <c r="B57" s="45" t="s">
        <v>84</v>
      </c>
      <c r="C57" s="50">
        <v>18</v>
      </c>
      <c r="D57" s="50">
        <v>0</v>
      </c>
      <c r="E57" s="50">
        <v>0</v>
      </c>
      <c r="F57" s="50">
        <v>23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165</v>
      </c>
      <c r="N57" s="50">
        <v>0</v>
      </c>
      <c r="O57" s="15">
        <f t="shared" si="0"/>
        <v>41</v>
      </c>
      <c r="P57" s="15">
        <f t="shared" si="1"/>
        <v>206</v>
      </c>
      <c r="R57" s="8"/>
      <c r="T57"/>
    </row>
    <row r="58" spans="2:20" ht="23.1" customHeight="1" x14ac:dyDescent="0.25">
      <c r="B58" s="45" t="s">
        <v>100</v>
      </c>
      <c r="C58" s="50">
        <v>25</v>
      </c>
      <c r="D58" s="50">
        <v>5</v>
      </c>
      <c r="E58" s="50">
        <v>3</v>
      </c>
      <c r="F58" s="50">
        <v>45</v>
      </c>
      <c r="G58" s="50">
        <v>0</v>
      </c>
      <c r="H58" s="50">
        <v>0</v>
      </c>
      <c r="I58" s="50">
        <v>0</v>
      </c>
      <c r="J58" s="50">
        <v>1</v>
      </c>
      <c r="K58" s="50">
        <v>0</v>
      </c>
      <c r="L58" s="50">
        <v>0</v>
      </c>
      <c r="M58" s="50">
        <v>100</v>
      </c>
      <c r="N58" s="50">
        <v>0</v>
      </c>
      <c r="O58" s="15">
        <f t="shared" si="0"/>
        <v>79</v>
      </c>
      <c r="P58" s="15">
        <f t="shared" si="1"/>
        <v>179</v>
      </c>
      <c r="R58" s="8"/>
      <c r="T58"/>
    </row>
    <row r="59" spans="2:20" ht="23.1" customHeight="1" x14ac:dyDescent="0.25">
      <c r="B59" s="45" t="s">
        <v>101</v>
      </c>
      <c r="C59" s="50">
        <v>15</v>
      </c>
      <c r="D59" s="50">
        <v>5</v>
      </c>
      <c r="E59" s="50">
        <v>1</v>
      </c>
      <c r="F59" s="50">
        <v>25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55</v>
      </c>
      <c r="N59" s="50">
        <v>0</v>
      </c>
      <c r="O59" s="15">
        <f t="shared" si="0"/>
        <v>46</v>
      </c>
      <c r="P59" s="15">
        <f t="shared" si="1"/>
        <v>101</v>
      </c>
      <c r="R59" s="8"/>
      <c r="T59"/>
    </row>
    <row r="60" spans="2:20" ht="23.1" customHeight="1" x14ac:dyDescent="0.25">
      <c r="B60" s="45" t="s">
        <v>102</v>
      </c>
      <c r="C60" s="50">
        <v>55</v>
      </c>
      <c r="D60" s="50">
        <v>1</v>
      </c>
      <c r="E60" s="50">
        <v>0</v>
      </c>
      <c r="F60" s="50">
        <v>60</v>
      </c>
      <c r="G60" s="50">
        <v>3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70</v>
      </c>
      <c r="N60" s="50">
        <v>0</v>
      </c>
      <c r="O60" s="15">
        <f t="shared" si="0"/>
        <v>120</v>
      </c>
      <c r="P60" s="15">
        <f t="shared" si="1"/>
        <v>190</v>
      </c>
      <c r="R60" s="8"/>
      <c r="T60"/>
    </row>
    <row r="61" spans="2:20" ht="23.1" customHeight="1" x14ac:dyDescent="0.25">
      <c r="B61" s="45" t="s">
        <v>103</v>
      </c>
      <c r="C61" s="50">
        <v>55</v>
      </c>
      <c r="D61" s="50">
        <v>4</v>
      </c>
      <c r="E61" s="50">
        <v>0</v>
      </c>
      <c r="F61" s="50">
        <v>70</v>
      </c>
      <c r="G61" s="50">
        <v>0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50">
        <v>85</v>
      </c>
      <c r="N61" s="50">
        <v>0</v>
      </c>
      <c r="O61" s="15">
        <f t="shared" si="0"/>
        <v>130</v>
      </c>
      <c r="P61" s="15">
        <f t="shared" si="1"/>
        <v>215</v>
      </c>
      <c r="R61" s="8"/>
      <c r="T61"/>
    </row>
    <row r="62" spans="2:20" ht="23.1" customHeight="1" x14ac:dyDescent="0.25">
      <c r="B62" s="45" t="s">
        <v>108</v>
      </c>
      <c r="C62" s="50">
        <v>60</v>
      </c>
      <c r="D62" s="50">
        <v>4</v>
      </c>
      <c r="E62" s="50">
        <v>0</v>
      </c>
      <c r="F62" s="50">
        <v>60</v>
      </c>
      <c r="G62" s="50">
        <v>0</v>
      </c>
      <c r="H62" s="50">
        <v>0</v>
      </c>
      <c r="I62" s="50">
        <v>6</v>
      </c>
      <c r="J62" s="50">
        <v>0</v>
      </c>
      <c r="K62" s="50">
        <v>0</v>
      </c>
      <c r="L62" s="50">
        <v>0</v>
      </c>
      <c r="M62" s="50">
        <v>109</v>
      </c>
      <c r="N62" s="50">
        <v>0</v>
      </c>
      <c r="O62" s="15">
        <f t="shared" si="0"/>
        <v>130</v>
      </c>
      <c r="P62" s="15">
        <f t="shared" si="1"/>
        <v>239</v>
      </c>
      <c r="R62" s="8"/>
      <c r="T62"/>
    </row>
    <row r="63" spans="2:20" ht="23.1" customHeight="1" x14ac:dyDescent="0.25">
      <c r="B63" s="45" t="s">
        <v>109</v>
      </c>
      <c r="C63" s="50">
        <v>90</v>
      </c>
      <c r="D63" s="50">
        <v>3</v>
      </c>
      <c r="E63" s="50">
        <v>1</v>
      </c>
      <c r="F63" s="50">
        <v>135</v>
      </c>
      <c r="G63" s="50">
        <v>0</v>
      </c>
      <c r="H63" s="50">
        <v>0</v>
      </c>
      <c r="I63" s="50">
        <v>4</v>
      </c>
      <c r="J63" s="50">
        <v>0</v>
      </c>
      <c r="K63" s="50">
        <v>0</v>
      </c>
      <c r="L63" s="50">
        <v>0</v>
      </c>
      <c r="M63" s="50">
        <v>80</v>
      </c>
      <c r="N63" s="50">
        <v>0</v>
      </c>
      <c r="O63" s="15">
        <f t="shared" si="0"/>
        <v>233</v>
      </c>
      <c r="P63" s="15">
        <f t="shared" si="1"/>
        <v>313</v>
      </c>
      <c r="R63" s="8"/>
      <c r="T63"/>
    </row>
    <row r="64" spans="2:20" ht="23.1" customHeight="1" x14ac:dyDescent="0.25">
      <c r="B64" s="45" t="s">
        <v>110</v>
      </c>
      <c r="C64" s="50">
        <v>100</v>
      </c>
      <c r="D64" s="50">
        <v>0</v>
      </c>
      <c r="E64" s="50">
        <v>0</v>
      </c>
      <c r="F64" s="50">
        <v>140</v>
      </c>
      <c r="G64" s="50">
        <v>0</v>
      </c>
      <c r="H64" s="50">
        <v>0</v>
      </c>
      <c r="I64" s="50">
        <v>0</v>
      </c>
      <c r="J64" s="50">
        <v>1</v>
      </c>
      <c r="K64" s="50">
        <v>2</v>
      </c>
      <c r="L64" s="50">
        <v>0</v>
      </c>
      <c r="M64" s="50">
        <v>170</v>
      </c>
      <c r="N64" s="50">
        <v>0</v>
      </c>
      <c r="O64" s="15">
        <f t="shared" si="0"/>
        <v>243</v>
      </c>
      <c r="P64" s="15">
        <f t="shared" si="1"/>
        <v>413</v>
      </c>
      <c r="R64" s="8"/>
      <c r="T64"/>
    </row>
    <row r="65" spans="2:20" ht="23.1" customHeight="1" x14ac:dyDescent="0.25">
      <c r="B65" s="45" t="s">
        <v>159</v>
      </c>
      <c r="C65" s="50">
        <v>55</v>
      </c>
      <c r="D65" s="50">
        <v>8</v>
      </c>
      <c r="E65" s="50">
        <v>2</v>
      </c>
      <c r="F65" s="50">
        <v>70</v>
      </c>
      <c r="G65" s="50">
        <v>0</v>
      </c>
      <c r="H65" s="50">
        <v>0</v>
      </c>
      <c r="I65" s="50">
        <v>0</v>
      </c>
      <c r="J65" s="50">
        <v>2</v>
      </c>
      <c r="K65" s="50">
        <v>1</v>
      </c>
      <c r="L65" s="50">
        <v>0</v>
      </c>
      <c r="M65" s="50">
        <v>182</v>
      </c>
      <c r="N65" s="50">
        <v>0</v>
      </c>
      <c r="O65" s="15">
        <f t="shared" si="0"/>
        <v>138</v>
      </c>
      <c r="P65" s="15">
        <f t="shared" si="1"/>
        <v>320</v>
      </c>
      <c r="R65" s="8"/>
      <c r="T65"/>
    </row>
    <row r="66" spans="2:20" ht="23.1" customHeight="1" x14ac:dyDescent="0.25">
      <c r="B66" s="45" t="s">
        <v>104</v>
      </c>
      <c r="C66" s="50">
        <v>30</v>
      </c>
      <c r="D66" s="50">
        <v>10</v>
      </c>
      <c r="E66" s="50">
        <v>0</v>
      </c>
      <c r="F66" s="50">
        <v>15</v>
      </c>
      <c r="G66" s="50">
        <v>0</v>
      </c>
      <c r="H66" s="50">
        <v>0</v>
      </c>
      <c r="I66" s="50">
        <v>0</v>
      </c>
      <c r="J66" s="50">
        <v>3</v>
      </c>
      <c r="K66" s="50">
        <v>0</v>
      </c>
      <c r="L66" s="50">
        <v>0</v>
      </c>
      <c r="M66" s="50">
        <v>301</v>
      </c>
      <c r="N66" s="50">
        <v>0</v>
      </c>
      <c r="O66" s="15">
        <f t="shared" si="0"/>
        <v>58</v>
      </c>
      <c r="P66" s="15">
        <f t="shared" si="1"/>
        <v>359</v>
      </c>
      <c r="R66" s="8"/>
      <c r="T66"/>
    </row>
    <row r="67" spans="2:20" ht="23.1" customHeight="1" x14ac:dyDescent="0.25">
      <c r="B67" s="45" t="s">
        <v>105</v>
      </c>
      <c r="C67" s="50">
        <v>100</v>
      </c>
      <c r="D67" s="50">
        <v>2</v>
      </c>
      <c r="E67" s="50">
        <v>2</v>
      </c>
      <c r="F67" s="50">
        <v>35</v>
      </c>
      <c r="G67" s="50">
        <v>1</v>
      </c>
      <c r="H67" s="50">
        <v>0</v>
      </c>
      <c r="I67" s="50">
        <v>0</v>
      </c>
      <c r="J67" s="50">
        <v>2</v>
      </c>
      <c r="K67" s="50">
        <v>0</v>
      </c>
      <c r="L67" s="50">
        <v>0</v>
      </c>
      <c r="M67" s="50">
        <v>310</v>
      </c>
      <c r="N67" s="50">
        <v>0</v>
      </c>
      <c r="O67" s="15">
        <f t="shared" si="0"/>
        <v>142</v>
      </c>
      <c r="P67" s="15">
        <f t="shared" si="1"/>
        <v>452</v>
      </c>
      <c r="R67" s="8"/>
      <c r="T67"/>
    </row>
    <row r="68" spans="2:20" ht="23.1" customHeight="1" x14ac:dyDescent="0.25">
      <c r="B68" s="45" t="s">
        <v>106</v>
      </c>
      <c r="C68" s="50">
        <v>25</v>
      </c>
      <c r="D68" s="50">
        <v>5</v>
      </c>
      <c r="E68" s="50">
        <v>3</v>
      </c>
      <c r="F68" s="50">
        <v>45</v>
      </c>
      <c r="G68" s="50">
        <v>1</v>
      </c>
      <c r="H68" s="50">
        <v>0</v>
      </c>
      <c r="I68" s="50">
        <v>0</v>
      </c>
      <c r="J68" s="50">
        <v>2</v>
      </c>
      <c r="K68" s="50">
        <v>0</v>
      </c>
      <c r="L68" s="50">
        <v>0</v>
      </c>
      <c r="M68" s="50">
        <v>241</v>
      </c>
      <c r="N68" s="50">
        <v>0</v>
      </c>
      <c r="O68" s="15">
        <f t="shared" si="0"/>
        <v>81</v>
      </c>
      <c r="P68" s="15">
        <f t="shared" si="1"/>
        <v>322</v>
      </c>
      <c r="R68" s="8"/>
      <c r="T68"/>
    </row>
    <row r="69" spans="2:20" ht="23.1" customHeight="1" x14ac:dyDescent="0.25">
      <c r="B69" s="45" t="s">
        <v>107</v>
      </c>
      <c r="C69" s="50">
        <v>40</v>
      </c>
      <c r="D69" s="50">
        <v>4</v>
      </c>
      <c r="E69" s="50">
        <v>2</v>
      </c>
      <c r="F69" s="50">
        <v>20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230</v>
      </c>
      <c r="N69" s="50">
        <v>0</v>
      </c>
      <c r="O69" s="15">
        <f t="shared" si="0"/>
        <v>66</v>
      </c>
      <c r="P69" s="15">
        <f t="shared" si="1"/>
        <v>296</v>
      </c>
      <c r="R69" s="8"/>
      <c r="T69"/>
    </row>
    <row r="70" spans="2:20" ht="23.1" customHeight="1" x14ac:dyDescent="0.25">
      <c r="B70" s="45" t="s">
        <v>111</v>
      </c>
      <c r="C70" s="50">
        <v>45</v>
      </c>
      <c r="D70" s="50">
        <v>6</v>
      </c>
      <c r="E70" s="50">
        <v>0</v>
      </c>
      <c r="F70" s="50">
        <v>50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270</v>
      </c>
      <c r="N70" s="50">
        <v>0</v>
      </c>
      <c r="O70" s="15">
        <f t="shared" si="0"/>
        <v>102</v>
      </c>
      <c r="P70" s="15">
        <f t="shared" si="1"/>
        <v>372</v>
      </c>
      <c r="R70" s="8"/>
      <c r="T70"/>
    </row>
    <row r="71" spans="2:20" ht="23.1" customHeight="1" x14ac:dyDescent="0.25">
      <c r="B71" s="45" t="s">
        <v>112</v>
      </c>
      <c r="C71" s="50">
        <v>85</v>
      </c>
      <c r="D71" s="50">
        <v>2</v>
      </c>
      <c r="E71" s="50">
        <v>2</v>
      </c>
      <c r="F71" s="50">
        <v>45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350</v>
      </c>
      <c r="N71" s="50">
        <v>0</v>
      </c>
      <c r="O71" s="15">
        <f t="shared" si="0"/>
        <v>135</v>
      </c>
      <c r="P71" s="15">
        <f t="shared" si="1"/>
        <v>485</v>
      </c>
      <c r="R71" s="8"/>
      <c r="T71"/>
    </row>
    <row r="72" spans="2:20" ht="23.1" customHeight="1" x14ac:dyDescent="0.25">
      <c r="B72" s="45" t="s">
        <v>113</v>
      </c>
      <c r="C72" s="50">
        <v>105</v>
      </c>
      <c r="D72" s="50">
        <v>4</v>
      </c>
      <c r="E72" s="50">
        <v>1</v>
      </c>
      <c r="F72" s="50">
        <v>55</v>
      </c>
      <c r="G72" s="50">
        <v>0</v>
      </c>
      <c r="H72" s="50">
        <v>0</v>
      </c>
      <c r="I72" s="50">
        <v>3</v>
      </c>
      <c r="J72" s="50">
        <v>0</v>
      </c>
      <c r="K72" s="50">
        <v>0</v>
      </c>
      <c r="L72" s="50">
        <v>0</v>
      </c>
      <c r="M72" s="50">
        <v>245</v>
      </c>
      <c r="N72" s="50">
        <v>0</v>
      </c>
      <c r="O72" s="15">
        <f t="shared" si="0"/>
        <v>168</v>
      </c>
      <c r="P72" s="15">
        <f t="shared" si="1"/>
        <v>413</v>
      </c>
      <c r="R72" s="8"/>
      <c r="T72"/>
    </row>
    <row r="73" spans="2:20" ht="23.1" customHeight="1" x14ac:dyDescent="0.25">
      <c r="B73" s="45" t="s">
        <v>114</v>
      </c>
      <c r="C73" s="50">
        <v>156</v>
      </c>
      <c r="D73" s="50">
        <v>2</v>
      </c>
      <c r="E73" s="50">
        <v>1</v>
      </c>
      <c r="F73" s="50">
        <v>15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100</v>
      </c>
      <c r="N73" s="50">
        <v>0</v>
      </c>
      <c r="O73" s="15">
        <f t="shared" si="0"/>
        <v>174</v>
      </c>
      <c r="P73" s="15">
        <f t="shared" si="1"/>
        <v>274</v>
      </c>
      <c r="R73" s="8"/>
      <c r="T73"/>
    </row>
    <row r="74" spans="2:20" ht="23.1" customHeight="1" x14ac:dyDescent="0.25">
      <c r="B74" s="45" t="s">
        <v>115</v>
      </c>
      <c r="C74" s="50">
        <v>45</v>
      </c>
      <c r="D74" s="50">
        <v>3</v>
      </c>
      <c r="E74" s="50">
        <v>0</v>
      </c>
      <c r="F74" s="50">
        <v>50</v>
      </c>
      <c r="G74" s="50">
        <v>0</v>
      </c>
      <c r="H74" s="50">
        <v>0</v>
      </c>
      <c r="I74" s="50">
        <v>0</v>
      </c>
      <c r="J74" s="50">
        <v>3</v>
      </c>
      <c r="K74" s="50">
        <v>0</v>
      </c>
      <c r="L74" s="50">
        <v>0</v>
      </c>
      <c r="M74" s="50">
        <v>165</v>
      </c>
      <c r="N74" s="50">
        <v>1</v>
      </c>
      <c r="O74" s="15">
        <f t="shared" ref="O74:O105" si="35">SUM(C74:L74,N74)</f>
        <v>102</v>
      </c>
      <c r="P74" s="15">
        <f t="shared" ref="P74:P105" si="36">SUM(C74:N74)</f>
        <v>267</v>
      </c>
      <c r="R74" s="8"/>
      <c r="T74"/>
    </row>
    <row r="75" spans="2:20" ht="23.1" customHeight="1" x14ac:dyDescent="0.25">
      <c r="B75" s="45" t="s">
        <v>116</v>
      </c>
      <c r="C75" s="50">
        <v>50</v>
      </c>
      <c r="D75" s="50">
        <v>1</v>
      </c>
      <c r="E75" s="50">
        <v>1</v>
      </c>
      <c r="F75" s="50">
        <v>55</v>
      </c>
      <c r="G75" s="50">
        <v>0</v>
      </c>
      <c r="H75" s="50">
        <v>0</v>
      </c>
      <c r="I75" s="50">
        <v>0</v>
      </c>
      <c r="J75" s="50">
        <v>1</v>
      </c>
      <c r="K75" s="50">
        <v>0</v>
      </c>
      <c r="L75" s="50">
        <v>0</v>
      </c>
      <c r="M75" s="50">
        <v>170</v>
      </c>
      <c r="N75" s="50">
        <v>0</v>
      </c>
      <c r="O75" s="15">
        <f t="shared" si="35"/>
        <v>108</v>
      </c>
      <c r="P75" s="15">
        <f t="shared" si="36"/>
        <v>278</v>
      </c>
      <c r="R75" s="8"/>
      <c r="T75"/>
    </row>
    <row r="76" spans="2:20" ht="23.1" customHeight="1" x14ac:dyDescent="0.25">
      <c r="B76" s="45" t="s">
        <v>117</v>
      </c>
      <c r="C76" s="50">
        <v>30</v>
      </c>
      <c r="D76" s="50">
        <v>1</v>
      </c>
      <c r="E76" s="50">
        <v>3</v>
      </c>
      <c r="F76" s="50">
        <v>25</v>
      </c>
      <c r="G76" s="50">
        <v>2</v>
      </c>
      <c r="H76" s="50">
        <v>0</v>
      </c>
      <c r="I76" s="50">
        <v>1</v>
      </c>
      <c r="J76" s="50">
        <v>1</v>
      </c>
      <c r="K76" s="50">
        <v>0</v>
      </c>
      <c r="L76" s="50">
        <v>0</v>
      </c>
      <c r="M76" s="50">
        <v>240</v>
      </c>
      <c r="N76" s="50">
        <v>0</v>
      </c>
      <c r="O76" s="15">
        <f t="shared" si="35"/>
        <v>63</v>
      </c>
      <c r="P76" s="15">
        <f t="shared" si="36"/>
        <v>303</v>
      </c>
      <c r="R76" s="8"/>
      <c r="T76"/>
    </row>
    <row r="77" spans="2:20" ht="23.1" customHeight="1" x14ac:dyDescent="0.25">
      <c r="B77" s="45" t="s">
        <v>118</v>
      </c>
      <c r="C77" s="50">
        <v>120</v>
      </c>
      <c r="D77" s="50">
        <v>4</v>
      </c>
      <c r="E77" s="50">
        <v>2</v>
      </c>
      <c r="F77" s="50">
        <v>5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120</v>
      </c>
      <c r="N77" s="50">
        <v>0</v>
      </c>
      <c r="O77" s="15">
        <f t="shared" si="35"/>
        <v>132</v>
      </c>
      <c r="P77" s="15">
        <f t="shared" si="36"/>
        <v>252</v>
      </c>
      <c r="R77" s="8"/>
      <c r="T77"/>
    </row>
    <row r="78" spans="2:20" ht="23.1" customHeight="1" x14ac:dyDescent="0.25">
      <c r="B78" s="46" t="s">
        <v>119</v>
      </c>
      <c r="C78" s="50">
        <v>45</v>
      </c>
      <c r="D78" s="50">
        <v>0</v>
      </c>
      <c r="E78" s="50">
        <v>0</v>
      </c>
      <c r="F78" s="50">
        <v>2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180</v>
      </c>
      <c r="N78" s="50">
        <v>0</v>
      </c>
      <c r="O78" s="15">
        <f t="shared" si="35"/>
        <v>47</v>
      </c>
      <c r="P78" s="15">
        <f t="shared" si="36"/>
        <v>227</v>
      </c>
      <c r="R78" s="8"/>
      <c r="T78"/>
    </row>
    <row r="79" spans="2:20" ht="23.1" customHeight="1" x14ac:dyDescent="0.25">
      <c r="B79" s="45" t="s">
        <v>120</v>
      </c>
      <c r="C79" s="50">
        <v>25</v>
      </c>
      <c r="D79" s="50">
        <v>1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70</v>
      </c>
      <c r="N79" s="50">
        <v>0</v>
      </c>
      <c r="O79" s="15">
        <f t="shared" si="35"/>
        <v>26</v>
      </c>
      <c r="P79" s="15">
        <f t="shared" si="36"/>
        <v>96</v>
      </c>
      <c r="R79" s="8"/>
      <c r="T79"/>
    </row>
    <row r="80" spans="2:20" ht="23.1" customHeight="1" x14ac:dyDescent="0.25">
      <c r="B80" s="47" t="s">
        <v>121</v>
      </c>
      <c r="C80" s="50">
        <v>35</v>
      </c>
      <c r="D80" s="50">
        <v>1</v>
      </c>
      <c r="E80" s="50">
        <v>0</v>
      </c>
      <c r="F80" s="50">
        <v>2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195</v>
      </c>
      <c r="N80" s="50">
        <v>0</v>
      </c>
      <c r="O80" s="15">
        <f t="shared" si="35"/>
        <v>39</v>
      </c>
      <c r="P80" s="15">
        <f t="shared" si="36"/>
        <v>234</v>
      </c>
      <c r="R80" s="8"/>
      <c r="T80"/>
    </row>
    <row r="81" spans="2:20" ht="23.1" customHeight="1" x14ac:dyDescent="0.25">
      <c r="B81" s="45" t="s">
        <v>122</v>
      </c>
      <c r="C81" s="50">
        <v>7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120</v>
      </c>
      <c r="N81" s="50">
        <v>0</v>
      </c>
      <c r="O81" s="15">
        <f t="shared" si="35"/>
        <v>7</v>
      </c>
      <c r="P81" s="15">
        <f t="shared" si="36"/>
        <v>127</v>
      </c>
      <c r="R81" s="8"/>
      <c r="T81"/>
    </row>
    <row r="82" spans="2:20" ht="23.1" customHeight="1" x14ac:dyDescent="0.25">
      <c r="B82" s="46" t="s">
        <v>123</v>
      </c>
      <c r="C82" s="50">
        <v>12</v>
      </c>
      <c r="D82" s="50">
        <v>0</v>
      </c>
      <c r="E82" s="50">
        <v>0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45</v>
      </c>
      <c r="N82" s="50">
        <v>0</v>
      </c>
      <c r="O82" s="15">
        <f t="shared" si="35"/>
        <v>13</v>
      </c>
      <c r="P82" s="15">
        <f t="shared" si="36"/>
        <v>58</v>
      </c>
      <c r="R82" s="8"/>
      <c r="T82"/>
    </row>
    <row r="83" spans="2:20" ht="23.1" customHeight="1" x14ac:dyDescent="0.25">
      <c r="B83" s="45" t="s">
        <v>124</v>
      </c>
      <c r="C83" s="50">
        <v>5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48</v>
      </c>
      <c r="N83" s="50">
        <v>0</v>
      </c>
      <c r="O83" s="15">
        <f t="shared" si="35"/>
        <v>5</v>
      </c>
      <c r="P83" s="15">
        <f t="shared" si="36"/>
        <v>53</v>
      </c>
      <c r="R83" s="8"/>
      <c r="T83"/>
    </row>
    <row r="84" spans="2:20" ht="23.1" customHeight="1" x14ac:dyDescent="0.25">
      <c r="B84" s="47" t="s">
        <v>125</v>
      </c>
      <c r="C84" s="50">
        <v>10</v>
      </c>
      <c r="D84" s="50">
        <v>0</v>
      </c>
      <c r="E84" s="50">
        <v>0</v>
      </c>
      <c r="F84" s="50">
        <v>10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125</v>
      </c>
      <c r="N84" s="50">
        <v>0</v>
      </c>
      <c r="O84" s="15">
        <f t="shared" si="35"/>
        <v>20</v>
      </c>
      <c r="P84" s="15">
        <f t="shared" si="36"/>
        <v>145</v>
      </c>
      <c r="R84" s="8"/>
      <c r="T84"/>
    </row>
    <row r="85" spans="2:20" ht="23.1" customHeight="1" x14ac:dyDescent="0.25">
      <c r="B85" s="45" t="s">
        <v>126</v>
      </c>
      <c r="C85" s="50">
        <v>3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20</v>
      </c>
      <c r="N85" s="50">
        <v>0</v>
      </c>
      <c r="O85" s="15">
        <f t="shared" si="35"/>
        <v>3</v>
      </c>
      <c r="P85" s="15">
        <f t="shared" si="36"/>
        <v>23</v>
      </c>
      <c r="R85" s="8"/>
      <c r="T85"/>
    </row>
    <row r="86" spans="2:20" ht="23.1" customHeight="1" x14ac:dyDescent="0.25">
      <c r="B86" s="46" t="s">
        <v>127</v>
      </c>
      <c r="C86" s="50">
        <v>9</v>
      </c>
      <c r="D86" s="50">
        <v>0</v>
      </c>
      <c r="E86" s="50">
        <v>0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25</v>
      </c>
      <c r="N86" s="50">
        <v>0</v>
      </c>
      <c r="O86" s="15">
        <f t="shared" si="35"/>
        <v>10</v>
      </c>
      <c r="P86" s="15">
        <f t="shared" si="36"/>
        <v>35</v>
      </c>
      <c r="R86" s="8"/>
      <c r="T86"/>
    </row>
    <row r="87" spans="2:20" ht="23.1" customHeight="1" x14ac:dyDescent="0.25">
      <c r="B87" s="45" t="s">
        <v>128</v>
      </c>
      <c r="C87" s="50">
        <v>10</v>
      </c>
      <c r="D87" s="50">
        <v>0</v>
      </c>
      <c r="E87" s="50">
        <v>0</v>
      </c>
      <c r="F87" s="50">
        <v>3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20</v>
      </c>
      <c r="N87" s="50">
        <v>0</v>
      </c>
      <c r="O87" s="15">
        <f t="shared" si="35"/>
        <v>13</v>
      </c>
      <c r="P87" s="15">
        <f t="shared" si="36"/>
        <v>33</v>
      </c>
      <c r="R87" s="8"/>
      <c r="T87"/>
    </row>
    <row r="88" spans="2:20" ht="23.1" customHeight="1" x14ac:dyDescent="0.25">
      <c r="B88" s="47" t="s">
        <v>129</v>
      </c>
      <c r="C88" s="50">
        <v>2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26</v>
      </c>
      <c r="N88" s="50">
        <v>0</v>
      </c>
      <c r="O88" s="15">
        <f t="shared" si="35"/>
        <v>3</v>
      </c>
      <c r="P88" s="15">
        <f t="shared" si="36"/>
        <v>29</v>
      </c>
      <c r="R88" s="8"/>
      <c r="T88"/>
    </row>
    <row r="89" spans="2:20" ht="23.1" customHeight="1" x14ac:dyDescent="0.25">
      <c r="B89" s="45" t="s">
        <v>130</v>
      </c>
      <c r="C89" s="50">
        <v>10</v>
      </c>
      <c r="D89" s="50">
        <v>1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13</v>
      </c>
      <c r="N89" s="50">
        <v>0</v>
      </c>
      <c r="O89" s="15">
        <f t="shared" si="35"/>
        <v>11</v>
      </c>
      <c r="P89" s="15">
        <f t="shared" si="36"/>
        <v>24</v>
      </c>
      <c r="R89" s="8"/>
      <c r="T89"/>
    </row>
    <row r="90" spans="2:20" ht="23.1" customHeight="1" x14ac:dyDescent="0.25">
      <c r="B90" s="46" t="s">
        <v>131</v>
      </c>
      <c r="C90" s="50">
        <v>7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2</v>
      </c>
      <c r="J90" s="50">
        <v>1</v>
      </c>
      <c r="K90" s="50">
        <v>0</v>
      </c>
      <c r="L90" s="50">
        <v>0</v>
      </c>
      <c r="M90" s="50">
        <v>25</v>
      </c>
      <c r="N90" s="50">
        <v>0</v>
      </c>
      <c r="O90" s="15">
        <f t="shared" si="35"/>
        <v>11</v>
      </c>
      <c r="P90" s="15">
        <f t="shared" si="36"/>
        <v>36</v>
      </c>
      <c r="R90" s="8"/>
      <c r="T90"/>
    </row>
    <row r="91" spans="2:20" ht="23.1" customHeight="1" x14ac:dyDescent="0.25">
      <c r="B91" s="45" t="s">
        <v>132</v>
      </c>
      <c r="C91" s="50">
        <v>11</v>
      </c>
      <c r="D91" s="50">
        <v>2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2</v>
      </c>
      <c r="L91" s="50">
        <v>0</v>
      </c>
      <c r="M91" s="50">
        <v>11</v>
      </c>
      <c r="N91" s="50">
        <v>0</v>
      </c>
      <c r="O91" s="15">
        <f t="shared" si="35"/>
        <v>15</v>
      </c>
      <c r="P91" s="15">
        <f t="shared" si="36"/>
        <v>26</v>
      </c>
      <c r="R91" s="8"/>
      <c r="T91"/>
    </row>
    <row r="92" spans="2:20" ht="23.1" customHeight="1" x14ac:dyDescent="0.25">
      <c r="B92" s="47" t="s">
        <v>133</v>
      </c>
      <c r="C92" s="50">
        <v>15</v>
      </c>
      <c r="D92" s="50">
        <v>0</v>
      </c>
      <c r="E92" s="50">
        <v>0</v>
      </c>
      <c r="F92" s="50">
        <v>2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10</v>
      </c>
      <c r="N92" s="50">
        <v>0</v>
      </c>
      <c r="O92" s="15">
        <f t="shared" si="35"/>
        <v>17</v>
      </c>
      <c r="P92" s="15">
        <f t="shared" si="36"/>
        <v>27</v>
      </c>
      <c r="R92" s="8"/>
      <c r="T92"/>
    </row>
    <row r="93" spans="2:20" ht="23.1" customHeight="1" x14ac:dyDescent="0.25">
      <c r="B93" s="45" t="s">
        <v>134</v>
      </c>
      <c r="C93" s="50">
        <v>3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30</v>
      </c>
      <c r="N93" s="50">
        <v>0</v>
      </c>
      <c r="O93" s="15">
        <f t="shared" si="35"/>
        <v>3</v>
      </c>
      <c r="P93" s="15">
        <f t="shared" si="36"/>
        <v>33</v>
      </c>
      <c r="R93" s="8"/>
      <c r="T93"/>
    </row>
    <row r="94" spans="2:20" ht="23.1" customHeight="1" x14ac:dyDescent="0.25">
      <c r="B94" s="46" t="s">
        <v>135</v>
      </c>
      <c r="C94" s="50">
        <v>13</v>
      </c>
      <c r="D94" s="50">
        <v>0</v>
      </c>
      <c r="E94" s="50">
        <v>0</v>
      </c>
      <c r="F94" s="50">
        <v>5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20</v>
      </c>
      <c r="N94" s="50">
        <v>0</v>
      </c>
      <c r="O94" s="15">
        <f t="shared" si="35"/>
        <v>18</v>
      </c>
      <c r="P94" s="15">
        <f t="shared" si="36"/>
        <v>38</v>
      </c>
      <c r="R94" s="8"/>
      <c r="T94"/>
    </row>
    <row r="95" spans="2:20" ht="23.1" customHeight="1" x14ac:dyDescent="0.25">
      <c r="B95" s="45" t="s">
        <v>136</v>
      </c>
      <c r="C95" s="50">
        <v>4</v>
      </c>
      <c r="D95" s="50">
        <v>0</v>
      </c>
      <c r="E95" s="50">
        <v>0</v>
      </c>
      <c r="F95" s="50">
        <v>20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45</v>
      </c>
      <c r="N95" s="50">
        <v>0</v>
      </c>
      <c r="O95" s="15">
        <f t="shared" si="35"/>
        <v>24</v>
      </c>
      <c r="P95" s="15">
        <f t="shared" si="36"/>
        <v>69</v>
      </c>
      <c r="R95" s="8"/>
      <c r="T95"/>
    </row>
    <row r="96" spans="2:20" ht="23.1" customHeight="1" x14ac:dyDescent="0.25">
      <c r="B96" s="47" t="s">
        <v>137</v>
      </c>
      <c r="C96" s="50">
        <v>10</v>
      </c>
      <c r="D96" s="50">
        <v>1</v>
      </c>
      <c r="E96" s="50">
        <v>0</v>
      </c>
      <c r="F96" s="50">
        <v>9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5</v>
      </c>
      <c r="N96" s="50">
        <v>0</v>
      </c>
      <c r="O96" s="15">
        <f t="shared" si="35"/>
        <v>20</v>
      </c>
      <c r="P96" s="15">
        <f t="shared" si="36"/>
        <v>25</v>
      </c>
      <c r="R96" s="8"/>
      <c r="T96"/>
    </row>
    <row r="97" spans="2:20" ht="23.1" customHeight="1" x14ac:dyDescent="0.25">
      <c r="B97" s="45" t="s">
        <v>138</v>
      </c>
      <c r="C97" s="50">
        <v>14</v>
      </c>
      <c r="D97" s="50">
        <v>2</v>
      </c>
      <c r="E97" s="50">
        <v>1</v>
      </c>
      <c r="F97" s="50">
        <v>5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20</v>
      </c>
      <c r="N97" s="50">
        <v>0</v>
      </c>
      <c r="O97" s="15">
        <f t="shared" si="35"/>
        <v>22</v>
      </c>
      <c r="P97" s="15">
        <f t="shared" si="36"/>
        <v>42</v>
      </c>
      <c r="R97" s="8"/>
      <c r="T97"/>
    </row>
    <row r="98" spans="2:20" ht="23.1" customHeight="1" x14ac:dyDescent="0.25">
      <c r="B98" s="46" t="s">
        <v>139</v>
      </c>
      <c r="C98" s="50">
        <v>25</v>
      </c>
      <c r="D98" s="50">
        <v>0</v>
      </c>
      <c r="E98" s="50">
        <v>0</v>
      </c>
      <c r="F98" s="50">
        <v>6</v>
      </c>
      <c r="G98" s="50">
        <v>0</v>
      </c>
      <c r="H98" s="50">
        <v>0</v>
      </c>
      <c r="I98" s="50">
        <v>0</v>
      </c>
      <c r="J98" s="50">
        <v>2</v>
      </c>
      <c r="K98" s="50">
        <v>0</v>
      </c>
      <c r="L98" s="50">
        <v>0</v>
      </c>
      <c r="M98" s="50">
        <v>55</v>
      </c>
      <c r="N98" s="50">
        <v>0</v>
      </c>
      <c r="O98" s="15">
        <f t="shared" si="35"/>
        <v>33</v>
      </c>
      <c r="P98" s="15">
        <f t="shared" si="36"/>
        <v>88</v>
      </c>
      <c r="R98" s="8"/>
      <c r="T98"/>
    </row>
    <row r="99" spans="2:20" ht="23.1" customHeight="1" x14ac:dyDescent="0.25">
      <c r="B99" s="45" t="s">
        <v>140</v>
      </c>
      <c r="C99" s="50">
        <v>20</v>
      </c>
      <c r="D99" s="50">
        <v>5</v>
      </c>
      <c r="E99" s="50">
        <v>25</v>
      </c>
      <c r="F99" s="50">
        <v>0</v>
      </c>
      <c r="G99" s="50">
        <v>0</v>
      </c>
      <c r="H99" s="50">
        <v>0</v>
      </c>
      <c r="I99" s="50">
        <v>0</v>
      </c>
      <c r="J99" s="50">
        <v>1</v>
      </c>
      <c r="K99" s="50">
        <v>0</v>
      </c>
      <c r="L99" s="50">
        <v>0</v>
      </c>
      <c r="M99" s="50">
        <v>75</v>
      </c>
      <c r="N99" s="50">
        <v>0</v>
      </c>
      <c r="O99" s="15">
        <f t="shared" si="35"/>
        <v>51</v>
      </c>
      <c r="P99" s="15">
        <f t="shared" si="36"/>
        <v>126</v>
      </c>
      <c r="R99" s="8"/>
      <c r="T99"/>
    </row>
    <row r="100" spans="2:20" ht="23.1" customHeight="1" x14ac:dyDescent="0.25">
      <c r="B100" s="47" t="s">
        <v>141</v>
      </c>
      <c r="C100" s="50">
        <v>4</v>
      </c>
      <c r="D100" s="50">
        <v>0</v>
      </c>
      <c r="E100" s="50">
        <v>2</v>
      </c>
      <c r="F100" s="50">
        <v>20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50</v>
      </c>
      <c r="N100" s="50">
        <v>0</v>
      </c>
      <c r="O100" s="15">
        <f t="shared" si="35"/>
        <v>26</v>
      </c>
      <c r="P100" s="15">
        <f t="shared" si="36"/>
        <v>76</v>
      </c>
      <c r="R100" s="8"/>
      <c r="T100"/>
    </row>
    <row r="101" spans="2:20" ht="23.1" customHeight="1" x14ac:dyDescent="0.25">
      <c r="B101" s="45" t="s">
        <v>142</v>
      </c>
      <c r="C101" s="50">
        <v>0</v>
      </c>
      <c r="D101" s="50">
        <v>0</v>
      </c>
      <c r="E101" s="50">
        <v>0</v>
      </c>
      <c r="F101" s="50">
        <v>20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1</v>
      </c>
      <c r="M101" s="50">
        <v>35</v>
      </c>
      <c r="N101" s="50">
        <v>0</v>
      </c>
      <c r="O101" s="15">
        <f t="shared" si="35"/>
        <v>21</v>
      </c>
      <c r="P101" s="15">
        <f t="shared" si="36"/>
        <v>56</v>
      </c>
      <c r="R101" s="8"/>
      <c r="T101"/>
    </row>
    <row r="102" spans="2:20" ht="23.1" customHeight="1" x14ac:dyDescent="0.25">
      <c r="B102" s="46" t="s">
        <v>143</v>
      </c>
      <c r="C102" s="50">
        <v>50</v>
      </c>
      <c r="D102" s="50">
        <v>6</v>
      </c>
      <c r="E102" s="50">
        <v>0</v>
      </c>
      <c r="F102" s="50">
        <v>80</v>
      </c>
      <c r="G102" s="50">
        <v>0</v>
      </c>
      <c r="H102" s="50">
        <v>0</v>
      </c>
      <c r="I102" s="50">
        <v>1</v>
      </c>
      <c r="J102" s="50">
        <v>1</v>
      </c>
      <c r="K102" s="50">
        <v>0</v>
      </c>
      <c r="L102" s="50">
        <v>0</v>
      </c>
      <c r="M102" s="50">
        <v>65</v>
      </c>
      <c r="N102" s="50">
        <v>0</v>
      </c>
      <c r="O102" s="15">
        <f t="shared" si="35"/>
        <v>138</v>
      </c>
      <c r="P102" s="15">
        <f t="shared" si="36"/>
        <v>203</v>
      </c>
      <c r="R102" s="8"/>
      <c r="T102"/>
    </row>
    <row r="103" spans="2:20" ht="23.1" customHeight="1" x14ac:dyDescent="0.25">
      <c r="B103" s="45" t="s">
        <v>144</v>
      </c>
      <c r="C103" s="50">
        <v>50</v>
      </c>
      <c r="D103" s="50">
        <v>0</v>
      </c>
      <c r="E103" s="50">
        <v>0</v>
      </c>
      <c r="F103" s="50">
        <v>70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45</v>
      </c>
      <c r="N103" s="50">
        <v>0</v>
      </c>
      <c r="O103" s="15">
        <f t="shared" si="35"/>
        <v>120</v>
      </c>
      <c r="P103" s="15">
        <f t="shared" si="36"/>
        <v>165</v>
      </c>
      <c r="R103" s="8"/>
      <c r="T103"/>
    </row>
    <row r="104" spans="2:20" ht="23.1" customHeight="1" x14ac:dyDescent="0.25">
      <c r="B104" s="47" t="s">
        <v>145</v>
      </c>
      <c r="C104" s="50">
        <v>60</v>
      </c>
      <c r="D104" s="50">
        <v>2</v>
      </c>
      <c r="E104" s="50">
        <v>0</v>
      </c>
      <c r="F104" s="50">
        <v>105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75</v>
      </c>
      <c r="N104" s="50">
        <v>0</v>
      </c>
      <c r="O104" s="15">
        <f t="shared" si="35"/>
        <v>167</v>
      </c>
      <c r="P104" s="15">
        <f t="shared" si="36"/>
        <v>242</v>
      </c>
      <c r="R104" s="8"/>
      <c r="T104"/>
    </row>
    <row r="105" spans="2:20" ht="23.1" customHeight="1" x14ac:dyDescent="0.25">
      <c r="B105" s="45" t="s">
        <v>146</v>
      </c>
      <c r="C105" s="50">
        <v>70</v>
      </c>
      <c r="D105" s="50">
        <v>1</v>
      </c>
      <c r="E105" s="50">
        <v>0</v>
      </c>
      <c r="F105" s="50">
        <v>75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80</v>
      </c>
      <c r="N105" s="50">
        <v>0</v>
      </c>
      <c r="O105" s="15">
        <f t="shared" si="35"/>
        <v>146</v>
      </c>
      <c r="P105" s="15">
        <f t="shared" si="36"/>
        <v>226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3163</v>
      </c>
      <c r="D106" s="16">
        <f>SUM(D10:D105)</f>
        <v>326</v>
      </c>
      <c r="E106" s="16">
        <f t="shared" ref="E106:P106" si="37">SUM(E10:E105)</f>
        <v>206</v>
      </c>
      <c r="F106" s="16">
        <f t="shared" si="37"/>
        <v>2673</v>
      </c>
      <c r="G106" s="16">
        <f t="shared" si="37"/>
        <v>12</v>
      </c>
      <c r="H106" s="16">
        <f t="shared" si="37"/>
        <v>1</v>
      </c>
      <c r="I106" s="16">
        <f t="shared" si="37"/>
        <v>123</v>
      </c>
      <c r="J106" s="16">
        <f t="shared" si="37"/>
        <v>72</v>
      </c>
      <c r="K106" s="16">
        <f t="shared" si="37"/>
        <v>20</v>
      </c>
      <c r="L106" s="16">
        <f t="shared" si="37"/>
        <v>1</v>
      </c>
      <c r="M106" s="16">
        <f t="shared" si="37"/>
        <v>14692</v>
      </c>
      <c r="N106" s="16">
        <f>SUM(N10:N105)</f>
        <v>1</v>
      </c>
      <c r="O106" s="16">
        <f>SUM(O10:O105)</f>
        <v>6598</v>
      </c>
      <c r="P106" s="16">
        <f t="shared" si="37"/>
        <v>21290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0.14856740253640208</v>
      </c>
      <c r="D107" s="43">
        <f t="shared" si="38"/>
        <v>1.5312353217472992E-2</v>
      </c>
      <c r="E107" s="43">
        <f t="shared" si="38"/>
        <v>9.6759041803663685E-3</v>
      </c>
      <c r="F107" s="43">
        <f t="shared" si="38"/>
        <v>0.12555190230155003</v>
      </c>
      <c r="G107" s="43">
        <f t="shared" si="38"/>
        <v>5.6364490371066227E-4</v>
      </c>
      <c r="H107" s="43">
        <f t="shared" si="38"/>
        <v>4.6970408642555191E-5</v>
      </c>
      <c r="I107" s="43">
        <f t="shared" si="38"/>
        <v>5.7773602630342884E-3</v>
      </c>
      <c r="J107" s="43">
        <f t="shared" si="38"/>
        <v>3.3818694222639738E-3</v>
      </c>
      <c r="K107" s="43">
        <f t="shared" si="38"/>
        <v>9.3940817285110385E-4</v>
      </c>
      <c r="L107" s="43">
        <f t="shared" si="38"/>
        <v>4.6970408642555191E-5</v>
      </c>
      <c r="M107" s="43">
        <f t="shared" si="38"/>
        <v>0.69008924377642089</v>
      </c>
      <c r="N107" s="43">
        <f t="shared" si="38"/>
        <v>4.6970408642555191E-5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0.47938769324037589</v>
      </c>
      <c r="D108" s="44">
        <f t="shared" ref="D108:N108" si="39">D106/$O$106</f>
        <v>4.9408911791451952E-2</v>
      </c>
      <c r="E108" s="44">
        <f t="shared" si="39"/>
        <v>3.1221582297665959E-2</v>
      </c>
      <c r="F108" s="44">
        <f t="shared" si="39"/>
        <v>0.40512276447408307</v>
      </c>
      <c r="G108" s="44">
        <f t="shared" si="39"/>
        <v>1.8187329493785996E-3</v>
      </c>
      <c r="H108" s="44">
        <f t="shared" si="39"/>
        <v>1.515610791148833E-4</v>
      </c>
      <c r="I108" s="44">
        <f t="shared" si="39"/>
        <v>1.8642012731130645E-2</v>
      </c>
      <c r="J108" s="44">
        <f t="shared" si="39"/>
        <v>1.0912397696271597E-2</v>
      </c>
      <c r="K108" s="44">
        <f t="shared" si="39"/>
        <v>3.031221582297666E-3</v>
      </c>
      <c r="L108" s="44">
        <f t="shared" si="39"/>
        <v>1.515610791148833E-4</v>
      </c>
      <c r="M108" s="44"/>
      <c r="N108" s="44">
        <f t="shared" si="39"/>
        <v>1.515610791148833E-4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37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Kibuye-Makindye'!C3:G3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3" t="str">
        <f>'26.07 Makindye-Kibuye-24h'!G5:H5</f>
        <v>FUELEX MAKINDYE</v>
      </c>
      <c r="H5" s="64"/>
      <c r="I5" s="14"/>
      <c r="J5" s="2" t="s">
        <v>5</v>
      </c>
      <c r="K5" s="63" t="str">
        <f>'26.07 Makindye-Kibuye-24h'!K5:L5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Kibuye-Makindye'!D6:E6</f>
        <v>KIBUYE</v>
      </c>
      <c r="E6" s="64"/>
      <c r="F6" s="2" t="s">
        <v>2</v>
      </c>
      <c r="G6" s="63" t="str">
        <f>'22.07 Kibuye-Makindye'!G6:H6</f>
        <v>MAKINDYE</v>
      </c>
      <c r="H6" s="64"/>
      <c r="J6" s="2" t="s">
        <v>21</v>
      </c>
      <c r="K6" s="63" t="str">
        <f>'26.07 Makindye-Kibuye-24h'!K6:L6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50</v>
      </c>
      <c r="D10" s="50">
        <v>10</v>
      </c>
      <c r="E10" s="50">
        <v>0</v>
      </c>
      <c r="F10" s="50">
        <v>35</v>
      </c>
      <c r="G10" s="50">
        <v>0</v>
      </c>
      <c r="H10" s="50">
        <v>0</v>
      </c>
      <c r="I10" s="50">
        <v>3</v>
      </c>
      <c r="J10" s="50">
        <v>1</v>
      </c>
      <c r="K10" s="50">
        <v>0</v>
      </c>
      <c r="L10" s="50">
        <v>0</v>
      </c>
      <c r="M10" s="50">
        <v>175</v>
      </c>
      <c r="N10" s="50">
        <v>0</v>
      </c>
      <c r="O10" s="15">
        <f t="shared" ref="O10:O73" si="0">SUM(C10:L10,N10)</f>
        <v>99</v>
      </c>
      <c r="P10" s="15">
        <f t="shared" ref="P10:P73" si="1">SUM(C10:N10)</f>
        <v>274</v>
      </c>
      <c r="R10" s="1" t="s">
        <v>6</v>
      </c>
      <c r="S10" s="17">
        <f t="shared" ref="S10:AF10" si="2">SUM(C10:C13)</f>
        <v>178</v>
      </c>
      <c r="T10" s="17">
        <f t="shared" si="2"/>
        <v>33</v>
      </c>
      <c r="U10" s="17">
        <f t="shared" si="2"/>
        <v>2</v>
      </c>
      <c r="V10" s="17">
        <f t="shared" si="2"/>
        <v>147</v>
      </c>
      <c r="W10" s="17">
        <f t="shared" si="2"/>
        <v>1</v>
      </c>
      <c r="X10" s="17">
        <f t="shared" si="2"/>
        <v>1</v>
      </c>
      <c r="Y10" s="17">
        <f t="shared" si="2"/>
        <v>4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810</v>
      </c>
      <c r="AD10" s="17">
        <f t="shared" si="2"/>
        <v>0</v>
      </c>
      <c r="AE10" s="31">
        <f t="shared" si="2"/>
        <v>370</v>
      </c>
      <c r="AF10" s="31">
        <f t="shared" si="2"/>
        <v>1180</v>
      </c>
    </row>
    <row r="11" spans="2:32" s="6" customFormat="1" ht="23.1" customHeight="1" x14ac:dyDescent="0.25">
      <c r="B11" s="45" t="s">
        <v>38</v>
      </c>
      <c r="C11" s="50">
        <v>40</v>
      </c>
      <c r="D11" s="50">
        <v>4</v>
      </c>
      <c r="E11" s="50">
        <v>0</v>
      </c>
      <c r="F11" s="50">
        <v>46</v>
      </c>
      <c r="G11" s="50">
        <v>1</v>
      </c>
      <c r="H11" s="50">
        <v>1</v>
      </c>
      <c r="I11" s="50">
        <v>0</v>
      </c>
      <c r="J11" s="50">
        <v>0</v>
      </c>
      <c r="K11" s="50">
        <v>0</v>
      </c>
      <c r="L11" s="50">
        <v>0</v>
      </c>
      <c r="M11" s="50">
        <v>170</v>
      </c>
      <c r="N11" s="50">
        <v>0</v>
      </c>
      <c r="O11" s="15">
        <f t="shared" si="0"/>
        <v>92</v>
      </c>
      <c r="P11" s="15">
        <f t="shared" si="1"/>
        <v>262</v>
      </c>
      <c r="R11" s="1" t="s">
        <v>7</v>
      </c>
      <c r="S11" s="17">
        <f t="shared" ref="S11:AF11" si="3">SUM(C14:C17)</f>
        <v>143</v>
      </c>
      <c r="T11" s="17">
        <f t="shared" si="3"/>
        <v>42</v>
      </c>
      <c r="U11" s="17">
        <f t="shared" si="3"/>
        <v>13</v>
      </c>
      <c r="V11" s="17">
        <f t="shared" si="3"/>
        <v>129</v>
      </c>
      <c r="W11" s="17">
        <f t="shared" si="3"/>
        <v>1</v>
      </c>
      <c r="X11" s="17">
        <f t="shared" si="3"/>
        <v>0</v>
      </c>
      <c r="Y11" s="17">
        <f t="shared" si="3"/>
        <v>9</v>
      </c>
      <c r="Z11" s="17">
        <f t="shared" si="3"/>
        <v>6</v>
      </c>
      <c r="AA11" s="17">
        <f t="shared" si="3"/>
        <v>4</v>
      </c>
      <c r="AB11" s="17">
        <f t="shared" si="3"/>
        <v>0</v>
      </c>
      <c r="AC11" s="17">
        <f t="shared" si="3"/>
        <v>945</v>
      </c>
      <c r="AD11" s="17">
        <f t="shared" si="3"/>
        <v>0</v>
      </c>
      <c r="AE11" s="31">
        <f t="shared" si="3"/>
        <v>347</v>
      </c>
      <c r="AF11" s="31">
        <f t="shared" si="3"/>
        <v>1292</v>
      </c>
    </row>
    <row r="12" spans="2:32" ht="23.1" customHeight="1" x14ac:dyDescent="0.25">
      <c r="B12" s="45" t="s">
        <v>39</v>
      </c>
      <c r="C12" s="50">
        <v>57</v>
      </c>
      <c r="D12" s="50">
        <v>12</v>
      </c>
      <c r="E12" s="50">
        <v>1</v>
      </c>
      <c r="F12" s="50">
        <v>44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245</v>
      </c>
      <c r="N12" s="50">
        <v>0</v>
      </c>
      <c r="O12" s="15">
        <f t="shared" si="0"/>
        <v>114</v>
      </c>
      <c r="P12" s="15">
        <f t="shared" si="1"/>
        <v>359</v>
      </c>
      <c r="R12" s="1" t="s">
        <v>8</v>
      </c>
      <c r="S12" s="17">
        <f t="shared" ref="S12:AF12" si="4">SUM(C18:C21)</f>
        <v>174</v>
      </c>
      <c r="T12" s="17">
        <f t="shared" si="4"/>
        <v>37</v>
      </c>
      <c r="U12" s="17">
        <f t="shared" si="4"/>
        <v>25</v>
      </c>
      <c r="V12" s="17">
        <f t="shared" si="4"/>
        <v>130</v>
      </c>
      <c r="W12" s="17">
        <f t="shared" si="4"/>
        <v>3</v>
      </c>
      <c r="X12" s="17">
        <f t="shared" si="4"/>
        <v>0</v>
      </c>
      <c r="Y12" s="17">
        <f t="shared" si="4"/>
        <v>12</v>
      </c>
      <c r="Z12" s="17">
        <f t="shared" si="4"/>
        <v>12</v>
      </c>
      <c r="AA12" s="17">
        <f t="shared" si="4"/>
        <v>1</v>
      </c>
      <c r="AB12" s="17">
        <f t="shared" si="4"/>
        <v>0</v>
      </c>
      <c r="AC12" s="17">
        <f t="shared" si="4"/>
        <v>865</v>
      </c>
      <c r="AD12" s="17">
        <f t="shared" si="4"/>
        <v>0</v>
      </c>
      <c r="AE12" s="31">
        <f t="shared" si="4"/>
        <v>394</v>
      </c>
      <c r="AF12" s="31">
        <f t="shared" si="4"/>
        <v>1259</v>
      </c>
    </row>
    <row r="13" spans="2:32" ht="23.1" customHeight="1" x14ac:dyDescent="0.25">
      <c r="B13" s="45" t="s">
        <v>40</v>
      </c>
      <c r="C13" s="50">
        <v>31</v>
      </c>
      <c r="D13" s="50">
        <v>7</v>
      </c>
      <c r="E13" s="50">
        <v>1</v>
      </c>
      <c r="F13" s="50">
        <v>22</v>
      </c>
      <c r="G13" s="50">
        <v>0</v>
      </c>
      <c r="H13" s="50">
        <v>0</v>
      </c>
      <c r="I13" s="50">
        <v>1</v>
      </c>
      <c r="J13" s="50">
        <v>3</v>
      </c>
      <c r="K13" s="50">
        <v>0</v>
      </c>
      <c r="L13" s="50">
        <v>0</v>
      </c>
      <c r="M13" s="50">
        <v>220</v>
      </c>
      <c r="N13" s="50">
        <v>0</v>
      </c>
      <c r="O13" s="15">
        <f t="shared" si="0"/>
        <v>65</v>
      </c>
      <c r="P13" s="15">
        <f t="shared" si="1"/>
        <v>285</v>
      </c>
      <c r="R13" s="1" t="s">
        <v>9</v>
      </c>
      <c r="S13" s="17">
        <f t="shared" ref="S13:AF13" si="5">SUM(C22:C25)</f>
        <v>270</v>
      </c>
      <c r="T13" s="17">
        <f t="shared" si="5"/>
        <v>97</v>
      </c>
      <c r="U13" s="17">
        <f t="shared" si="5"/>
        <v>28</v>
      </c>
      <c r="V13" s="17">
        <f t="shared" si="5"/>
        <v>136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9</v>
      </c>
      <c r="AA13" s="17">
        <f t="shared" si="5"/>
        <v>3</v>
      </c>
      <c r="AB13" s="17">
        <f t="shared" si="5"/>
        <v>1</v>
      </c>
      <c r="AC13" s="17">
        <f t="shared" si="5"/>
        <v>717</v>
      </c>
      <c r="AD13" s="17">
        <f t="shared" si="5"/>
        <v>0</v>
      </c>
      <c r="AE13" s="31">
        <f t="shared" si="5"/>
        <v>550</v>
      </c>
      <c r="AF13" s="31">
        <f t="shared" si="5"/>
        <v>1267</v>
      </c>
    </row>
    <row r="14" spans="2:32" ht="23.1" customHeight="1" x14ac:dyDescent="0.25">
      <c r="B14" s="45" t="s">
        <v>41</v>
      </c>
      <c r="C14" s="50">
        <v>38</v>
      </c>
      <c r="D14" s="50">
        <v>12</v>
      </c>
      <c r="E14" s="50">
        <v>1</v>
      </c>
      <c r="F14" s="50">
        <v>30</v>
      </c>
      <c r="G14" s="50">
        <v>0</v>
      </c>
      <c r="H14" s="50">
        <v>0</v>
      </c>
      <c r="I14" s="50">
        <v>2</v>
      </c>
      <c r="J14" s="50">
        <v>2</v>
      </c>
      <c r="K14" s="50">
        <v>1</v>
      </c>
      <c r="L14" s="50">
        <v>0</v>
      </c>
      <c r="M14" s="50">
        <v>230</v>
      </c>
      <c r="N14" s="50">
        <v>0</v>
      </c>
      <c r="O14" s="15">
        <f t="shared" si="0"/>
        <v>86</v>
      </c>
      <c r="P14" s="15">
        <f t="shared" si="1"/>
        <v>316</v>
      </c>
      <c r="R14" s="1" t="s">
        <v>10</v>
      </c>
      <c r="S14" s="17">
        <f t="shared" ref="S14:AF14" si="6">SUM(C26:C29)</f>
        <v>267</v>
      </c>
      <c r="T14" s="17">
        <f t="shared" si="6"/>
        <v>59</v>
      </c>
      <c r="U14" s="17">
        <f t="shared" si="6"/>
        <v>49</v>
      </c>
      <c r="V14" s="17">
        <f t="shared" si="6"/>
        <v>110</v>
      </c>
      <c r="W14" s="17">
        <f t="shared" si="6"/>
        <v>3</v>
      </c>
      <c r="X14" s="17">
        <f t="shared" si="6"/>
        <v>0</v>
      </c>
      <c r="Y14" s="17">
        <f t="shared" si="6"/>
        <v>7</v>
      </c>
      <c r="Z14" s="17">
        <f t="shared" si="6"/>
        <v>4</v>
      </c>
      <c r="AA14" s="17">
        <f t="shared" si="6"/>
        <v>4</v>
      </c>
      <c r="AB14" s="17">
        <f t="shared" si="6"/>
        <v>1</v>
      </c>
      <c r="AC14" s="17">
        <f t="shared" si="6"/>
        <v>957</v>
      </c>
      <c r="AD14" s="17">
        <f t="shared" si="6"/>
        <v>0</v>
      </c>
      <c r="AE14" s="31">
        <f t="shared" si="6"/>
        <v>504</v>
      </c>
      <c r="AF14" s="31">
        <f t="shared" si="6"/>
        <v>1461</v>
      </c>
    </row>
    <row r="15" spans="2:32" ht="23.1" customHeight="1" x14ac:dyDescent="0.25">
      <c r="B15" s="45" t="s">
        <v>42</v>
      </c>
      <c r="C15" s="50">
        <v>25</v>
      </c>
      <c r="D15" s="50">
        <v>7</v>
      </c>
      <c r="E15" s="50">
        <v>6</v>
      </c>
      <c r="F15" s="50">
        <v>41</v>
      </c>
      <c r="G15" s="50">
        <v>1</v>
      </c>
      <c r="H15" s="50">
        <v>0</v>
      </c>
      <c r="I15" s="50">
        <v>1</v>
      </c>
      <c r="J15" s="50">
        <v>2</v>
      </c>
      <c r="K15" s="50">
        <v>1</v>
      </c>
      <c r="L15" s="50">
        <v>0</v>
      </c>
      <c r="M15" s="50">
        <v>260</v>
      </c>
      <c r="N15" s="50">
        <v>0</v>
      </c>
      <c r="O15" s="15">
        <f t="shared" si="0"/>
        <v>84</v>
      </c>
      <c r="P15" s="15">
        <f t="shared" si="1"/>
        <v>344</v>
      </c>
      <c r="R15" s="1" t="s">
        <v>11</v>
      </c>
      <c r="S15" s="17">
        <f t="shared" ref="S15:AF15" si="7">SUM(C30:C33)</f>
        <v>249</v>
      </c>
      <c r="T15" s="17">
        <f t="shared" si="7"/>
        <v>60</v>
      </c>
      <c r="U15" s="17">
        <f t="shared" si="7"/>
        <v>21</v>
      </c>
      <c r="V15" s="17">
        <f t="shared" si="7"/>
        <v>75</v>
      </c>
      <c r="W15" s="17">
        <f t="shared" si="7"/>
        <v>4</v>
      </c>
      <c r="X15" s="17">
        <f t="shared" si="7"/>
        <v>0</v>
      </c>
      <c r="Y15" s="17">
        <f t="shared" si="7"/>
        <v>6</v>
      </c>
      <c r="Z15" s="17">
        <f t="shared" si="7"/>
        <v>4</v>
      </c>
      <c r="AA15" s="17">
        <f t="shared" si="7"/>
        <v>1</v>
      </c>
      <c r="AB15" s="17">
        <f t="shared" si="7"/>
        <v>2</v>
      </c>
      <c r="AC15" s="17">
        <f t="shared" si="7"/>
        <v>960</v>
      </c>
      <c r="AD15" s="17">
        <f t="shared" si="7"/>
        <v>0</v>
      </c>
      <c r="AE15" s="31">
        <f t="shared" si="7"/>
        <v>422</v>
      </c>
      <c r="AF15" s="31">
        <f t="shared" si="7"/>
        <v>1382</v>
      </c>
    </row>
    <row r="16" spans="2:32" ht="23.1" customHeight="1" x14ac:dyDescent="0.25">
      <c r="B16" s="45" t="s">
        <v>43</v>
      </c>
      <c r="C16" s="50">
        <v>36</v>
      </c>
      <c r="D16" s="50">
        <v>6</v>
      </c>
      <c r="E16" s="50">
        <v>4</v>
      </c>
      <c r="F16" s="50">
        <v>36</v>
      </c>
      <c r="G16" s="50">
        <v>0</v>
      </c>
      <c r="H16" s="50">
        <v>0</v>
      </c>
      <c r="I16" s="50">
        <v>5</v>
      </c>
      <c r="J16" s="50">
        <v>1</v>
      </c>
      <c r="K16" s="50">
        <v>1</v>
      </c>
      <c r="L16" s="50">
        <v>0</v>
      </c>
      <c r="M16" s="50">
        <v>205</v>
      </c>
      <c r="N16" s="50">
        <v>0</v>
      </c>
      <c r="O16" s="15">
        <f t="shared" si="0"/>
        <v>89</v>
      </c>
      <c r="P16" s="15">
        <f t="shared" si="1"/>
        <v>294</v>
      </c>
      <c r="R16" s="1" t="s">
        <v>12</v>
      </c>
      <c r="S16" s="17">
        <f t="shared" ref="S16:AF16" si="8">SUM(C34:C37)</f>
        <v>235</v>
      </c>
      <c r="T16" s="17">
        <f t="shared" si="8"/>
        <v>48</v>
      </c>
      <c r="U16" s="17">
        <f t="shared" si="8"/>
        <v>40</v>
      </c>
      <c r="V16" s="17">
        <f t="shared" si="8"/>
        <v>94</v>
      </c>
      <c r="W16" s="17">
        <f t="shared" si="8"/>
        <v>0</v>
      </c>
      <c r="X16" s="17">
        <f t="shared" si="8"/>
        <v>1</v>
      </c>
      <c r="Y16" s="17">
        <f t="shared" si="8"/>
        <v>23</v>
      </c>
      <c r="Z16" s="17">
        <f t="shared" si="8"/>
        <v>9</v>
      </c>
      <c r="AA16" s="17">
        <f t="shared" si="8"/>
        <v>2</v>
      </c>
      <c r="AB16" s="17">
        <f t="shared" si="8"/>
        <v>0</v>
      </c>
      <c r="AC16" s="17">
        <f t="shared" si="8"/>
        <v>770</v>
      </c>
      <c r="AD16" s="17">
        <f t="shared" si="8"/>
        <v>0</v>
      </c>
      <c r="AE16" s="31">
        <f t="shared" si="8"/>
        <v>452</v>
      </c>
      <c r="AF16" s="31">
        <f t="shared" si="8"/>
        <v>1222</v>
      </c>
    </row>
    <row r="17" spans="2:32" ht="23.1" customHeight="1" x14ac:dyDescent="0.25">
      <c r="B17" s="45" t="s">
        <v>44</v>
      </c>
      <c r="C17" s="50">
        <v>44</v>
      </c>
      <c r="D17" s="50">
        <v>17</v>
      </c>
      <c r="E17" s="50">
        <v>2</v>
      </c>
      <c r="F17" s="50">
        <v>22</v>
      </c>
      <c r="G17" s="50">
        <v>0</v>
      </c>
      <c r="H17" s="50">
        <v>0</v>
      </c>
      <c r="I17" s="50">
        <v>1</v>
      </c>
      <c r="J17" s="50">
        <v>1</v>
      </c>
      <c r="K17" s="50">
        <v>1</v>
      </c>
      <c r="L17" s="50">
        <v>0</v>
      </c>
      <c r="M17" s="50">
        <v>250</v>
      </c>
      <c r="N17" s="50">
        <v>0</v>
      </c>
      <c r="O17" s="15">
        <f t="shared" si="0"/>
        <v>88</v>
      </c>
      <c r="P17" s="15">
        <f t="shared" si="1"/>
        <v>338</v>
      </c>
      <c r="R17" s="1" t="s">
        <v>13</v>
      </c>
      <c r="S17" s="17">
        <f t="shared" ref="S17:AF17" si="9">SUM(C38:C41)</f>
        <v>248</v>
      </c>
      <c r="T17" s="17">
        <f t="shared" si="9"/>
        <v>64</v>
      </c>
      <c r="U17" s="17">
        <f t="shared" si="9"/>
        <v>29</v>
      </c>
      <c r="V17" s="17">
        <f t="shared" si="9"/>
        <v>73</v>
      </c>
      <c r="W17" s="17">
        <f t="shared" si="9"/>
        <v>0</v>
      </c>
      <c r="X17" s="17">
        <f t="shared" si="9"/>
        <v>1</v>
      </c>
      <c r="Y17" s="17">
        <f t="shared" si="9"/>
        <v>19</v>
      </c>
      <c r="Z17" s="17">
        <f t="shared" si="9"/>
        <v>2</v>
      </c>
      <c r="AA17" s="17">
        <f t="shared" si="9"/>
        <v>1</v>
      </c>
      <c r="AB17" s="17">
        <f t="shared" si="9"/>
        <v>1</v>
      </c>
      <c r="AC17" s="17">
        <f t="shared" si="9"/>
        <v>745</v>
      </c>
      <c r="AD17" s="17">
        <f t="shared" si="9"/>
        <v>0</v>
      </c>
      <c r="AE17" s="31">
        <f t="shared" si="9"/>
        <v>438</v>
      </c>
      <c r="AF17" s="31">
        <f t="shared" si="9"/>
        <v>1183</v>
      </c>
    </row>
    <row r="18" spans="2:32" ht="23.1" customHeight="1" x14ac:dyDescent="0.25">
      <c r="B18" s="45" t="s">
        <v>45</v>
      </c>
      <c r="C18" s="50">
        <v>38</v>
      </c>
      <c r="D18" s="50">
        <v>14</v>
      </c>
      <c r="E18" s="50">
        <v>6</v>
      </c>
      <c r="F18" s="50">
        <v>44</v>
      </c>
      <c r="G18" s="50">
        <v>1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175</v>
      </c>
      <c r="N18" s="50">
        <v>0</v>
      </c>
      <c r="O18" s="15">
        <f t="shared" si="0"/>
        <v>105</v>
      </c>
      <c r="P18" s="15">
        <f t="shared" si="1"/>
        <v>280</v>
      </c>
      <c r="R18" s="1" t="s">
        <v>14</v>
      </c>
      <c r="S18" s="17">
        <f t="shared" ref="S18:AF18" si="10">SUM(C42:C45)</f>
        <v>222</v>
      </c>
      <c r="T18" s="17">
        <f t="shared" si="10"/>
        <v>66</v>
      </c>
      <c r="U18" s="17">
        <f t="shared" si="10"/>
        <v>24</v>
      </c>
      <c r="V18" s="17">
        <f t="shared" si="10"/>
        <v>106</v>
      </c>
      <c r="W18" s="17">
        <f t="shared" si="10"/>
        <v>1</v>
      </c>
      <c r="X18" s="17">
        <f t="shared" si="10"/>
        <v>0</v>
      </c>
      <c r="Y18" s="17">
        <f t="shared" si="10"/>
        <v>15</v>
      </c>
      <c r="Z18" s="17">
        <f t="shared" si="10"/>
        <v>12</v>
      </c>
      <c r="AA18" s="17">
        <f t="shared" si="10"/>
        <v>2</v>
      </c>
      <c r="AB18" s="17">
        <f t="shared" si="10"/>
        <v>3</v>
      </c>
      <c r="AC18" s="17">
        <f t="shared" si="10"/>
        <v>676</v>
      </c>
      <c r="AD18" s="17">
        <f t="shared" si="10"/>
        <v>0</v>
      </c>
      <c r="AE18" s="31">
        <f t="shared" si="10"/>
        <v>451</v>
      </c>
      <c r="AF18" s="31">
        <f t="shared" si="10"/>
        <v>1127</v>
      </c>
    </row>
    <row r="19" spans="2:32" ht="23.1" customHeight="1" x14ac:dyDescent="0.25">
      <c r="B19" s="45" t="s">
        <v>46</v>
      </c>
      <c r="C19" s="50">
        <v>24</v>
      </c>
      <c r="D19" s="50">
        <v>8</v>
      </c>
      <c r="E19" s="50">
        <v>1</v>
      </c>
      <c r="F19" s="50">
        <v>22</v>
      </c>
      <c r="G19" s="50">
        <v>1</v>
      </c>
      <c r="H19" s="50">
        <v>0</v>
      </c>
      <c r="I19" s="50">
        <v>3</v>
      </c>
      <c r="J19" s="50">
        <v>3</v>
      </c>
      <c r="K19" s="50">
        <v>0</v>
      </c>
      <c r="L19" s="50">
        <v>0</v>
      </c>
      <c r="M19" s="50">
        <v>260</v>
      </c>
      <c r="N19" s="50">
        <v>0</v>
      </c>
      <c r="O19" s="15">
        <f t="shared" si="0"/>
        <v>62</v>
      </c>
      <c r="P19" s="15">
        <f t="shared" si="1"/>
        <v>322</v>
      </c>
      <c r="R19" s="1" t="s">
        <v>15</v>
      </c>
      <c r="S19" s="17">
        <f t="shared" ref="S19:AF19" si="11">SUM(C46:C49)</f>
        <v>344</v>
      </c>
      <c r="T19" s="17">
        <f t="shared" si="11"/>
        <v>53</v>
      </c>
      <c r="U19" s="17">
        <f t="shared" si="11"/>
        <v>20</v>
      </c>
      <c r="V19" s="17">
        <f t="shared" si="11"/>
        <v>46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5</v>
      </c>
      <c r="AA19" s="17">
        <f t="shared" si="11"/>
        <v>1</v>
      </c>
      <c r="AB19" s="17">
        <f t="shared" si="11"/>
        <v>0</v>
      </c>
      <c r="AC19" s="17">
        <f t="shared" si="11"/>
        <v>880</v>
      </c>
      <c r="AD19" s="17">
        <f t="shared" si="11"/>
        <v>0</v>
      </c>
      <c r="AE19" s="31">
        <f t="shared" si="11"/>
        <v>475</v>
      </c>
      <c r="AF19" s="31">
        <f t="shared" si="11"/>
        <v>1355</v>
      </c>
    </row>
    <row r="20" spans="2:32" ht="23.1" customHeight="1" x14ac:dyDescent="0.25">
      <c r="B20" s="45" t="s">
        <v>47</v>
      </c>
      <c r="C20" s="50">
        <v>44</v>
      </c>
      <c r="D20" s="50">
        <v>7</v>
      </c>
      <c r="E20" s="50">
        <v>9</v>
      </c>
      <c r="F20" s="50">
        <v>36</v>
      </c>
      <c r="G20" s="50">
        <v>0</v>
      </c>
      <c r="H20" s="50">
        <v>0</v>
      </c>
      <c r="I20" s="50">
        <v>6</v>
      </c>
      <c r="J20" s="50">
        <v>4</v>
      </c>
      <c r="K20" s="50">
        <v>1</v>
      </c>
      <c r="L20" s="50">
        <v>0</v>
      </c>
      <c r="M20" s="50">
        <v>230</v>
      </c>
      <c r="N20" s="50">
        <v>0</v>
      </c>
      <c r="O20" s="15">
        <f t="shared" si="0"/>
        <v>107</v>
      </c>
      <c r="P20" s="15">
        <f t="shared" si="1"/>
        <v>337</v>
      </c>
      <c r="R20" s="1" t="s">
        <v>16</v>
      </c>
      <c r="S20" s="17">
        <f t="shared" ref="S20:AF20" si="12">SUM(C50:C53)</f>
        <v>358</v>
      </c>
      <c r="T20" s="17">
        <f t="shared" si="12"/>
        <v>68</v>
      </c>
      <c r="U20" s="17">
        <f t="shared" si="12"/>
        <v>47</v>
      </c>
      <c r="V20" s="17">
        <f t="shared" si="12"/>
        <v>92</v>
      </c>
      <c r="W20" s="17">
        <f t="shared" si="12"/>
        <v>2</v>
      </c>
      <c r="X20" s="17">
        <f t="shared" si="12"/>
        <v>2</v>
      </c>
      <c r="Y20" s="17">
        <f t="shared" si="12"/>
        <v>13</v>
      </c>
      <c r="Z20" s="17">
        <f t="shared" si="12"/>
        <v>3</v>
      </c>
      <c r="AA20" s="17">
        <f t="shared" si="12"/>
        <v>1</v>
      </c>
      <c r="AB20" s="17">
        <f t="shared" si="12"/>
        <v>1</v>
      </c>
      <c r="AC20" s="17">
        <f t="shared" si="12"/>
        <v>743</v>
      </c>
      <c r="AD20" s="17">
        <f t="shared" si="12"/>
        <v>0</v>
      </c>
      <c r="AE20" s="31">
        <f t="shared" si="12"/>
        <v>587</v>
      </c>
      <c r="AF20" s="31">
        <f t="shared" si="12"/>
        <v>1330</v>
      </c>
    </row>
    <row r="21" spans="2:32" ht="23.1" customHeight="1" x14ac:dyDescent="0.25">
      <c r="B21" s="45" t="s">
        <v>48</v>
      </c>
      <c r="C21" s="50">
        <v>68</v>
      </c>
      <c r="D21" s="50">
        <v>8</v>
      </c>
      <c r="E21" s="50">
        <v>9</v>
      </c>
      <c r="F21" s="50">
        <v>28</v>
      </c>
      <c r="G21" s="50">
        <v>1</v>
      </c>
      <c r="H21" s="50">
        <v>0</v>
      </c>
      <c r="I21" s="50">
        <v>2</v>
      </c>
      <c r="J21" s="50">
        <v>4</v>
      </c>
      <c r="K21" s="50">
        <v>0</v>
      </c>
      <c r="L21" s="50">
        <v>0</v>
      </c>
      <c r="M21" s="50">
        <v>200</v>
      </c>
      <c r="N21" s="50">
        <v>0</v>
      </c>
      <c r="O21" s="15">
        <f t="shared" si="0"/>
        <v>120</v>
      </c>
      <c r="P21" s="15">
        <f t="shared" si="1"/>
        <v>320</v>
      </c>
      <c r="R21" s="36" t="s">
        <v>20</v>
      </c>
      <c r="S21" s="34">
        <f t="shared" ref="S21:AF21" si="13">SUM(C54:C57)</f>
        <v>290</v>
      </c>
      <c r="T21" s="17">
        <f t="shared" si="13"/>
        <v>54</v>
      </c>
      <c r="U21" s="17">
        <f t="shared" si="13"/>
        <v>48</v>
      </c>
      <c r="V21" s="17">
        <f t="shared" si="13"/>
        <v>78</v>
      </c>
      <c r="W21" s="17">
        <f t="shared" si="13"/>
        <v>3</v>
      </c>
      <c r="X21" s="17">
        <f t="shared" si="13"/>
        <v>1</v>
      </c>
      <c r="Y21" s="17">
        <f t="shared" si="13"/>
        <v>9</v>
      </c>
      <c r="Z21" s="17">
        <f t="shared" si="13"/>
        <v>8</v>
      </c>
      <c r="AA21" s="17">
        <f t="shared" si="13"/>
        <v>2</v>
      </c>
      <c r="AB21" s="17">
        <f t="shared" si="13"/>
        <v>3</v>
      </c>
      <c r="AC21" s="17">
        <f t="shared" si="13"/>
        <v>776</v>
      </c>
      <c r="AD21" s="17">
        <f t="shared" si="13"/>
        <v>0</v>
      </c>
      <c r="AE21" s="31">
        <f t="shared" si="13"/>
        <v>496</v>
      </c>
      <c r="AF21" s="31">
        <f t="shared" si="13"/>
        <v>1272</v>
      </c>
    </row>
    <row r="22" spans="2:32" ht="23.1" customHeight="1" x14ac:dyDescent="0.25">
      <c r="B22" s="45" t="s">
        <v>49</v>
      </c>
      <c r="C22" s="50">
        <v>78</v>
      </c>
      <c r="D22" s="50">
        <v>16</v>
      </c>
      <c r="E22" s="50">
        <v>3</v>
      </c>
      <c r="F22" s="50">
        <v>37</v>
      </c>
      <c r="G22" s="50">
        <v>0</v>
      </c>
      <c r="H22" s="50">
        <v>0</v>
      </c>
      <c r="I22" s="50">
        <v>0</v>
      </c>
      <c r="J22" s="50">
        <v>4</v>
      </c>
      <c r="K22" s="50">
        <v>0</v>
      </c>
      <c r="L22" s="50">
        <v>0</v>
      </c>
      <c r="M22" s="50">
        <v>186</v>
      </c>
      <c r="N22" s="50">
        <v>0</v>
      </c>
      <c r="O22" s="15">
        <f t="shared" si="0"/>
        <v>138</v>
      </c>
      <c r="P22" s="15">
        <f t="shared" si="1"/>
        <v>324</v>
      </c>
      <c r="R22" s="36" t="s">
        <v>147</v>
      </c>
      <c r="S22" s="34">
        <f>SUM(C58:C61)</f>
        <v>285</v>
      </c>
      <c r="T22" s="34">
        <f t="shared" ref="T22:AF22" si="14">SUM(D58:D61)</f>
        <v>44</v>
      </c>
      <c r="U22" s="34">
        <f t="shared" si="14"/>
        <v>12</v>
      </c>
      <c r="V22" s="34">
        <f t="shared" si="14"/>
        <v>47</v>
      </c>
      <c r="W22" s="34">
        <f t="shared" si="14"/>
        <v>0</v>
      </c>
      <c r="X22" s="34">
        <f t="shared" si="14"/>
        <v>2</v>
      </c>
      <c r="Y22" s="34">
        <f t="shared" si="14"/>
        <v>18</v>
      </c>
      <c r="Z22" s="34">
        <f t="shared" si="14"/>
        <v>4</v>
      </c>
      <c r="AA22" s="34">
        <f t="shared" si="14"/>
        <v>5</v>
      </c>
      <c r="AB22" s="34">
        <f t="shared" si="14"/>
        <v>0</v>
      </c>
      <c r="AC22" s="34">
        <f t="shared" si="14"/>
        <v>493</v>
      </c>
      <c r="AD22" s="34">
        <f t="shared" si="14"/>
        <v>0</v>
      </c>
      <c r="AE22" s="31">
        <f t="shared" si="14"/>
        <v>417</v>
      </c>
      <c r="AF22" s="31">
        <f t="shared" si="14"/>
        <v>910</v>
      </c>
    </row>
    <row r="23" spans="2:32" ht="23.1" customHeight="1" x14ac:dyDescent="0.25">
      <c r="B23" s="45" t="s">
        <v>50</v>
      </c>
      <c r="C23" s="50">
        <v>62</v>
      </c>
      <c r="D23" s="50">
        <v>14</v>
      </c>
      <c r="E23" s="50">
        <v>6</v>
      </c>
      <c r="F23" s="50">
        <v>40</v>
      </c>
      <c r="G23" s="50">
        <v>0</v>
      </c>
      <c r="H23" s="50">
        <v>0</v>
      </c>
      <c r="I23" s="50">
        <v>0</v>
      </c>
      <c r="J23" s="50">
        <v>3</v>
      </c>
      <c r="K23" s="50">
        <v>0</v>
      </c>
      <c r="L23" s="50">
        <v>0</v>
      </c>
      <c r="M23" s="50">
        <v>185</v>
      </c>
      <c r="N23" s="50">
        <v>0</v>
      </c>
      <c r="O23" s="15">
        <f t="shared" si="0"/>
        <v>125</v>
      </c>
      <c r="P23" s="15">
        <f t="shared" si="1"/>
        <v>310</v>
      </c>
      <c r="R23" s="36" t="s">
        <v>148</v>
      </c>
      <c r="S23" s="34">
        <f>SUM(C62:C65)</f>
        <v>219</v>
      </c>
      <c r="T23" s="34">
        <f t="shared" ref="T23:AF23" si="15">SUM(D62:D65)</f>
        <v>43</v>
      </c>
      <c r="U23" s="34">
        <f t="shared" si="15"/>
        <v>18</v>
      </c>
      <c r="V23" s="34">
        <f t="shared" si="15"/>
        <v>72</v>
      </c>
      <c r="W23" s="34">
        <f t="shared" si="15"/>
        <v>1</v>
      </c>
      <c r="X23" s="34">
        <f t="shared" si="15"/>
        <v>3</v>
      </c>
      <c r="Y23" s="34">
        <f t="shared" si="15"/>
        <v>11</v>
      </c>
      <c r="Z23" s="34">
        <f t="shared" si="15"/>
        <v>4</v>
      </c>
      <c r="AA23" s="34">
        <f t="shared" si="15"/>
        <v>0</v>
      </c>
      <c r="AB23" s="34">
        <f t="shared" si="15"/>
        <v>0</v>
      </c>
      <c r="AC23" s="34">
        <f t="shared" si="15"/>
        <v>459</v>
      </c>
      <c r="AD23" s="34">
        <f t="shared" si="15"/>
        <v>0</v>
      </c>
      <c r="AE23" s="31">
        <f t="shared" si="15"/>
        <v>371</v>
      </c>
      <c r="AF23" s="31">
        <f t="shared" si="15"/>
        <v>830</v>
      </c>
    </row>
    <row r="24" spans="2:32" ht="23.1" customHeight="1" x14ac:dyDescent="0.25">
      <c r="B24" s="45" t="s">
        <v>51</v>
      </c>
      <c r="C24" s="50">
        <v>60</v>
      </c>
      <c r="D24" s="50">
        <v>31</v>
      </c>
      <c r="E24" s="50">
        <v>11</v>
      </c>
      <c r="F24" s="50">
        <v>24</v>
      </c>
      <c r="G24" s="50">
        <v>0</v>
      </c>
      <c r="H24" s="50">
        <v>0</v>
      </c>
      <c r="I24" s="50">
        <v>0</v>
      </c>
      <c r="J24" s="50">
        <v>1</v>
      </c>
      <c r="K24" s="50">
        <v>3</v>
      </c>
      <c r="L24" s="50">
        <v>1</v>
      </c>
      <c r="M24" s="50">
        <v>175</v>
      </c>
      <c r="N24" s="50">
        <v>0</v>
      </c>
      <c r="O24" s="15">
        <f t="shared" si="0"/>
        <v>131</v>
      </c>
      <c r="P24" s="15">
        <f t="shared" si="1"/>
        <v>306</v>
      </c>
      <c r="R24" s="36" t="s">
        <v>149</v>
      </c>
      <c r="S24" s="34">
        <f>SUM(C66:C69)</f>
        <v>211</v>
      </c>
      <c r="T24" s="34">
        <f t="shared" ref="T24:AF24" si="16">SUM(D66:D69)</f>
        <v>67</v>
      </c>
      <c r="U24" s="34">
        <f t="shared" si="16"/>
        <v>16</v>
      </c>
      <c r="V24" s="34">
        <f t="shared" si="16"/>
        <v>21</v>
      </c>
      <c r="W24" s="34">
        <f t="shared" si="16"/>
        <v>0</v>
      </c>
      <c r="X24" s="34">
        <f t="shared" si="16"/>
        <v>1</v>
      </c>
      <c r="Y24" s="34">
        <f t="shared" si="16"/>
        <v>31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395</v>
      </c>
      <c r="AD24" s="34">
        <f t="shared" si="16"/>
        <v>0</v>
      </c>
      <c r="AE24" s="31">
        <f t="shared" si="16"/>
        <v>349</v>
      </c>
      <c r="AF24" s="31">
        <f t="shared" si="16"/>
        <v>744</v>
      </c>
    </row>
    <row r="25" spans="2:32" ht="23.1" customHeight="1" x14ac:dyDescent="0.25">
      <c r="B25" s="45" t="s">
        <v>52</v>
      </c>
      <c r="C25" s="50">
        <v>70</v>
      </c>
      <c r="D25" s="50">
        <v>36</v>
      </c>
      <c r="E25" s="50">
        <v>8</v>
      </c>
      <c r="F25" s="50">
        <v>35</v>
      </c>
      <c r="G25" s="50">
        <v>0</v>
      </c>
      <c r="H25" s="50">
        <v>0</v>
      </c>
      <c r="I25" s="50">
        <v>6</v>
      </c>
      <c r="J25" s="50">
        <v>1</v>
      </c>
      <c r="K25" s="50">
        <v>0</v>
      </c>
      <c r="L25" s="50">
        <v>0</v>
      </c>
      <c r="M25" s="50">
        <v>171</v>
      </c>
      <c r="N25" s="50">
        <v>0</v>
      </c>
      <c r="O25" s="15">
        <f t="shared" si="0"/>
        <v>156</v>
      </c>
      <c r="P25" s="15">
        <f t="shared" si="1"/>
        <v>327</v>
      </c>
      <c r="R25" s="36" t="s">
        <v>150</v>
      </c>
      <c r="S25" s="34">
        <f>SUM(C70:C73)</f>
        <v>100</v>
      </c>
      <c r="T25" s="34">
        <f t="shared" ref="T25:AF25" si="17">SUM(D70:D73)</f>
        <v>14</v>
      </c>
      <c r="U25" s="34">
        <f t="shared" si="17"/>
        <v>12</v>
      </c>
      <c r="V25" s="34">
        <f t="shared" si="17"/>
        <v>15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206</v>
      </c>
      <c r="AD25" s="34">
        <f t="shared" si="17"/>
        <v>0</v>
      </c>
      <c r="AE25" s="31">
        <f t="shared" si="17"/>
        <v>146</v>
      </c>
      <c r="AF25" s="31">
        <f t="shared" si="17"/>
        <v>352</v>
      </c>
    </row>
    <row r="26" spans="2:32" ht="23.1" customHeight="1" x14ac:dyDescent="0.25">
      <c r="B26" s="45" t="s">
        <v>53</v>
      </c>
      <c r="C26" s="50">
        <v>75</v>
      </c>
      <c r="D26" s="50">
        <v>11</v>
      </c>
      <c r="E26" s="50">
        <v>11</v>
      </c>
      <c r="F26" s="50">
        <v>26</v>
      </c>
      <c r="G26" s="50">
        <v>1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180</v>
      </c>
      <c r="N26" s="50">
        <v>0</v>
      </c>
      <c r="O26" s="15">
        <f t="shared" si="0"/>
        <v>127</v>
      </c>
      <c r="P26" s="15">
        <f t="shared" si="1"/>
        <v>307</v>
      </c>
      <c r="R26" s="36" t="s">
        <v>151</v>
      </c>
      <c r="S26" s="34">
        <f>SUM(C74:C77)</f>
        <v>147</v>
      </c>
      <c r="T26" s="34">
        <f t="shared" ref="T26:AF26" si="18">SUM(D74:D77)</f>
        <v>76</v>
      </c>
      <c r="U26" s="34">
        <f t="shared" si="18"/>
        <v>26</v>
      </c>
      <c r="V26" s="34">
        <f t="shared" si="18"/>
        <v>14</v>
      </c>
      <c r="W26" s="34">
        <f t="shared" si="18"/>
        <v>0</v>
      </c>
      <c r="X26" s="34">
        <f t="shared" si="18"/>
        <v>0</v>
      </c>
      <c r="Y26" s="34">
        <f t="shared" si="18"/>
        <v>5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229</v>
      </c>
      <c r="AD26" s="34">
        <f t="shared" si="18"/>
        <v>0</v>
      </c>
      <c r="AE26" s="31">
        <f t="shared" si="18"/>
        <v>269</v>
      </c>
      <c r="AF26" s="31">
        <f t="shared" si="18"/>
        <v>498</v>
      </c>
    </row>
    <row r="27" spans="2:32" ht="23.1" customHeight="1" x14ac:dyDescent="0.25">
      <c r="B27" s="45" t="s">
        <v>54</v>
      </c>
      <c r="C27" s="50">
        <v>52</v>
      </c>
      <c r="D27" s="50">
        <v>20</v>
      </c>
      <c r="E27" s="50">
        <v>13</v>
      </c>
      <c r="F27" s="50">
        <v>23</v>
      </c>
      <c r="G27" s="50">
        <v>0</v>
      </c>
      <c r="H27" s="50">
        <v>0</v>
      </c>
      <c r="I27" s="50">
        <v>1</v>
      </c>
      <c r="J27" s="50">
        <v>3</v>
      </c>
      <c r="K27" s="50">
        <v>1</v>
      </c>
      <c r="L27" s="50">
        <v>0</v>
      </c>
      <c r="M27" s="50">
        <v>187</v>
      </c>
      <c r="N27" s="50">
        <v>0</v>
      </c>
      <c r="O27" s="15">
        <f t="shared" si="0"/>
        <v>113</v>
      </c>
      <c r="P27" s="15">
        <f t="shared" si="1"/>
        <v>300</v>
      </c>
      <c r="R27" s="36" t="s">
        <v>152</v>
      </c>
      <c r="S27" s="34">
        <f>SUM(C78:C81)</f>
        <v>56</v>
      </c>
      <c r="T27" s="34">
        <f t="shared" ref="T27:AF27" si="19">SUM(D78:D81)</f>
        <v>21</v>
      </c>
      <c r="U27" s="34">
        <f t="shared" si="19"/>
        <v>4</v>
      </c>
      <c r="V27" s="34">
        <f t="shared" si="19"/>
        <v>5</v>
      </c>
      <c r="W27" s="34">
        <f t="shared" si="19"/>
        <v>0</v>
      </c>
      <c r="X27" s="34">
        <f t="shared" si="19"/>
        <v>4</v>
      </c>
      <c r="Y27" s="34">
        <f t="shared" si="19"/>
        <v>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137</v>
      </c>
      <c r="AD27" s="34">
        <f t="shared" si="19"/>
        <v>0</v>
      </c>
      <c r="AE27" s="31">
        <f t="shared" si="19"/>
        <v>95</v>
      </c>
      <c r="AF27" s="31">
        <f t="shared" si="19"/>
        <v>232</v>
      </c>
    </row>
    <row r="28" spans="2:32" ht="23.1" customHeight="1" x14ac:dyDescent="0.25">
      <c r="B28" s="45" t="s">
        <v>55</v>
      </c>
      <c r="C28" s="50">
        <v>78</v>
      </c>
      <c r="D28" s="50">
        <v>18</v>
      </c>
      <c r="E28" s="50">
        <v>13</v>
      </c>
      <c r="F28" s="50">
        <v>24</v>
      </c>
      <c r="G28" s="50">
        <v>2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270</v>
      </c>
      <c r="N28" s="50">
        <v>0</v>
      </c>
      <c r="O28" s="15">
        <f t="shared" si="0"/>
        <v>136</v>
      </c>
      <c r="P28" s="15">
        <f t="shared" si="1"/>
        <v>406</v>
      </c>
      <c r="R28" s="36" t="s">
        <v>153</v>
      </c>
      <c r="S28" s="34">
        <f>SUM(C82:C85)</f>
        <v>69</v>
      </c>
      <c r="T28" s="34">
        <f t="shared" ref="T28:AF28" si="20">SUM(D82:D85)</f>
        <v>10</v>
      </c>
      <c r="U28" s="34">
        <f t="shared" si="20"/>
        <v>0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144</v>
      </c>
      <c r="AD28" s="34">
        <f t="shared" si="20"/>
        <v>0</v>
      </c>
      <c r="AE28" s="31">
        <f t="shared" si="20"/>
        <v>83</v>
      </c>
      <c r="AF28" s="31">
        <f t="shared" si="20"/>
        <v>227</v>
      </c>
    </row>
    <row r="29" spans="2:32" ht="23.1" customHeight="1" x14ac:dyDescent="0.25">
      <c r="B29" s="45" t="s">
        <v>56</v>
      </c>
      <c r="C29" s="50">
        <v>62</v>
      </c>
      <c r="D29" s="50">
        <v>10</v>
      </c>
      <c r="E29" s="50">
        <v>12</v>
      </c>
      <c r="F29" s="50">
        <v>37</v>
      </c>
      <c r="G29" s="50">
        <v>0</v>
      </c>
      <c r="H29" s="50">
        <v>0</v>
      </c>
      <c r="I29" s="50">
        <v>3</v>
      </c>
      <c r="J29" s="50">
        <v>0</v>
      </c>
      <c r="K29" s="50">
        <v>3</v>
      </c>
      <c r="L29" s="50">
        <v>1</v>
      </c>
      <c r="M29" s="50">
        <v>320</v>
      </c>
      <c r="N29" s="50">
        <v>0</v>
      </c>
      <c r="O29" s="15">
        <f t="shared" si="0"/>
        <v>128</v>
      </c>
      <c r="P29" s="15">
        <f t="shared" si="1"/>
        <v>448</v>
      </c>
      <c r="R29" s="36" t="s">
        <v>154</v>
      </c>
      <c r="S29" s="34">
        <f>SUM(C86:C89)</f>
        <v>110</v>
      </c>
      <c r="T29" s="34">
        <f t="shared" ref="T29:AF29" si="21">SUM(D86:D89)</f>
        <v>8</v>
      </c>
      <c r="U29" s="34">
        <f t="shared" si="21"/>
        <v>7</v>
      </c>
      <c r="V29" s="34">
        <f t="shared" si="21"/>
        <v>4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3</v>
      </c>
      <c r="AA29" s="34">
        <f t="shared" si="21"/>
        <v>1</v>
      </c>
      <c r="AB29" s="34">
        <f t="shared" si="21"/>
        <v>0</v>
      </c>
      <c r="AC29" s="34">
        <f t="shared" si="21"/>
        <v>165</v>
      </c>
      <c r="AD29" s="34">
        <f t="shared" si="21"/>
        <v>0</v>
      </c>
      <c r="AE29" s="31">
        <f t="shared" si="21"/>
        <v>134</v>
      </c>
      <c r="AF29" s="31">
        <f t="shared" si="21"/>
        <v>299</v>
      </c>
    </row>
    <row r="30" spans="2:32" ht="23.1" customHeight="1" x14ac:dyDescent="0.25">
      <c r="B30" s="45" t="s">
        <v>57</v>
      </c>
      <c r="C30" s="50">
        <v>65</v>
      </c>
      <c r="D30" s="50">
        <v>21</v>
      </c>
      <c r="E30" s="50">
        <v>6</v>
      </c>
      <c r="F30" s="50">
        <v>16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280</v>
      </c>
      <c r="N30" s="50">
        <v>0</v>
      </c>
      <c r="O30" s="15">
        <f t="shared" si="0"/>
        <v>112</v>
      </c>
      <c r="P30" s="15">
        <f t="shared" si="1"/>
        <v>392</v>
      </c>
      <c r="R30" s="36" t="s">
        <v>155</v>
      </c>
      <c r="S30" s="34">
        <f>SUM(C90:C93)</f>
        <v>57</v>
      </c>
      <c r="T30" s="34">
        <f t="shared" ref="T30:AF30" si="22">SUM(D90:D93)</f>
        <v>14</v>
      </c>
      <c r="U30" s="34">
        <f t="shared" si="22"/>
        <v>2</v>
      </c>
      <c r="V30" s="34">
        <f t="shared" si="22"/>
        <v>4</v>
      </c>
      <c r="W30" s="34">
        <f t="shared" si="22"/>
        <v>0</v>
      </c>
      <c r="X30" s="34">
        <f t="shared" si="22"/>
        <v>0</v>
      </c>
      <c r="Y30" s="34">
        <f t="shared" si="22"/>
        <v>4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89</v>
      </c>
      <c r="AD30" s="34">
        <f t="shared" si="22"/>
        <v>0</v>
      </c>
      <c r="AE30" s="31">
        <f t="shared" si="22"/>
        <v>81</v>
      </c>
      <c r="AF30" s="31">
        <f t="shared" si="22"/>
        <v>170</v>
      </c>
    </row>
    <row r="31" spans="2:32" ht="23.1" customHeight="1" x14ac:dyDescent="0.25">
      <c r="B31" s="46" t="s">
        <v>58</v>
      </c>
      <c r="C31" s="50">
        <v>74</v>
      </c>
      <c r="D31" s="50">
        <v>16</v>
      </c>
      <c r="E31" s="50">
        <v>9</v>
      </c>
      <c r="F31" s="50">
        <v>30</v>
      </c>
      <c r="G31" s="50">
        <v>2</v>
      </c>
      <c r="H31" s="50">
        <v>0</v>
      </c>
      <c r="I31" s="50">
        <v>2</v>
      </c>
      <c r="J31" s="50">
        <v>1</v>
      </c>
      <c r="K31" s="50">
        <v>1</v>
      </c>
      <c r="L31" s="50">
        <v>0</v>
      </c>
      <c r="M31" s="50">
        <v>295</v>
      </c>
      <c r="N31" s="50">
        <v>0</v>
      </c>
      <c r="O31" s="15">
        <f t="shared" si="0"/>
        <v>135</v>
      </c>
      <c r="P31" s="15">
        <f t="shared" si="1"/>
        <v>430</v>
      </c>
      <c r="R31" s="36" t="s">
        <v>156</v>
      </c>
      <c r="S31" s="34">
        <f>SUM(C94:C97)</f>
        <v>50</v>
      </c>
      <c r="T31" s="34">
        <f t="shared" ref="T31:AF31" si="23">SUM(D94:D97)</f>
        <v>15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65</v>
      </c>
      <c r="AD31" s="34">
        <f t="shared" si="23"/>
        <v>0</v>
      </c>
      <c r="AE31" s="31">
        <f t="shared" si="23"/>
        <v>66</v>
      </c>
      <c r="AF31" s="31">
        <f t="shared" si="23"/>
        <v>131</v>
      </c>
    </row>
    <row r="32" spans="2:32" ht="23.1" customHeight="1" x14ac:dyDescent="0.25">
      <c r="B32" s="46" t="s">
        <v>59</v>
      </c>
      <c r="C32" s="50">
        <v>60</v>
      </c>
      <c r="D32" s="50">
        <v>16</v>
      </c>
      <c r="E32" s="50">
        <v>6</v>
      </c>
      <c r="F32" s="50">
        <v>19</v>
      </c>
      <c r="G32" s="50">
        <v>2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205</v>
      </c>
      <c r="N32" s="50">
        <v>0</v>
      </c>
      <c r="O32" s="15">
        <f t="shared" si="0"/>
        <v>104</v>
      </c>
      <c r="P32" s="15">
        <f t="shared" si="1"/>
        <v>309</v>
      </c>
      <c r="R32" s="33" t="s">
        <v>157</v>
      </c>
      <c r="S32" s="34">
        <f>SUM(C98:C101)</f>
        <v>28</v>
      </c>
      <c r="T32" s="34">
        <f t="shared" ref="T32:AF32" si="24">SUM(D98:D101)</f>
        <v>17</v>
      </c>
      <c r="U32" s="34">
        <f t="shared" si="24"/>
        <v>1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62</v>
      </c>
      <c r="AD32" s="34">
        <f t="shared" si="24"/>
        <v>0</v>
      </c>
      <c r="AE32" s="31">
        <f t="shared" si="24"/>
        <v>48</v>
      </c>
      <c r="AF32" s="31">
        <f t="shared" si="24"/>
        <v>110</v>
      </c>
    </row>
    <row r="33" spans="2:32" ht="23.1" customHeight="1" x14ac:dyDescent="0.25">
      <c r="B33" s="45" t="s">
        <v>60</v>
      </c>
      <c r="C33" s="50">
        <v>50</v>
      </c>
      <c r="D33" s="50">
        <v>7</v>
      </c>
      <c r="E33" s="50">
        <v>0</v>
      </c>
      <c r="F33" s="50">
        <v>10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2</v>
      </c>
      <c r="M33" s="50">
        <v>180</v>
      </c>
      <c r="N33" s="50">
        <v>0</v>
      </c>
      <c r="O33" s="15">
        <f t="shared" si="0"/>
        <v>71</v>
      </c>
      <c r="P33" s="15">
        <f t="shared" si="1"/>
        <v>251</v>
      </c>
      <c r="R33" s="33" t="s">
        <v>158</v>
      </c>
      <c r="S33" s="34">
        <f>SUM(C102:C105)</f>
        <v>14</v>
      </c>
      <c r="T33" s="34">
        <f t="shared" ref="T33:AF33" si="25">SUM(D102:D105)</f>
        <v>7</v>
      </c>
      <c r="U33" s="34">
        <f t="shared" si="25"/>
        <v>3</v>
      </c>
      <c r="V33" s="34">
        <f t="shared" si="25"/>
        <v>5</v>
      </c>
      <c r="W33" s="34">
        <f t="shared" si="25"/>
        <v>0</v>
      </c>
      <c r="X33" s="34">
        <f t="shared" si="25"/>
        <v>0</v>
      </c>
      <c r="Y33" s="34">
        <f t="shared" si="25"/>
        <v>7</v>
      </c>
      <c r="Z33" s="34">
        <f t="shared" si="25"/>
        <v>1</v>
      </c>
      <c r="AA33" s="34">
        <f t="shared" si="25"/>
        <v>0</v>
      </c>
      <c r="AB33" s="34">
        <f t="shared" si="25"/>
        <v>2</v>
      </c>
      <c r="AC33" s="34">
        <f t="shared" si="25"/>
        <v>45</v>
      </c>
      <c r="AD33" s="34">
        <f t="shared" si="25"/>
        <v>0</v>
      </c>
      <c r="AE33" s="31">
        <f t="shared" si="25"/>
        <v>39</v>
      </c>
      <c r="AF33" s="31">
        <f t="shared" si="25"/>
        <v>84</v>
      </c>
    </row>
    <row r="34" spans="2:32" ht="23.1" customHeight="1" x14ac:dyDescent="0.25">
      <c r="B34" s="46" t="s">
        <v>61</v>
      </c>
      <c r="C34" s="50">
        <v>55</v>
      </c>
      <c r="D34" s="50">
        <v>16</v>
      </c>
      <c r="E34" s="50">
        <v>8</v>
      </c>
      <c r="F34" s="50">
        <v>35</v>
      </c>
      <c r="G34" s="50">
        <v>0</v>
      </c>
      <c r="H34" s="50">
        <v>0</v>
      </c>
      <c r="I34" s="50">
        <v>11</v>
      </c>
      <c r="J34" s="50">
        <v>0</v>
      </c>
      <c r="K34" s="50">
        <v>1</v>
      </c>
      <c r="L34" s="50">
        <v>0</v>
      </c>
      <c r="M34" s="50">
        <v>230</v>
      </c>
      <c r="N34" s="50">
        <v>0</v>
      </c>
      <c r="O34" s="15">
        <f t="shared" si="0"/>
        <v>126</v>
      </c>
      <c r="P34" s="15">
        <f t="shared" si="1"/>
        <v>356</v>
      </c>
      <c r="R34" s="38" t="s">
        <v>90</v>
      </c>
      <c r="S34" s="39">
        <f t="shared" ref="S34:AF34" si="26">MAX(S10:S12)</f>
        <v>178</v>
      </c>
      <c r="T34" s="39">
        <f t="shared" si="26"/>
        <v>42</v>
      </c>
      <c r="U34" s="39">
        <f t="shared" si="26"/>
        <v>25</v>
      </c>
      <c r="V34" s="39">
        <f t="shared" si="26"/>
        <v>147</v>
      </c>
      <c r="W34" s="39">
        <f t="shared" si="26"/>
        <v>3</v>
      </c>
      <c r="X34" s="39">
        <f t="shared" si="26"/>
        <v>1</v>
      </c>
      <c r="Y34" s="39">
        <f t="shared" si="26"/>
        <v>12</v>
      </c>
      <c r="Z34" s="39">
        <f t="shared" si="26"/>
        <v>12</v>
      </c>
      <c r="AA34" s="39">
        <f t="shared" si="26"/>
        <v>4</v>
      </c>
      <c r="AB34" s="39">
        <f t="shared" si="26"/>
        <v>0</v>
      </c>
      <c r="AC34" s="39">
        <f t="shared" si="26"/>
        <v>945</v>
      </c>
      <c r="AD34" s="39">
        <f t="shared" si="26"/>
        <v>0</v>
      </c>
      <c r="AE34" s="40">
        <f t="shared" si="26"/>
        <v>394</v>
      </c>
      <c r="AF34" s="40">
        <f t="shared" si="26"/>
        <v>1292</v>
      </c>
    </row>
    <row r="35" spans="2:32" ht="23.1" customHeight="1" x14ac:dyDescent="0.25">
      <c r="B35" s="46" t="s">
        <v>62</v>
      </c>
      <c r="C35" s="50">
        <v>50</v>
      </c>
      <c r="D35" s="50">
        <v>10</v>
      </c>
      <c r="E35" s="50">
        <v>8</v>
      </c>
      <c r="F35" s="50">
        <v>25</v>
      </c>
      <c r="G35" s="50">
        <v>0</v>
      </c>
      <c r="H35" s="50">
        <v>0</v>
      </c>
      <c r="I35" s="50">
        <v>2</v>
      </c>
      <c r="J35" s="50">
        <v>0</v>
      </c>
      <c r="K35" s="50">
        <v>1</v>
      </c>
      <c r="L35" s="50">
        <v>0</v>
      </c>
      <c r="M35" s="50">
        <v>180</v>
      </c>
      <c r="N35" s="50">
        <v>0</v>
      </c>
      <c r="O35" s="15">
        <f t="shared" si="0"/>
        <v>96</v>
      </c>
      <c r="P35" s="15">
        <f t="shared" si="1"/>
        <v>276</v>
      </c>
      <c r="R35" s="38" t="s">
        <v>91</v>
      </c>
      <c r="S35" s="39">
        <f t="shared" ref="S35:AF35" si="27">MAX(S13:S18)</f>
        <v>270</v>
      </c>
      <c r="T35" s="39">
        <f t="shared" si="27"/>
        <v>97</v>
      </c>
      <c r="U35" s="39">
        <f t="shared" si="27"/>
        <v>49</v>
      </c>
      <c r="V35" s="39">
        <f t="shared" si="27"/>
        <v>136</v>
      </c>
      <c r="W35" s="39">
        <f t="shared" si="27"/>
        <v>4</v>
      </c>
      <c r="X35" s="39">
        <f t="shared" si="27"/>
        <v>1</v>
      </c>
      <c r="Y35" s="39">
        <f t="shared" si="27"/>
        <v>23</v>
      </c>
      <c r="Z35" s="39">
        <f t="shared" si="27"/>
        <v>12</v>
      </c>
      <c r="AA35" s="39">
        <f t="shared" si="27"/>
        <v>4</v>
      </c>
      <c r="AB35" s="39">
        <f t="shared" si="27"/>
        <v>3</v>
      </c>
      <c r="AC35" s="39">
        <f t="shared" si="27"/>
        <v>960</v>
      </c>
      <c r="AD35" s="39">
        <f t="shared" si="27"/>
        <v>0</v>
      </c>
      <c r="AE35" s="40">
        <f t="shared" si="27"/>
        <v>550</v>
      </c>
      <c r="AF35" s="40">
        <f t="shared" si="27"/>
        <v>1461</v>
      </c>
    </row>
    <row r="36" spans="2:32" ht="23.1" customHeight="1" x14ac:dyDescent="0.25">
      <c r="B36" s="46" t="s">
        <v>63</v>
      </c>
      <c r="C36" s="50">
        <v>75</v>
      </c>
      <c r="D36" s="50">
        <v>11</v>
      </c>
      <c r="E36" s="50">
        <v>8</v>
      </c>
      <c r="F36" s="50">
        <v>16</v>
      </c>
      <c r="G36" s="50">
        <v>0</v>
      </c>
      <c r="H36" s="50">
        <v>1</v>
      </c>
      <c r="I36" s="50">
        <v>4</v>
      </c>
      <c r="J36" s="50">
        <v>6</v>
      </c>
      <c r="K36" s="50">
        <v>0</v>
      </c>
      <c r="L36" s="50">
        <v>0</v>
      </c>
      <c r="M36" s="50">
        <v>175</v>
      </c>
      <c r="N36" s="50">
        <v>0</v>
      </c>
      <c r="O36" s="15">
        <f t="shared" si="0"/>
        <v>121</v>
      </c>
      <c r="P36" s="15">
        <f t="shared" si="1"/>
        <v>296</v>
      </c>
      <c r="R36" s="38" t="s">
        <v>92</v>
      </c>
      <c r="S36" s="39">
        <f t="shared" ref="S36:AF36" si="28">MAX(S19:S21)</f>
        <v>358</v>
      </c>
      <c r="T36" s="39">
        <f t="shared" si="28"/>
        <v>68</v>
      </c>
      <c r="U36" s="39">
        <f t="shared" si="28"/>
        <v>48</v>
      </c>
      <c r="V36" s="39">
        <f t="shared" si="28"/>
        <v>92</v>
      </c>
      <c r="W36" s="39">
        <f t="shared" si="28"/>
        <v>3</v>
      </c>
      <c r="X36" s="39">
        <f t="shared" si="28"/>
        <v>2</v>
      </c>
      <c r="Y36" s="39">
        <f t="shared" si="28"/>
        <v>13</v>
      </c>
      <c r="Z36" s="39">
        <f t="shared" si="28"/>
        <v>8</v>
      </c>
      <c r="AA36" s="39">
        <f t="shared" si="28"/>
        <v>2</v>
      </c>
      <c r="AB36" s="39">
        <f t="shared" si="28"/>
        <v>3</v>
      </c>
      <c r="AC36" s="39">
        <f t="shared" si="28"/>
        <v>880</v>
      </c>
      <c r="AD36" s="39">
        <f t="shared" si="28"/>
        <v>0</v>
      </c>
      <c r="AE36" s="40">
        <f t="shared" si="28"/>
        <v>587</v>
      </c>
      <c r="AF36" s="40">
        <f t="shared" si="28"/>
        <v>1355</v>
      </c>
    </row>
    <row r="37" spans="2:32" ht="23.1" customHeight="1" x14ac:dyDescent="0.25">
      <c r="B37" s="45" t="s">
        <v>64</v>
      </c>
      <c r="C37" s="50">
        <v>55</v>
      </c>
      <c r="D37" s="50">
        <v>11</v>
      </c>
      <c r="E37" s="50">
        <v>16</v>
      </c>
      <c r="F37" s="50">
        <v>18</v>
      </c>
      <c r="G37" s="50">
        <v>0</v>
      </c>
      <c r="H37" s="50">
        <v>0</v>
      </c>
      <c r="I37" s="50">
        <v>6</v>
      </c>
      <c r="J37" s="50">
        <v>3</v>
      </c>
      <c r="K37" s="50">
        <v>0</v>
      </c>
      <c r="L37" s="50">
        <v>0</v>
      </c>
      <c r="M37" s="50">
        <v>185</v>
      </c>
      <c r="N37" s="50">
        <v>0</v>
      </c>
      <c r="O37" s="15">
        <f t="shared" si="0"/>
        <v>109</v>
      </c>
      <c r="P37" s="15">
        <f t="shared" si="1"/>
        <v>294</v>
      </c>
      <c r="R37" s="37" t="s">
        <v>85</v>
      </c>
      <c r="S37" s="35">
        <f t="shared" ref="S37:AF37" si="29">SUM(S10:S12)</f>
        <v>495</v>
      </c>
      <c r="T37" s="16">
        <f t="shared" si="29"/>
        <v>112</v>
      </c>
      <c r="U37" s="16">
        <f t="shared" si="29"/>
        <v>40</v>
      </c>
      <c r="V37" s="16">
        <f t="shared" si="29"/>
        <v>406</v>
      </c>
      <c r="W37" s="16">
        <f t="shared" si="29"/>
        <v>5</v>
      </c>
      <c r="X37" s="16">
        <f t="shared" si="29"/>
        <v>1</v>
      </c>
      <c r="Y37" s="16">
        <f t="shared" si="29"/>
        <v>25</v>
      </c>
      <c r="Z37" s="16">
        <f t="shared" si="29"/>
        <v>22</v>
      </c>
      <c r="AA37" s="16">
        <f t="shared" si="29"/>
        <v>5</v>
      </c>
      <c r="AB37" s="16">
        <f t="shared" si="29"/>
        <v>0</v>
      </c>
      <c r="AC37" s="16">
        <f t="shared" si="29"/>
        <v>2620</v>
      </c>
      <c r="AD37" s="16">
        <f t="shared" si="29"/>
        <v>0</v>
      </c>
      <c r="AE37" s="32">
        <f t="shared" si="29"/>
        <v>1111</v>
      </c>
      <c r="AF37" s="32">
        <f t="shared" si="29"/>
        <v>3731</v>
      </c>
    </row>
    <row r="38" spans="2:32" ht="23.1" customHeight="1" x14ac:dyDescent="0.25">
      <c r="B38" s="46" t="s">
        <v>65</v>
      </c>
      <c r="C38" s="50">
        <v>65</v>
      </c>
      <c r="D38" s="50">
        <v>16</v>
      </c>
      <c r="E38" s="50">
        <v>8</v>
      </c>
      <c r="F38" s="50">
        <v>21</v>
      </c>
      <c r="G38" s="50">
        <v>0</v>
      </c>
      <c r="H38" s="50">
        <v>0</v>
      </c>
      <c r="I38" s="50">
        <v>6</v>
      </c>
      <c r="J38" s="50">
        <v>0</v>
      </c>
      <c r="K38" s="50">
        <v>1</v>
      </c>
      <c r="L38" s="50">
        <v>0</v>
      </c>
      <c r="M38" s="50">
        <v>205</v>
      </c>
      <c r="N38" s="50">
        <v>0</v>
      </c>
      <c r="O38" s="15">
        <f t="shared" si="0"/>
        <v>117</v>
      </c>
      <c r="P38" s="15">
        <f t="shared" si="1"/>
        <v>322</v>
      </c>
      <c r="R38" s="28" t="s">
        <v>86</v>
      </c>
      <c r="S38" s="16">
        <f t="shared" ref="S38:AF38" si="30">SUM(S13:S18)</f>
        <v>1491</v>
      </c>
      <c r="T38" s="16">
        <f t="shared" si="30"/>
        <v>394</v>
      </c>
      <c r="U38" s="16">
        <f t="shared" si="30"/>
        <v>191</v>
      </c>
      <c r="V38" s="16">
        <f t="shared" si="30"/>
        <v>594</v>
      </c>
      <c r="W38" s="16">
        <f t="shared" si="30"/>
        <v>8</v>
      </c>
      <c r="X38" s="16">
        <f t="shared" si="30"/>
        <v>2</v>
      </c>
      <c r="Y38" s="16">
        <f t="shared" si="30"/>
        <v>76</v>
      </c>
      <c r="Z38" s="16">
        <f t="shared" si="30"/>
        <v>40</v>
      </c>
      <c r="AA38" s="16">
        <f t="shared" si="30"/>
        <v>13</v>
      </c>
      <c r="AB38" s="16">
        <f t="shared" si="30"/>
        <v>8</v>
      </c>
      <c r="AC38" s="16">
        <f t="shared" si="30"/>
        <v>4825</v>
      </c>
      <c r="AD38" s="16">
        <f t="shared" si="30"/>
        <v>0</v>
      </c>
      <c r="AE38" s="32">
        <f t="shared" si="30"/>
        <v>2817</v>
      </c>
      <c r="AF38" s="32">
        <f t="shared" si="30"/>
        <v>7642</v>
      </c>
    </row>
    <row r="39" spans="2:32" ht="23.1" customHeight="1" x14ac:dyDescent="0.25">
      <c r="B39" s="46" t="s">
        <v>66</v>
      </c>
      <c r="C39" s="50">
        <v>41</v>
      </c>
      <c r="D39" s="50">
        <v>18</v>
      </c>
      <c r="E39" s="50">
        <v>6</v>
      </c>
      <c r="F39" s="50">
        <v>20</v>
      </c>
      <c r="G39" s="50">
        <v>0</v>
      </c>
      <c r="H39" s="50">
        <v>0</v>
      </c>
      <c r="I39" s="50">
        <v>4</v>
      </c>
      <c r="J39" s="50">
        <v>2</v>
      </c>
      <c r="K39" s="50">
        <v>0</v>
      </c>
      <c r="L39" s="50">
        <v>0</v>
      </c>
      <c r="M39" s="50">
        <v>175</v>
      </c>
      <c r="N39" s="50">
        <v>0</v>
      </c>
      <c r="O39" s="15">
        <f t="shared" si="0"/>
        <v>91</v>
      </c>
      <c r="P39" s="15">
        <f t="shared" si="1"/>
        <v>266</v>
      </c>
      <c r="R39" s="29" t="s">
        <v>87</v>
      </c>
      <c r="S39" s="16">
        <f t="shared" ref="S39:AF39" si="31">SUM(S19:S21)</f>
        <v>992</v>
      </c>
      <c r="T39" s="16">
        <f t="shared" si="31"/>
        <v>175</v>
      </c>
      <c r="U39" s="16">
        <f t="shared" si="31"/>
        <v>115</v>
      </c>
      <c r="V39" s="16">
        <f t="shared" si="31"/>
        <v>216</v>
      </c>
      <c r="W39" s="16">
        <f t="shared" si="31"/>
        <v>5</v>
      </c>
      <c r="X39" s="16">
        <f t="shared" si="31"/>
        <v>3</v>
      </c>
      <c r="Y39" s="16">
        <f t="shared" si="31"/>
        <v>28</v>
      </c>
      <c r="Z39" s="16">
        <f t="shared" si="31"/>
        <v>16</v>
      </c>
      <c r="AA39" s="16">
        <f t="shared" si="31"/>
        <v>4</v>
      </c>
      <c r="AB39" s="16">
        <f t="shared" si="31"/>
        <v>4</v>
      </c>
      <c r="AC39" s="16">
        <f t="shared" si="31"/>
        <v>2399</v>
      </c>
      <c r="AD39" s="16">
        <f t="shared" si="31"/>
        <v>0</v>
      </c>
      <c r="AE39" s="32">
        <f t="shared" si="31"/>
        <v>1558</v>
      </c>
      <c r="AF39" s="32">
        <f t="shared" si="31"/>
        <v>3957</v>
      </c>
    </row>
    <row r="40" spans="2:32" ht="23.1" customHeight="1" x14ac:dyDescent="0.25">
      <c r="B40" s="46" t="s">
        <v>67</v>
      </c>
      <c r="C40" s="50">
        <v>64</v>
      </c>
      <c r="D40" s="50">
        <v>16</v>
      </c>
      <c r="E40" s="50">
        <v>11</v>
      </c>
      <c r="F40" s="50">
        <v>21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165</v>
      </c>
      <c r="N40" s="50">
        <v>0</v>
      </c>
      <c r="O40" s="15">
        <f t="shared" si="0"/>
        <v>115</v>
      </c>
      <c r="P40" s="15">
        <f t="shared" si="1"/>
        <v>280</v>
      </c>
      <c r="R40" s="5" t="s">
        <v>17</v>
      </c>
      <c r="S40" s="16">
        <f t="shared" ref="S40:AF40" si="32">SUM(S10:S21)</f>
        <v>2978</v>
      </c>
      <c r="T40" s="16">
        <f t="shared" si="32"/>
        <v>681</v>
      </c>
      <c r="U40" s="16">
        <f t="shared" si="32"/>
        <v>346</v>
      </c>
      <c r="V40" s="16">
        <f t="shared" si="32"/>
        <v>1216</v>
      </c>
      <c r="W40" s="16">
        <f t="shared" si="32"/>
        <v>18</v>
      </c>
      <c r="X40" s="16">
        <f t="shared" si="32"/>
        <v>6</v>
      </c>
      <c r="Y40" s="16">
        <f t="shared" si="32"/>
        <v>129</v>
      </c>
      <c r="Z40" s="16">
        <f t="shared" si="32"/>
        <v>78</v>
      </c>
      <c r="AA40" s="16">
        <f t="shared" si="32"/>
        <v>22</v>
      </c>
      <c r="AB40" s="16">
        <f t="shared" si="32"/>
        <v>12</v>
      </c>
      <c r="AC40" s="16">
        <f t="shared" si="32"/>
        <v>9844</v>
      </c>
      <c r="AD40" s="16">
        <f t="shared" si="32"/>
        <v>0</v>
      </c>
      <c r="AE40" s="32">
        <f t="shared" si="32"/>
        <v>5486</v>
      </c>
      <c r="AF40" s="32">
        <f t="shared" si="32"/>
        <v>15330</v>
      </c>
    </row>
    <row r="41" spans="2:32" ht="23.1" customHeight="1" x14ac:dyDescent="0.25">
      <c r="B41" s="45" t="s">
        <v>68</v>
      </c>
      <c r="C41" s="50">
        <v>78</v>
      </c>
      <c r="D41" s="50">
        <v>14</v>
      </c>
      <c r="E41" s="50">
        <v>4</v>
      </c>
      <c r="F41" s="50">
        <v>11</v>
      </c>
      <c r="G41" s="50">
        <v>0</v>
      </c>
      <c r="H41" s="50">
        <v>1</v>
      </c>
      <c r="I41" s="50">
        <v>6</v>
      </c>
      <c r="J41" s="50">
        <v>0</v>
      </c>
      <c r="K41" s="50">
        <v>0</v>
      </c>
      <c r="L41" s="50">
        <v>1</v>
      </c>
      <c r="M41" s="50">
        <v>200</v>
      </c>
      <c r="N41" s="50">
        <v>0</v>
      </c>
      <c r="O41" s="15">
        <f t="shared" si="0"/>
        <v>115</v>
      </c>
      <c r="P41" s="15">
        <f t="shared" si="1"/>
        <v>315</v>
      </c>
      <c r="R41" s="5" t="s">
        <v>160</v>
      </c>
      <c r="S41" s="16">
        <f>SUM(S10:S33)</f>
        <v>4324</v>
      </c>
      <c r="T41" s="16">
        <f t="shared" ref="T41:AF41" si="33">SUM(T10:T33)</f>
        <v>1017</v>
      </c>
      <c r="U41" s="16">
        <f t="shared" si="33"/>
        <v>447</v>
      </c>
      <c r="V41" s="16">
        <f t="shared" si="33"/>
        <v>1406</v>
      </c>
      <c r="W41" s="16">
        <f t="shared" si="33"/>
        <v>19</v>
      </c>
      <c r="X41" s="16">
        <f t="shared" si="33"/>
        <v>16</v>
      </c>
      <c r="Y41" s="16">
        <f t="shared" si="33"/>
        <v>217</v>
      </c>
      <c r="Z41" s="16">
        <f t="shared" si="33"/>
        <v>96</v>
      </c>
      <c r="AA41" s="16">
        <f t="shared" si="33"/>
        <v>28</v>
      </c>
      <c r="AB41" s="16">
        <f t="shared" si="33"/>
        <v>14</v>
      </c>
      <c r="AC41" s="16">
        <f t="shared" si="33"/>
        <v>12333</v>
      </c>
      <c r="AD41" s="16">
        <f t="shared" si="33"/>
        <v>0</v>
      </c>
      <c r="AE41" s="32">
        <f t="shared" si="33"/>
        <v>7584</v>
      </c>
      <c r="AF41" s="32">
        <f t="shared" si="33"/>
        <v>19917</v>
      </c>
    </row>
    <row r="42" spans="2:32" ht="23.1" customHeight="1" x14ac:dyDescent="0.25">
      <c r="B42" s="46" t="s">
        <v>69</v>
      </c>
      <c r="C42" s="50">
        <v>56</v>
      </c>
      <c r="D42" s="50">
        <v>16</v>
      </c>
      <c r="E42" s="50">
        <v>6</v>
      </c>
      <c r="F42" s="50">
        <v>41</v>
      </c>
      <c r="G42" s="50">
        <v>0</v>
      </c>
      <c r="H42" s="50">
        <v>0</v>
      </c>
      <c r="I42" s="50">
        <v>2</v>
      </c>
      <c r="J42" s="50">
        <v>0</v>
      </c>
      <c r="K42" s="50">
        <v>1</v>
      </c>
      <c r="L42" s="50">
        <v>0</v>
      </c>
      <c r="M42" s="50">
        <v>230</v>
      </c>
      <c r="N42" s="50">
        <v>0</v>
      </c>
      <c r="O42" s="15">
        <f t="shared" si="0"/>
        <v>122</v>
      </c>
      <c r="P42" s="15">
        <f t="shared" si="1"/>
        <v>352</v>
      </c>
      <c r="R42" s="5" t="s">
        <v>161</v>
      </c>
      <c r="S42" s="48">
        <f>S41/S40</f>
        <v>1.4519811954331767</v>
      </c>
      <c r="T42" s="48">
        <f t="shared" ref="T42:AF42" si="34">T41/T40</f>
        <v>1.4933920704845816</v>
      </c>
      <c r="U42" s="48">
        <f t="shared" si="34"/>
        <v>1.2919075144508672</v>
      </c>
      <c r="V42" s="48">
        <f t="shared" si="34"/>
        <v>1.15625</v>
      </c>
      <c r="W42" s="48">
        <f t="shared" si="34"/>
        <v>1.0555555555555556</v>
      </c>
      <c r="X42" s="48">
        <f t="shared" si="34"/>
        <v>2.6666666666666665</v>
      </c>
      <c r="Y42" s="48">
        <f t="shared" si="34"/>
        <v>1.682170542635659</v>
      </c>
      <c r="Z42" s="48">
        <f t="shared" si="34"/>
        <v>1.2307692307692308</v>
      </c>
      <c r="AA42" s="48">
        <f t="shared" si="34"/>
        <v>1.2727272727272727</v>
      </c>
      <c r="AB42" s="48">
        <f t="shared" si="34"/>
        <v>1.1666666666666667</v>
      </c>
      <c r="AC42" s="48">
        <f t="shared" si="34"/>
        <v>1.2528443722064202</v>
      </c>
      <c r="AD42" s="48" t="e">
        <f t="shared" si="34"/>
        <v>#DIV/0!</v>
      </c>
      <c r="AE42" s="48">
        <f t="shared" si="34"/>
        <v>1.3824279985417427</v>
      </c>
      <c r="AF42" s="48">
        <f t="shared" si="34"/>
        <v>1.2992172211350292</v>
      </c>
    </row>
    <row r="43" spans="2:32" ht="23.1" customHeight="1" x14ac:dyDescent="0.25">
      <c r="B43" s="45" t="s">
        <v>70</v>
      </c>
      <c r="C43" s="50">
        <v>60</v>
      </c>
      <c r="D43" s="50">
        <v>17</v>
      </c>
      <c r="E43" s="50">
        <v>3</v>
      </c>
      <c r="F43" s="50">
        <v>23</v>
      </c>
      <c r="G43" s="50">
        <v>0</v>
      </c>
      <c r="H43" s="50">
        <v>0</v>
      </c>
      <c r="I43" s="50">
        <v>4</v>
      </c>
      <c r="J43" s="50">
        <v>6</v>
      </c>
      <c r="K43" s="50">
        <v>0</v>
      </c>
      <c r="L43" s="50">
        <v>1</v>
      </c>
      <c r="M43" s="50">
        <v>175</v>
      </c>
      <c r="N43" s="50">
        <v>0</v>
      </c>
      <c r="O43" s="15">
        <f t="shared" si="0"/>
        <v>114</v>
      </c>
      <c r="P43" s="15">
        <f t="shared" si="1"/>
        <v>289</v>
      </c>
    </row>
    <row r="44" spans="2:32" ht="23.1" customHeight="1" x14ac:dyDescent="0.25">
      <c r="B44" s="47" t="s">
        <v>71</v>
      </c>
      <c r="C44" s="50">
        <v>55</v>
      </c>
      <c r="D44" s="50">
        <v>22</v>
      </c>
      <c r="E44" s="50">
        <v>7</v>
      </c>
      <c r="F44" s="50">
        <v>25</v>
      </c>
      <c r="G44" s="50">
        <v>0</v>
      </c>
      <c r="H44" s="50">
        <v>0</v>
      </c>
      <c r="I44" s="50">
        <v>6</v>
      </c>
      <c r="J44" s="50">
        <v>2</v>
      </c>
      <c r="K44" s="50">
        <v>1</v>
      </c>
      <c r="L44" s="50">
        <v>0</v>
      </c>
      <c r="M44" s="50">
        <v>135</v>
      </c>
      <c r="N44" s="50">
        <v>0</v>
      </c>
      <c r="O44" s="15">
        <f t="shared" si="0"/>
        <v>118</v>
      </c>
      <c r="P44" s="15">
        <f t="shared" si="1"/>
        <v>253</v>
      </c>
    </row>
    <row r="45" spans="2:32" ht="23.1" customHeight="1" x14ac:dyDescent="0.25">
      <c r="B45" s="45" t="s">
        <v>72</v>
      </c>
      <c r="C45" s="50">
        <v>51</v>
      </c>
      <c r="D45" s="50">
        <v>11</v>
      </c>
      <c r="E45" s="50">
        <v>8</v>
      </c>
      <c r="F45" s="50">
        <v>17</v>
      </c>
      <c r="G45" s="50">
        <v>1</v>
      </c>
      <c r="H45" s="50">
        <v>0</v>
      </c>
      <c r="I45" s="50">
        <v>3</v>
      </c>
      <c r="J45" s="50">
        <v>4</v>
      </c>
      <c r="K45" s="50">
        <v>0</v>
      </c>
      <c r="L45" s="50">
        <v>2</v>
      </c>
      <c r="M45" s="50">
        <v>136</v>
      </c>
      <c r="N45" s="50">
        <v>0</v>
      </c>
      <c r="O45" s="15">
        <f t="shared" si="0"/>
        <v>97</v>
      </c>
      <c r="P45" s="15">
        <f t="shared" si="1"/>
        <v>233</v>
      </c>
    </row>
    <row r="46" spans="2:32" ht="23.1" customHeight="1" x14ac:dyDescent="0.25">
      <c r="B46" s="46" t="s">
        <v>73</v>
      </c>
      <c r="C46" s="50">
        <v>64</v>
      </c>
      <c r="D46" s="50">
        <v>13</v>
      </c>
      <c r="E46" s="50">
        <v>3</v>
      </c>
      <c r="F46" s="50">
        <v>14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220</v>
      </c>
      <c r="N46" s="50">
        <v>0</v>
      </c>
      <c r="O46" s="15">
        <f t="shared" si="0"/>
        <v>96</v>
      </c>
      <c r="P46" s="15">
        <f t="shared" si="1"/>
        <v>316</v>
      </c>
      <c r="R46" s="8"/>
      <c r="T46"/>
    </row>
    <row r="47" spans="2:32" ht="23.1" customHeight="1" x14ac:dyDescent="0.25">
      <c r="B47" s="46" t="s">
        <v>74</v>
      </c>
      <c r="C47" s="50">
        <v>75</v>
      </c>
      <c r="D47" s="50">
        <v>19</v>
      </c>
      <c r="E47" s="50">
        <v>10</v>
      </c>
      <c r="F47" s="50">
        <v>17</v>
      </c>
      <c r="G47" s="50">
        <v>0</v>
      </c>
      <c r="H47" s="50">
        <v>0</v>
      </c>
      <c r="I47" s="50">
        <v>3</v>
      </c>
      <c r="J47" s="50">
        <v>3</v>
      </c>
      <c r="K47" s="50">
        <v>0</v>
      </c>
      <c r="L47" s="50">
        <v>0</v>
      </c>
      <c r="M47" s="50">
        <v>205</v>
      </c>
      <c r="N47" s="50">
        <v>0</v>
      </c>
      <c r="O47" s="15">
        <f t="shared" si="0"/>
        <v>127</v>
      </c>
      <c r="P47" s="15">
        <f t="shared" si="1"/>
        <v>332</v>
      </c>
      <c r="R47" s="8"/>
      <c r="T47"/>
    </row>
    <row r="48" spans="2:32" ht="23.1" customHeight="1" x14ac:dyDescent="0.25">
      <c r="B48" s="46" t="s">
        <v>75</v>
      </c>
      <c r="C48" s="50">
        <v>85</v>
      </c>
      <c r="D48" s="50">
        <v>13</v>
      </c>
      <c r="E48" s="50">
        <v>6</v>
      </c>
      <c r="F48" s="50">
        <v>14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210</v>
      </c>
      <c r="N48" s="50">
        <v>0</v>
      </c>
      <c r="O48" s="15">
        <f t="shared" si="0"/>
        <v>119</v>
      </c>
      <c r="P48" s="15">
        <f t="shared" si="1"/>
        <v>329</v>
      </c>
      <c r="R48" s="8"/>
      <c r="T48"/>
    </row>
    <row r="49" spans="2:20" ht="23.1" customHeight="1" x14ac:dyDescent="0.25">
      <c r="B49" s="45" t="s">
        <v>76</v>
      </c>
      <c r="C49" s="50">
        <v>120</v>
      </c>
      <c r="D49" s="50">
        <v>8</v>
      </c>
      <c r="E49" s="50">
        <v>1</v>
      </c>
      <c r="F49" s="50">
        <v>1</v>
      </c>
      <c r="G49" s="50">
        <v>0</v>
      </c>
      <c r="H49" s="50">
        <v>0</v>
      </c>
      <c r="I49" s="50">
        <v>1</v>
      </c>
      <c r="J49" s="50">
        <v>1</v>
      </c>
      <c r="K49" s="50">
        <v>1</v>
      </c>
      <c r="L49" s="50">
        <v>0</v>
      </c>
      <c r="M49" s="50">
        <v>245</v>
      </c>
      <c r="N49" s="50">
        <v>0</v>
      </c>
      <c r="O49" s="15">
        <f t="shared" si="0"/>
        <v>133</v>
      </c>
      <c r="P49" s="15">
        <f t="shared" si="1"/>
        <v>378</v>
      </c>
      <c r="R49" s="8"/>
      <c r="T49"/>
    </row>
    <row r="50" spans="2:20" ht="23.1" customHeight="1" x14ac:dyDescent="0.25">
      <c r="B50" s="46" t="s">
        <v>77</v>
      </c>
      <c r="C50" s="50">
        <v>80</v>
      </c>
      <c r="D50" s="50">
        <v>15</v>
      </c>
      <c r="E50" s="50">
        <v>6</v>
      </c>
      <c r="F50" s="50">
        <v>20</v>
      </c>
      <c r="G50" s="50">
        <v>0</v>
      </c>
      <c r="H50" s="50">
        <v>0</v>
      </c>
      <c r="I50" s="50">
        <v>1</v>
      </c>
      <c r="J50" s="50">
        <v>0</v>
      </c>
      <c r="K50" s="50">
        <v>1</v>
      </c>
      <c r="L50" s="50">
        <v>0</v>
      </c>
      <c r="M50" s="50">
        <v>195</v>
      </c>
      <c r="N50" s="50">
        <v>0</v>
      </c>
      <c r="O50" s="15">
        <f t="shared" si="0"/>
        <v>123</v>
      </c>
      <c r="P50" s="15">
        <f t="shared" si="1"/>
        <v>318</v>
      </c>
      <c r="R50" s="8"/>
      <c r="T50"/>
    </row>
    <row r="51" spans="2:20" ht="23.1" customHeight="1" x14ac:dyDescent="0.25">
      <c r="B51" s="46" t="s">
        <v>78</v>
      </c>
      <c r="C51" s="50">
        <v>81</v>
      </c>
      <c r="D51" s="50">
        <v>16</v>
      </c>
      <c r="E51" s="50">
        <v>8</v>
      </c>
      <c r="F51" s="50">
        <v>23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198</v>
      </c>
      <c r="N51" s="50">
        <v>0</v>
      </c>
      <c r="O51" s="15">
        <f t="shared" si="0"/>
        <v>129</v>
      </c>
      <c r="P51" s="15">
        <f t="shared" si="1"/>
        <v>327</v>
      </c>
      <c r="R51" s="8"/>
      <c r="T51"/>
    </row>
    <row r="52" spans="2:20" ht="23.1" customHeight="1" x14ac:dyDescent="0.25">
      <c r="B52" s="46" t="s">
        <v>79</v>
      </c>
      <c r="C52" s="50">
        <v>87</v>
      </c>
      <c r="D52" s="50">
        <v>20</v>
      </c>
      <c r="E52" s="50">
        <v>12</v>
      </c>
      <c r="F52" s="50">
        <v>26</v>
      </c>
      <c r="G52" s="50">
        <v>1</v>
      </c>
      <c r="H52" s="50">
        <v>1</v>
      </c>
      <c r="I52" s="50">
        <v>3</v>
      </c>
      <c r="J52" s="50">
        <v>0</v>
      </c>
      <c r="K52" s="50">
        <v>0</v>
      </c>
      <c r="L52" s="50">
        <v>1</v>
      </c>
      <c r="M52" s="50">
        <v>170</v>
      </c>
      <c r="N52" s="50">
        <v>0</v>
      </c>
      <c r="O52" s="15">
        <f t="shared" si="0"/>
        <v>151</v>
      </c>
      <c r="P52" s="15">
        <f t="shared" si="1"/>
        <v>321</v>
      </c>
      <c r="R52" s="8"/>
      <c r="T52"/>
    </row>
    <row r="53" spans="2:20" ht="23.1" customHeight="1" x14ac:dyDescent="0.25">
      <c r="B53" s="45" t="s">
        <v>80</v>
      </c>
      <c r="C53" s="50">
        <v>110</v>
      </c>
      <c r="D53" s="50">
        <v>17</v>
      </c>
      <c r="E53" s="50">
        <v>21</v>
      </c>
      <c r="F53" s="50">
        <v>23</v>
      </c>
      <c r="G53" s="50">
        <v>1</v>
      </c>
      <c r="H53" s="50">
        <v>1</v>
      </c>
      <c r="I53" s="50">
        <v>8</v>
      </c>
      <c r="J53" s="50">
        <v>3</v>
      </c>
      <c r="K53" s="50">
        <v>0</v>
      </c>
      <c r="L53" s="50">
        <v>0</v>
      </c>
      <c r="M53" s="50">
        <v>180</v>
      </c>
      <c r="N53" s="50">
        <v>0</v>
      </c>
      <c r="O53" s="15">
        <f t="shared" si="0"/>
        <v>184</v>
      </c>
      <c r="P53" s="15">
        <f t="shared" si="1"/>
        <v>364</v>
      </c>
      <c r="R53" s="8"/>
      <c r="T53"/>
    </row>
    <row r="54" spans="2:20" ht="23.1" customHeight="1" x14ac:dyDescent="0.25">
      <c r="B54" s="45" t="s">
        <v>81</v>
      </c>
      <c r="C54" s="50">
        <v>68</v>
      </c>
      <c r="D54" s="50">
        <v>14</v>
      </c>
      <c r="E54" s="50">
        <v>17</v>
      </c>
      <c r="F54" s="50">
        <v>23</v>
      </c>
      <c r="G54" s="50">
        <v>0</v>
      </c>
      <c r="H54" s="50">
        <v>0</v>
      </c>
      <c r="I54" s="50">
        <v>6</v>
      </c>
      <c r="J54" s="50">
        <v>2</v>
      </c>
      <c r="K54" s="50">
        <v>1</v>
      </c>
      <c r="L54" s="50">
        <v>0</v>
      </c>
      <c r="M54" s="50">
        <v>175</v>
      </c>
      <c r="N54" s="50">
        <v>0</v>
      </c>
      <c r="O54" s="15">
        <f t="shared" si="0"/>
        <v>131</v>
      </c>
      <c r="P54" s="15">
        <f t="shared" si="1"/>
        <v>306</v>
      </c>
      <c r="R54" s="8"/>
      <c r="T54"/>
    </row>
    <row r="55" spans="2:20" ht="23.1" customHeight="1" x14ac:dyDescent="0.25">
      <c r="B55" s="45" t="s">
        <v>82</v>
      </c>
      <c r="C55" s="50">
        <v>60</v>
      </c>
      <c r="D55" s="50">
        <v>13</v>
      </c>
      <c r="E55" s="50">
        <v>6</v>
      </c>
      <c r="F55" s="50">
        <v>17</v>
      </c>
      <c r="G55" s="50">
        <v>2</v>
      </c>
      <c r="H55" s="50">
        <v>1</v>
      </c>
      <c r="I55" s="50">
        <v>2</v>
      </c>
      <c r="J55" s="50">
        <v>1</v>
      </c>
      <c r="K55" s="50">
        <v>0</v>
      </c>
      <c r="L55" s="50">
        <v>1</v>
      </c>
      <c r="M55" s="50">
        <v>191</v>
      </c>
      <c r="N55" s="50">
        <v>0</v>
      </c>
      <c r="O55" s="15">
        <f t="shared" si="0"/>
        <v>103</v>
      </c>
      <c r="P55" s="15">
        <f t="shared" si="1"/>
        <v>294</v>
      </c>
      <c r="R55" s="8"/>
      <c r="T55"/>
    </row>
    <row r="56" spans="2:20" ht="23.1" customHeight="1" x14ac:dyDescent="0.25">
      <c r="B56" s="45" t="s">
        <v>83</v>
      </c>
      <c r="C56" s="50">
        <v>76</v>
      </c>
      <c r="D56" s="50">
        <v>16</v>
      </c>
      <c r="E56" s="50">
        <v>13</v>
      </c>
      <c r="F56" s="50">
        <v>23</v>
      </c>
      <c r="G56" s="50">
        <v>0</v>
      </c>
      <c r="H56" s="50">
        <v>0</v>
      </c>
      <c r="I56" s="50">
        <v>0</v>
      </c>
      <c r="J56" s="50">
        <v>3</v>
      </c>
      <c r="K56" s="50">
        <v>0</v>
      </c>
      <c r="L56" s="50">
        <v>2</v>
      </c>
      <c r="M56" s="50">
        <v>200</v>
      </c>
      <c r="N56" s="50">
        <v>0</v>
      </c>
      <c r="O56" s="15">
        <f t="shared" si="0"/>
        <v>133</v>
      </c>
      <c r="P56" s="15">
        <f t="shared" si="1"/>
        <v>333</v>
      </c>
      <c r="R56" s="8"/>
      <c r="T56"/>
    </row>
    <row r="57" spans="2:20" ht="23.1" customHeight="1" x14ac:dyDescent="0.25">
      <c r="B57" s="45" t="s">
        <v>84</v>
      </c>
      <c r="C57" s="50">
        <v>86</v>
      </c>
      <c r="D57" s="50">
        <v>11</v>
      </c>
      <c r="E57" s="50">
        <v>12</v>
      </c>
      <c r="F57" s="50">
        <v>15</v>
      </c>
      <c r="G57" s="50">
        <v>1</v>
      </c>
      <c r="H57" s="50">
        <v>0</v>
      </c>
      <c r="I57" s="50">
        <v>1</v>
      </c>
      <c r="J57" s="50">
        <v>2</v>
      </c>
      <c r="K57" s="50">
        <v>1</v>
      </c>
      <c r="L57" s="50">
        <v>0</v>
      </c>
      <c r="M57" s="50">
        <v>210</v>
      </c>
      <c r="N57" s="50">
        <v>0</v>
      </c>
      <c r="O57" s="15">
        <f t="shared" si="0"/>
        <v>129</v>
      </c>
      <c r="P57" s="15">
        <f t="shared" si="1"/>
        <v>339</v>
      </c>
      <c r="R57" s="8"/>
      <c r="T57"/>
    </row>
    <row r="58" spans="2:20" ht="23.1" customHeight="1" x14ac:dyDescent="0.25">
      <c r="B58" s="45" t="s">
        <v>100</v>
      </c>
      <c r="C58" s="50">
        <v>50</v>
      </c>
      <c r="D58" s="50">
        <v>22</v>
      </c>
      <c r="E58" s="50">
        <v>3</v>
      </c>
      <c r="F58" s="50">
        <v>10</v>
      </c>
      <c r="G58" s="50">
        <v>0</v>
      </c>
      <c r="H58" s="50">
        <v>0</v>
      </c>
      <c r="I58" s="50">
        <v>4</v>
      </c>
      <c r="J58" s="50">
        <v>0</v>
      </c>
      <c r="K58" s="50">
        <v>1</v>
      </c>
      <c r="L58" s="50">
        <v>0</v>
      </c>
      <c r="M58" s="50">
        <v>104</v>
      </c>
      <c r="N58" s="50">
        <v>0</v>
      </c>
      <c r="O58" s="15">
        <f t="shared" si="0"/>
        <v>90</v>
      </c>
      <c r="P58" s="15">
        <f t="shared" si="1"/>
        <v>194</v>
      </c>
      <c r="R58" s="8"/>
      <c r="T58"/>
    </row>
    <row r="59" spans="2:20" ht="23.1" customHeight="1" x14ac:dyDescent="0.25">
      <c r="B59" s="45" t="s">
        <v>101</v>
      </c>
      <c r="C59" s="50">
        <v>75</v>
      </c>
      <c r="D59" s="50">
        <v>13</v>
      </c>
      <c r="E59" s="50">
        <v>2</v>
      </c>
      <c r="F59" s="50">
        <v>14</v>
      </c>
      <c r="G59" s="50">
        <v>0</v>
      </c>
      <c r="H59" s="50">
        <v>0</v>
      </c>
      <c r="I59" s="50">
        <v>7</v>
      </c>
      <c r="J59" s="50">
        <v>0</v>
      </c>
      <c r="K59" s="50">
        <v>0</v>
      </c>
      <c r="L59" s="50">
        <v>0</v>
      </c>
      <c r="M59" s="50">
        <v>130</v>
      </c>
      <c r="N59" s="50">
        <v>0</v>
      </c>
      <c r="O59" s="15">
        <f t="shared" si="0"/>
        <v>111</v>
      </c>
      <c r="P59" s="15">
        <f t="shared" si="1"/>
        <v>241</v>
      </c>
      <c r="R59" s="8"/>
      <c r="T59"/>
    </row>
    <row r="60" spans="2:20" ht="23.1" customHeight="1" x14ac:dyDescent="0.25">
      <c r="B60" s="45" t="s">
        <v>102</v>
      </c>
      <c r="C60" s="50">
        <v>77</v>
      </c>
      <c r="D60" s="50">
        <v>0</v>
      </c>
      <c r="E60" s="50">
        <v>2</v>
      </c>
      <c r="F60" s="50">
        <v>4</v>
      </c>
      <c r="G60" s="50">
        <v>0</v>
      </c>
      <c r="H60" s="50">
        <v>2</v>
      </c>
      <c r="I60" s="50">
        <v>2</v>
      </c>
      <c r="J60" s="50">
        <v>4</v>
      </c>
      <c r="K60" s="50">
        <v>4</v>
      </c>
      <c r="L60" s="50">
        <v>0</v>
      </c>
      <c r="M60" s="50">
        <v>142</v>
      </c>
      <c r="N60" s="50">
        <v>0</v>
      </c>
      <c r="O60" s="15">
        <f t="shared" si="0"/>
        <v>95</v>
      </c>
      <c r="P60" s="15">
        <f t="shared" si="1"/>
        <v>237</v>
      </c>
      <c r="R60" s="8"/>
      <c r="T60"/>
    </row>
    <row r="61" spans="2:20" ht="23.1" customHeight="1" x14ac:dyDescent="0.25">
      <c r="B61" s="45" t="s">
        <v>103</v>
      </c>
      <c r="C61" s="50">
        <v>83</v>
      </c>
      <c r="D61" s="50">
        <v>9</v>
      </c>
      <c r="E61" s="50">
        <v>5</v>
      </c>
      <c r="F61" s="50">
        <v>19</v>
      </c>
      <c r="G61" s="50">
        <v>0</v>
      </c>
      <c r="H61" s="50">
        <v>0</v>
      </c>
      <c r="I61" s="50">
        <v>5</v>
      </c>
      <c r="J61" s="50">
        <v>0</v>
      </c>
      <c r="K61" s="50">
        <v>0</v>
      </c>
      <c r="L61" s="50">
        <v>0</v>
      </c>
      <c r="M61" s="50">
        <v>117</v>
      </c>
      <c r="N61" s="50">
        <v>0</v>
      </c>
      <c r="O61" s="15">
        <f t="shared" si="0"/>
        <v>121</v>
      </c>
      <c r="P61" s="15">
        <f t="shared" si="1"/>
        <v>238</v>
      </c>
      <c r="R61" s="8"/>
      <c r="T61"/>
    </row>
    <row r="62" spans="2:20" ht="23.1" customHeight="1" x14ac:dyDescent="0.25">
      <c r="B62" s="45" t="s">
        <v>108</v>
      </c>
      <c r="C62" s="50">
        <v>46</v>
      </c>
      <c r="D62" s="50">
        <v>20</v>
      </c>
      <c r="E62" s="50">
        <v>3</v>
      </c>
      <c r="F62" s="50">
        <v>17</v>
      </c>
      <c r="G62" s="50">
        <v>0</v>
      </c>
      <c r="H62" s="50">
        <v>2</v>
      </c>
      <c r="I62" s="50">
        <v>5</v>
      </c>
      <c r="J62" s="50">
        <v>1</v>
      </c>
      <c r="K62" s="50">
        <v>0</v>
      </c>
      <c r="L62" s="50">
        <v>0</v>
      </c>
      <c r="M62" s="50">
        <v>120</v>
      </c>
      <c r="N62" s="50">
        <v>0</v>
      </c>
      <c r="O62" s="15">
        <f t="shared" si="0"/>
        <v>94</v>
      </c>
      <c r="P62" s="15">
        <f t="shared" si="1"/>
        <v>214</v>
      </c>
      <c r="R62" s="8"/>
      <c r="T62"/>
    </row>
    <row r="63" spans="2:20" ht="23.1" customHeight="1" x14ac:dyDescent="0.25">
      <c r="B63" s="45" t="s">
        <v>109</v>
      </c>
      <c r="C63" s="50">
        <v>52</v>
      </c>
      <c r="D63" s="50">
        <v>8</v>
      </c>
      <c r="E63" s="50">
        <v>1</v>
      </c>
      <c r="F63" s="50">
        <v>10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118</v>
      </c>
      <c r="N63" s="50">
        <v>0</v>
      </c>
      <c r="O63" s="15">
        <f t="shared" si="0"/>
        <v>71</v>
      </c>
      <c r="P63" s="15">
        <f t="shared" si="1"/>
        <v>189</v>
      </c>
      <c r="R63" s="8"/>
      <c r="T63"/>
    </row>
    <row r="64" spans="2:20" ht="23.1" customHeight="1" x14ac:dyDescent="0.25">
      <c r="B64" s="45" t="s">
        <v>110</v>
      </c>
      <c r="C64" s="50">
        <v>73</v>
      </c>
      <c r="D64" s="50">
        <v>4</v>
      </c>
      <c r="E64" s="50">
        <v>10</v>
      </c>
      <c r="F64" s="50">
        <v>14</v>
      </c>
      <c r="G64" s="50">
        <v>1</v>
      </c>
      <c r="H64" s="50">
        <v>1</v>
      </c>
      <c r="I64" s="50">
        <v>2</v>
      </c>
      <c r="J64" s="50">
        <v>0</v>
      </c>
      <c r="K64" s="50">
        <v>0</v>
      </c>
      <c r="L64" s="50">
        <v>0</v>
      </c>
      <c r="M64" s="50">
        <v>133</v>
      </c>
      <c r="N64" s="50">
        <v>0</v>
      </c>
      <c r="O64" s="15">
        <f t="shared" si="0"/>
        <v>105</v>
      </c>
      <c r="P64" s="15">
        <f t="shared" si="1"/>
        <v>238</v>
      </c>
      <c r="R64" s="8"/>
      <c r="T64"/>
    </row>
    <row r="65" spans="2:20" ht="23.1" customHeight="1" x14ac:dyDescent="0.25">
      <c r="B65" s="45" t="s">
        <v>159</v>
      </c>
      <c r="C65" s="50">
        <v>48</v>
      </c>
      <c r="D65" s="50">
        <v>11</v>
      </c>
      <c r="E65" s="50">
        <v>4</v>
      </c>
      <c r="F65" s="50">
        <v>31</v>
      </c>
      <c r="G65" s="50">
        <v>0</v>
      </c>
      <c r="H65" s="50">
        <v>0</v>
      </c>
      <c r="I65" s="50">
        <v>4</v>
      </c>
      <c r="J65" s="50">
        <v>3</v>
      </c>
      <c r="K65" s="50">
        <v>0</v>
      </c>
      <c r="L65" s="50">
        <v>0</v>
      </c>
      <c r="M65" s="50">
        <v>88</v>
      </c>
      <c r="N65" s="50">
        <v>0</v>
      </c>
      <c r="O65" s="15">
        <f t="shared" si="0"/>
        <v>101</v>
      </c>
      <c r="P65" s="15">
        <f t="shared" si="1"/>
        <v>189</v>
      </c>
      <c r="R65" s="8"/>
      <c r="T65"/>
    </row>
    <row r="66" spans="2:20" ht="23.1" customHeight="1" x14ac:dyDescent="0.25">
      <c r="B66" s="45" t="s">
        <v>104</v>
      </c>
      <c r="C66" s="50">
        <v>50</v>
      </c>
      <c r="D66" s="50">
        <v>30</v>
      </c>
      <c r="E66" s="50">
        <v>5</v>
      </c>
      <c r="F66" s="50">
        <v>3</v>
      </c>
      <c r="G66" s="50">
        <v>0</v>
      </c>
      <c r="H66" s="50">
        <v>0</v>
      </c>
      <c r="I66" s="50">
        <v>14</v>
      </c>
      <c r="J66" s="50">
        <v>0</v>
      </c>
      <c r="K66" s="50">
        <v>0</v>
      </c>
      <c r="L66" s="50">
        <v>0</v>
      </c>
      <c r="M66" s="50">
        <v>105</v>
      </c>
      <c r="N66" s="50">
        <v>0</v>
      </c>
      <c r="O66" s="15">
        <f t="shared" si="0"/>
        <v>102</v>
      </c>
      <c r="P66" s="15">
        <f t="shared" si="1"/>
        <v>207</v>
      </c>
      <c r="R66" s="8"/>
      <c r="T66"/>
    </row>
    <row r="67" spans="2:20" ht="23.1" customHeight="1" x14ac:dyDescent="0.25">
      <c r="B67" s="45" t="s">
        <v>105</v>
      </c>
      <c r="C67" s="50">
        <v>47</v>
      </c>
      <c r="D67" s="50">
        <v>12</v>
      </c>
      <c r="E67" s="50">
        <v>4</v>
      </c>
      <c r="F67" s="50">
        <v>3</v>
      </c>
      <c r="G67" s="50">
        <v>0</v>
      </c>
      <c r="H67" s="50">
        <v>0</v>
      </c>
      <c r="I67" s="50">
        <v>9</v>
      </c>
      <c r="J67" s="50">
        <v>2</v>
      </c>
      <c r="K67" s="50">
        <v>0</v>
      </c>
      <c r="L67" s="50">
        <v>0</v>
      </c>
      <c r="M67" s="50">
        <v>113</v>
      </c>
      <c r="N67" s="50">
        <v>0</v>
      </c>
      <c r="O67" s="15">
        <f t="shared" si="0"/>
        <v>77</v>
      </c>
      <c r="P67" s="15">
        <f t="shared" si="1"/>
        <v>190</v>
      </c>
      <c r="R67" s="8"/>
      <c r="T67"/>
    </row>
    <row r="68" spans="2:20" ht="23.1" customHeight="1" x14ac:dyDescent="0.25">
      <c r="B68" s="45" t="s">
        <v>106</v>
      </c>
      <c r="C68" s="50">
        <v>59</v>
      </c>
      <c r="D68" s="50">
        <v>10</v>
      </c>
      <c r="E68" s="50">
        <v>3</v>
      </c>
      <c r="F68" s="50">
        <v>5</v>
      </c>
      <c r="G68" s="50">
        <v>0</v>
      </c>
      <c r="H68" s="50">
        <v>1</v>
      </c>
      <c r="I68" s="50">
        <v>4</v>
      </c>
      <c r="J68" s="50">
        <v>0</v>
      </c>
      <c r="K68" s="50">
        <v>0</v>
      </c>
      <c r="L68" s="50">
        <v>0</v>
      </c>
      <c r="M68" s="50">
        <v>92</v>
      </c>
      <c r="N68" s="50">
        <v>0</v>
      </c>
      <c r="O68" s="15">
        <f t="shared" si="0"/>
        <v>82</v>
      </c>
      <c r="P68" s="15">
        <f t="shared" si="1"/>
        <v>174</v>
      </c>
      <c r="R68" s="8"/>
      <c r="T68"/>
    </row>
    <row r="69" spans="2:20" ht="23.1" customHeight="1" x14ac:dyDescent="0.25">
      <c r="B69" s="45" t="s">
        <v>107</v>
      </c>
      <c r="C69" s="50">
        <v>55</v>
      </c>
      <c r="D69" s="50">
        <v>15</v>
      </c>
      <c r="E69" s="50">
        <v>4</v>
      </c>
      <c r="F69" s="50">
        <v>10</v>
      </c>
      <c r="G69" s="50">
        <v>0</v>
      </c>
      <c r="H69" s="50">
        <v>0</v>
      </c>
      <c r="I69" s="50">
        <v>4</v>
      </c>
      <c r="J69" s="50">
        <v>0</v>
      </c>
      <c r="K69" s="50">
        <v>0</v>
      </c>
      <c r="L69" s="50">
        <v>0</v>
      </c>
      <c r="M69" s="50">
        <v>85</v>
      </c>
      <c r="N69" s="50">
        <v>0</v>
      </c>
      <c r="O69" s="15">
        <f t="shared" si="0"/>
        <v>88</v>
      </c>
      <c r="P69" s="15">
        <f t="shared" si="1"/>
        <v>173</v>
      </c>
      <c r="R69" s="8"/>
      <c r="T69"/>
    </row>
    <row r="70" spans="2:20" ht="23.1" customHeight="1" x14ac:dyDescent="0.25">
      <c r="B70" s="45" t="s">
        <v>111</v>
      </c>
      <c r="C70" s="50">
        <v>34</v>
      </c>
      <c r="D70" s="50">
        <v>4</v>
      </c>
      <c r="E70" s="50">
        <v>0</v>
      </c>
      <c r="F70" s="50">
        <v>5</v>
      </c>
      <c r="G70" s="50">
        <v>0</v>
      </c>
      <c r="H70" s="50">
        <v>0</v>
      </c>
      <c r="I70" s="50">
        <v>3</v>
      </c>
      <c r="J70" s="50">
        <v>2</v>
      </c>
      <c r="K70" s="50">
        <v>0</v>
      </c>
      <c r="L70" s="50">
        <v>0</v>
      </c>
      <c r="M70" s="50">
        <v>54</v>
      </c>
      <c r="N70" s="50">
        <v>0</v>
      </c>
      <c r="O70" s="15">
        <f t="shared" si="0"/>
        <v>48</v>
      </c>
      <c r="P70" s="15">
        <f t="shared" si="1"/>
        <v>102</v>
      </c>
      <c r="R70" s="8"/>
      <c r="T70"/>
    </row>
    <row r="71" spans="2:20" ht="23.1" customHeight="1" x14ac:dyDescent="0.25">
      <c r="B71" s="45" t="s">
        <v>112</v>
      </c>
      <c r="C71" s="50">
        <v>21</v>
      </c>
      <c r="D71" s="50">
        <v>3</v>
      </c>
      <c r="E71" s="50">
        <v>5</v>
      </c>
      <c r="F71" s="50">
        <v>4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60</v>
      </c>
      <c r="N71" s="50">
        <v>0</v>
      </c>
      <c r="O71" s="15">
        <f t="shared" si="0"/>
        <v>33</v>
      </c>
      <c r="P71" s="15">
        <f t="shared" si="1"/>
        <v>93</v>
      </c>
      <c r="R71" s="8"/>
      <c r="T71"/>
    </row>
    <row r="72" spans="2:20" ht="23.1" customHeight="1" x14ac:dyDescent="0.25">
      <c r="B72" s="45" t="s">
        <v>113</v>
      </c>
      <c r="C72" s="50">
        <v>16</v>
      </c>
      <c r="D72" s="50">
        <v>0</v>
      </c>
      <c r="E72" s="50">
        <v>0</v>
      </c>
      <c r="F72" s="50">
        <v>1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50</v>
      </c>
      <c r="N72" s="50">
        <v>0</v>
      </c>
      <c r="O72" s="15">
        <f t="shared" si="0"/>
        <v>17</v>
      </c>
      <c r="P72" s="15">
        <f t="shared" si="1"/>
        <v>67</v>
      </c>
      <c r="R72" s="8"/>
      <c r="T72"/>
    </row>
    <row r="73" spans="2:20" ht="23.1" customHeight="1" x14ac:dyDescent="0.25">
      <c r="B73" s="45" t="s">
        <v>114</v>
      </c>
      <c r="C73" s="50">
        <v>29</v>
      </c>
      <c r="D73" s="50">
        <v>7</v>
      </c>
      <c r="E73" s="50">
        <v>7</v>
      </c>
      <c r="F73" s="50">
        <v>5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42</v>
      </c>
      <c r="N73" s="50">
        <v>0</v>
      </c>
      <c r="O73" s="15">
        <f t="shared" si="0"/>
        <v>48</v>
      </c>
      <c r="P73" s="15">
        <f t="shared" si="1"/>
        <v>90</v>
      </c>
      <c r="R73" s="8"/>
      <c r="T73"/>
    </row>
    <row r="74" spans="2:20" ht="23.1" customHeight="1" x14ac:dyDescent="0.25">
      <c r="B74" s="45" t="s">
        <v>115</v>
      </c>
      <c r="C74" s="50">
        <v>30</v>
      </c>
      <c r="D74" s="50">
        <v>9</v>
      </c>
      <c r="E74" s="50">
        <v>11</v>
      </c>
      <c r="F74" s="50">
        <v>3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v>0</v>
      </c>
      <c r="M74" s="50">
        <v>70</v>
      </c>
      <c r="N74" s="50">
        <v>0</v>
      </c>
      <c r="O74" s="15">
        <f t="shared" ref="O74:O105" si="35">SUM(C74:L74,N74)</f>
        <v>54</v>
      </c>
      <c r="P74" s="15">
        <f t="shared" ref="P74:P105" si="36">SUM(C74:N74)</f>
        <v>124</v>
      </c>
      <c r="R74" s="8"/>
      <c r="T74"/>
    </row>
    <row r="75" spans="2:20" ht="23.1" customHeight="1" x14ac:dyDescent="0.25">
      <c r="B75" s="45" t="s">
        <v>116</v>
      </c>
      <c r="C75" s="50">
        <v>44</v>
      </c>
      <c r="D75" s="50">
        <v>30</v>
      </c>
      <c r="E75" s="50">
        <v>5</v>
      </c>
      <c r="F75" s="50">
        <v>5</v>
      </c>
      <c r="G75" s="50">
        <v>0</v>
      </c>
      <c r="H75" s="50">
        <v>0</v>
      </c>
      <c r="I75" s="50">
        <v>2</v>
      </c>
      <c r="J75" s="50">
        <v>1</v>
      </c>
      <c r="K75" s="50">
        <v>0</v>
      </c>
      <c r="L75" s="50">
        <v>0</v>
      </c>
      <c r="M75" s="50">
        <v>54</v>
      </c>
      <c r="N75" s="50">
        <v>0</v>
      </c>
      <c r="O75" s="15">
        <f t="shared" si="35"/>
        <v>87</v>
      </c>
      <c r="P75" s="15">
        <f t="shared" si="36"/>
        <v>141</v>
      </c>
      <c r="R75" s="8"/>
      <c r="T75"/>
    </row>
    <row r="76" spans="2:20" ht="23.1" customHeight="1" x14ac:dyDescent="0.25">
      <c r="B76" s="45" t="s">
        <v>117</v>
      </c>
      <c r="C76" s="50">
        <v>40</v>
      </c>
      <c r="D76" s="50">
        <v>25</v>
      </c>
      <c r="E76" s="50">
        <v>10</v>
      </c>
      <c r="F76" s="50">
        <v>6</v>
      </c>
      <c r="G76" s="50">
        <v>0</v>
      </c>
      <c r="H76" s="50">
        <v>0</v>
      </c>
      <c r="I76" s="50">
        <v>2</v>
      </c>
      <c r="J76" s="50">
        <v>0</v>
      </c>
      <c r="K76" s="50">
        <v>0</v>
      </c>
      <c r="L76" s="50">
        <v>0</v>
      </c>
      <c r="M76" s="50">
        <v>62</v>
      </c>
      <c r="N76" s="50">
        <v>0</v>
      </c>
      <c r="O76" s="15">
        <f t="shared" si="35"/>
        <v>83</v>
      </c>
      <c r="P76" s="15">
        <f t="shared" si="36"/>
        <v>145</v>
      </c>
      <c r="R76" s="8"/>
      <c r="T76"/>
    </row>
    <row r="77" spans="2:20" ht="23.1" customHeight="1" x14ac:dyDescent="0.25">
      <c r="B77" s="45" t="s">
        <v>118</v>
      </c>
      <c r="C77" s="50">
        <v>33</v>
      </c>
      <c r="D77" s="50">
        <v>12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43</v>
      </c>
      <c r="N77" s="50">
        <v>0</v>
      </c>
      <c r="O77" s="15">
        <f t="shared" si="35"/>
        <v>45</v>
      </c>
      <c r="P77" s="15">
        <f t="shared" si="36"/>
        <v>88</v>
      </c>
      <c r="R77" s="8"/>
      <c r="T77"/>
    </row>
    <row r="78" spans="2:20" ht="23.1" customHeight="1" x14ac:dyDescent="0.25">
      <c r="B78" s="46" t="s">
        <v>119</v>
      </c>
      <c r="C78" s="50">
        <v>9</v>
      </c>
      <c r="D78" s="50">
        <v>5</v>
      </c>
      <c r="E78" s="50">
        <v>0</v>
      </c>
      <c r="F78" s="50">
        <v>0</v>
      </c>
      <c r="G78" s="50">
        <v>0</v>
      </c>
      <c r="H78" s="50">
        <v>2</v>
      </c>
      <c r="I78" s="50">
        <v>0</v>
      </c>
      <c r="J78" s="50">
        <v>0</v>
      </c>
      <c r="K78" s="50">
        <v>0</v>
      </c>
      <c r="L78" s="50">
        <v>0</v>
      </c>
      <c r="M78" s="50">
        <v>34</v>
      </c>
      <c r="N78" s="50">
        <v>0</v>
      </c>
      <c r="O78" s="15">
        <f t="shared" si="35"/>
        <v>16</v>
      </c>
      <c r="P78" s="15">
        <f t="shared" si="36"/>
        <v>50</v>
      </c>
      <c r="R78" s="8"/>
      <c r="T78"/>
    </row>
    <row r="79" spans="2:20" ht="23.1" customHeight="1" x14ac:dyDescent="0.25">
      <c r="B79" s="45" t="s">
        <v>120</v>
      </c>
      <c r="C79" s="50">
        <v>20</v>
      </c>
      <c r="D79" s="50">
        <v>11</v>
      </c>
      <c r="E79" s="50">
        <v>1</v>
      </c>
      <c r="F79" s="50">
        <v>1</v>
      </c>
      <c r="G79" s="50">
        <v>0</v>
      </c>
      <c r="H79" s="50">
        <v>1</v>
      </c>
      <c r="I79" s="50">
        <v>3</v>
      </c>
      <c r="J79" s="50">
        <v>0</v>
      </c>
      <c r="K79" s="50">
        <v>0</v>
      </c>
      <c r="L79" s="50">
        <v>0</v>
      </c>
      <c r="M79" s="50">
        <v>42</v>
      </c>
      <c r="N79" s="50">
        <v>0</v>
      </c>
      <c r="O79" s="15">
        <f t="shared" si="35"/>
        <v>37</v>
      </c>
      <c r="P79" s="15">
        <f t="shared" si="36"/>
        <v>79</v>
      </c>
      <c r="R79" s="8"/>
      <c r="T79"/>
    </row>
    <row r="80" spans="2:20" ht="23.1" customHeight="1" x14ac:dyDescent="0.25">
      <c r="B80" s="47" t="s">
        <v>121</v>
      </c>
      <c r="C80" s="50">
        <v>16</v>
      </c>
      <c r="D80" s="50">
        <v>5</v>
      </c>
      <c r="E80" s="50">
        <v>3</v>
      </c>
      <c r="F80" s="50">
        <v>4</v>
      </c>
      <c r="G80" s="50">
        <v>0</v>
      </c>
      <c r="H80" s="50">
        <v>1</v>
      </c>
      <c r="I80" s="50">
        <v>2</v>
      </c>
      <c r="J80" s="50">
        <v>0</v>
      </c>
      <c r="K80" s="50">
        <v>0</v>
      </c>
      <c r="L80" s="50">
        <v>0</v>
      </c>
      <c r="M80" s="50">
        <v>27</v>
      </c>
      <c r="N80" s="50">
        <v>0</v>
      </c>
      <c r="O80" s="15">
        <f t="shared" si="35"/>
        <v>31</v>
      </c>
      <c r="P80" s="15">
        <f t="shared" si="36"/>
        <v>58</v>
      </c>
      <c r="R80" s="8"/>
      <c r="T80"/>
    </row>
    <row r="81" spans="2:20" ht="23.1" customHeight="1" x14ac:dyDescent="0.25">
      <c r="B81" s="45" t="s">
        <v>122</v>
      </c>
      <c r="C81" s="50">
        <v>11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34</v>
      </c>
      <c r="N81" s="50">
        <v>0</v>
      </c>
      <c r="O81" s="15">
        <f t="shared" si="35"/>
        <v>11</v>
      </c>
      <c r="P81" s="15">
        <f t="shared" si="36"/>
        <v>45</v>
      </c>
      <c r="R81" s="8"/>
      <c r="T81"/>
    </row>
    <row r="82" spans="2:20" ht="23.1" customHeight="1" x14ac:dyDescent="0.25">
      <c r="B82" s="46" t="s">
        <v>123</v>
      </c>
      <c r="C82" s="50">
        <v>22</v>
      </c>
      <c r="D82" s="50">
        <v>3</v>
      </c>
      <c r="E82" s="50">
        <v>0</v>
      </c>
      <c r="F82" s="50">
        <v>1</v>
      </c>
      <c r="G82" s="50">
        <v>0</v>
      </c>
      <c r="H82" s="50">
        <v>0</v>
      </c>
      <c r="I82" s="50">
        <v>1</v>
      </c>
      <c r="J82" s="50">
        <v>1</v>
      </c>
      <c r="K82" s="50">
        <v>0</v>
      </c>
      <c r="L82" s="50">
        <v>0</v>
      </c>
      <c r="M82" s="50">
        <v>36</v>
      </c>
      <c r="N82" s="50">
        <v>0</v>
      </c>
      <c r="O82" s="15">
        <f t="shared" si="35"/>
        <v>28</v>
      </c>
      <c r="P82" s="15">
        <f t="shared" si="36"/>
        <v>64</v>
      </c>
      <c r="R82" s="8"/>
      <c r="T82"/>
    </row>
    <row r="83" spans="2:20" ht="23.1" customHeight="1" x14ac:dyDescent="0.25">
      <c r="B83" s="45" t="s">
        <v>124</v>
      </c>
      <c r="C83" s="50">
        <v>20</v>
      </c>
      <c r="D83" s="50">
        <v>5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42</v>
      </c>
      <c r="N83" s="50">
        <v>0</v>
      </c>
      <c r="O83" s="15">
        <f t="shared" si="35"/>
        <v>25</v>
      </c>
      <c r="P83" s="15">
        <f t="shared" si="36"/>
        <v>67</v>
      </c>
      <c r="R83" s="8"/>
      <c r="T83"/>
    </row>
    <row r="84" spans="2:20" ht="23.1" customHeight="1" x14ac:dyDescent="0.25">
      <c r="B84" s="47" t="s">
        <v>125</v>
      </c>
      <c r="C84" s="50">
        <v>8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26</v>
      </c>
      <c r="N84" s="50">
        <v>0</v>
      </c>
      <c r="O84" s="15">
        <f t="shared" si="35"/>
        <v>9</v>
      </c>
      <c r="P84" s="15">
        <f t="shared" si="36"/>
        <v>35</v>
      </c>
      <c r="R84" s="8"/>
      <c r="T84"/>
    </row>
    <row r="85" spans="2:20" ht="23.1" customHeight="1" x14ac:dyDescent="0.25">
      <c r="B85" s="45" t="s">
        <v>126</v>
      </c>
      <c r="C85" s="50">
        <v>19</v>
      </c>
      <c r="D85" s="50">
        <v>2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40</v>
      </c>
      <c r="N85" s="50">
        <v>0</v>
      </c>
      <c r="O85" s="15">
        <f t="shared" si="35"/>
        <v>21</v>
      </c>
      <c r="P85" s="15">
        <f t="shared" si="36"/>
        <v>61</v>
      </c>
      <c r="R85" s="8"/>
      <c r="T85"/>
    </row>
    <row r="86" spans="2:20" ht="23.1" customHeight="1" x14ac:dyDescent="0.25">
      <c r="B86" s="46" t="s">
        <v>127</v>
      </c>
      <c r="C86" s="50">
        <v>28</v>
      </c>
      <c r="D86" s="50">
        <v>3</v>
      </c>
      <c r="E86" s="50">
        <v>1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54</v>
      </c>
      <c r="N86" s="50">
        <v>0</v>
      </c>
      <c r="O86" s="15">
        <f t="shared" si="35"/>
        <v>32</v>
      </c>
      <c r="P86" s="15">
        <f t="shared" si="36"/>
        <v>86</v>
      </c>
      <c r="R86" s="8"/>
      <c r="T86"/>
    </row>
    <row r="87" spans="2:20" ht="23.1" customHeight="1" x14ac:dyDescent="0.25">
      <c r="B87" s="45" t="s">
        <v>128</v>
      </c>
      <c r="C87" s="50">
        <v>29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47</v>
      </c>
      <c r="N87" s="50">
        <v>0</v>
      </c>
      <c r="O87" s="15">
        <f t="shared" si="35"/>
        <v>31</v>
      </c>
      <c r="P87" s="15">
        <f t="shared" si="36"/>
        <v>78</v>
      </c>
      <c r="R87" s="8"/>
      <c r="T87"/>
    </row>
    <row r="88" spans="2:20" ht="23.1" customHeight="1" x14ac:dyDescent="0.25">
      <c r="B88" s="47" t="s">
        <v>129</v>
      </c>
      <c r="C88" s="50">
        <v>32</v>
      </c>
      <c r="D88" s="50">
        <v>4</v>
      </c>
      <c r="E88" s="50">
        <v>5</v>
      </c>
      <c r="F88" s="50">
        <v>3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34</v>
      </c>
      <c r="N88" s="50">
        <v>0</v>
      </c>
      <c r="O88" s="15">
        <f t="shared" si="35"/>
        <v>44</v>
      </c>
      <c r="P88" s="15">
        <f t="shared" si="36"/>
        <v>78</v>
      </c>
      <c r="R88" s="8"/>
      <c r="T88"/>
    </row>
    <row r="89" spans="2:20" ht="23.1" customHeight="1" x14ac:dyDescent="0.25">
      <c r="B89" s="45" t="s">
        <v>130</v>
      </c>
      <c r="C89" s="50">
        <v>21</v>
      </c>
      <c r="D89" s="50">
        <v>1</v>
      </c>
      <c r="E89" s="50">
        <v>0</v>
      </c>
      <c r="F89" s="50">
        <v>1</v>
      </c>
      <c r="G89" s="50">
        <v>0</v>
      </c>
      <c r="H89" s="50">
        <v>0</v>
      </c>
      <c r="I89" s="50">
        <v>0</v>
      </c>
      <c r="J89" s="50">
        <v>3</v>
      </c>
      <c r="K89" s="50">
        <v>1</v>
      </c>
      <c r="L89" s="50">
        <v>0</v>
      </c>
      <c r="M89" s="50">
        <v>30</v>
      </c>
      <c r="N89" s="50">
        <v>0</v>
      </c>
      <c r="O89" s="15">
        <f t="shared" si="35"/>
        <v>27</v>
      </c>
      <c r="P89" s="15">
        <f t="shared" si="36"/>
        <v>57</v>
      </c>
      <c r="R89" s="8"/>
      <c r="T89"/>
    </row>
    <row r="90" spans="2:20" ht="23.1" customHeight="1" x14ac:dyDescent="0.25">
      <c r="B90" s="46" t="s">
        <v>131</v>
      </c>
      <c r="C90" s="50">
        <v>25</v>
      </c>
      <c r="D90" s="50">
        <v>6</v>
      </c>
      <c r="E90" s="50">
        <v>0</v>
      </c>
      <c r="F90" s="50">
        <v>3</v>
      </c>
      <c r="G90" s="50">
        <v>0</v>
      </c>
      <c r="H90" s="50">
        <v>0</v>
      </c>
      <c r="I90" s="50">
        <v>3</v>
      </c>
      <c r="J90" s="50">
        <v>0</v>
      </c>
      <c r="K90" s="50">
        <v>0</v>
      </c>
      <c r="L90" s="50">
        <v>0</v>
      </c>
      <c r="M90" s="50">
        <v>19</v>
      </c>
      <c r="N90" s="50">
        <v>0</v>
      </c>
      <c r="O90" s="15">
        <f t="shared" si="35"/>
        <v>37</v>
      </c>
      <c r="P90" s="15">
        <f t="shared" si="36"/>
        <v>56</v>
      </c>
      <c r="R90" s="8"/>
      <c r="T90"/>
    </row>
    <row r="91" spans="2:20" ht="23.1" customHeight="1" x14ac:dyDescent="0.25">
      <c r="B91" s="45" t="s">
        <v>132</v>
      </c>
      <c r="C91" s="50">
        <v>19</v>
      </c>
      <c r="D91" s="50">
        <v>1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26</v>
      </c>
      <c r="N91" s="50">
        <v>0</v>
      </c>
      <c r="O91" s="15">
        <f t="shared" si="35"/>
        <v>21</v>
      </c>
      <c r="P91" s="15">
        <f t="shared" si="36"/>
        <v>47</v>
      </c>
      <c r="R91" s="8"/>
      <c r="T91"/>
    </row>
    <row r="92" spans="2:20" ht="23.1" customHeight="1" x14ac:dyDescent="0.25">
      <c r="B92" s="47" t="s">
        <v>133</v>
      </c>
      <c r="C92" s="50">
        <v>10</v>
      </c>
      <c r="D92" s="50">
        <v>4</v>
      </c>
      <c r="E92" s="50">
        <v>0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12</v>
      </c>
      <c r="N92" s="50">
        <v>0</v>
      </c>
      <c r="O92" s="15">
        <f t="shared" si="35"/>
        <v>15</v>
      </c>
      <c r="P92" s="15">
        <f t="shared" si="36"/>
        <v>27</v>
      </c>
      <c r="R92" s="8"/>
      <c r="T92"/>
    </row>
    <row r="93" spans="2:20" ht="23.1" customHeight="1" x14ac:dyDescent="0.25">
      <c r="B93" s="45" t="s">
        <v>134</v>
      </c>
      <c r="C93" s="50">
        <v>3</v>
      </c>
      <c r="D93" s="50">
        <v>3</v>
      </c>
      <c r="E93" s="50">
        <v>1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32</v>
      </c>
      <c r="N93" s="50">
        <v>0</v>
      </c>
      <c r="O93" s="15">
        <f t="shared" si="35"/>
        <v>8</v>
      </c>
      <c r="P93" s="15">
        <f t="shared" si="36"/>
        <v>40</v>
      </c>
      <c r="R93" s="8"/>
      <c r="T93"/>
    </row>
    <row r="94" spans="2:20" ht="23.1" customHeight="1" x14ac:dyDescent="0.25">
      <c r="B94" s="46" t="s">
        <v>135</v>
      </c>
      <c r="C94" s="50">
        <v>20</v>
      </c>
      <c r="D94" s="50">
        <v>15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28</v>
      </c>
      <c r="N94" s="50">
        <v>0</v>
      </c>
      <c r="O94" s="15">
        <f t="shared" si="35"/>
        <v>36</v>
      </c>
      <c r="P94" s="15">
        <f t="shared" si="36"/>
        <v>64</v>
      </c>
      <c r="R94" s="8"/>
      <c r="T94"/>
    </row>
    <row r="95" spans="2:20" ht="23.1" customHeight="1" x14ac:dyDescent="0.25">
      <c r="B95" s="45" t="s">
        <v>136</v>
      </c>
      <c r="C95" s="50">
        <v>12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19</v>
      </c>
      <c r="N95" s="50">
        <v>0</v>
      </c>
      <c r="O95" s="15">
        <f t="shared" si="35"/>
        <v>12</v>
      </c>
      <c r="P95" s="15">
        <f t="shared" si="36"/>
        <v>31</v>
      </c>
      <c r="R95" s="8"/>
      <c r="T95"/>
    </row>
    <row r="96" spans="2:20" ht="23.1" customHeight="1" x14ac:dyDescent="0.25">
      <c r="B96" s="47" t="s">
        <v>137</v>
      </c>
      <c r="C96" s="50">
        <v>8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10</v>
      </c>
      <c r="N96" s="50">
        <v>0</v>
      </c>
      <c r="O96" s="15">
        <f t="shared" si="35"/>
        <v>8</v>
      </c>
      <c r="P96" s="15">
        <f t="shared" si="36"/>
        <v>18</v>
      </c>
      <c r="R96" s="8"/>
      <c r="T96"/>
    </row>
    <row r="97" spans="2:20" ht="23.1" customHeight="1" x14ac:dyDescent="0.25">
      <c r="B97" s="45" t="s">
        <v>138</v>
      </c>
      <c r="C97" s="50">
        <v>10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8</v>
      </c>
      <c r="N97" s="50">
        <v>0</v>
      </c>
      <c r="O97" s="15">
        <f t="shared" si="35"/>
        <v>10</v>
      </c>
      <c r="P97" s="15">
        <f t="shared" si="36"/>
        <v>18</v>
      </c>
      <c r="R97" s="8"/>
      <c r="T97"/>
    </row>
    <row r="98" spans="2:20" ht="23.1" customHeight="1" x14ac:dyDescent="0.25">
      <c r="B98" s="46" t="s">
        <v>139</v>
      </c>
      <c r="C98" s="50">
        <v>4</v>
      </c>
      <c r="D98" s="50">
        <v>4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14</v>
      </c>
      <c r="N98" s="50">
        <v>0</v>
      </c>
      <c r="O98" s="15">
        <f t="shared" si="35"/>
        <v>8</v>
      </c>
      <c r="P98" s="15">
        <f t="shared" si="36"/>
        <v>22</v>
      </c>
      <c r="R98" s="8"/>
      <c r="T98"/>
    </row>
    <row r="99" spans="2:20" ht="23.1" customHeight="1" x14ac:dyDescent="0.25">
      <c r="B99" s="45" t="s">
        <v>140</v>
      </c>
      <c r="C99" s="50">
        <v>10</v>
      </c>
      <c r="D99" s="50">
        <v>2</v>
      </c>
      <c r="E99" s="50">
        <v>1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10</v>
      </c>
      <c r="N99" s="50">
        <v>0</v>
      </c>
      <c r="O99" s="15">
        <f t="shared" si="35"/>
        <v>13</v>
      </c>
      <c r="P99" s="15">
        <f t="shared" si="36"/>
        <v>23</v>
      </c>
      <c r="R99" s="8"/>
      <c r="T99"/>
    </row>
    <row r="100" spans="2:20" ht="23.1" customHeight="1" x14ac:dyDescent="0.25">
      <c r="B100" s="47" t="s">
        <v>141</v>
      </c>
      <c r="C100" s="50">
        <v>6</v>
      </c>
      <c r="D100" s="50">
        <v>7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22</v>
      </c>
      <c r="N100" s="50">
        <v>0</v>
      </c>
      <c r="O100" s="15">
        <f t="shared" si="35"/>
        <v>13</v>
      </c>
      <c r="P100" s="15">
        <f t="shared" si="36"/>
        <v>35</v>
      </c>
      <c r="R100" s="8"/>
      <c r="T100"/>
    </row>
    <row r="101" spans="2:20" ht="23.1" customHeight="1" x14ac:dyDescent="0.25">
      <c r="B101" s="45" t="s">
        <v>142</v>
      </c>
      <c r="C101" s="50">
        <v>8</v>
      </c>
      <c r="D101" s="50">
        <v>4</v>
      </c>
      <c r="E101" s="50">
        <v>0</v>
      </c>
      <c r="F101" s="50">
        <v>2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16</v>
      </c>
      <c r="N101" s="50">
        <v>0</v>
      </c>
      <c r="O101" s="15">
        <f t="shared" si="35"/>
        <v>14</v>
      </c>
      <c r="P101" s="15">
        <f t="shared" si="36"/>
        <v>30</v>
      </c>
      <c r="R101" s="8"/>
      <c r="T101"/>
    </row>
    <row r="102" spans="2:20" ht="23.1" customHeight="1" x14ac:dyDescent="0.25">
      <c r="B102" s="46" t="s">
        <v>143</v>
      </c>
      <c r="C102" s="50">
        <v>4</v>
      </c>
      <c r="D102" s="50">
        <v>1</v>
      </c>
      <c r="E102" s="50">
        <v>3</v>
      </c>
      <c r="F102" s="50">
        <v>1</v>
      </c>
      <c r="G102" s="50">
        <v>0</v>
      </c>
      <c r="H102" s="50">
        <v>0</v>
      </c>
      <c r="I102" s="50">
        <v>2</v>
      </c>
      <c r="J102" s="50">
        <v>0</v>
      </c>
      <c r="K102" s="50">
        <v>0</v>
      </c>
      <c r="L102" s="50">
        <v>0</v>
      </c>
      <c r="M102" s="50">
        <v>12</v>
      </c>
      <c r="N102" s="50">
        <v>0</v>
      </c>
      <c r="O102" s="15">
        <f t="shared" si="35"/>
        <v>11</v>
      </c>
      <c r="P102" s="15">
        <f t="shared" si="36"/>
        <v>23</v>
      </c>
      <c r="R102" s="8"/>
      <c r="T102"/>
    </row>
    <row r="103" spans="2:20" ht="23.1" customHeight="1" x14ac:dyDescent="0.25">
      <c r="B103" s="45" t="s">
        <v>144</v>
      </c>
      <c r="C103" s="50">
        <v>3</v>
      </c>
      <c r="D103" s="50">
        <v>3</v>
      </c>
      <c r="E103" s="50">
        <v>0</v>
      </c>
      <c r="F103" s="50">
        <v>2</v>
      </c>
      <c r="G103" s="50">
        <v>0</v>
      </c>
      <c r="H103" s="50">
        <v>0</v>
      </c>
      <c r="I103" s="50">
        <v>3</v>
      </c>
      <c r="J103" s="50">
        <v>0</v>
      </c>
      <c r="K103" s="50">
        <v>0</v>
      </c>
      <c r="L103" s="50">
        <v>0</v>
      </c>
      <c r="M103" s="50">
        <v>12</v>
      </c>
      <c r="N103" s="50">
        <v>0</v>
      </c>
      <c r="O103" s="15">
        <f t="shared" si="35"/>
        <v>11</v>
      </c>
      <c r="P103" s="15">
        <f t="shared" si="36"/>
        <v>23</v>
      </c>
      <c r="R103" s="8"/>
      <c r="T103"/>
    </row>
    <row r="104" spans="2:20" ht="23.1" customHeight="1" x14ac:dyDescent="0.25">
      <c r="B104" s="47" t="s">
        <v>145</v>
      </c>
      <c r="C104" s="50">
        <v>4</v>
      </c>
      <c r="D104" s="50">
        <v>1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2</v>
      </c>
      <c r="M104" s="50">
        <v>13</v>
      </c>
      <c r="N104" s="50">
        <v>0</v>
      </c>
      <c r="O104" s="15">
        <f t="shared" si="35"/>
        <v>7</v>
      </c>
      <c r="P104" s="15">
        <f t="shared" si="36"/>
        <v>20</v>
      </c>
      <c r="R104" s="8"/>
      <c r="T104"/>
    </row>
    <row r="105" spans="2:20" ht="23.1" customHeight="1" x14ac:dyDescent="0.25">
      <c r="B105" s="45" t="s">
        <v>146</v>
      </c>
      <c r="C105" s="50">
        <v>3</v>
      </c>
      <c r="D105" s="50">
        <v>2</v>
      </c>
      <c r="E105" s="50">
        <v>0</v>
      </c>
      <c r="F105" s="50">
        <v>2</v>
      </c>
      <c r="G105" s="50">
        <v>0</v>
      </c>
      <c r="H105" s="50">
        <v>0</v>
      </c>
      <c r="I105" s="50">
        <v>2</v>
      </c>
      <c r="J105" s="50">
        <v>1</v>
      </c>
      <c r="K105" s="50">
        <v>0</v>
      </c>
      <c r="L105" s="50">
        <v>0</v>
      </c>
      <c r="M105" s="50">
        <v>8</v>
      </c>
      <c r="N105" s="50">
        <v>0</v>
      </c>
      <c r="O105" s="15">
        <f t="shared" si="35"/>
        <v>10</v>
      </c>
      <c r="P105" s="15">
        <f t="shared" si="36"/>
        <v>18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4324</v>
      </c>
      <c r="D106" s="16">
        <f t="shared" ref="D106:P106" si="37">SUM(D10:D105)</f>
        <v>1017</v>
      </c>
      <c r="E106" s="16">
        <f t="shared" si="37"/>
        <v>447</v>
      </c>
      <c r="F106" s="16">
        <f t="shared" si="37"/>
        <v>1406</v>
      </c>
      <c r="G106" s="16">
        <f t="shared" si="37"/>
        <v>19</v>
      </c>
      <c r="H106" s="16">
        <f t="shared" si="37"/>
        <v>16</v>
      </c>
      <c r="I106" s="16">
        <f t="shared" si="37"/>
        <v>217</v>
      </c>
      <c r="J106" s="16">
        <f t="shared" si="37"/>
        <v>96</v>
      </c>
      <c r="K106" s="16">
        <f t="shared" si="37"/>
        <v>28</v>
      </c>
      <c r="L106" s="16">
        <f t="shared" si="37"/>
        <v>14</v>
      </c>
      <c r="M106" s="16">
        <f t="shared" si="37"/>
        <v>12333</v>
      </c>
      <c r="N106" s="16">
        <f t="shared" si="37"/>
        <v>0</v>
      </c>
      <c r="O106" s="16">
        <f t="shared" si="37"/>
        <v>7584</v>
      </c>
      <c r="P106" s="16">
        <f t="shared" si="37"/>
        <v>19917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0.21710096902143897</v>
      </c>
      <c r="D107" s="43">
        <f t="shared" si="38"/>
        <v>5.1061906913691821E-2</v>
      </c>
      <c r="E107" s="43">
        <f t="shared" si="38"/>
        <v>2.2443139026961892E-2</v>
      </c>
      <c r="F107" s="43">
        <f t="shared" si="38"/>
        <v>7.0592960787267164E-2</v>
      </c>
      <c r="G107" s="43">
        <f t="shared" si="38"/>
        <v>9.5395892955766433E-4</v>
      </c>
      <c r="H107" s="43">
        <f t="shared" si="38"/>
        <v>8.0333383541698043E-4</v>
      </c>
      <c r="I107" s="43">
        <f t="shared" si="38"/>
        <v>1.0895215142842798E-2</v>
      </c>
      <c r="J107" s="43">
        <f t="shared" si="38"/>
        <v>4.820003012501883E-3</v>
      </c>
      <c r="K107" s="43">
        <f t="shared" si="38"/>
        <v>1.4058342119797158E-3</v>
      </c>
      <c r="L107" s="43">
        <f t="shared" si="38"/>
        <v>7.029171059898579E-4</v>
      </c>
      <c r="M107" s="43">
        <f t="shared" si="38"/>
        <v>0.61921976201235129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0.57014767932489452</v>
      </c>
      <c r="D108" s="44">
        <f t="shared" ref="D108:N108" si="39">D106/$O$106</f>
        <v>0.13409810126582278</v>
      </c>
      <c r="E108" s="44">
        <f t="shared" si="39"/>
        <v>5.8939873417721521E-2</v>
      </c>
      <c r="F108" s="44">
        <f t="shared" si="39"/>
        <v>0.18539029535864979</v>
      </c>
      <c r="G108" s="44">
        <f t="shared" si="39"/>
        <v>2.5052742616033757E-3</v>
      </c>
      <c r="H108" s="44">
        <f t="shared" si="39"/>
        <v>2.1097046413502108E-3</v>
      </c>
      <c r="I108" s="44">
        <f t="shared" si="39"/>
        <v>2.8612869198312237E-2</v>
      </c>
      <c r="J108" s="44">
        <f t="shared" si="39"/>
        <v>1.2658227848101266E-2</v>
      </c>
      <c r="K108" s="44">
        <f t="shared" si="39"/>
        <v>3.6919831223628692E-3</v>
      </c>
      <c r="L108" s="44">
        <f t="shared" si="39"/>
        <v>1.8459915611814346E-3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37" zoomScale="60" workbookViewId="0">
      <selection activeCell="M9" sqref="M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Kibuye-Makindye'!C3:G3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'27.07 Kibuye-Makindye-24h'!D5</f>
        <v>27.07.19</v>
      </c>
      <c r="E5" s="3"/>
      <c r="F5" s="41" t="s">
        <v>1</v>
      </c>
      <c r="G5" s="63" t="str">
        <f>'27.07 Kibuye-Makindye-24h'!G5:H5</f>
        <v>FUELEX MAKINDYE</v>
      </c>
      <c r="H5" s="64"/>
      <c r="I5" s="14"/>
      <c r="J5" s="2" t="s">
        <v>5</v>
      </c>
      <c r="K5" s="63" t="str">
        <f>'27.07 Kibuye-Makindye-24h'!K5:L5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Makindye-Kibuye'!D6:E6</f>
        <v>MAKINDYE</v>
      </c>
      <c r="E6" s="64"/>
      <c r="F6" s="2" t="s">
        <v>2</v>
      </c>
      <c r="G6" s="63" t="str">
        <f>'22.07 Makindye-Kibuye'!G6:H6</f>
        <v>KIBUYE</v>
      </c>
      <c r="H6" s="64"/>
      <c r="J6" s="2" t="s">
        <v>21</v>
      </c>
      <c r="K6" s="63" t="str">
        <f>'27.07 Kibuye-Makindye-24h'!K6:L6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20</v>
      </c>
      <c r="D10" s="50">
        <v>3</v>
      </c>
      <c r="E10" s="50">
        <v>2</v>
      </c>
      <c r="F10" s="50">
        <v>33</v>
      </c>
      <c r="G10" s="50">
        <v>0</v>
      </c>
      <c r="H10" s="50">
        <v>0</v>
      </c>
      <c r="I10" s="50">
        <v>2</v>
      </c>
      <c r="J10" s="50">
        <v>1</v>
      </c>
      <c r="K10" s="50">
        <v>0</v>
      </c>
      <c r="L10" s="50">
        <v>0</v>
      </c>
      <c r="M10" s="50">
        <v>245</v>
      </c>
      <c r="N10" s="50">
        <v>0</v>
      </c>
      <c r="O10" s="15">
        <f t="shared" ref="O10:O73" si="0">SUM(C10:L10,N10)</f>
        <v>61</v>
      </c>
      <c r="P10" s="15">
        <f t="shared" ref="P10:P73" si="1">SUM(C10:N10)</f>
        <v>306</v>
      </c>
      <c r="R10" s="1" t="s">
        <v>6</v>
      </c>
      <c r="S10" s="17">
        <f t="shared" ref="S10:AF10" si="2">SUM(C10:C13)</f>
        <v>138</v>
      </c>
      <c r="T10" s="17">
        <f t="shared" si="2"/>
        <v>13</v>
      </c>
      <c r="U10" s="17">
        <f t="shared" si="2"/>
        <v>13</v>
      </c>
      <c r="V10" s="17">
        <f t="shared" si="2"/>
        <v>171</v>
      </c>
      <c r="W10" s="17">
        <f t="shared" si="2"/>
        <v>3</v>
      </c>
      <c r="X10" s="17">
        <f t="shared" si="2"/>
        <v>0</v>
      </c>
      <c r="Y10" s="17">
        <f t="shared" si="2"/>
        <v>15</v>
      </c>
      <c r="Z10" s="17">
        <f t="shared" si="2"/>
        <v>6</v>
      </c>
      <c r="AA10" s="17">
        <f t="shared" si="2"/>
        <v>1</v>
      </c>
      <c r="AB10" s="17">
        <f t="shared" si="2"/>
        <v>0</v>
      </c>
      <c r="AC10" s="17">
        <f t="shared" si="2"/>
        <v>880</v>
      </c>
      <c r="AD10" s="17">
        <f t="shared" si="2"/>
        <v>0</v>
      </c>
      <c r="AE10" s="31">
        <f t="shared" si="2"/>
        <v>360</v>
      </c>
      <c r="AF10" s="31">
        <f t="shared" si="2"/>
        <v>1240</v>
      </c>
    </row>
    <row r="11" spans="2:32" s="6" customFormat="1" ht="23.1" customHeight="1" x14ac:dyDescent="0.25">
      <c r="B11" s="45" t="s">
        <v>38</v>
      </c>
      <c r="C11" s="50">
        <v>25</v>
      </c>
      <c r="D11" s="50">
        <v>6</v>
      </c>
      <c r="E11" s="50">
        <v>3</v>
      </c>
      <c r="F11" s="50">
        <v>32</v>
      </c>
      <c r="G11" s="50">
        <v>2</v>
      </c>
      <c r="H11" s="50">
        <v>0</v>
      </c>
      <c r="I11" s="50">
        <v>4</v>
      </c>
      <c r="J11" s="50">
        <v>3</v>
      </c>
      <c r="K11" s="50">
        <v>0</v>
      </c>
      <c r="L11" s="50">
        <v>0</v>
      </c>
      <c r="M11" s="50">
        <v>210</v>
      </c>
      <c r="N11" s="50">
        <v>0</v>
      </c>
      <c r="O11" s="15">
        <f t="shared" si="0"/>
        <v>75</v>
      </c>
      <c r="P11" s="15">
        <f t="shared" si="1"/>
        <v>285</v>
      </c>
      <c r="R11" s="1" t="s">
        <v>7</v>
      </c>
      <c r="S11" s="17">
        <f t="shared" ref="S11:AF11" si="3">SUM(C14:C17)</f>
        <v>228</v>
      </c>
      <c r="T11" s="17">
        <f t="shared" si="3"/>
        <v>21</v>
      </c>
      <c r="U11" s="17">
        <f t="shared" si="3"/>
        <v>12</v>
      </c>
      <c r="V11" s="17">
        <f t="shared" si="3"/>
        <v>231</v>
      </c>
      <c r="W11" s="17">
        <f t="shared" si="3"/>
        <v>0</v>
      </c>
      <c r="X11" s="17">
        <f t="shared" si="3"/>
        <v>0</v>
      </c>
      <c r="Y11" s="17">
        <f t="shared" si="3"/>
        <v>12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855</v>
      </c>
      <c r="AD11" s="17">
        <f t="shared" si="3"/>
        <v>0</v>
      </c>
      <c r="AE11" s="31">
        <f t="shared" si="3"/>
        <v>508</v>
      </c>
      <c r="AF11" s="31">
        <f t="shared" si="3"/>
        <v>1363</v>
      </c>
    </row>
    <row r="12" spans="2:32" ht="23.1" customHeight="1" x14ac:dyDescent="0.25">
      <c r="B12" s="45" t="s">
        <v>39</v>
      </c>
      <c r="C12" s="50">
        <v>50</v>
      </c>
      <c r="D12" s="50">
        <v>0</v>
      </c>
      <c r="E12" s="50">
        <v>5</v>
      </c>
      <c r="F12" s="50">
        <v>57</v>
      </c>
      <c r="G12" s="50">
        <v>1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210</v>
      </c>
      <c r="N12" s="50">
        <v>0</v>
      </c>
      <c r="O12" s="15">
        <f t="shared" si="0"/>
        <v>116</v>
      </c>
      <c r="P12" s="15">
        <f t="shared" si="1"/>
        <v>326</v>
      </c>
      <c r="R12" s="1" t="s">
        <v>8</v>
      </c>
      <c r="S12" s="17">
        <f t="shared" ref="S12:AF12" si="4">SUM(C18:C21)</f>
        <v>269</v>
      </c>
      <c r="T12" s="17">
        <f t="shared" si="4"/>
        <v>43</v>
      </c>
      <c r="U12" s="17">
        <f t="shared" si="4"/>
        <v>22</v>
      </c>
      <c r="V12" s="17">
        <f t="shared" si="4"/>
        <v>190</v>
      </c>
      <c r="W12" s="17">
        <f t="shared" si="4"/>
        <v>0</v>
      </c>
      <c r="X12" s="17">
        <f t="shared" si="4"/>
        <v>0</v>
      </c>
      <c r="Y12" s="17">
        <f t="shared" si="4"/>
        <v>12</v>
      </c>
      <c r="Z12" s="17">
        <f t="shared" si="4"/>
        <v>3</v>
      </c>
      <c r="AA12" s="17">
        <f t="shared" si="4"/>
        <v>2</v>
      </c>
      <c r="AB12" s="17">
        <f t="shared" si="4"/>
        <v>0</v>
      </c>
      <c r="AC12" s="17">
        <f t="shared" si="4"/>
        <v>840</v>
      </c>
      <c r="AD12" s="17">
        <f t="shared" si="4"/>
        <v>0</v>
      </c>
      <c r="AE12" s="31">
        <f t="shared" si="4"/>
        <v>541</v>
      </c>
      <c r="AF12" s="31">
        <f t="shared" si="4"/>
        <v>1381</v>
      </c>
    </row>
    <row r="13" spans="2:32" ht="23.1" customHeight="1" x14ac:dyDescent="0.25">
      <c r="B13" s="45" t="s">
        <v>40</v>
      </c>
      <c r="C13" s="50">
        <v>43</v>
      </c>
      <c r="D13" s="50">
        <v>4</v>
      </c>
      <c r="E13" s="50">
        <v>3</v>
      </c>
      <c r="F13" s="50">
        <v>49</v>
      </c>
      <c r="G13" s="50">
        <v>0</v>
      </c>
      <c r="H13" s="50">
        <v>0</v>
      </c>
      <c r="I13" s="50">
        <v>7</v>
      </c>
      <c r="J13" s="50">
        <v>1</v>
      </c>
      <c r="K13" s="50">
        <v>1</v>
      </c>
      <c r="L13" s="50">
        <v>0</v>
      </c>
      <c r="M13" s="50">
        <v>215</v>
      </c>
      <c r="N13" s="50">
        <v>0</v>
      </c>
      <c r="O13" s="15">
        <f t="shared" si="0"/>
        <v>108</v>
      </c>
      <c r="P13" s="15">
        <f t="shared" si="1"/>
        <v>323</v>
      </c>
      <c r="R13" s="1" t="s">
        <v>9</v>
      </c>
      <c r="S13" s="17">
        <f t="shared" ref="S13:AF13" si="5">SUM(C22:C25)</f>
        <v>238</v>
      </c>
      <c r="T13" s="17">
        <f t="shared" si="5"/>
        <v>34</v>
      </c>
      <c r="U13" s="17">
        <f t="shared" si="5"/>
        <v>22</v>
      </c>
      <c r="V13" s="17">
        <f t="shared" si="5"/>
        <v>173</v>
      </c>
      <c r="W13" s="17">
        <f t="shared" si="5"/>
        <v>1</v>
      </c>
      <c r="X13" s="17">
        <f t="shared" si="5"/>
        <v>0</v>
      </c>
      <c r="Y13" s="17">
        <f t="shared" si="5"/>
        <v>3</v>
      </c>
      <c r="Z13" s="17">
        <f t="shared" si="5"/>
        <v>11</v>
      </c>
      <c r="AA13" s="17">
        <f t="shared" si="5"/>
        <v>1</v>
      </c>
      <c r="AB13" s="17">
        <f t="shared" si="5"/>
        <v>0</v>
      </c>
      <c r="AC13" s="17">
        <f t="shared" si="5"/>
        <v>905</v>
      </c>
      <c r="AD13" s="17">
        <f t="shared" si="5"/>
        <v>0</v>
      </c>
      <c r="AE13" s="31">
        <f t="shared" si="5"/>
        <v>483</v>
      </c>
      <c r="AF13" s="31">
        <f t="shared" si="5"/>
        <v>1388</v>
      </c>
    </row>
    <row r="14" spans="2:32" ht="23.1" customHeight="1" x14ac:dyDescent="0.25">
      <c r="B14" s="45" t="s">
        <v>41</v>
      </c>
      <c r="C14" s="50">
        <v>50</v>
      </c>
      <c r="D14" s="50">
        <v>6</v>
      </c>
      <c r="E14" s="50">
        <v>3</v>
      </c>
      <c r="F14" s="50">
        <v>59</v>
      </c>
      <c r="G14" s="50">
        <v>0</v>
      </c>
      <c r="H14" s="50">
        <v>0</v>
      </c>
      <c r="I14" s="50">
        <v>5</v>
      </c>
      <c r="J14" s="50">
        <v>0</v>
      </c>
      <c r="K14" s="50">
        <v>0</v>
      </c>
      <c r="L14" s="50">
        <v>0</v>
      </c>
      <c r="M14" s="50">
        <v>210</v>
      </c>
      <c r="N14" s="50">
        <v>0</v>
      </c>
      <c r="O14" s="15">
        <f t="shared" si="0"/>
        <v>123</v>
      </c>
      <c r="P14" s="15">
        <f t="shared" si="1"/>
        <v>333</v>
      </c>
      <c r="R14" s="1" t="s">
        <v>10</v>
      </c>
      <c r="S14" s="17">
        <f t="shared" ref="S14:AF14" si="6">SUM(C26:C29)</f>
        <v>204</v>
      </c>
      <c r="T14" s="17">
        <f t="shared" si="6"/>
        <v>20</v>
      </c>
      <c r="U14" s="17">
        <f t="shared" si="6"/>
        <v>8</v>
      </c>
      <c r="V14" s="17">
        <f t="shared" si="6"/>
        <v>131</v>
      </c>
      <c r="W14" s="17">
        <f t="shared" si="6"/>
        <v>1</v>
      </c>
      <c r="X14" s="17">
        <f t="shared" si="6"/>
        <v>0</v>
      </c>
      <c r="Y14" s="17">
        <f t="shared" si="6"/>
        <v>6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880</v>
      </c>
      <c r="AD14" s="17">
        <f t="shared" si="6"/>
        <v>0</v>
      </c>
      <c r="AE14" s="31">
        <f t="shared" si="6"/>
        <v>374</v>
      </c>
      <c r="AF14" s="31">
        <f t="shared" si="6"/>
        <v>1254</v>
      </c>
    </row>
    <row r="15" spans="2:32" ht="23.1" customHeight="1" x14ac:dyDescent="0.25">
      <c r="B15" s="45" t="s">
        <v>42</v>
      </c>
      <c r="C15" s="50">
        <v>65</v>
      </c>
      <c r="D15" s="50">
        <v>2</v>
      </c>
      <c r="E15" s="50">
        <v>4</v>
      </c>
      <c r="F15" s="50">
        <v>55</v>
      </c>
      <c r="G15" s="50">
        <v>0</v>
      </c>
      <c r="H15" s="50">
        <v>0</v>
      </c>
      <c r="I15" s="50">
        <v>4</v>
      </c>
      <c r="J15" s="50">
        <v>1</v>
      </c>
      <c r="K15" s="50">
        <v>0</v>
      </c>
      <c r="L15" s="50">
        <v>0</v>
      </c>
      <c r="M15" s="50">
        <v>210</v>
      </c>
      <c r="N15" s="50">
        <v>0</v>
      </c>
      <c r="O15" s="15">
        <f t="shared" si="0"/>
        <v>131</v>
      </c>
      <c r="P15" s="15">
        <f t="shared" si="1"/>
        <v>341</v>
      </c>
      <c r="R15" s="1" t="s">
        <v>11</v>
      </c>
      <c r="S15" s="17">
        <f t="shared" ref="S15:AF15" si="7">SUM(C30:C33)</f>
        <v>188</v>
      </c>
      <c r="T15" s="17">
        <f t="shared" si="7"/>
        <v>27</v>
      </c>
      <c r="U15" s="17">
        <f t="shared" si="7"/>
        <v>16</v>
      </c>
      <c r="V15" s="17">
        <f t="shared" si="7"/>
        <v>141</v>
      </c>
      <c r="W15" s="17">
        <f t="shared" si="7"/>
        <v>2</v>
      </c>
      <c r="X15" s="17">
        <f t="shared" si="7"/>
        <v>1</v>
      </c>
      <c r="Y15" s="17">
        <f t="shared" si="7"/>
        <v>11</v>
      </c>
      <c r="Z15" s="17">
        <f t="shared" si="7"/>
        <v>6</v>
      </c>
      <c r="AA15" s="17">
        <f t="shared" si="7"/>
        <v>0</v>
      </c>
      <c r="AB15" s="17">
        <f t="shared" si="7"/>
        <v>2</v>
      </c>
      <c r="AC15" s="17">
        <f t="shared" si="7"/>
        <v>960</v>
      </c>
      <c r="AD15" s="17">
        <f t="shared" si="7"/>
        <v>0</v>
      </c>
      <c r="AE15" s="31">
        <f t="shared" si="7"/>
        <v>394</v>
      </c>
      <c r="AF15" s="31">
        <f t="shared" si="7"/>
        <v>1354</v>
      </c>
    </row>
    <row r="16" spans="2:32" ht="23.1" customHeight="1" x14ac:dyDescent="0.25">
      <c r="B16" s="45" t="s">
        <v>43</v>
      </c>
      <c r="C16" s="50">
        <v>50</v>
      </c>
      <c r="D16" s="50">
        <v>0</v>
      </c>
      <c r="E16" s="50">
        <v>3</v>
      </c>
      <c r="F16" s="50">
        <v>63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220</v>
      </c>
      <c r="N16" s="50">
        <v>0</v>
      </c>
      <c r="O16" s="15">
        <f t="shared" si="0"/>
        <v>116</v>
      </c>
      <c r="P16" s="15">
        <f t="shared" si="1"/>
        <v>336</v>
      </c>
      <c r="R16" s="1" t="s">
        <v>12</v>
      </c>
      <c r="S16" s="17">
        <f t="shared" ref="S16:AF16" si="8">SUM(C34:C37)</f>
        <v>148</v>
      </c>
      <c r="T16" s="17">
        <f t="shared" si="8"/>
        <v>29</v>
      </c>
      <c r="U16" s="17">
        <f t="shared" si="8"/>
        <v>34</v>
      </c>
      <c r="V16" s="17">
        <f t="shared" si="8"/>
        <v>143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8</v>
      </c>
      <c r="AA16" s="17">
        <f t="shared" si="8"/>
        <v>0</v>
      </c>
      <c r="AB16" s="17">
        <f t="shared" si="8"/>
        <v>0</v>
      </c>
      <c r="AC16" s="17">
        <f t="shared" si="8"/>
        <v>850</v>
      </c>
      <c r="AD16" s="17">
        <f t="shared" si="8"/>
        <v>0</v>
      </c>
      <c r="AE16" s="31">
        <f t="shared" si="8"/>
        <v>371</v>
      </c>
      <c r="AF16" s="31">
        <f t="shared" si="8"/>
        <v>1221</v>
      </c>
    </row>
    <row r="17" spans="2:32" ht="23.1" customHeight="1" x14ac:dyDescent="0.25">
      <c r="B17" s="45" t="s">
        <v>44</v>
      </c>
      <c r="C17" s="50">
        <v>63</v>
      </c>
      <c r="D17" s="50">
        <v>13</v>
      </c>
      <c r="E17" s="50">
        <v>2</v>
      </c>
      <c r="F17" s="50">
        <v>54</v>
      </c>
      <c r="G17" s="50">
        <v>0</v>
      </c>
      <c r="H17" s="50">
        <v>0</v>
      </c>
      <c r="I17" s="50">
        <v>3</v>
      </c>
      <c r="J17" s="50">
        <v>3</v>
      </c>
      <c r="K17" s="50">
        <v>0</v>
      </c>
      <c r="L17" s="50">
        <v>0</v>
      </c>
      <c r="M17" s="50">
        <v>215</v>
      </c>
      <c r="N17" s="50">
        <v>0</v>
      </c>
      <c r="O17" s="15">
        <f t="shared" si="0"/>
        <v>138</v>
      </c>
      <c r="P17" s="15">
        <f t="shared" si="1"/>
        <v>353</v>
      </c>
      <c r="R17" s="1" t="s">
        <v>13</v>
      </c>
      <c r="S17" s="17">
        <f t="shared" ref="S17:AF17" si="9">SUM(C38:C41)</f>
        <v>136</v>
      </c>
      <c r="T17" s="17">
        <f t="shared" si="9"/>
        <v>25</v>
      </c>
      <c r="U17" s="17">
        <f t="shared" si="9"/>
        <v>20</v>
      </c>
      <c r="V17" s="17">
        <f t="shared" si="9"/>
        <v>146</v>
      </c>
      <c r="W17" s="17">
        <f t="shared" si="9"/>
        <v>1</v>
      </c>
      <c r="X17" s="17">
        <f t="shared" si="9"/>
        <v>0</v>
      </c>
      <c r="Y17" s="17">
        <f t="shared" si="9"/>
        <v>10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915</v>
      </c>
      <c r="AD17" s="17">
        <f t="shared" si="9"/>
        <v>0</v>
      </c>
      <c r="AE17" s="31">
        <f t="shared" si="9"/>
        <v>340</v>
      </c>
      <c r="AF17" s="31">
        <f t="shared" si="9"/>
        <v>1255</v>
      </c>
    </row>
    <row r="18" spans="2:32" ht="23.1" customHeight="1" x14ac:dyDescent="0.25">
      <c r="B18" s="45" t="s">
        <v>45</v>
      </c>
      <c r="C18" s="50">
        <v>75</v>
      </c>
      <c r="D18" s="50">
        <v>5</v>
      </c>
      <c r="E18" s="50">
        <v>8</v>
      </c>
      <c r="F18" s="50">
        <v>61</v>
      </c>
      <c r="G18" s="50">
        <v>0</v>
      </c>
      <c r="H18" s="50">
        <v>0</v>
      </c>
      <c r="I18" s="50">
        <v>2</v>
      </c>
      <c r="J18" s="50">
        <v>0</v>
      </c>
      <c r="K18" s="50">
        <v>2</v>
      </c>
      <c r="L18" s="50">
        <v>0</v>
      </c>
      <c r="M18" s="50">
        <v>210</v>
      </c>
      <c r="N18" s="50">
        <v>0</v>
      </c>
      <c r="O18" s="15">
        <f t="shared" si="0"/>
        <v>153</v>
      </c>
      <c r="P18" s="15">
        <f t="shared" si="1"/>
        <v>363</v>
      </c>
      <c r="R18" s="1" t="s">
        <v>14</v>
      </c>
      <c r="S18" s="17">
        <f t="shared" ref="S18:AF18" si="10">SUM(C42:C45)</f>
        <v>142</v>
      </c>
      <c r="T18" s="17">
        <f t="shared" si="10"/>
        <v>40</v>
      </c>
      <c r="U18" s="17">
        <f t="shared" si="10"/>
        <v>27</v>
      </c>
      <c r="V18" s="17">
        <f t="shared" si="10"/>
        <v>123</v>
      </c>
      <c r="W18" s="17">
        <f t="shared" si="10"/>
        <v>1</v>
      </c>
      <c r="X18" s="17">
        <f t="shared" si="10"/>
        <v>0</v>
      </c>
      <c r="Y18" s="17">
        <f t="shared" si="10"/>
        <v>18</v>
      </c>
      <c r="Z18" s="17">
        <f t="shared" si="10"/>
        <v>6</v>
      </c>
      <c r="AA18" s="17">
        <f t="shared" si="10"/>
        <v>0</v>
      </c>
      <c r="AB18" s="17">
        <f t="shared" si="10"/>
        <v>2</v>
      </c>
      <c r="AC18" s="17">
        <f t="shared" si="10"/>
        <v>990</v>
      </c>
      <c r="AD18" s="17">
        <f t="shared" si="10"/>
        <v>0</v>
      </c>
      <c r="AE18" s="31">
        <f t="shared" si="10"/>
        <v>359</v>
      </c>
      <c r="AF18" s="31">
        <f t="shared" si="10"/>
        <v>1349</v>
      </c>
    </row>
    <row r="19" spans="2:32" ht="23.1" customHeight="1" x14ac:dyDescent="0.25">
      <c r="B19" s="45" t="s">
        <v>46</v>
      </c>
      <c r="C19" s="50">
        <v>80</v>
      </c>
      <c r="D19" s="50">
        <v>11</v>
      </c>
      <c r="E19" s="50">
        <v>1</v>
      </c>
      <c r="F19" s="50">
        <v>60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210</v>
      </c>
      <c r="N19" s="50">
        <v>0</v>
      </c>
      <c r="O19" s="15">
        <f t="shared" si="0"/>
        <v>153</v>
      </c>
      <c r="P19" s="15">
        <f t="shared" si="1"/>
        <v>363</v>
      </c>
      <c r="R19" s="1" t="s">
        <v>15</v>
      </c>
      <c r="S19" s="17">
        <f t="shared" ref="S19:AF19" si="11">SUM(C46:C49)</f>
        <v>123</v>
      </c>
      <c r="T19" s="17">
        <f t="shared" si="11"/>
        <v>20</v>
      </c>
      <c r="U19" s="17">
        <f t="shared" si="11"/>
        <v>17</v>
      </c>
      <c r="V19" s="17">
        <f t="shared" si="11"/>
        <v>128</v>
      </c>
      <c r="W19" s="17">
        <f t="shared" si="11"/>
        <v>0</v>
      </c>
      <c r="X19" s="17">
        <f t="shared" si="11"/>
        <v>0</v>
      </c>
      <c r="Y19" s="17">
        <f t="shared" si="11"/>
        <v>13</v>
      </c>
      <c r="Z19" s="17">
        <f t="shared" si="11"/>
        <v>6</v>
      </c>
      <c r="AA19" s="17">
        <f t="shared" si="11"/>
        <v>2</v>
      </c>
      <c r="AB19" s="17">
        <f t="shared" si="11"/>
        <v>0</v>
      </c>
      <c r="AC19" s="17">
        <f t="shared" si="11"/>
        <v>980</v>
      </c>
      <c r="AD19" s="17">
        <f t="shared" si="11"/>
        <v>0</v>
      </c>
      <c r="AE19" s="31">
        <f t="shared" si="11"/>
        <v>309</v>
      </c>
      <c r="AF19" s="31">
        <f t="shared" si="11"/>
        <v>1289</v>
      </c>
    </row>
    <row r="20" spans="2:32" ht="23.1" customHeight="1" x14ac:dyDescent="0.25">
      <c r="B20" s="45" t="s">
        <v>47</v>
      </c>
      <c r="C20" s="50">
        <v>53</v>
      </c>
      <c r="D20" s="50">
        <v>16</v>
      </c>
      <c r="E20" s="50">
        <v>8</v>
      </c>
      <c r="F20" s="50">
        <v>40</v>
      </c>
      <c r="G20" s="50">
        <v>0</v>
      </c>
      <c r="H20" s="50">
        <v>0</v>
      </c>
      <c r="I20" s="50">
        <v>4</v>
      </c>
      <c r="J20" s="50">
        <v>3</v>
      </c>
      <c r="K20" s="50">
        <v>0</v>
      </c>
      <c r="L20" s="50">
        <v>0</v>
      </c>
      <c r="M20" s="50">
        <v>210</v>
      </c>
      <c r="N20" s="50">
        <v>0</v>
      </c>
      <c r="O20" s="15">
        <f t="shared" si="0"/>
        <v>124</v>
      </c>
      <c r="P20" s="15">
        <f t="shared" si="1"/>
        <v>334</v>
      </c>
      <c r="R20" s="1" t="s">
        <v>16</v>
      </c>
      <c r="S20" s="17">
        <f t="shared" ref="S20:AF20" si="12">SUM(C50:C53)</f>
        <v>141</v>
      </c>
      <c r="T20" s="17">
        <f t="shared" si="12"/>
        <v>17</v>
      </c>
      <c r="U20" s="17">
        <f t="shared" si="12"/>
        <v>1</v>
      </c>
      <c r="V20" s="17">
        <f t="shared" si="12"/>
        <v>129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835</v>
      </c>
      <c r="AD20" s="17">
        <f t="shared" si="12"/>
        <v>0</v>
      </c>
      <c r="AE20" s="31">
        <f t="shared" si="12"/>
        <v>294</v>
      </c>
      <c r="AF20" s="31">
        <f t="shared" si="12"/>
        <v>1129</v>
      </c>
    </row>
    <row r="21" spans="2:32" ht="23.1" customHeight="1" x14ac:dyDescent="0.25">
      <c r="B21" s="45" t="s">
        <v>48</v>
      </c>
      <c r="C21" s="50">
        <v>61</v>
      </c>
      <c r="D21" s="50">
        <v>11</v>
      </c>
      <c r="E21" s="50">
        <v>5</v>
      </c>
      <c r="F21" s="50">
        <v>29</v>
      </c>
      <c r="G21" s="50">
        <v>0</v>
      </c>
      <c r="H21" s="50">
        <v>0</v>
      </c>
      <c r="I21" s="50">
        <v>5</v>
      </c>
      <c r="J21" s="50">
        <v>0</v>
      </c>
      <c r="K21" s="50">
        <v>0</v>
      </c>
      <c r="L21" s="50">
        <v>0</v>
      </c>
      <c r="M21" s="50">
        <v>210</v>
      </c>
      <c r="N21" s="50">
        <v>0</v>
      </c>
      <c r="O21" s="15">
        <f t="shared" si="0"/>
        <v>111</v>
      </c>
      <c r="P21" s="15">
        <f t="shared" si="1"/>
        <v>321</v>
      </c>
      <c r="R21" s="36" t="s">
        <v>20</v>
      </c>
      <c r="S21" s="34">
        <f t="shared" ref="S21:AF21" si="13">SUM(C54:C57)</f>
        <v>118</v>
      </c>
      <c r="T21" s="17">
        <f t="shared" si="13"/>
        <v>23</v>
      </c>
      <c r="U21" s="17">
        <f t="shared" si="13"/>
        <v>7</v>
      </c>
      <c r="V21" s="17">
        <f t="shared" si="13"/>
        <v>123</v>
      </c>
      <c r="W21" s="17">
        <f t="shared" si="13"/>
        <v>0</v>
      </c>
      <c r="X21" s="17">
        <f t="shared" si="13"/>
        <v>0</v>
      </c>
      <c r="Y21" s="17">
        <f t="shared" si="13"/>
        <v>11</v>
      </c>
      <c r="Z21" s="17">
        <f t="shared" si="13"/>
        <v>5</v>
      </c>
      <c r="AA21" s="17">
        <f t="shared" si="13"/>
        <v>3</v>
      </c>
      <c r="AB21" s="17">
        <f t="shared" si="13"/>
        <v>0</v>
      </c>
      <c r="AC21" s="17">
        <f t="shared" si="13"/>
        <v>880</v>
      </c>
      <c r="AD21" s="17">
        <f t="shared" si="13"/>
        <v>0</v>
      </c>
      <c r="AE21" s="31">
        <f t="shared" si="13"/>
        <v>290</v>
      </c>
      <c r="AF21" s="31">
        <f t="shared" si="13"/>
        <v>1170</v>
      </c>
    </row>
    <row r="22" spans="2:32" ht="23.1" customHeight="1" x14ac:dyDescent="0.25">
      <c r="B22" s="45" t="s">
        <v>49</v>
      </c>
      <c r="C22" s="50">
        <v>75</v>
      </c>
      <c r="D22" s="50">
        <v>1</v>
      </c>
      <c r="E22" s="50">
        <v>3</v>
      </c>
      <c r="F22" s="50">
        <v>63</v>
      </c>
      <c r="G22" s="50">
        <v>0</v>
      </c>
      <c r="H22" s="50">
        <v>0</v>
      </c>
      <c r="I22" s="50">
        <v>0</v>
      </c>
      <c r="J22" s="50">
        <v>2</v>
      </c>
      <c r="K22" s="50">
        <v>1</v>
      </c>
      <c r="L22" s="50">
        <v>0</v>
      </c>
      <c r="M22" s="50">
        <v>230</v>
      </c>
      <c r="N22" s="50">
        <v>0</v>
      </c>
      <c r="O22" s="15">
        <f t="shared" si="0"/>
        <v>145</v>
      </c>
      <c r="P22" s="15">
        <f t="shared" si="1"/>
        <v>375</v>
      </c>
      <c r="R22" s="36" t="s">
        <v>147</v>
      </c>
      <c r="S22" s="34">
        <f>SUM(C58:C61)</f>
        <v>264</v>
      </c>
      <c r="T22" s="34">
        <f t="shared" ref="T22:AF22" si="14">SUM(D58:D61)</f>
        <v>11</v>
      </c>
      <c r="U22" s="34">
        <f t="shared" si="14"/>
        <v>2</v>
      </c>
      <c r="V22" s="34">
        <f t="shared" si="14"/>
        <v>160</v>
      </c>
      <c r="W22" s="34">
        <f t="shared" si="14"/>
        <v>0</v>
      </c>
      <c r="X22" s="34">
        <f t="shared" si="14"/>
        <v>1</v>
      </c>
      <c r="Y22" s="34">
        <f t="shared" si="14"/>
        <v>4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1037</v>
      </c>
      <c r="AD22" s="34">
        <f t="shared" si="14"/>
        <v>0</v>
      </c>
      <c r="AE22" s="31">
        <f t="shared" si="14"/>
        <v>445</v>
      </c>
      <c r="AF22" s="31">
        <f t="shared" si="14"/>
        <v>1482</v>
      </c>
    </row>
    <row r="23" spans="2:32" ht="23.1" customHeight="1" x14ac:dyDescent="0.25">
      <c r="B23" s="45" t="s">
        <v>50</v>
      </c>
      <c r="C23" s="50">
        <v>41</v>
      </c>
      <c r="D23" s="50">
        <v>6</v>
      </c>
      <c r="E23" s="50">
        <v>5</v>
      </c>
      <c r="F23" s="50">
        <v>34</v>
      </c>
      <c r="G23" s="50">
        <v>1</v>
      </c>
      <c r="H23" s="50">
        <v>0</v>
      </c>
      <c r="I23" s="50">
        <v>1</v>
      </c>
      <c r="J23" s="50">
        <v>2</v>
      </c>
      <c r="K23" s="50">
        <v>0</v>
      </c>
      <c r="L23" s="50">
        <v>0</v>
      </c>
      <c r="M23" s="50">
        <v>210</v>
      </c>
      <c r="N23" s="50">
        <v>0</v>
      </c>
      <c r="O23" s="15">
        <f t="shared" si="0"/>
        <v>90</v>
      </c>
      <c r="P23" s="15">
        <f t="shared" si="1"/>
        <v>300</v>
      </c>
      <c r="R23" s="36" t="s">
        <v>148</v>
      </c>
      <c r="S23" s="34">
        <f>SUM(C62:C65)</f>
        <v>105</v>
      </c>
      <c r="T23" s="34">
        <f t="shared" ref="T23:AF23" si="15">SUM(D62:D65)</f>
        <v>14</v>
      </c>
      <c r="U23" s="34">
        <f t="shared" si="15"/>
        <v>9</v>
      </c>
      <c r="V23" s="34">
        <f t="shared" si="15"/>
        <v>100</v>
      </c>
      <c r="W23" s="34">
        <f t="shared" si="15"/>
        <v>0</v>
      </c>
      <c r="X23" s="34">
        <f t="shared" si="15"/>
        <v>0</v>
      </c>
      <c r="Y23" s="34">
        <f t="shared" si="15"/>
        <v>6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385</v>
      </c>
      <c r="AD23" s="34">
        <f t="shared" si="15"/>
        <v>0</v>
      </c>
      <c r="AE23" s="31">
        <f t="shared" si="15"/>
        <v>235</v>
      </c>
      <c r="AF23" s="31">
        <f t="shared" si="15"/>
        <v>620</v>
      </c>
    </row>
    <row r="24" spans="2:32" ht="23.1" customHeight="1" x14ac:dyDescent="0.25">
      <c r="B24" s="45" t="s">
        <v>51</v>
      </c>
      <c r="C24" s="50">
        <v>40</v>
      </c>
      <c r="D24" s="50">
        <v>15</v>
      </c>
      <c r="E24" s="50">
        <v>4</v>
      </c>
      <c r="F24" s="50">
        <v>28</v>
      </c>
      <c r="G24" s="50">
        <v>0</v>
      </c>
      <c r="H24" s="50">
        <v>0</v>
      </c>
      <c r="I24" s="50">
        <v>1</v>
      </c>
      <c r="J24" s="50">
        <v>4</v>
      </c>
      <c r="K24" s="50">
        <v>0</v>
      </c>
      <c r="L24" s="50">
        <v>0</v>
      </c>
      <c r="M24" s="50">
        <v>245</v>
      </c>
      <c r="N24" s="50">
        <v>0</v>
      </c>
      <c r="O24" s="15">
        <f t="shared" si="0"/>
        <v>92</v>
      </c>
      <c r="P24" s="15">
        <f t="shared" si="1"/>
        <v>337</v>
      </c>
      <c r="R24" s="36" t="s">
        <v>149</v>
      </c>
      <c r="S24" s="34">
        <f>SUM(C66:C69)</f>
        <v>94</v>
      </c>
      <c r="T24" s="34">
        <f t="shared" ref="T24:AF24" si="16">SUM(D66:D69)</f>
        <v>11</v>
      </c>
      <c r="U24" s="34">
        <f t="shared" si="16"/>
        <v>10</v>
      </c>
      <c r="V24" s="34">
        <f t="shared" si="16"/>
        <v>85</v>
      </c>
      <c r="W24" s="34">
        <f t="shared" si="16"/>
        <v>1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433</v>
      </c>
      <c r="AD24" s="34">
        <f t="shared" si="16"/>
        <v>0</v>
      </c>
      <c r="AE24" s="31">
        <f t="shared" si="16"/>
        <v>203</v>
      </c>
      <c r="AF24" s="31">
        <f t="shared" si="16"/>
        <v>636</v>
      </c>
    </row>
    <row r="25" spans="2:32" ht="23.1" customHeight="1" x14ac:dyDescent="0.25">
      <c r="B25" s="45" t="s">
        <v>52</v>
      </c>
      <c r="C25" s="50">
        <v>82</v>
      </c>
      <c r="D25" s="50">
        <v>12</v>
      </c>
      <c r="E25" s="50">
        <v>10</v>
      </c>
      <c r="F25" s="50">
        <v>48</v>
      </c>
      <c r="G25" s="50">
        <v>0</v>
      </c>
      <c r="H25" s="50">
        <v>0</v>
      </c>
      <c r="I25" s="50">
        <v>1</v>
      </c>
      <c r="J25" s="50">
        <v>3</v>
      </c>
      <c r="K25" s="50">
        <v>0</v>
      </c>
      <c r="L25" s="50">
        <v>0</v>
      </c>
      <c r="M25" s="50">
        <v>220</v>
      </c>
      <c r="N25" s="50">
        <v>0</v>
      </c>
      <c r="O25" s="15">
        <f t="shared" si="0"/>
        <v>156</v>
      </c>
      <c r="P25" s="15">
        <f t="shared" si="1"/>
        <v>376</v>
      </c>
      <c r="R25" s="36" t="s">
        <v>150</v>
      </c>
      <c r="S25" s="34">
        <f>SUM(C70:C73)</f>
        <v>75</v>
      </c>
      <c r="T25" s="34">
        <f t="shared" ref="T25:AF25" si="17">SUM(D70:D73)</f>
        <v>3</v>
      </c>
      <c r="U25" s="34">
        <f t="shared" si="17"/>
        <v>2</v>
      </c>
      <c r="V25" s="34">
        <f t="shared" si="17"/>
        <v>92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275</v>
      </c>
      <c r="AD25" s="34">
        <f t="shared" si="17"/>
        <v>0</v>
      </c>
      <c r="AE25" s="31">
        <f t="shared" si="17"/>
        <v>172</v>
      </c>
      <c r="AF25" s="31">
        <f t="shared" si="17"/>
        <v>447</v>
      </c>
    </row>
    <row r="26" spans="2:32" ht="23.1" customHeight="1" x14ac:dyDescent="0.25">
      <c r="B26" s="45" t="s">
        <v>53</v>
      </c>
      <c r="C26" s="50">
        <v>36</v>
      </c>
      <c r="D26" s="50">
        <v>9</v>
      </c>
      <c r="E26" s="50">
        <v>1</v>
      </c>
      <c r="F26" s="50">
        <v>30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245</v>
      </c>
      <c r="N26" s="50">
        <v>0</v>
      </c>
      <c r="O26" s="15">
        <f t="shared" si="0"/>
        <v>78</v>
      </c>
      <c r="P26" s="15">
        <f t="shared" si="1"/>
        <v>323</v>
      </c>
      <c r="R26" s="36" t="s">
        <v>151</v>
      </c>
      <c r="S26" s="34">
        <f>SUM(C74:C77)</f>
        <v>62</v>
      </c>
      <c r="T26" s="34">
        <f t="shared" ref="T26:AF26" si="18">SUM(D74:D77)</f>
        <v>2</v>
      </c>
      <c r="U26" s="34">
        <f t="shared" si="18"/>
        <v>5</v>
      </c>
      <c r="V26" s="34">
        <f t="shared" si="18"/>
        <v>77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245</v>
      </c>
      <c r="AD26" s="34">
        <f t="shared" si="18"/>
        <v>0</v>
      </c>
      <c r="AE26" s="31">
        <f t="shared" si="18"/>
        <v>147</v>
      </c>
      <c r="AF26" s="31">
        <f t="shared" si="18"/>
        <v>392</v>
      </c>
    </row>
    <row r="27" spans="2:32" ht="23.1" customHeight="1" x14ac:dyDescent="0.25">
      <c r="B27" s="45" t="s">
        <v>54</v>
      </c>
      <c r="C27" s="50">
        <v>63</v>
      </c>
      <c r="D27" s="50">
        <v>8</v>
      </c>
      <c r="E27" s="50">
        <v>4</v>
      </c>
      <c r="F27" s="50">
        <v>39</v>
      </c>
      <c r="G27" s="50">
        <v>0</v>
      </c>
      <c r="H27" s="50">
        <v>0</v>
      </c>
      <c r="I27" s="50">
        <v>5</v>
      </c>
      <c r="J27" s="50">
        <v>1</v>
      </c>
      <c r="K27" s="50">
        <v>0</v>
      </c>
      <c r="L27" s="50">
        <v>0</v>
      </c>
      <c r="M27" s="50">
        <v>210</v>
      </c>
      <c r="N27" s="50">
        <v>0</v>
      </c>
      <c r="O27" s="15">
        <f t="shared" si="0"/>
        <v>120</v>
      </c>
      <c r="P27" s="15">
        <f t="shared" si="1"/>
        <v>330</v>
      </c>
      <c r="R27" s="36" t="s">
        <v>152</v>
      </c>
      <c r="S27" s="34">
        <f>SUM(C78:C81)</f>
        <v>45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61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160</v>
      </c>
      <c r="AD27" s="34">
        <f t="shared" si="19"/>
        <v>0</v>
      </c>
      <c r="AE27" s="31">
        <f t="shared" si="19"/>
        <v>107</v>
      </c>
      <c r="AF27" s="31">
        <f t="shared" si="19"/>
        <v>267</v>
      </c>
    </row>
    <row r="28" spans="2:32" ht="23.1" customHeight="1" x14ac:dyDescent="0.25">
      <c r="B28" s="45" t="s">
        <v>55</v>
      </c>
      <c r="C28" s="50">
        <v>67</v>
      </c>
      <c r="D28" s="50">
        <v>3</v>
      </c>
      <c r="E28" s="50">
        <v>3</v>
      </c>
      <c r="F28" s="50">
        <v>35</v>
      </c>
      <c r="G28" s="50">
        <v>1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245</v>
      </c>
      <c r="N28" s="50">
        <v>0</v>
      </c>
      <c r="O28" s="15">
        <f t="shared" si="0"/>
        <v>109</v>
      </c>
      <c r="P28" s="15">
        <f t="shared" si="1"/>
        <v>354</v>
      </c>
      <c r="R28" s="36" t="s">
        <v>153</v>
      </c>
      <c r="S28" s="34">
        <f>SUM(C82:C85)</f>
        <v>24</v>
      </c>
      <c r="T28" s="34">
        <f t="shared" ref="T28:AF28" si="20">SUM(D82:D85)</f>
        <v>4</v>
      </c>
      <c r="U28" s="34">
        <f t="shared" si="20"/>
        <v>5</v>
      </c>
      <c r="V28" s="34">
        <f t="shared" si="20"/>
        <v>8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230</v>
      </c>
      <c r="AD28" s="34">
        <f t="shared" si="20"/>
        <v>0</v>
      </c>
      <c r="AE28" s="31">
        <f t="shared" si="20"/>
        <v>41</v>
      </c>
      <c r="AF28" s="31">
        <f t="shared" si="20"/>
        <v>271</v>
      </c>
    </row>
    <row r="29" spans="2:32" ht="23.1" customHeight="1" x14ac:dyDescent="0.25">
      <c r="B29" s="45" t="s">
        <v>56</v>
      </c>
      <c r="C29" s="50">
        <v>38</v>
      </c>
      <c r="D29" s="50">
        <v>0</v>
      </c>
      <c r="E29" s="50">
        <v>0</v>
      </c>
      <c r="F29" s="50">
        <v>27</v>
      </c>
      <c r="G29" s="50">
        <v>0</v>
      </c>
      <c r="H29" s="50">
        <v>0</v>
      </c>
      <c r="I29" s="50">
        <v>0</v>
      </c>
      <c r="J29" s="50">
        <v>2</v>
      </c>
      <c r="K29" s="50">
        <v>0</v>
      </c>
      <c r="L29" s="50">
        <v>0</v>
      </c>
      <c r="M29" s="50">
        <v>180</v>
      </c>
      <c r="N29" s="50">
        <v>0</v>
      </c>
      <c r="O29" s="15">
        <f t="shared" si="0"/>
        <v>67</v>
      </c>
      <c r="P29" s="15">
        <f t="shared" si="1"/>
        <v>247</v>
      </c>
      <c r="R29" s="36" t="s">
        <v>154</v>
      </c>
      <c r="S29" s="34">
        <f>SUM(C86:C89)</f>
        <v>37</v>
      </c>
      <c r="T29" s="34">
        <f t="shared" ref="T29:AF29" si="21">SUM(D86:D89)</f>
        <v>3</v>
      </c>
      <c r="U29" s="34">
        <f t="shared" si="21"/>
        <v>1</v>
      </c>
      <c r="V29" s="34">
        <f t="shared" si="21"/>
        <v>22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135</v>
      </c>
      <c r="AD29" s="34">
        <f t="shared" si="21"/>
        <v>0</v>
      </c>
      <c r="AE29" s="31">
        <f t="shared" si="21"/>
        <v>63</v>
      </c>
      <c r="AF29" s="31">
        <f t="shared" si="21"/>
        <v>198</v>
      </c>
    </row>
    <row r="30" spans="2:32" ht="23.1" customHeight="1" x14ac:dyDescent="0.25">
      <c r="B30" s="45" t="s">
        <v>57</v>
      </c>
      <c r="C30" s="50">
        <v>49</v>
      </c>
      <c r="D30" s="50">
        <v>8</v>
      </c>
      <c r="E30" s="50">
        <v>2</v>
      </c>
      <c r="F30" s="50">
        <v>44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1</v>
      </c>
      <c r="M30" s="50">
        <v>225</v>
      </c>
      <c r="N30" s="50">
        <v>0</v>
      </c>
      <c r="O30" s="15">
        <f t="shared" si="0"/>
        <v>107</v>
      </c>
      <c r="P30" s="15">
        <f t="shared" si="1"/>
        <v>332</v>
      </c>
      <c r="R30" s="36" t="s">
        <v>155</v>
      </c>
      <c r="S30" s="34">
        <f>SUM(C90:C93)</f>
        <v>20</v>
      </c>
      <c r="T30" s="34">
        <f t="shared" ref="T30:AF30" si="22">SUM(D90:D93)</f>
        <v>3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119</v>
      </c>
      <c r="AD30" s="34">
        <f t="shared" si="22"/>
        <v>0</v>
      </c>
      <c r="AE30" s="31">
        <f t="shared" si="22"/>
        <v>25</v>
      </c>
      <c r="AF30" s="31">
        <f t="shared" si="22"/>
        <v>144</v>
      </c>
    </row>
    <row r="31" spans="2:32" ht="23.1" customHeight="1" x14ac:dyDescent="0.25">
      <c r="B31" s="46" t="s">
        <v>58</v>
      </c>
      <c r="C31" s="50">
        <v>63</v>
      </c>
      <c r="D31" s="50">
        <v>8</v>
      </c>
      <c r="E31" s="50">
        <v>5</v>
      </c>
      <c r="F31" s="50">
        <v>32</v>
      </c>
      <c r="G31" s="50">
        <v>2</v>
      </c>
      <c r="H31" s="50">
        <v>0</v>
      </c>
      <c r="I31" s="50">
        <v>5</v>
      </c>
      <c r="J31" s="50">
        <v>4</v>
      </c>
      <c r="K31" s="50">
        <v>0</v>
      </c>
      <c r="L31" s="50">
        <v>0</v>
      </c>
      <c r="M31" s="50">
        <v>245</v>
      </c>
      <c r="N31" s="50">
        <v>0</v>
      </c>
      <c r="O31" s="15">
        <f t="shared" si="0"/>
        <v>119</v>
      </c>
      <c r="P31" s="15">
        <f t="shared" si="1"/>
        <v>364</v>
      </c>
      <c r="R31" s="36" t="s">
        <v>156</v>
      </c>
      <c r="S31" s="34">
        <f>SUM(C94:C97)</f>
        <v>50</v>
      </c>
      <c r="T31" s="34">
        <f t="shared" ref="T31:AF31" si="23">SUM(D94:D97)</f>
        <v>2</v>
      </c>
      <c r="U31" s="34">
        <f t="shared" si="23"/>
        <v>0</v>
      </c>
      <c r="V31" s="34">
        <f t="shared" si="23"/>
        <v>26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0</v>
      </c>
      <c r="AA31" s="34">
        <f t="shared" si="23"/>
        <v>1</v>
      </c>
      <c r="AB31" s="34">
        <f t="shared" si="23"/>
        <v>1</v>
      </c>
      <c r="AC31" s="34">
        <f t="shared" si="23"/>
        <v>160</v>
      </c>
      <c r="AD31" s="34">
        <f t="shared" si="23"/>
        <v>0</v>
      </c>
      <c r="AE31" s="31">
        <f t="shared" si="23"/>
        <v>83</v>
      </c>
      <c r="AF31" s="31">
        <f t="shared" si="23"/>
        <v>243</v>
      </c>
    </row>
    <row r="32" spans="2:32" ht="23.1" customHeight="1" x14ac:dyDescent="0.25">
      <c r="B32" s="46" t="s">
        <v>59</v>
      </c>
      <c r="C32" s="50">
        <v>33</v>
      </c>
      <c r="D32" s="50">
        <v>5</v>
      </c>
      <c r="E32" s="50">
        <v>3</v>
      </c>
      <c r="F32" s="50">
        <v>40</v>
      </c>
      <c r="G32" s="50">
        <v>0</v>
      </c>
      <c r="H32" s="50">
        <v>1</v>
      </c>
      <c r="I32" s="50">
        <v>2</v>
      </c>
      <c r="J32" s="50">
        <v>0</v>
      </c>
      <c r="K32" s="50">
        <v>0</v>
      </c>
      <c r="L32" s="50">
        <v>0</v>
      </c>
      <c r="M32" s="50">
        <v>245</v>
      </c>
      <c r="N32" s="50">
        <v>0</v>
      </c>
      <c r="O32" s="15">
        <f t="shared" si="0"/>
        <v>84</v>
      </c>
      <c r="P32" s="15">
        <f t="shared" si="1"/>
        <v>329</v>
      </c>
      <c r="R32" s="33" t="s">
        <v>157</v>
      </c>
      <c r="S32" s="34">
        <f>SUM(C98:C101)</f>
        <v>32</v>
      </c>
      <c r="T32" s="34">
        <f t="shared" ref="T32:AF32" si="24">SUM(D98:D101)</f>
        <v>2</v>
      </c>
      <c r="U32" s="34">
        <f t="shared" si="24"/>
        <v>0</v>
      </c>
      <c r="V32" s="34">
        <f t="shared" si="24"/>
        <v>35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1</v>
      </c>
      <c r="AA32" s="34">
        <f t="shared" si="24"/>
        <v>1</v>
      </c>
      <c r="AB32" s="34">
        <f t="shared" si="24"/>
        <v>1</v>
      </c>
      <c r="AC32" s="34">
        <f t="shared" si="24"/>
        <v>105</v>
      </c>
      <c r="AD32" s="34">
        <f t="shared" si="24"/>
        <v>0</v>
      </c>
      <c r="AE32" s="31">
        <f t="shared" si="24"/>
        <v>75</v>
      </c>
      <c r="AF32" s="31">
        <f t="shared" si="24"/>
        <v>180</v>
      </c>
    </row>
    <row r="33" spans="2:32" ht="23.1" customHeight="1" x14ac:dyDescent="0.25">
      <c r="B33" s="45" t="s">
        <v>60</v>
      </c>
      <c r="C33" s="50">
        <v>43</v>
      </c>
      <c r="D33" s="50">
        <v>6</v>
      </c>
      <c r="E33" s="50">
        <v>6</v>
      </c>
      <c r="F33" s="50">
        <v>25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1</v>
      </c>
      <c r="M33" s="50">
        <v>245</v>
      </c>
      <c r="N33" s="50">
        <v>0</v>
      </c>
      <c r="O33" s="15">
        <f t="shared" si="0"/>
        <v>84</v>
      </c>
      <c r="P33" s="15">
        <f t="shared" si="1"/>
        <v>329</v>
      </c>
      <c r="R33" s="33" t="s">
        <v>158</v>
      </c>
      <c r="S33" s="34">
        <f>SUM(C102:C105)</f>
        <v>54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65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175</v>
      </c>
      <c r="AD33" s="34">
        <f t="shared" si="25"/>
        <v>0</v>
      </c>
      <c r="AE33" s="31">
        <f t="shared" si="25"/>
        <v>120</v>
      </c>
      <c r="AF33" s="31">
        <f t="shared" si="25"/>
        <v>295</v>
      </c>
    </row>
    <row r="34" spans="2:32" ht="23.1" customHeight="1" x14ac:dyDescent="0.25">
      <c r="B34" s="46" t="s">
        <v>61</v>
      </c>
      <c r="C34" s="50">
        <v>33</v>
      </c>
      <c r="D34" s="50">
        <v>11</v>
      </c>
      <c r="E34" s="50">
        <v>9</v>
      </c>
      <c r="F34" s="50">
        <v>35</v>
      </c>
      <c r="G34" s="50">
        <v>0</v>
      </c>
      <c r="H34" s="50">
        <v>0</v>
      </c>
      <c r="I34" s="50">
        <v>2</v>
      </c>
      <c r="J34" s="50">
        <v>4</v>
      </c>
      <c r="K34" s="50">
        <v>0</v>
      </c>
      <c r="L34" s="50">
        <v>0</v>
      </c>
      <c r="M34" s="50">
        <v>210</v>
      </c>
      <c r="N34" s="50">
        <v>0</v>
      </c>
      <c r="O34" s="15">
        <f t="shared" si="0"/>
        <v>94</v>
      </c>
      <c r="P34" s="15">
        <f t="shared" si="1"/>
        <v>304</v>
      </c>
      <c r="R34" s="38" t="s">
        <v>90</v>
      </c>
      <c r="S34" s="39">
        <f t="shared" ref="S34:AF34" si="26">MAX(S10:S12)</f>
        <v>269</v>
      </c>
      <c r="T34" s="39">
        <f t="shared" si="26"/>
        <v>43</v>
      </c>
      <c r="U34" s="39">
        <f t="shared" si="26"/>
        <v>22</v>
      </c>
      <c r="V34" s="39">
        <f t="shared" si="26"/>
        <v>231</v>
      </c>
      <c r="W34" s="39">
        <f t="shared" si="26"/>
        <v>3</v>
      </c>
      <c r="X34" s="39">
        <f t="shared" si="26"/>
        <v>0</v>
      </c>
      <c r="Y34" s="39">
        <f t="shared" si="26"/>
        <v>15</v>
      </c>
      <c r="Z34" s="39">
        <f t="shared" si="26"/>
        <v>6</v>
      </c>
      <c r="AA34" s="39">
        <f t="shared" si="26"/>
        <v>2</v>
      </c>
      <c r="AB34" s="39">
        <f t="shared" si="26"/>
        <v>0</v>
      </c>
      <c r="AC34" s="39">
        <f t="shared" si="26"/>
        <v>880</v>
      </c>
      <c r="AD34" s="39">
        <f t="shared" si="26"/>
        <v>0</v>
      </c>
      <c r="AE34" s="40">
        <f t="shared" si="26"/>
        <v>541</v>
      </c>
      <c r="AF34" s="40">
        <f t="shared" si="26"/>
        <v>1381</v>
      </c>
    </row>
    <row r="35" spans="2:32" ht="23.1" customHeight="1" x14ac:dyDescent="0.25">
      <c r="B35" s="46" t="s">
        <v>62</v>
      </c>
      <c r="C35" s="50">
        <v>48</v>
      </c>
      <c r="D35" s="50">
        <v>7</v>
      </c>
      <c r="E35" s="50">
        <v>2</v>
      </c>
      <c r="F35" s="50">
        <v>44</v>
      </c>
      <c r="G35" s="50">
        <v>0</v>
      </c>
      <c r="H35" s="50">
        <v>0</v>
      </c>
      <c r="I35" s="50">
        <v>3</v>
      </c>
      <c r="J35" s="50">
        <v>3</v>
      </c>
      <c r="K35" s="50">
        <v>0</v>
      </c>
      <c r="L35" s="50">
        <v>0</v>
      </c>
      <c r="M35" s="50">
        <v>210</v>
      </c>
      <c r="N35" s="50">
        <v>0</v>
      </c>
      <c r="O35" s="15">
        <f t="shared" si="0"/>
        <v>107</v>
      </c>
      <c r="P35" s="15">
        <f t="shared" si="1"/>
        <v>317</v>
      </c>
      <c r="R35" s="38" t="s">
        <v>91</v>
      </c>
      <c r="S35" s="39">
        <f t="shared" ref="S35:AF35" si="27">MAX(S13:S18)</f>
        <v>238</v>
      </c>
      <c r="T35" s="39">
        <f t="shared" si="27"/>
        <v>40</v>
      </c>
      <c r="U35" s="39">
        <f t="shared" si="27"/>
        <v>34</v>
      </c>
      <c r="V35" s="39">
        <f t="shared" si="27"/>
        <v>173</v>
      </c>
      <c r="W35" s="39">
        <f t="shared" si="27"/>
        <v>2</v>
      </c>
      <c r="X35" s="39">
        <f t="shared" si="27"/>
        <v>1</v>
      </c>
      <c r="Y35" s="39">
        <f t="shared" si="27"/>
        <v>18</v>
      </c>
      <c r="Z35" s="39">
        <f t="shared" si="27"/>
        <v>11</v>
      </c>
      <c r="AA35" s="39">
        <f t="shared" si="27"/>
        <v>1</v>
      </c>
      <c r="AB35" s="39">
        <f t="shared" si="27"/>
        <v>2</v>
      </c>
      <c r="AC35" s="39">
        <f t="shared" si="27"/>
        <v>990</v>
      </c>
      <c r="AD35" s="39">
        <f t="shared" si="27"/>
        <v>0</v>
      </c>
      <c r="AE35" s="40">
        <f t="shared" si="27"/>
        <v>483</v>
      </c>
      <c r="AF35" s="40">
        <f t="shared" si="27"/>
        <v>1388</v>
      </c>
    </row>
    <row r="36" spans="2:32" ht="23.1" customHeight="1" x14ac:dyDescent="0.25">
      <c r="B36" s="46" t="s">
        <v>63</v>
      </c>
      <c r="C36" s="50">
        <v>32</v>
      </c>
      <c r="D36" s="50">
        <v>8</v>
      </c>
      <c r="E36" s="50">
        <v>17</v>
      </c>
      <c r="F36" s="50">
        <v>31</v>
      </c>
      <c r="G36" s="50">
        <v>0</v>
      </c>
      <c r="H36" s="50">
        <v>0</v>
      </c>
      <c r="I36" s="50">
        <v>4</v>
      </c>
      <c r="J36" s="50">
        <v>1</v>
      </c>
      <c r="K36" s="50">
        <v>0</v>
      </c>
      <c r="L36" s="50">
        <v>0</v>
      </c>
      <c r="M36" s="50">
        <v>220</v>
      </c>
      <c r="N36" s="50">
        <v>0</v>
      </c>
      <c r="O36" s="15">
        <f t="shared" si="0"/>
        <v>93</v>
      </c>
      <c r="P36" s="15">
        <f t="shared" si="1"/>
        <v>313</v>
      </c>
      <c r="R36" s="38" t="s">
        <v>92</v>
      </c>
      <c r="S36" s="39">
        <f t="shared" ref="S36:AF36" si="28">MAX(S19:S21)</f>
        <v>141</v>
      </c>
      <c r="T36" s="39">
        <f t="shared" si="28"/>
        <v>23</v>
      </c>
      <c r="U36" s="39">
        <f t="shared" si="28"/>
        <v>17</v>
      </c>
      <c r="V36" s="39">
        <f t="shared" si="28"/>
        <v>129</v>
      </c>
      <c r="W36" s="39">
        <f t="shared" si="28"/>
        <v>0</v>
      </c>
      <c r="X36" s="39">
        <f t="shared" si="28"/>
        <v>0</v>
      </c>
      <c r="Y36" s="39">
        <f t="shared" si="28"/>
        <v>13</v>
      </c>
      <c r="Z36" s="39">
        <f t="shared" si="28"/>
        <v>6</v>
      </c>
      <c r="AA36" s="39">
        <f t="shared" si="28"/>
        <v>3</v>
      </c>
      <c r="AB36" s="39">
        <f t="shared" si="28"/>
        <v>0</v>
      </c>
      <c r="AC36" s="39">
        <f t="shared" si="28"/>
        <v>980</v>
      </c>
      <c r="AD36" s="39">
        <f t="shared" si="28"/>
        <v>0</v>
      </c>
      <c r="AE36" s="40">
        <f t="shared" si="28"/>
        <v>309</v>
      </c>
      <c r="AF36" s="40">
        <f t="shared" si="28"/>
        <v>1289</v>
      </c>
    </row>
    <row r="37" spans="2:32" ht="23.1" customHeight="1" x14ac:dyDescent="0.25">
      <c r="B37" s="45" t="s">
        <v>64</v>
      </c>
      <c r="C37" s="50">
        <v>35</v>
      </c>
      <c r="D37" s="50">
        <v>3</v>
      </c>
      <c r="E37" s="50">
        <v>6</v>
      </c>
      <c r="F37" s="50">
        <v>33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210</v>
      </c>
      <c r="N37" s="50">
        <v>0</v>
      </c>
      <c r="O37" s="15">
        <f t="shared" si="0"/>
        <v>77</v>
      </c>
      <c r="P37" s="15">
        <f t="shared" si="1"/>
        <v>287</v>
      </c>
      <c r="R37" s="37" t="s">
        <v>85</v>
      </c>
      <c r="S37" s="35">
        <f t="shared" ref="S37:AF37" si="29">SUM(S10:S12)</f>
        <v>635</v>
      </c>
      <c r="T37" s="16">
        <f t="shared" si="29"/>
        <v>77</v>
      </c>
      <c r="U37" s="16">
        <f t="shared" si="29"/>
        <v>47</v>
      </c>
      <c r="V37" s="16">
        <f t="shared" si="29"/>
        <v>592</v>
      </c>
      <c r="W37" s="16">
        <f t="shared" si="29"/>
        <v>3</v>
      </c>
      <c r="X37" s="16">
        <f t="shared" si="29"/>
        <v>0</v>
      </c>
      <c r="Y37" s="16">
        <f t="shared" si="29"/>
        <v>39</v>
      </c>
      <c r="Z37" s="16">
        <f t="shared" si="29"/>
        <v>13</v>
      </c>
      <c r="AA37" s="16">
        <f t="shared" si="29"/>
        <v>3</v>
      </c>
      <c r="AB37" s="16">
        <f t="shared" si="29"/>
        <v>0</v>
      </c>
      <c r="AC37" s="16">
        <f t="shared" si="29"/>
        <v>2575</v>
      </c>
      <c r="AD37" s="16">
        <f t="shared" si="29"/>
        <v>0</v>
      </c>
      <c r="AE37" s="32">
        <f t="shared" si="29"/>
        <v>1409</v>
      </c>
      <c r="AF37" s="32">
        <f t="shared" si="29"/>
        <v>3984</v>
      </c>
    </row>
    <row r="38" spans="2:32" ht="23.1" customHeight="1" x14ac:dyDescent="0.25">
      <c r="B38" s="46" t="s">
        <v>65</v>
      </c>
      <c r="C38" s="50">
        <v>30</v>
      </c>
      <c r="D38" s="50">
        <v>4</v>
      </c>
      <c r="E38" s="50">
        <v>4</v>
      </c>
      <c r="F38" s="50">
        <v>45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235</v>
      </c>
      <c r="N38" s="50">
        <v>0</v>
      </c>
      <c r="O38" s="15">
        <f t="shared" si="0"/>
        <v>85</v>
      </c>
      <c r="P38" s="15">
        <f t="shared" si="1"/>
        <v>320</v>
      </c>
      <c r="R38" s="28" t="s">
        <v>86</v>
      </c>
      <c r="S38" s="16">
        <f t="shared" ref="S38:AF38" si="30">SUM(S13:S18)</f>
        <v>1056</v>
      </c>
      <c r="T38" s="16">
        <f t="shared" si="30"/>
        <v>175</v>
      </c>
      <c r="U38" s="16">
        <f t="shared" si="30"/>
        <v>127</v>
      </c>
      <c r="V38" s="16">
        <f t="shared" si="30"/>
        <v>857</v>
      </c>
      <c r="W38" s="16">
        <f t="shared" si="30"/>
        <v>6</v>
      </c>
      <c r="X38" s="16">
        <f t="shared" si="30"/>
        <v>1</v>
      </c>
      <c r="Y38" s="16">
        <f t="shared" si="30"/>
        <v>57</v>
      </c>
      <c r="Z38" s="16">
        <f t="shared" si="30"/>
        <v>37</v>
      </c>
      <c r="AA38" s="16">
        <f t="shared" si="30"/>
        <v>1</v>
      </c>
      <c r="AB38" s="16">
        <f t="shared" si="30"/>
        <v>4</v>
      </c>
      <c r="AC38" s="16">
        <f t="shared" si="30"/>
        <v>5500</v>
      </c>
      <c r="AD38" s="16">
        <f t="shared" si="30"/>
        <v>0</v>
      </c>
      <c r="AE38" s="32">
        <f t="shared" si="30"/>
        <v>2321</v>
      </c>
      <c r="AF38" s="32">
        <f t="shared" si="30"/>
        <v>7821</v>
      </c>
    </row>
    <row r="39" spans="2:32" ht="23.1" customHeight="1" x14ac:dyDescent="0.25">
      <c r="B39" s="46" t="s">
        <v>66</v>
      </c>
      <c r="C39" s="50">
        <v>45</v>
      </c>
      <c r="D39" s="50">
        <v>8</v>
      </c>
      <c r="E39" s="50">
        <v>5</v>
      </c>
      <c r="F39" s="50">
        <v>40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210</v>
      </c>
      <c r="N39" s="50">
        <v>0</v>
      </c>
      <c r="O39" s="15">
        <f t="shared" si="0"/>
        <v>99</v>
      </c>
      <c r="P39" s="15">
        <f t="shared" si="1"/>
        <v>309</v>
      </c>
      <c r="R39" s="29" t="s">
        <v>87</v>
      </c>
      <c r="S39" s="16">
        <f t="shared" ref="S39:AF39" si="31">SUM(S19:S21)</f>
        <v>382</v>
      </c>
      <c r="T39" s="16">
        <f t="shared" si="31"/>
        <v>60</v>
      </c>
      <c r="U39" s="16">
        <f t="shared" si="31"/>
        <v>25</v>
      </c>
      <c r="V39" s="16">
        <f t="shared" si="31"/>
        <v>380</v>
      </c>
      <c r="W39" s="16">
        <f t="shared" si="31"/>
        <v>0</v>
      </c>
      <c r="X39" s="16">
        <f t="shared" si="31"/>
        <v>0</v>
      </c>
      <c r="Y39" s="16">
        <f t="shared" si="31"/>
        <v>27</v>
      </c>
      <c r="Z39" s="16">
        <f t="shared" si="31"/>
        <v>14</v>
      </c>
      <c r="AA39" s="16">
        <f t="shared" si="31"/>
        <v>5</v>
      </c>
      <c r="AB39" s="16">
        <f t="shared" si="31"/>
        <v>0</v>
      </c>
      <c r="AC39" s="16">
        <f t="shared" si="31"/>
        <v>2695</v>
      </c>
      <c r="AD39" s="16">
        <f t="shared" si="31"/>
        <v>0</v>
      </c>
      <c r="AE39" s="32">
        <f t="shared" si="31"/>
        <v>893</v>
      </c>
      <c r="AF39" s="32">
        <f t="shared" si="31"/>
        <v>3588</v>
      </c>
    </row>
    <row r="40" spans="2:32" ht="23.1" customHeight="1" x14ac:dyDescent="0.25">
      <c r="B40" s="46" t="s">
        <v>67</v>
      </c>
      <c r="C40" s="50">
        <v>35</v>
      </c>
      <c r="D40" s="50">
        <v>7</v>
      </c>
      <c r="E40" s="50">
        <v>7</v>
      </c>
      <c r="F40" s="50">
        <v>35</v>
      </c>
      <c r="G40" s="50">
        <v>1</v>
      </c>
      <c r="H40" s="50">
        <v>0</v>
      </c>
      <c r="I40" s="50">
        <v>3</v>
      </c>
      <c r="J40" s="50">
        <v>1</v>
      </c>
      <c r="K40" s="50">
        <v>0</v>
      </c>
      <c r="L40" s="50">
        <v>0</v>
      </c>
      <c r="M40" s="50">
        <v>230</v>
      </c>
      <c r="N40" s="50">
        <v>0</v>
      </c>
      <c r="O40" s="15">
        <f t="shared" si="0"/>
        <v>89</v>
      </c>
      <c r="P40" s="15">
        <f t="shared" si="1"/>
        <v>319</v>
      </c>
      <c r="R40" s="5" t="s">
        <v>17</v>
      </c>
      <c r="S40" s="16">
        <f t="shared" ref="S40:AF40" si="32">SUM(S10:S21)</f>
        <v>2073</v>
      </c>
      <c r="T40" s="16">
        <f t="shared" si="32"/>
        <v>312</v>
      </c>
      <c r="U40" s="16">
        <f t="shared" si="32"/>
        <v>199</v>
      </c>
      <c r="V40" s="16">
        <f t="shared" si="32"/>
        <v>1829</v>
      </c>
      <c r="W40" s="16">
        <f t="shared" si="32"/>
        <v>9</v>
      </c>
      <c r="X40" s="16">
        <f t="shared" si="32"/>
        <v>1</v>
      </c>
      <c r="Y40" s="16">
        <f t="shared" si="32"/>
        <v>123</v>
      </c>
      <c r="Z40" s="16">
        <f t="shared" si="32"/>
        <v>64</v>
      </c>
      <c r="AA40" s="16">
        <f t="shared" si="32"/>
        <v>9</v>
      </c>
      <c r="AB40" s="16">
        <f t="shared" si="32"/>
        <v>4</v>
      </c>
      <c r="AC40" s="16">
        <f t="shared" si="32"/>
        <v>10770</v>
      </c>
      <c r="AD40" s="16">
        <f t="shared" si="32"/>
        <v>0</v>
      </c>
      <c r="AE40" s="32">
        <f t="shared" si="32"/>
        <v>4623</v>
      </c>
      <c r="AF40" s="32">
        <f t="shared" si="32"/>
        <v>15393</v>
      </c>
    </row>
    <row r="41" spans="2:32" ht="23.1" customHeight="1" x14ac:dyDescent="0.25">
      <c r="B41" s="45" t="s">
        <v>68</v>
      </c>
      <c r="C41" s="50">
        <v>26</v>
      </c>
      <c r="D41" s="50">
        <v>6</v>
      </c>
      <c r="E41" s="50">
        <v>4</v>
      </c>
      <c r="F41" s="50">
        <v>26</v>
      </c>
      <c r="G41" s="50">
        <v>0</v>
      </c>
      <c r="H41" s="50">
        <v>0</v>
      </c>
      <c r="I41" s="50">
        <v>5</v>
      </c>
      <c r="J41" s="50">
        <v>0</v>
      </c>
      <c r="K41" s="50">
        <v>0</v>
      </c>
      <c r="L41" s="50">
        <v>0</v>
      </c>
      <c r="M41" s="50">
        <v>240</v>
      </c>
      <c r="N41" s="50">
        <v>0</v>
      </c>
      <c r="O41" s="15">
        <f t="shared" si="0"/>
        <v>67</v>
      </c>
      <c r="P41" s="15">
        <f t="shared" si="1"/>
        <v>307</v>
      </c>
      <c r="R41" s="5" t="s">
        <v>160</v>
      </c>
      <c r="S41" s="16">
        <f>SUM(S10:S33)</f>
        <v>2935</v>
      </c>
      <c r="T41" s="16">
        <f t="shared" ref="T41:AF41" si="33">SUM(T10:T33)</f>
        <v>368</v>
      </c>
      <c r="U41" s="16">
        <f t="shared" si="33"/>
        <v>234</v>
      </c>
      <c r="V41" s="16">
        <f t="shared" si="33"/>
        <v>2561</v>
      </c>
      <c r="W41" s="16">
        <f t="shared" si="33"/>
        <v>10</v>
      </c>
      <c r="X41" s="16">
        <f t="shared" si="33"/>
        <v>2</v>
      </c>
      <c r="Y41" s="16">
        <f t="shared" si="33"/>
        <v>143</v>
      </c>
      <c r="Z41" s="16">
        <f t="shared" si="33"/>
        <v>69</v>
      </c>
      <c r="AA41" s="16">
        <f t="shared" si="33"/>
        <v>11</v>
      </c>
      <c r="AB41" s="16">
        <f t="shared" si="33"/>
        <v>6</v>
      </c>
      <c r="AC41" s="16">
        <f t="shared" si="33"/>
        <v>14229</v>
      </c>
      <c r="AD41" s="16">
        <f t="shared" si="33"/>
        <v>0</v>
      </c>
      <c r="AE41" s="32">
        <f t="shared" si="33"/>
        <v>6339</v>
      </c>
      <c r="AF41" s="32">
        <f t="shared" si="33"/>
        <v>20568</v>
      </c>
    </row>
    <row r="42" spans="2:32" ht="23.1" customHeight="1" x14ac:dyDescent="0.25">
      <c r="B42" s="46" t="s">
        <v>69</v>
      </c>
      <c r="C42" s="50">
        <v>30</v>
      </c>
      <c r="D42" s="50">
        <v>10</v>
      </c>
      <c r="E42" s="50">
        <v>5</v>
      </c>
      <c r="F42" s="50">
        <v>34</v>
      </c>
      <c r="G42" s="50">
        <v>0</v>
      </c>
      <c r="H42" s="50">
        <v>0</v>
      </c>
      <c r="I42" s="50">
        <v>4</v>
      </c>
      <c r="J42" s="50">
        <v>1</v>
      </c>
      <c r="K42" s="50">
        <v>0</v>
      </c>
      <c r="L42" s="50">
        <v>0</v>
      </c>
      <c r="M42" s="50">
        <v>245</v>
      </c>
      <c r="N42" s="50">
        <v>0</v>
      </c>
      <c r="O42" s="15">
        <f t="shared" si="0"/>
        <v>84</v>
      </c>
      <c r="P42" s="15">
        <f t="shared" si="1"/>
        <v>329</v>
      </c>
      <c r="R42" s="5" t="s">
        <v>161</v>
      </c>
      <c r="S42" s="48">
        <f>S41/S40</f>
        <v>1.4158224794983116</v>
      </c>
      <c r="T42" s="48">
        <f t="shared" ref="T42:AF42" si="34">T41/T40</f>
        <v>1.1794871794871795</v>
      </c>
      <c r="U42" s="48">
        <f t="shared" si="34"/>
        <v>1.1758793969849246</v>
      </c>
      <c r="V42" s="48">
        <f t="shared" si="34"/>
        <v>1.4002186987424823</v>
      </c>
      <c r="W42" s="48">
        <f t="shared" si="34"/>
        <v>1.1111111111111112</v>
      </c>
      <c r="X42" s="48">
        <f t="shared" si="34"/>
        <v>2</v>
      </c>
      <c r="Y42" s="48">
        <f t="shared" si="34"/>
        <v>1.1626016260162602</v>
      </c>
      <c r="Z42" s="48">
        <f t="shared" si="34"/>
        <v>1.078125</v>
      </c>
      <c r="AA42" s="48">
        <f t="shared" si="34"/>
        <v>1.2222222222222223</v>
      </c>
      <c r="AB42" s="48">
        <f t="shared" si="34"/>
        <v>1.5</v>
      </c>
      <c r="AC42" s="48">
        <f t="shared" si="34"/>
        <v>1.3211699164345403</v>
      </c>
      <c r="AD42" s="48" t="e">
        <f t="shared" si="34"/>
        <v>#DIV/0!</v>
      </c>
      <c r="AE42" s="48">
        <f t="shared" si="34"/>
        <v>1.3711875405580791</v>
      </c>
      <c r="AF42" s="48">
        <f t="shared" si="34"/>
        <v>1.336191775482362</v>
      </c>
    </row>
    <row r="43" spans="2:32" ht="23.1" customHeight="1" x14ac:dyDescent="0.25">
      <c r="B43" s="45" t="s">
        <v>70</v>
      </c>
      <c r="C43" s="50">
        <v>35</v>
      </c>
      <c r="D43" s="50">
        <v>10</v>
      </c>
      <c r="E43" s="50">
        <v>4</v>
      </c>
      <c r="F43" s="50">
        <v>31</v>
      </c>
      <c r="G43" s="50">
        <v>0</v>
      </c>
      <c r="H43" s="50">
        <v>0</v>
      </c>
      <c r="I43" s="50">
        <v>6</v>
      </c>
      <c r="J43" s="50">
        <v>4</v>
      </c>
      <c r="K43" s="50">
        <v>0</v>
      </c>
      <c r="L43" s="50">
        <v>0</v>
      </c>
      <c r="M43" s="50">
        <v>210</v>
      </c>
      <c r="N43" s="50">
        <v>0</v>
      </c>
      <c r="O43" s="15">
        <f t="shared" si="0"/>
        <v>90</v>
      </c>
      <c r="P43" s="15">
        <f t="shared" si="1"/>
        <v>300</v>
      </c>
    </row>
    <row r="44" spans="2:32" ht="23.1" customHeight="1" x14ac:dyDescent="0.25">
      <c r="B44" s="47" t="s">
        <v>71</v>
      </c>
      <c r="C44" s="50">
        <v>35</v>
      </c>
      <c r="D44" s="50">
        <v>10</v>
      </c>
      <c r="E44" s="50">
        <v>7</v>
      </c>
      <c r="F44" s="50">
        <v>33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2</v>
      </c>
      <c r="M44" s="50">
        <v>255</v>
      </c>
      <c r="N44" s="50">
        <v>0</v>
      </c>
      <c r="O44" s="15">
        <f t="shared" si="0"/>
        <v>88</v>
      </c>
      <c r="P44" s="15">
        <f t="shared" si="1"/>
        <v>343</v>
      </c>
    </row>
    <row r="45" spans="2:32" ht="23.1" customHeight="1" x14ac:dyDescent="0.25">
      <c r="B45" s="45" t="s">
        <v>72</v>
      </c>
      <c r="C45" s="50">
        <v>42</v>
      </c>
      <c r="D45" s="50">
        <v>10</v>
      </c>
      <c r="E45" s="50">
        <v>11</v>
      </c>
      <c r="F45" s="50">
        <v>25</v>
      </c>
      <c r="G45" s="50">
        <v>1</v>
      </c>
      <c r="H45" s="50">
        <v>0</v>
      </c>
      <c r="I45" s="50">
        <v>8</v>
      </c>
      <c r="J45" s="50">
        <v>0</v>
      </c>
      <c r="K45" s="50">
        <v>0</v>
      </c>
      <c r="L45" s="50">
        <v>0</v>
      </c>
      <c r="M45" s="50">
        <v>280</v>
      </c>
      <c r="N45" s="50">
        <v>0</v>
      </c>
      <c r="O45" s="15">
        <f t="shared" si="0"/>
        <v>97</v>
      </c>
      <c r="P45" s="15">
        <f t="shared" si="1"/>
        <v>377</v>
      </c>
    </row>
    <row r="46" spans="2:32" ht="23.1" customHeight="1" x14ac:dyDescent="0.25">
      <c r="B46" s="46" t="s">
        <v>73</v>
      </c>
      <c r="C46" s="50">
        <v>32</v>
      </c>
      <c r="D46" s="50">
        <v>5</v>
      </c>
      <c r="E46" s="50">
        <v>3</v>
      </c>
      <c r="F46" s="50">
        <v>26</v>
      </c>
      <c r="G46" s="50">
        <v>0</v>
      </c>
      <c r="H46" s="50">
        <v>0</v>
      </c>
      <c r="I46" s="50">
        <v>2</v>
      </c>
      <c r="J46" s="50">
        <v>2</v>
      </c>
      <c r="K46" s="50">
        <v>1</v>
      </c>
      <c r="L46" s="50">
        <v>0</v>
      </c>
      <c r="M46" s="50">
        <v>250</v>
      </c>
      <c r="N46" s="50">
        <v>0</v>
      </c>
      <c r="O46" s="15">
        <f t="shared" si="0"/>
        <v>71</v>
      </c>
      <c r="P46" s="15">
        <f t="shared" si="1"/>
        <v>321</v>
      </c>
      <c r="R46" s="8"/>
      <c r="T46"/>
    </row>
    <row r="47" spans="2:32" ht="23.1" customHeight="1" x14ac:dyDescent="0.25">
      <c r="B47" s="46" t="s">
        <v>74</v>
      </c>
      <c r="C47" s="50">
        <v>25</v>
      </c>
      <c r="D47" s="50">
        <v>5</v>
      </c>
      <c r="E47" s="50">
        <v>4</v>
      </c>
      <c r="F47" s="50">
        <v>32</v>
      </c>
      <c r="G47" s="50">
        <v>0</v>
      </c>
      <c r="H47" s="50">
        <v>0</v>
      </c>
      <c r="I47" s="50">
        <v>2</v>
      </c>
      <c r="J47" s="50">
        <v>0</v>
      </c>
      <c r="K47" s="50">
        <v>1</v>
      </c>
      <c r="L47" s="50">
        <v>0</v>
      </c>
      <c r="M47" s="50">
        <v>215</v>
      </c>
      <c r="N47" s="50">
        <v>0</v>
      </c>
      <c r="O47" s="15">
        <f t="shared" si="0"/>
        <v>69</v>
      </c>
      <c r="P47" s="15">
        <f t="shared" si="1"/>
        <v>284</v>
      </c>
      <c r="R47" s="8"/>
      <c r="T47"/>
    </row>
    <row r="48" spans="2:32" ht="23.1" customHeight="1" x14ac:dyDescent="0.25">
      <c r="B48" s="46" t="s">
        <v>75</v>
      </c>
      <c r="C48" s="50">
        <v>33</v>
      </c>
      <c r="D48" s="50">
        <v>5</v>
      </c>
      <c r="E48" s="50">
        <v>5</v>
      </c>
      <c r="F48" s="50">
        <v>35</v>
      </c>
      <c r="G48" s="50">
        <v>0</v>
      </c>
      <c r="H48" s="50">
        <v>0</v>
      </c>
      <c r="I48" s="50">
        <v>6</v>
      </c>
      <c r="J48" s="50">
        <v>2</v>
      </c>
      <c r="K48" s="50">
        <v>0</v>
      </c>
      <c r="L48" s="50">
        <v>0</v>
      </c>
      <c r="M48" s="50">
        <v>245</v>
      </c>
      <c r="N48" s="50">
        <v>0</v>
      </c>
      <c r="O48" s="15">
        <f t="shared" si="0"/>
        <v>86</v>
      </c>
      <c r="P48" s="15">
        <f t="shared" si="1"/>
        <v>331</v>
      </c>
      <c r="R48" s="8"/>
      <c r="T48"/>
    </row>
    <row r="49" spans="2:20" ht="23.1" customHeight="1" x14ac:dyDescent="0.25">
      <c r="B49" s="45" t="s">
        <v>76</v>
      </c>
      <c r="C49" s="50">
        <v>33</v>
      </c>
      <c r="D49" s="50">
        <v>5</v>
      </c>
      <c r="E49" s="50">
        <v>5</v>
      </c>
      <c r="F49" s="50">
        <v>35</v>
      </c>
      <c r="G49" s="50">
        <v>0</v>
      </c>
      <c r="H49" s="50">
        <v>0</v>
      </c>
      <c r="I49" s="50">
        <v>3</v>
      </c>
      <c r="J49" s="50">
        <v>2</v>
      </c>
      <c r="K49" s="50">
        <v>0</v>
      </c>
      <c r="L49" s="50">
        <v>0</v>
      </c>
      <c r="M49" s="50">
        <v>270</v>
      </c>
      <c r="N49" s="50">
        <v>0</v>
      </c>
      <c r="O49" s="15">
        <f t="shared" si="0"/>
        <v>83</v>
      </c>
      <c r="P49" s="15">
        <f t="shared" si="1"/>
        <v>353</v>
      </c>
      <c r="R49" s="8"/>
      <c r="T49"/>
    </row>
    <row r="50" spans="2:20" ht="23.1" customHeight="1" x14ac:dyDescent="0.25">
      <c r="B50" s="46" t="s">
        <v>77</v>
      </c>
      <c r="C50" s="50">
        <v>29</v>
      </c>
      <c r="D50" s="50">
        <v>2</v>
      </c>
      <c r="E50" s="50">
        <v>0</v>
      </c>
      <c r="F50" s="50">
        <v>40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245</v>
      </c>
      <c r="N50" s="50">
        <v>0</v>
      </c>
      <c r="O50" s="15">
        <f t="shared" si="0"/>
        <v>74</v>
      </c>
      <c r="P50" s="15">
        <f t="shared" si="1"/>
        <v>319</v>
      </c>
      <c r="R50" s="8"/>
      <c r="T50"/>
    </row>
    <row r="51" spans="2:20" ht="23.1" customHeight="1" x14ac:dyDescent="0.25">
      <c r="B51" s="46" t="s">
        <v>78</v>
      </c>
      <c r="C51" s="50">
        <v>35</v>
      </c>
      <c r="D51" s="50">
        <v>9</v>
      </c>
      <c r="E51" s="50">
        <v>1</v>
      </c>
      <c r="F51" s="50">
        <v>24</v>
      </c>
      <c r="G51" s="50">
        <v>0</v>
      </c>
      <c r="H51" s="50">
        <v>0</v>
      </c>
      <c r="I51" s="50">
        <v>0</v>
      </c>
      <c r="J51" s="50">
        <v>3</v>
      </c>
      <c r="K51" s="50">
        <v>0</v>
      </c>
      <c r="L51" s="50">
        <v>0</v>
      </c>
      <c r="M51" s="50">
        <v>210</v>
      </c>
      <c r="N51" s="50">
        <v>0</v>
      </c>
      <c r="O51" s="15">
        <f t="shared" si="0"/>
        <v>72</v>
      </c>
      <c r="P51" s="15">
        <f t="shared" si="1"/>
        <v>282</v>
      </c>
      <c r="R51" s="8"/>
      <c r="T51"/>
    </row>
    <row r="52" spans="2:20" ht="23.1" customHeight="1" x14ac:dyDescent="0.25">
      <c r="B52" s="46" t="s">
        <v>79</v>
      </c>
      <c r="C52" s="50">
        <v>40</v>
      </c>
      <c r="D52" s="50">
        <v>3</v>
      </c>
      <c r="E52" s="50">
        <v>0</v>
      </c>
      <c r="F52" s="50">
        <v>33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200</v>
      </c>
      <c r="N52" s="50">
        <v>0</v>
      </c>
      <c r="O52" s="15">
        <f t="shared" si="0"/>
        <v>76</v>
      </c>
      <c r="P52" s="15">
        <f t="shared" si="1"/>
        <v>276</v>
      </c>
      <c r="R52" s="8"/>
      <c r="T52"/>
    </row>
    <row r="53" spans="2:20" ht="23.1" customHeight="1" x14ac:dyDescent="0.25">
      <c r="B53" s="45" t="s">
        <v>80</v>
      </c>
      <c r="C53" s="50">
        <v>37</v>
      </c>
      <c r="D53" s="50">
        <v>3</v>
      </c>
      <c r="E53" s="50">
        <v>0</v>
      </c>
      <c r="F53" s="50">
        <v>32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180</v>
      </c>
      <c r="N53" s="50">
        <v>0</v>
      </c>
      <c r="O53" s="15">
        <f t="shared" si="0"/>
        <v>72</v>
      </c>
      <c r="P53" s="15">
        <f t="shared" si="1"/>
        <v>252</v>
      </c>
      <c r="R53" s="8"/>
      <c r="T53"/>
    </row>
    <row r="54" spans="2:20" ht="23.1" customHeight="1" x14ac:dyDescent="0.25">
      <c r="B54" s="45" t="s">
        <v>81</v>
      </c>
      <c r="C54" s="50">
        <v>28</v>
      </c>
      <c r="D54" s="50">
        <v>3</v>
      </c>
      <c r="E54" s="50">
        <v>0</v>
      </c>
      <c r="F54" s="50">
        <v>33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245</v>
      </c>
      <c r="N54" s="50">
        <v>0</v>
      </c>
      <c r="O54" s="15">
        <f t="shared" si="0"/>
        <v>67</v>
      </c>
      <c r="P54" s="15">
        <f t="shared" si="1"/>
        <v>312</v>
      </c>
      <c r="R54" s="8"/>
      <c r="T54"/>
    </row>
    <row r="55" spans="2:20" ht="23.1" customHeight="1" x14ac:dyDescent="0.25">
      <c r="B55" s="45" t="s">
        <v>82</v>
      </c>
      <c r="C55" s="50">
        <v>16</v>
      </c>
      <c r="D55" s="50">
        <v>7</v>
      </c>
      <c r="E55" s="50">
        <v>3</v>
      </c>
      <c r="F55" s="50">
        <v>31</v>
      </c>
      <c r="G55" s="50">
        <v>0</v>
      </c>
      <c r="H55" s="50">
        <v>0</v>
      </c>
      <c r="I55" s="50">
        <v>2</v>
      </c>
      <c r="J55" s="50">
        <v>2</v>
      </c>
      <c r="K55" s="50">
        <v>2</v>
      </c>
      <c r="L55" s="50">
        <v>0</v>
      </c>
      <c r="M55" s="50">
        <v>210</v>
      </c>
      <c r="N55" s="50">
        <v>0</v>
      </c>
      <c r="O55" s="15">
        <f t="shared" si="0"/>
        <v>63</v>
      </c>
      <c r="P55" s="15">
        <f t="shared" si="1"/>
        <v>273</v>
      </c>
      <c r="R55" s="8"/>
      <c r="T55"/>
    </row>
    <row r="56" spans="2:20" ht="23.1" customHeight="1" x14ac:dyDescent="0.25">
      <c r="B56" s="45" t="s">
        <v>83</v>
      </c>
      <c r="C56" s="50">
        <v>39</v>
      </c>
      <c r="D56" s="50">
        <v>6</v>
      </c>
      <c r="E56" s="50">
        <v>3</v>
      </c>
      <c r="F56" s="50">
        <v>29</v>
      </c>
      <c r="G56" s="50">
        <v>0</v>
      </c>
      <c r="H56" s="50">
        <v>0</v>
      </c>
      <c r="I56" s="50">
        <v>3</v>
      </c>
      <c r="J56" s="50">
        <v>1</v>
      </c>
      <c r="K56" s="50">
        <v>0</v>
      </c>
      <c r="L56" s="50">
        <v>0</v>
      </c>
      <c r="M56" s="50">
        <v>210</v>
      </c>
      <c r="N56" s="50">
        <v>0</v>
      </c>
      <c r="O56" s="15">
        <f t="shared" si="0"/>
        <v>81</v>
      </c>
      <c r="P56" s="15">
        <f t="shared" si="1"/>
        <v>291</v>
      </c>
      <c r="R56" s="8"/>
      <c r="T56"/>
    </row>
    <row r="57" spans="2:20" ht="23.1" customHeight="1" x14ac:dyDescent="0.25">
      <c r="B57" s="45" t="s">
        <v>84</v>
      </c>
      <c r="C57" s="50">
        <v>35</v>
      </c>
      <c r="D57" s="50">
        <v>7</v>
      </c>
      <c r="E57" s="50">
        <v>1</v>
      </c>
      <c r="F57" s="50">
        <v>30</v>
      </c>
      <c r="G57" s="50">
        <v>0</v>
      </c>
      <c r="H57" s="50">
        <v>0</v>
      </c>
      <c r="I57" s="50">
        <v>3</v>
      </c>
      <c r="J57" s="50">
        <v>2</v>
      </c>
      <c r="K57" s="50">
        <v>1</v>
      </c>
      <c r="L57" s="50">
        <v>0</v>
      </c>
      <c r="M57" s="50">
        <v>215</v>
      </c>
      <c r="N57" s="50">
        <v>0</v>
      </c>
      <c r="O57" s="15">
        <f t="shared" si="0"/>
        <v>79</v>
      </c>
      <c r="P57" s="15">
        <f t="shared" si="1"/>
        <v>294</v>
      </c>
      <c r="R57" s="8"/>
      <c r="T57"/>
    </row>
    <row r="58" spans="2:20" ht="23.1" customHeight="1" x14ac:dyDescent="0.25">
      <c r="B58" s="45" t="s">
        <v>100</v>
      </c>
      <c r="C58" s="50">
        <v>104</v>
      </c>
      <c r="D58" s="50">
        <v>4</v>
      </c>
      <c r="E58" s="50">
        <v>0</v>
      </c>
      <c r="F58" s="50">
        <v>40</v>
      </c>
      <c r="G58" s="50">
        <v>0</v>
      </c>
      <c r="H58" s="50">
        <v>1</v>
      </c>
      <c r="I58" s="50">
        <v>2</v>
      </c>
      <c r="J58" s="50">
        <v>2</v>
      </c>
      <c r="K58" s="50">
        <v>0</v>
      </c>
      <c r="L58" s="50">
        <v>0</v>
      </c>
      <c r="M58" s="50">
        <v>550</v>
      </c>
      <c r="N58" s="50">
        <v>0</v>
      </c>
      <c r="O58" s="15">
        <f t="shared" si="0"/>
        <v>153</v>
      </c>
      <c r="P58" s="15">
        <f t="shared" si="1"/>
        <v>703</v>
      </c>
      <c r="R58" s="8"/>
      <c r="T58"/>
    </row>
    <row r="59" spans="2:20" ht="23.1" customHeight="1" x14ac:dyDescent="0.25">
      <c r="B59" s="45" t="s">
        <v>101</v>
      </c>
      <c r="C59" s="50">
        <v>60</v>
      </c>
      <c r="D59" s="50">
        <v>3</v>
      </c>
      <c r="E59" s="50">
        <v>2</v>
      </c>
      <c r="F59" s="50">
        <v>45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107</v>
      </c>
      <c r="N59" s="50">
        <v>0</v>
      </c>
      <c r="O59" s="15">
        <f t="shared" si="0"/>
        <v>111</v>
      </c>
      <c r="P59" s="15">
        <f t="shared" si="1"/>
        <v>218</v>
      </c>
      <c r="R59" s="8"/>
      <c r="T59"/>
    </row>
    <row r="60" spans="2:20" ht="23.1" customHeight="1" x14ac:dyDescent="0.25">
      <c r="B60" s="45" t="s">
        <v>102</v>
      </c>
      <c r="C60" s="50">
        <v>80</v>
      </c>
      <c r="D60" s="50">
        <v>0</v>
      </c>
      <c r="E60" s="50">
        <v>0</v>
      </c>
      <c r="F60" s="50">
        <v>50</v>
      </c>
      <c r="G60" s="50">
        <v>0</v>
      </c>
      <c r="H60" s="50">
        <v>0</v>
      </c>
      <c r="I60" s="50">
        <v>1</v>
      </c>
      <c r="J60" s="50">
        <v>1</v>
      </c>
      <c r="K60" s="50">
        <v>0</v>
      </c>
      <c r="L60" s="50">
        <v>0</v>
      </c>
      <c r="M60" s="50">
        <v>180</v>
      </c>
      <c r="N60" s="50">
        <v>0</v>
      </c>
      <c r="O60" s="15">
        <f t="shared" si="0"/>
        <v>132</v>
      </c>
      <c r="P60" s="15">
        <f t="shared" si="1"/>
        <v>312</v>
      </c>
      <c r="R60" s="8"/>
      <c r="T60"/>
    </row>
    <row r="61" spans="2:20" ht="23.1" customHeight="1" x14ac:dyDescent="0.25">
      <c r="B61" s="45" t="s">
        <v>103</v>
      </c>
      <c r="C61" s="50">
        <v>20</v>
      </c>
      <c r="D61" s="50">
        <v>4</v>
      </c>
      <c r="E61" s="50">
        <v>0</v>
      </c>
      <c r="F61" s="50">
        <v>25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200</v>
      </c>
      <c r="N61" s="50">
        <v>0</v>
      </c>
      <c r="O61" s="15">
        <f t="shared" si="0"/>
        <v>49</v>
      </c>
      <c r="P61" s="15">
        <f t="shared" si="1"/>
        <v>249</v>
      </c>
      <c r="R61" s="8"/>
      <c r="T61"/>
    </row>
    <row r="62" spans="2:20" ht="23.1" customHeight="1" x14ac:dyDescent="0.25">
      <c r="B62" s="45" t="s">
        <v>108</v>
      </c>
      <c r="C62" s="50">
        <v>30</v>
      </c>
      <c r="D62" s="50">
        <v>4</v>
      </c>
      <c r="E62" s="50">
        <v>6</v>
      </c>
      <c r="F62" s="50">
        <v>15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120</v>
      </c>
      <c r="N62" s="50">
        <v>0</v>
      </c>
      <c r="O62" s="15">
        <f t="shared" si="0"/>
        <v>56</v>
      </c>
      <c r="P62" s="15">
        <f t="shared" si="1"/>
        <v>176</v>
      </c>
      <c r="R62" s="8"/>
      <c r="T62"/>
    </row>
    <row r="63" spans="2:20" ht="23.1" customHeight="1" x14ac:dyDescent="0.25">
      <c r="B63" s="45" t="s">
        <v>109</v>
      </c>
      <c r="C63" s="50">
        <v>25</v>
      </c>
      <c r="D63" s="50">
        <v>4</v>
      </c>
      <c r="E63" s="50">
        <v>1</v>
      </c>
      <c r="F63" s="50">
        <v>35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75</v>
      </c>
      <c r="N63" s="50">
        <v>0</v>
      </c>
      <c r="O63" s="15">
        <f t="shared" si="0"/>
        <v>65</v>
      </c>
      <c r="P63" s="15">
        <f t="shared" si="1"/>
        <v>140</v>
      </c>
      <c r="R63" s="8"/>
      <c r="T63"/>
    </row>
    <row r="64" spans="2:20" ht="23.1" customHeight="1" x14ac:dyDescent="0.25">
      <c r="B64" s="45" t="s">
        <v>110</v>
      </c>
      <c r="C64" s="50">
        <v>20</v>
      </c>
      <c r="D64" s="50">
        <v>4</v>
      </c>
      <c r="E64" s="50">
        <v>2</v>
      </c>
      <c r="F64" s="50">
        <v>10</v>
      </c>
      <c r="G64" s="50">
        <v>0</v>
      </c>
      <c r="H64" s="50">
        <v>0</v>
      </c>
      <c r="I64" s="50">
        <v>4</v>
      </c>
      <c r="J64" s="50">
        <v>1</v>
      </c>
      <c r="K64" s="50">
        <v>0</v>
      </c>
      <c r="L64" s="50">
        <v>0</v>
      </c>
      <c r="M64" s="50">
        <v>95</v>
      </c>
      <c r="N64" s="50">
        <v>0</v>
      </c>
      <c r="O64" s="15">
        <f t="shared" si="0"/>
        <v>41</v>
      </c>
      <c r="P64" s="15">
        <f t="shared" si="1"/>
        <v>136</v>
      </c>
      <c r="R64" s="8"/>
      <c r="T64"/>
    </row>
    <row r="65" spans="2:20" ht="23.1" customHeight="1" x14ac:dyDescent="0.25">
      <c r="B65" s="45" t="s">
        <v>159</v>
      </c>
      <c r="C65" s="50">
        <v>30</v>
      </c>
      <c r="D65" s="50">
        <v>2</v>
      </c>
      <c r="E65" s="50">
        <v>0</v>
      </c>
      <c r="F65" s="50">
        <v>40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95</v>
      </c>
      <c r="N65" s="50">
        <v>0</v>
      </c>
      <c r="O65" s="15">
        <f t="shared" si="0"/>
        <v>73</v>
      </c>
      <c r="P65" s="15">
        <f t="shared" si="1"/>
        <v>168</v>
      </c>
      <c r="R65" s="8"/>
      <c r="T65"/>
    </row>
    <row r="66" spans="2:20" ht="23.1" customHeight="1" x14ac:dyDescent="0.25">
      <c r="B66" s="45" t="s">
        <v>104</v>
      </c>
      <c r="C66" s="50">
        <v>35</v>
      </c>
      <c r="D66" s="50">
        <v>5</v>
      </c>
      <c r="E66" s="50">
        <v>6</v>
      </c>
      <c r="F66" s="50">
        <v>35</v>
      </c>
      <c r="G66" s="50">
        <v>0</v>
      </c>
      <c r="H66" s="50">
        <v>0</v>
      </c>
      <c r="I66" s="50">
        <v>2</v>
      </c>
      <c r="J66" s="50">
        <v>0</v>
      </c>
      <c r="K66" s="50">
        <v>0</v>
      </c>
      <c r="L66" s="50">
        <v>0</v>
      </c>
      <c r="M66" s="50">
        <v>135</v>
      </c>
      <c r="N66" s="50">
        <v>0</v>
      </c>
      <c r="O66" s="15">
        <f t="shared" si="0"/>
        <v>83</v>
      </c>
      <c r="P66" s="15">
        <f t="shared" si="1"/>
        <v>218</v>
      </c>
      <c r="R66" s="8"/>
      <c r="T66"/>
    </row>
    <row r="67" spans="2:20" ht="23.1" customHeight="1" x14ac:dyDescent="0.25">
      <c r="B67" s="45" t="s">
        <v>105</v>
      </c>
      <c r="C67" s="50">
        <v>20</v>
      </c>
      <c r="D67" s="50">
        <v>1</v>
      </c>
      <c r="E67" s="50">
        <v>0</v>
      </c>
      <c r="F67" s="50">
        <v>15</v>
      </c>
      <c r="G67" s="50">
        <v>1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95</v>
      </c>
      <c r="N67" s="50">
        <v>0</v>
      </c>
      <c r="O67" s="15">
        <f t="shared" si="0"/>
        <v>37</v>
      </c>
      <c r="P67" s="15">
        <f t="shared" si="1"/>
        <v>132</v>
      </c>
      <c r="R67" s="8"/>
      <c r="T67"/>
    </row>
    <row r="68" spans="2:20" ht="23.1" customHeight="1" x14ac:dyDescent="0.25">
      <c r="B68" s="45" t="s">
        <v>106</v>
      </c>
      <c r="C68" s="50">
        <v>24</v>
      </c>
      <c r="D68" s="50">
        <v>0</v>
      </c>
      <c r="E68" s="50">
        <v>4</v>
      </c>
      <c r="F68" s="50">
        <v>20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100</v>
      </c>
      <c r="N68" s="50">
        <v>0</v>
      </c>
      <c r="O68" s="15">
        <f t="shared" si="0"/>
        <v>48</v>
      </c>
      <c r="P68" s="15">
        <f t="shared" si="1"/>
        <v>148</v>
      </c>
      <c r="R68" s="8"/>
      <c r="T68"/>
    </row>
    <row r="69" spans="2:20" ht="23.1" customHeight="1" x14ac:dyDescent="0.25">
      <c r="B69" s="45" t="s">
        <v>107</v>
      </c>
      <c r="C69" s="50">
        <v>15</v>
      </c>
      <c r="D69" s="50">
        <v>5</v>
      </c>
      <c r="E69" s="50">
        <v>0</v>
      </c>
      <c r="F69" s="50">
        <v>15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103</v>
      </c>
      <c r="N69" s="50">
        <v>0</v>
      </c>
      <c r="O69" s="15">
        <f t="shared" si="0"/>
        <v>35</v>
      </c>
      <c r="P69" s="15">
        <f t="shared" si="1"/>
        <v>138</v>
      </c>
      <c r="R69" s="8"/>
      <c r="T69"/>
    </row>
    <row r="70" spans="2:20" ht="23.1" customHeight="1" x14ac:dyDescent="0.25">
      <c r="B70" s="45" t="s">
        <v>111</v>
      </c>
      <c r="C70" s="50">
        <v>25</v>
      </c>
      <c r="D70" s="50">
        <v>1</v>
      </c>
      <c r="E70" s="50">
        <v>2</v>
      </c>
      <c r="F70" s="50">
        <v>30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100</v>
      </c>
      <c r="N70" s="50">
        <v>0</v>
      </c>
      <c r="O70" s="15">
        <f t="shared" si="0"/>
        <v>58</v>
      </c>
      <c r="P70" s="15">
        <f t="shared" si="1"/>
        <v>158</v>
      </c>
      <c r="R70" s="8"/>
      <c r="T70"/>
    </row>
    <row r="71" spans="2:20" ht="23.1" customHeight="1" x14ac:dyDescent="0.25">
      <c r="B71" s="45" t="s">
        <v>112</v>
      </c>
      <c r="C71" s="50">
        <v>15</v>
      </c>
      <c r="D71" s="50">
        <v>0</v>
      </c>
      <c r="E71" s="50">
        <v>0</v>
      </c>
      <c r="F71" s="50">
        <v>15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80</v>
      </c>
      <c r="N71" s="50">
        <v>0</v>
      </c>
      <c r="O71" s="15">
        <f t="shared" si="0"/>
        <v>30</v>
      </c>
      <c r="P71" s="15">
        <f t="shared" si="1"/>
        <v>110</v>
      </c>
      <c r="R71" s="8"/>
      <c r="T71"/>
    </row>
    <row r="72" spans="2:20" ht="23.1" customHeight="1" x14ac:dyDescent="0.25">
      <c r="B72" s="45" t="s">
        <v>113</v>
      </c>
      <c r="C72" s="50">
        <v>25</v>
      </c>
      <c r="D72" s="50">
        <v>0</v>
      </c>
      <c r="E72" s="50">
        <v>0</v>
      </c>
      <c r="F72" s="50">
        <v>35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55</v>
      </c>
      <c r="N72" s="50">
        <v>0</v>
      </c>
      <c r="O72" s="15">
        <f t="shared" si="0"/>
        <v>60</v>
      </c>
      <c r="P72" s="15">
        <f t="shared" si="1"/>
        <v>115</v>
      </c>
      <c r="R72" s="8"/>
      <c r="T72"/>
    </row>
    <row r="73" spans="2:20" ht="23.1" customHeight="1" x14ac:dyDescent="0.25">
      <c r="B73" s="45" t="s">
        <v>114</v>
      </c>
      <c r="C73" s="50">
        <v>10</v>
      </c>
      <c r="D73" s="50">
        <v>2</v>
      </c>
      <c r="E73" s="50">
        <v>0</v>
      </c>
      <c r="F73" s="50">
        <v>12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40</v>
      </c>
      <c r="N73" s="50">
        <v>0</v>
      </c>
      <c r="O73" s="15">
        <f t="shared" si="0"/>
        <v>24</v>
      </c>
      <c r="P73" s="15">
        <f t="shared" si="1"/>
        <v>64</v>
      </c>
      <c r="R73" s="8"/>
      <c r="T73"/>
    </row>
    <row r="74" spans="2:20" ht="23.1" customHeight="1" x14ac:dyDescent="0.25">
      <c r="B74" s="45" t="s">
        <v>115</v>
      </c>
      <c r="C74" s="50">
        <v>25</v>
      </c>
      <c r="D74" s="50">
        <v>2</v>
      </c>
      <c r="E74" s="50">
        <v>4</v>
      </c>
      <c r="F74" s="50">
        <v>30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70</v>
      </c>
      <c r="N74" s="50">
        <v>0</v>
      </c>
      <c r="O74" s="15">
        <f t="shared" ref="O74:O105" si="35">SUM(C74:L74,N74)</f>
        <v>61</v>
      </c>
      <c r="P74" s="15">
        <f t="shared" ref="P74:P105" si="36">SUM(C74:N74)</f>
        <v>131</v>
      </c>
      <c r="R74" s="8"/>
      <c r="T74"/>
    </row>
    <row r="75" spans="2:20" ht="23.1" customHeight="1" x14ac:dyDescent="0.25">
      <c r="B75" s="45" t="s">
        <v>116</v>
      </c>
      <c r="C75" s="50">
        <v>15</v>
      </c>
      <c r="D75" s="50">
        <v>0</v>
      </c>
      <c r="E75" s="50">
        <v>1</v>
      </c>
      <c r="F75" s="50">
        <v>15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50</v>
      </c>
      <c r="N75" s="50">
        <v>0</v>
      </c>
      <c r="O75" s="15">
        <f t="shared" si="35"/>
        <v>31</v>
      </c>
      <c r="P75" s="15">
        <f t="shared" si="36"/>
        <v>81</v>
      </c>
      <c r="R75" s="8"/>
      <c r="T75"/>
    </row>
    <row r="76" spans="2:20" ht="23.1" customHeight="1" x14ac:dyDescent="0.25">
      <c r="B76" s="45" t="s">
        <v>117</v>
      </c>
      <c r="C76" s="50">
        <v>12</v>
      </c>
      <c r="D76" s="50">
        <v>0</v>
      </c>
      <c r="E76" s="50">
        <v>0</v>
      </c>
      <c r="F76" s="50">
        <v>25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70</v>
      </c>
      <c r="N76" s="50">
        <v>0</v>
      </c>
      <c r="O76" s="15">
        <f t="shared" si="35"/>
        <v>38</v>
      </c>
      <c r="P76" s="15">
        <f t="shared" si="36"/>
        <v>108</v>
      </c>
      <c r="R76" s="8"/>
      <c r="T76"/>
    </row>
    <row r="77" spans="2:20" ht="23.1" customHeight="1" x14ac:dyDescent="0.25">
      <c r="B77" s="45" t="s">
        <v>118</v>
      </c>
      <c r="C77" s="50">
        <v>10</v>
      </c>
      <c r="D77" s="50">
        <v>0</v>
      </c>
      <c r="E77" s="50">
        <v>0</v>
      </c>
      <c r="F77" s="50">
        <v>7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55</v>
      </c>
      <c r="N77" s="50">
        <v>0</v>
      </c>
      <c r="O77" s="15">
        <f t="shared" si="35"/>
        <v>17</v>
      </c>
      <c r="P77" s="15">
        <f t="shared" si="36"/>
        <v>72</v>
      </c>
      <c r="R77" s="8"/>
      <c r="T77"/>
    </row>
    <row r="78" spans="2:20" ht="23.1" customHeight="1" x14ac:dyDescent="0.25">
      <c r="B78" s="46" t="s">
        <v>119</v>
      </c>
      <c r="C78" s="50">
        <v>15</v>
      </c>
      <c r="D78" s="50">
        <v>0</v>
      </c>
      <c r="E78" s="50">
        <v>0</v>
      </c>
      <c r="F78" s="50">
        <v>33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30</v>
      </c>
      <c r="N78" s="50">
        <v>0</v>
      </c>
      <c r="O78" s="15">
        <f t="shared" si="35"/>
        <v>49</v>
      </c>
      <c r="P78" s="15">
        <f t="shared" si="36"/>
        <v>79</v>
      </c>
      <c r="R78" s="8"/>
      <c r="T78"/>
    </row>
    <row r="79" spans="2:20" ht="23.1" customHeight="1" x14ac:dyDescent="0.25">
      <c r="B79" s="45" t="s">
        <v>120</v>
      </c>
      <c r="C79" s="50">
        <v>10</v>
      </c>
      <c r="D79" s="50">
        <v>0</v>
      </c>
      <c r="E79" s="50">
        <v>0</v>
      </c>
      <c r="F79" s="50">
        <v>25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40</v>
      </c>
      <c r="N79" s="50">
        <v>0</v>
      </c>
      <c r="O79" s="15">
        <f t="shared" si="35"/>
        <v>35</v>
      </c>
      <c r="P79" s="15">
        <f t="shared" si="36"/>
        <v>75</v>
      </c>
      <c r="R79" s="8"/>
      <c r="T79"/>
    </row>
    <row r="80" spans="2:20" ht="23.1" customHeight="1" x14ac:dyDescent="0.25">
      <c r="B80" s="47" t="s">
        <v>121</v>
      </c>
      <c r="C80" s="50">
        <v>10</v>
      </c>
      <c r="D80" s="50">
        <v>0</v>
      </c>
      <c r="E80" s="50">
        <v>0</v>
      </c>
      <c r="F80" s="50">
        <v>2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55</v>
      </c>
      <c r="N80" s="50">
        <v>0</v>
      </c>
      <c r="O80" s="15">
        <f t="shared" si="35"/>
        <v>12</v>
      </c>
      <c r="P80" s="15">
        <f t="shared" si="36"/>
        <v>67</v>
      </c>
      <c r="R80" s="8"/>
      <c r="T80"/>
    </row>
    <row r="81" spans="2:20" ht="23.1" customHeight="1" x14ac:dyDescent="0.25">
      <c r="B81" s="45" t="s">
        <v>122</v>
      </c>
      <c r="C81" s="50">
        <v>10</v>
      </c>
      <c r="D81" s="50">
        <v>0</v>
      </c>
      <c r="E81" s="50">
        <v>0</v>
      </c>
      <c r="F81" s="50">
        <v>1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35</v>
      </c>
      <c r="N81" s="50">
        <v>0</v>
      </c>
      <c r="O81" s="15">
        <f t="shared" si="35"/>
        <v>11</v>
      </c>
      <c r="P81" s="15">
        <f t="shared" si="36"/>
        <v>46</v>
      </c>
      <c r="R81" s="8"/>
      <c r="T81"/>
    </row>
    <row r="82" spans="2:20" ht="23.1" customHeight="1" x14ac:dyDescent="0.25">
      <c r="B82" s="46" t="s">
        <v>123</v>
      </c>
      <c r="C82" s="50">
        <v>8</v>
      </c>
      <c r="D82" s="50">
        <v>2</v>
      </c>
      <c r="E82" s="50">
        <v>5</v>
      </c>
      <c r="F82" s="50">
        <v>4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70</v>
      </c>
      <c r="N82" s="50">
        <v>0</v>
      </c>
      <c r="O82" s="15">
        <f t="shared" si="35"/>
        <v>19</v>
      </c>
      <c r="P82" s="15">
        <f t="shared" si="36"/>
        <v>89</v>
      </c>
      <c r="R82" s="8"/>
      <c r="T82"/>
    </row>
    <row r="83" spans="2:20" ht="23.1" customHeight="1" x14ac:dyDescent="0.25">
      <c r="B83" s="45" t="s">
        <v>124</v>
      </c>
      <c r="C83" s="50">
        <v>5</v>
      </c>
      <c r="D83" s="50">
        <v>0</v>
      </c>
      <c r="E83" s="50">
        <v>0</v>
      </c>
      <c r="F83" s="50">
        <v>2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60</v>
      </c>
      <c r="N83" s="50">
        <v>0</v>
      </c>
      <c r="O83" s="15">
        <f t="shared" si="35"/>
        <v>7</v>
      </c>
      <c r="P83" s="15">
        <f t="shared" si="36"/>
        <v>67</v>
      </c>
      <c r="R83" s="8"/>
      <c r="T83"/>
    </row>
    <row r="84" spans="2:20" ht="23.1" customHeight="1" x14ac:dyDescent="0.25">
      <c r="B84" s="47" t="s">
        <v>125</v>
      </c>
      <c r="C84" s="50">
        <v>1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55</v>
      </c>
      <c r="N84" s="50">
        <v>0</v>
      </c>
      <c r="O84" s="15">
        <f t="shared" si="35"/>
        <v>1</v>
      </c>
      <c r="P84" s="15">
        <f t="shared" si="36"/>
        <v>56</v>
      </c>
      <c r="R84" s="8"/>
      <c r="T84"/>
    </row>
    <row r="85" spans="2:20" ht="23.1" customHeight="1" x14ac:dyDescent="0.25">
      <c r="B85" s="45" t="s">
        <v>126</v>
      </c>
      <c r="C85" s="50">
        <v>10</v>
      </c>
      <c r="D85" s="50">
        <v>2</v>
      </c>
      <c r="E85" s="50">
        <v>0</v>
      </c>
      <c r="F85" s="50">
        <v>2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45</v>
      </c>
      <c r="N85" s="50">
        <v>0</v>
      </c>
      <c r="O85" s="15">
        <f t="shared" si="35"/>
        <v>14</v>
      </c>
      <c r="P85" s="15">
        <f t="shared" si="36"/>
        <v>59</v>
      </c>
      <c r="R85" s="8"/>
      <c r="T85"/>
    </row>
    <row r="86" spans="2:20" ht="23.1" customHeight="1" x14ac:dyDescent="0.25">
      <c r="B86" s="46" t="s">
        <v>127</v>
      </c>
      <c r="C86" s="50">
        <v>10</v>
      </c>
      <c r="D86" s="50">
        <v>0</v>
      </c>
      <c r="E86" s="50">
        <v>0</v>
      </c>
      <c r="F86" s="50">
        <v>3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45</v>
      </c>
      <c r="N86" s="50">
        <v>0</v>
      </c>
      <c r="O86" s="15">
        <f t="shared" si="35"/>
        <v>13</v>
      </c>
      <c r="P86" s="15">
        <f t="shared" si="36"/>
        <v>58</v>
      </c>
      <c r="R86" s="8"/>
      <c r="T86"/>
    </row>
    <row r="87" spans="2:20" ht="23.1" customHeight="1" x14ac:dyDescent="0.25">
      <c r="B87" s="45" t="s">
        <v>128</v>
      </c>
      <c r="C87" s="50">
        <v>8</v>
      </c>
      <c r="D87" s="50">
        <v>0</v>
      </c>
      <c r="E87" s="50">
        <v>0</v>
      </c>
      <c r="F87" s="50">
        <v>6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35</v>
      </c>
      <c r="N87" s="50">
        <v>0</v>
      </c>
      <c r="O87" s="15">
        <f t="shared" si="35"/>
        <v>14</v>
      </c>
      <c r="P87" s="15">
        <f t="shared" si="36"/>
        <v>49</v>
      </c>
      <c r="R87" s="8"/>
      <c r="T87"/>
    </row>
    <row r="88" spans="2:20" ht="23.1" customHeight="1" x14ac:dyDescent="0.25">
      <c r="B88" s="47" t="s">
        <v>129</v>
      </c>
      <c r="C88" s="50">
        <v>15</v>
      </c>
      <c r="D88" s="50">
        <v>2</v>
      </c>
      <c r="E88" s="50">
        <v>1</v>
      </c>
      <c r="F88" s="50">
        <v>4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40</v>
      </c>
      <c r="N88" s="50">
        <v>0</v>
      </c>
      <c r="O88" s="15">
        <f t="shared" si="35"/>
        <v>22</v>
      </c>
      <c r="P88" s="15">
        <f t="shared" si="36"/>
        <v>62</v>
      </c>
      <c r="R88" s="8"/>
      <c r="T88"/>
    </row>
    <row r="89" spans="2:20" ht="23.1" customHeight="1" x14ac:dyDescent="0.25">
      <c r="B89" s="45" t="s">
        <v>130</v>
      </c>
      <c r="C89" s="50">
        <v>4</v>
      </c>
      <c r="D89" s="50">
        <v>1</v>
      </c>
      <c r="E89" s="50">
        <v>0</v>
      </c>
      <c r="F89" s="50">
        <v>9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15</v>
      </c>
      <c r="N89" s="50">
        <v>0</v>
      </c>
      <c r="O89" s="15">
        <f t="shared" si="35"/>
        <v>14</v>
      </c>
      <c r="P89" s="15">
        <f t="shared" si="36"/>
        <v>29</v>
      </c>
      <c r="R89" s="8"/>
      <c r="T89"/>
    </row>
    <row r="90" spans="2:20" ht="23.1" customHeight="1" x14ac:dyDescent="0.25">
      <c r="B90" s="46" t="s">
        <v>131</v>
      </c>
      <c r="C90" s="50">
        <v>6</v>
      </c>
      <c r="D90" s="50">
        <v>3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40</v>
      </c>
      <c r="N90" s="50">
        <v>0</v>
      </c>
      <c r="O90" s="15">
        <f t="shared" si="35"/>
        <v>10</v>
      </c>
      <c r="P90" s="15">
        <f t="shared" si="36"/>
        <v>50</v>
      </c>
      <c r="R90" s="8"/>
      <c r="T90"/>
    </row>
    <row r="91" spans="2:20" ht="23.1" customHeight="1" x14ac:dyDescent="0.25">
      <c r="B91" s="45" t="s">
        <v>132</v>
      </c>
      <c r="C91" s="50">
        <v>3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25</v>
      </c>
      <c r="N91" s="50">
        <v>0</v>
      </c>
      <c r="O91" s="15">
        <f t="shared" si="35"/>
        <v>4</v>
      </c>
      <c r="P91" s="15">
        <f t="shared" si="36"/>
        <v>29</v>
      </c>
      <c r="R91" s="8"/>
      <c r="T91"/>
    </row>
    <row r="92" spans="2:20" ht="23.1" customHeight="1" x14ac:dyDescent="0.25">
      <c r="B92" s="47" t="s">
        <v>133</v>
      </c>
      <c r="C92" s="50">
        <v>10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26</v>
      </c>
      <c r="N92" s="50">
        <v>0</v>
      </c>
      <c r="O92" s="15">
        <f t="shared" si="35"/>
        <v>10</v>
      </c>
      <c r="P92" s="15">
        <f t="shared" si="36"/>
        <v>36</v>
      </c>
      <c r="R92" s="8"/>
      <c r="T92"/>
    </row>
    <row r="93" spans="2:20" ht="23.1" customHeight="1" x14ac:dyDescent="0.25">
      <c r="B93" s="45" t="s">
        <v>134</v>
      </c>
      <c r="C93" s="50">
        <v>1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28</v>
      </c>
      <c r="N93" s="50">
        <v>0</v>
      </c>
      <c r="O93" s="15">
        <f t="shared" si="35"/>
        <v>1</v>
      </c>
      <c r="P93" s="15">
        <f t="shared" si="36"/>
        <v>29</v>
      </c>
      <c r="R93" s="8"/>
      <c r="T93"/>
    </row>
    <row r="94" spans="2:20" ht="23.1" customHeight="1" x14ac:dyDescent="0.25">
      <c r="B94" s="46" t="s">
        <v>135</v>
      </c>
      <c r="C94" s="50">
        <v>10</v>
      </c>
      <c r="D94" s="50">
        <v>1</v>
      </c>
      <c r="E94" s="50">
        <v>0</v>
      </c>
      <c r="F94" s="50">
        <v>1</v>
      </c>
      <c r="G94" s="50">
        <v>0</v>
      </c>
      <c r="H94" s="50">
        <v>0</v>
      </c>
      <c r="I94" s="50">
        <v>3</v>
      </c>
      <c r="J94" s="50">
        <v>0</v>
      </c>
      <c r="K94" s="50">
        <v>0</v>
      </c>
      <c r="L94" s="50">
        <v>1</v>
      </c>
      <c r="M94" s="50">
        <v>70</v>
      </c>
      <c r="N94" s="50">
        <v>0</v>
      </c>
      <c r="O94" s="15">
        <f t="shared" si="35"/>
        <v>16</v>
      </c>
      <c r="P94" s="15">
        <f t="shared" si="36"/>
        <v>86</v>
      </c>
      <c r="R94" s="8"/>
      <c r="T94"/>
    </row>
    <row r="95" spans="2:20" ht="23.1" customHeight="1" x14ac:dyDescent="0.25">
      <c r="B95" s="45" t="s">
        <v>136</v>
      </c>
      <c r="C95" s="50">
        <v>11</v>
      </c>
      <c r="D95" s="50">
        <v>0</v>
      </c>
      <c r="E95" s="50">
        <v>0</v>
      </c>
      <c r="F95" s="50">
        <v>8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45</v>
      </c>
      <c r="N95" s="50">
        <v>0</v>
      </c>
      <c r="O95" s="15">
        <f t="shared" si="35"/>
        <v>19</v>
      </c>
      <c r="P95" s="15">
        <f t="shared" si="36"/>
        <v>64</v>
      </c>
      <c r="R95" s="8"/>
      <c r="T95"/>
    </row>
    <row r="96" spans="2:20" ht="23.1" customHeight="1" x14ac:dyDescent="0.25">
      <c r="B96" s="47" t="s">
        <v>137</v>
      </c>
      <c r="C96" s="50">
        <v>15</v>
      </c>
      <c r="D96" s="50">
        <v>1</v>
      </c>
      <c r="E96" s="50">
        <v>0</v>
      </c>
      <c r="F96" s="50">
        <v>10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30</v>
      </c>
      <c r="N96" s="50">
        <v>0</v>
      </c>
      <c r="O96" s="15">
        <f t="shared" si="35"/>
        <v>26</v>
      </c>
      <c r="P96" s="15">
        <f t="shared" si="36"/>
        <v>56</v>
      </c>
      <c r="R96" s="8"/>
      <c r="T96"/>
    </row>
    <row r="97" spans="2:20" ht="23.1" customHeight="1" x14ac:dyDescent="0.25">
      <c r="B97" s="45" t="s">
        <v>138</v>
      </c>
      <c r="C97" s="50">
        <v>14</v>
      </c>
      <c r="D97" s="50">
        <v>0</v>
      </c>
      <c r="E97" s="50">
        <v>0</v>
      </c>
      <c r="F97" s="50">
        <v>7</v>
      </c>
      <c r="G97" s="50">
        <v>0</v>
      </c>
      <c r="H97" s="50">
        <v>0</v>
      </c>
      <c r="I97" s="50">
        <v>0</v>
      </c>
      <c r="J97" s="50">
        <v>0</v>
      </c>
      <c r="K97" s="50">
        <v>1</v>
      </c>
      <c r="L97" s="50">
        <v>0</v>
      </c>
      <c r="M97" s="50">
        <v>15</v>
      </c>
      <c r="N97" s="50">
        <v>0</v>
      </c>
      <c r="O97" s="15">
        <f t="shared" si="35"/>
        <v>22</v>
      </c>
      <c r="P97" s="15">
        <f t="shared" si="36"/>
        <v>37</v>
      </c>
      <c r="R97" s="8"/>
      <c r="T97"/>
    </row>
    <row r="98" spans="2:20" ht="23.1" customHeight="1" x14ac:dyDescent="0.25">
      <c r="B98" s="46" t="s">
        <v>139</v>
      </c>
      <c r="C98" s="50">
        <v>15</v>
      </c>
      <c r="D98" s="50">
        <v>0</v>
      </c>
      <c r="E98" s="50">
        <v>0</v>
      </c>
      <c r="F98" s="50">
        <v>8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35</v>
      </c>
      <c r="N98" s="50">
        <v>0</v>
      </c>
      <c r="O98" s="15">
        <f t="shared" si="35"/>
        <v>23</v>
      </c>
      <c r="P98" s="15">
        <f t="shared" si="36"/>
        <v>58</v>
      </c>
      <c r="R98" s="8"/>
      <c r="T98"/>
    </row>
    <row r="99" spans="2:20" ht="23.1" customHeight="1" x14ac:dyDescent="0.25">
      <c r="B99" s="45" t="s">
        <v>140</v>
      </c>
      <c r="C99" s="50">
        <v>5</v>
      </c>
      <c r="D99" s="50">
        <v>0</v>
      </c>
      <c r="E99" s="50">
        <v>0</v>
      </c>
      <c r="F99" s="50">
        <v>10</v>
      </c>
      <c r="G99" s="50">
        <v>0</v>
      </c>
      <c r="H99" s="50">
        <v>0</v>
      </c>
      <c r="I99" s="50">
        <v>3</v>
      </c>
      <c r="J99" s="50">
        <v>0</v>
      </c>
      <c r="K99" s="50">
        <v>0</v>
      </c>
      <c r="L99" s="50">
        <v>1</v>
      </c>
      <c r="M99" s="50">
        <v>15</v>
      </c>
      <c r="N99" s="50">
        <v>0</v>
      </c>
      <c r="O99" s="15">
        <f t="shared" si="35"/>
        <v>19</v>
      </c>
      <c r="P99" s="15">
        <f t="shared" si="36"/>
        <v>34</v>
      </c>
      <c r="R99" s="8"/>
      <c r="T99"/>
    </row>
    <row r="100" spans="2:20" ht="23.1" customHeight="1" x14ac:dyDescent="0.25">
      <c r="B100" s="47" t="s">
        <v>141</v>
      </c>
      <c r="C100" s="50">
        <v>6</v>
      </c>
      <c r="D100" s="50">
        <v>0</v>
      </c>
      <c r="E100" s="50">
        <v>0</v>
      </c>
      <c r="F100" s="50">
        <v>10</v>
      </c>
      <c r="G100" s="50">
        <v>0</v>
      </c>
      <c r="H100" s="50">
        <v>0</v>
      </c>
      <c r="I100" s="50">
        <v>0</v>
      </c>
      <c r="J100" s="50">
        <v>1</v>
      </c>
      <c r="K100" s="50">
        <v>0</v>
      </c>
      <c r="L100" s="50">
        <v>0</v>
      </c>
      <c r="M100" s="50">
        <v>30</v>
      </c>
      <c r="N100" s="50">
        <v>0</v>
      </c>
      <c r="O100" s="15">
        <f t="shared" si="35"/>
        <v>17</v>
      </c>
      <c r="P100" s="15">
        <f t="shared" si="36"/>
        <v>47</v>
      </c>
      <c r="R100" s="8"/>
      <c r="T100"/>
    </row>
    <row r="101" spans="2:20" ht="23.1" customHeight="1" x14ac:dyDescent="0.25">
      <c r="B101" s="45" t="s">
        <v>142</v>
      </c>
      <c r="C101" s="50">
        <v>6</v>
      </c>
      <c r="D101" s="50">
        <v>2</v>
      </c>
      <c r="E101" s="50">
        <v>0</v>
      </c>
      <c r="F101" s="50">
        <v>7</v>
      </c>
      <c r="G101" s="50">
        <v>0</v>
      </c>
      <c r="H101" s="50">
        <v>0</v>
      </c>
      <c r="I101" s="50">
        <v>0</v>
      </c>
      <c r="J101" s="50">
        <v>0</v>
      </c>
      <c r="K101" s="50">
        <v>1</v>
      </c>
      <c r="L101" s="50">
        <v>0</v>
      </c>
      <c r="M101" s="50">
        <v>25</v>
      </c>
      <c r="N101" s="50">
        <v>0</v>
      </c>
      <c r="O101" s="15">
        <f t="shared" si="35"/>
        <v>16</v>
      </c>
      <c r="P101" s="15">
        <f t="shared" si="36"/>
        <v>41</v>
      </c>
      <c r="R101" s="8"/>
      <c r="T101"/>
    </row>
    <row r="102" spans="2:20" ht="23.1" customHeight="1" x14ac:dyDescent="0.25">
      <c r="B102" s="46" t="s">
        <v>143</v>
      </c>
      <c r="C102" s="50">
        <v>7</v>
      </c>
      <c r="D102" s="50">
        <v>1</v>
      </c>
      <c r="E102" s="50">
        <v>0</v>
      </c>
      <c r="F102" s="50">
        <v>15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50</v>
      </c>
      <c r="N102" s="50">
        <v>0</v>
      </c>
      <c r="O102" s="15">
        <f t="shared" si="35"/>
        <v>23</v>
      </c>
      <c r="P102" s="15">
        <f t="shared" si="36"/>
        <v>73</v>
      </c>
      <c r="R102" s="8"/>
      <c r="T102"/>
    </row>
    <row r="103" spans="2:20" ht="23.1" customHeight="1" x14ac:dyDescent="0.25">
      <c r="B103" s="45" t="s">
        <v>144</v>
      </c>
      <c r="C103" s="50">
        <v>20</v>
      </c>
      <c r="D103" s="50">
        <v>0</v>
      </c>
      <c r="E103" s="50">
        <v>0</v>
      </c>
      <c r="F103" s="50">
        <v>17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45</v>
      </c>
      <c r="N103" s="50">
        <v>0</v>
      </c>
      <c r="O103" s="15">
        <f t="shared" si="35"/>
        <v>37</v>
      </c>
      <c r="P103" s="15">
        <f t="shared" si="36"/>
        <v>82</v>
      </c>
      <c r="R103" s="8"/>
      <c r="T103"/>
    </row>
    <row r="104" spans="2:20" ht="23.1" customHeight="1" x14ac:dyDescent="0.25">
      <c r="B104" s="47" t="s">
        <v>145</v>
      </c>
      <c r="C104" s="50">
        <v>12</v>
      </c>
      <c r="D104" s="50">
        <v>0</v>
      </c>
      <c r="E104" s="50">
        <v>0</v>
      </c>
      <c r="F104" s="50">
        <v>20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40</v>
      </c>
      <c r="N104" s="50">
        <v>0</v>
      </c>
      <c r="O104" s="15">
        <f t="shared" si="35"/>
        <v>32</v>
      </c>
      <c r="P104" s="15">
        <f t="shared" si="36"/>
        <v>72</v>
      </c>
      <c r="R104" s="8"/>
      <c r="T104"/>
    </row>
    <row r="105" spans="2:20" ht="23.1" customHeight="1" x14ac:dyDescent="0.25">
      <c r="B105" s="45" t="s">
        <v>146</v>
      </c>
      <c r="C105" s="50">
        <v>15</v>
      </c>
      <c r="D105" s="50">
        <v>0</v>
      </c>
      <c r="E105" s="50">
        <v>0</v>
      </c>
      <c r="F105" s="50">
        <v>13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40</v>
      </c>
      <c r="N105" s="50">
        <v>0</v>
      </c>
      <c r="O105" s="15">
        <f t="shared" si="35"/>
        <v>28</v>
      </c>
      <c r="P105" s="15">
        <f t="shared" si="36"/>
        <v>68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2935</v>
      </c>
      <c r="D106" s="16">
        <f t="shared" ref="D106:P106" si="37">SUM(D10:D105)</f>
        <v>368</v>
      </c>
      <c r="E106" s="16">
        <f t="shared" si="37"/>
        <v>234</v>
      </c>
      <c r="F106" s="16">
        <f t="shared" si="37"/>
        <v>2561</v>
      </c>
      <c r="G106" s="16">
        <f t="shared" si="37"/>
        <v>10</v>
      </c>
      <c r="H106" s="16">
        <f t="shared" si="37"/>
        <v>2</v>
      </c>
      <c r="I106" s="16">
        <f t="shared" si="37"/>
        <v>143</v>
      </c>
      <c r="J106" s="16">
        <f t="shared" si="37"/>
        <v>69</v>
      </c>
      <c r="K106" s="16">
        <f t="shared" si="37"/>
        <v>11</v>
      </c>
      <c r="L106" s="16">
        <f t="shared" si="37"/>
        <v>6</v>
      </c>
      <c r="M106" s="16">
        <f t="shared" si="37"/>
        <v>14229</v>
      </c>
      <c r="N106" s="16">
        <f t="shared" si="37"/>
        <v>0</v>
      </c>
      <c r="O106" s="16">
        <f t="shared" si="37"/>
        <v>6339</v>
      </c>
      <c r="P106" s="16">
        <f t="shared" si="37"/>
        <v>20568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0.1426973940101128</v>
      </c>
      <c r="D107" s="43">
        <f t="shared" si="38"/>
        <v>1.7891870867366783E-2</v>
      </c>
      <c r="E107" s="43">
        <f t="shared" si="38"/>
        <v>1.1376896149358226E-2</v>
      </c>
      <c r="F107" s="43">
        <f t="shared" si="38"/>
        <v>0.12451380785686503</v>
      </c>
      <c r="G107" s="43">
        <f t="shared" si="38"/>
        <v>4.8619214313496692E-4</v>
      </c>
      <c r="H107" s="43">
        <f t="shared" si="38"/>
        <v>9.7238428626993388E-5</v>
      </c>
      <c r="I107" s="43">
        <f t="shared" si="38"/>
        <v>6.9525476468300269E-3</v>
      </c>
      <c r="J107" s="43">
        <f t="shared" si="38"/>
        <v>3.3547257876312721E-3</v>
      </c>
      <c r="K107" s="43">
        <f t="shared" si="38"/>
        <v>5.3481135744846368E-4</v>
      </c>
      <c r="L107" s="43">
        <f t="shared" si="38"/>
        <v>2.9171528588098014E-4</v>
      </c>
      <c r="M107" s="43">
        <f t="shared" si="38"/>
        <v>0.69180280046674447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0.46300678340432244</v>
      </c>
      <c r="D108" s="44">
        <f t="shared" ref="D108:N108" si="39">D106/$O$106</f>
        <v>5.8053320713046225E-2</v>
      </c>
      <c r="E108" s="44">
        <f t="shared" si="39"/>
        <v>3.6914339801230475E-2</v>
      </c>
      <c r="F108" s="44">
        <f t="shared" si="39"/>
        <v>0.40400694115791136</v>
      </c>
      <c r="G108" s="44">
        <f t="shared" si="39"/>
        <v>1.5775358889414735E-3</v>
      </c>
      <c r="H108" s="44">
        <f t="shared" si="39"/>
        <v>3.1550717778829469E-4</v>
      </c>
      <c r="I108" s="44">
        <f t="shared" si="39"/>
        <v>2.2558763211863071E-2</v>
      </c>
      <c r="J108" s="44">
        <f t="shared" si="39"/>
        <v>1.0884997633696167E-2</v>
      </c>
      <c r="K108" s="44">
        <f t="shared" si="39"/>
        <v>1.7352894778356208E-3</v>
      </c>
      <c r="L108" s="44">
        <f t="shared" si="39"/>
        <v>9.4652153336488402E-4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L58" sqref="L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Kibuye-Makindye'!C3:G3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3" t="str">
        <f>'27.07 Makindye-Kibuye-24h'!G5:H5</f>
        <v>FUELEX MAKINDYE</v>
      </c>
      <c r="H5" s="64"/>
      <c r="I5" s="14"/>
      <c r="J5" s="2" t="s">
        <v>5</v>
      </c>
      <c r="K5" s="63" t="str">
        <f>'27.07 Makindye-Kibuye-24h'!K5:L5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Kibuye-Makindye'!D6:E6</f>
        <v>KIBUYE</v>
      </c>
      <c r="E6" s="64"/>
      <c r="F6" s="2" t="s">
        <v>2</v>
      </c>
      <c r="G6" s="63" t="str">
        <f>'22.07 Kibuye-Makindye'!G6:H6</f>
        <v>MAKINDYE</v>
      </c>
      <c r="H6" s="64"/>
      <c r="J6" s="2" t="s">
        <v>21</v>
      </c>
      <c r="K6" s="63" t="str">
        <f>'27.07 Makindye-Kibuye-24h'!K6:L6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2</v>
      </c>
      <c r="E10" s="50">
        <v>0</v>
      </c>
      <c r="F10" s="50">
        <v>4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40</v>
      </c>
      <c r="N10" s="50">
        <v>0</v>
      </c>
      <c r="O10" s="15">
        <f t="shared" ref="O10:O57" si="0">SUM(C10:L10,N10)</f>
        <v>8</v>
      </c>
      <c r="P10" s="15">
        <f t="shared" ref="P10:P57" si="1">SUM(C10:N10)</f>
        <v>48</v>
      </c>
      <c r="R10" s="1" t="s">
        <v>6</v>
      </c>
      <c r="S10" s="17">
        <f t="shared" ref="S10:AF10" si="2">SUM(C10:C13)</f>
        <v>64</v>
      </c>
      <c r="T10" s="17">
        <f t="shared" si="2"/>
        <v>14</v>
      </c>
      <c r="U10" s="17">
        <f t="shared" si="2"/>
        <v>6</v>
      </c>
      <c r="V10" s="17">
        <f t="shared" si="2"/>
        <v>53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5</v>
      </c>
      <c r="AA10" s="17">
        <f t="shared" si="2"/>
        <v>2</v>
      </c>
      <c r="AB10" s="17">
        <f t="shared" si="2"/>
        <v>0</v>
      </c>
      <c r="AC10" s="17">
        <f t="shared" si="2"/>
        <v>367</v>
      </c>
      <c r="AD10" s="17">
        <f t="shared" si="2"/>
        <v>0</v>
      </c>
      <c r="AE10" s="31">
        <f t="shared" si="2"/>
        <v>150</v>
      </c>
      <c r="AF10" s="31">
        <f t="shared" si="2"/>
        <v>517</v>
      </c>
    </row>
    <row r="11" spans="2:32" s="6" customFormat="1" ht="23.1" customHeight="1" x14ac:dyDescent="0.25">
      <c r="B11" s="23" t="s">
        <v>38</v>
      </c>
      <c r="C11" s="50">
        <v>15</v>
      </c>
      <c r="D11" s="50">
        <v>4</v>
      </c>
      <c r="E11" s="50">
        <v>1</v>
      </c>
      <c r="F11" s="50">
        <v>23</v>
      </c>
      <c r="G11" s="50">
        <v>0</v>
      </c>
      <c r="H11" s="50">
        <v>0</v>
      </c>
      <c r="I11" s="50">
        <v>4</v>
      </c>
      <c r="J11" s="50">
        <v>2</v>
      </c>
      <c r="K11" s="50">
        <v>2</v>
      </c>
      <c r="L11" s="50">
        <v>0</v>
      </c>
      <c r="M11" s="50">
        <v>100</v>
      </c>
      <c r="N11" s="50">
        <v>0</v>
      </c>
      <c r="O11" s="15">
        <f t="shared" si="0"/>
        <v>51</v>
      </c>
      <c r="P11" s="15">
        <f t="shared" si="1"/>
        <v>151</v>
      </c>
      <c r="R11" s="1" t="s">
        <v>7</v>
      </c>
      <c r="S11" s="17">
        <f t="shared" ref="S11:AF11" si="3">SUM(C14:C17)</f>
        <v>70</v>
      </c>
      <c r="T11" s="17">
        <f t="shared" si="3"/>
        <v>14</v>
      </c>
      <c r="U11" s="17">
        <f t="shared" si="3"/>
        <v>7</v>
      </c>
      <c r="V11" s="17">
        <f t="shared" si="3"/>
        <v>72</v>
      </c>
      <c r="W11" s="17">
        <f t="shared" si="3"/>
        <v>3</v>
      </c>
      <c r="X11" s="17">
        <f t="shared" si="3"/>
        <v>0</v>
      </c>
      <c r="Y11" s="17">
        <f t="shared" si="3"/>
        <v>3</v>
      </c>
      <c r="Z11" s="17">
        <f t="shared" si="3"/>
        <v>5</v>
      </c>
      <c r="AA11" s="17">
        <f t="shared" si="3"/>
        <v>0</v>
      </c>
      <c r="AB11" s="17">
        <f t="shared" si="3"/>
        <v>0</v>
      </c>
      <c r="AC11" s="17">
        <f t="shared" si="3"/>
        <v>552</v>
      </c>
      <c r="AD11" s="17">
        <f t="shared" si="3"/>
        <v>0</v>
      </c>
      <c r="AE11" s="31">
        <f t="shared" si="3"/>
        <v>174</v>
      </c>
      <c r="AF11" s="31">
        <f t="shared" si="3"/>
        <v>726</v>
      </c>
    </row>
    <row r="12" spans="2:32" ht="23.1" customHeight="1" x14ac:dyDescent="0.25">
      <c r="B12" s="23" t="s">
        <v>39</v>
      </c>
      <c r="C12" s="50">
        <v>16</v>
      </c>
      <c r="D12" s="50">
        <v>4</v>
      </c>
      <c r="E12" s="50">
        <v>4</v>
      </c>
      <c r="F12" s="50">
        <v>7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117</v>
      </c>
      <c r="N12" s="50">
        <v>0</v>
      </c>
      <c r="O12" s="15">
        <f t="shared" si="0"/>
        <v>32</v>
      </c>
      <c r="P12" s="15">
        <f t="shared" si="1"/>
        <v>149</v>
      </c>
      <c r="R12" s="1" t="s">
        <v>8</v>
      </c>
      <c r="S12" s="17">
        <f t="shared" ref="S12:AF12" si="4">SUM(C18:C21)</f>
        <v>121</v>
      </c>
      <c r="T12" s="17">
        <f t="shared" si="4"/>
        <v>29</v>
      </c>
      <c r="U12" s="17">
        <f t="shared" si="4"/>
        <v>6</v>
      </c>
      <c r="V12" s="17">
        <f t="shared" si="4"/>
        <v>70</v>
      </c>
      <c r="W12" s="17">
        <f t="shared" si="4"/>
        <v>3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670</v>
      </c>
      <c r="AD12" s="17">
        <f t="shared" si="4"/>
        <v>0</v>
      </c>
      <c r="AE12" s="31">
        <f t="shared" si="4"/>
        <v>231</v>
      </c>
      <c r="AF12" s="31">
        <f t="shared" si="4"/>
        <v>901</v>
      </c>
    </row>
    <row r="13" spans="2:32" ht="23.1" customHeight="1" x14ac:dyDescent="0.25">
      <c r="B13" s="23" t="s">
        <v>40</v>
      </c>
      <c r="C13" s="50">
        <v>31</v>
      </c>
      <c r="D13" s="50">
        <v>4</v>
      </c>
      <c r="E13" s="50">
        <v>1</v>
      </c>
      <c r="F13" s="50">
        <v>19</v>
      </c>
      <c r="G13" s="50">
        <v>0</v>
      </c>
      <c r="H13" s="50">
        <v>0</v>
      </c>
      <c r="I13" s="50">
        <v>2</v>
      </c>
      <c r="J13" s="50">
        <v>2</v>
      </c>
      <c r="K13" s="50">
        <v>0</v>
      </c>
      <c r="L13" s="50">
        <v>0</v>
      </c>
      <c r="M13" s="50">
        <v>110</v>
      </c>
      <c r="N13" s="50">
        <v>0</v>
      </c>
      <c r="O13" s="15">
        <f t="shared" si="0"/>
        <v>59</v>
      </c>
      <c r="P13" s="15">
        <f t="shared" si="1"/>
        <v>169</v>
      </c>
      <c r="R13" s="1" t="s">
        <v>9</v>
      </c>
      <c r="S13" s="17">
        <f t="shared" ref="S13:AF13" si="5">SUM(C22:C25)</f>
        <v>181</v>
      </c>
      <c r="T13" s="17">
        <f t="shared" si="5"/>
        <v>48</v>
      </c>
      <c r="U13" s="17">
        <f t="shared" si="5"/>
        <v>18</v>
      </c>
      <c r="V13" s="17">
        <f t="shared" si="5"/>
        <v>119</v>
      </c>
      <c r="W13" s="17">
        <f t="shared" si="5"/>
        <v>3</v>
      </c>
      <c r="X13" s="17">
        <f t="shared" si="5"/>
        <v>0</v>
      </c>
      <c r="Y13" s="17">
        <f t="shared" si="5"/>
        <v>10</v>
      </c>
      <c r="Z13" s="17">
        <f t="shared" si="5"/>
        <v>10</v>
      </c>
      <c r="AA13" s="17">
        <f t="shared" si="5"/>
        <v>1</v>
      </c>
      <c r="AB13" s="17">
        <f t="shared" si="5"/>
        <v>0</v>
      </c>
      <c r="AC13" s="17">
        <f t="shared" si="5"/>
        <v>773</v>
      </c>
      <c r="AD13" s="17">
        <f t="shared" si="5"/>
        <v>0</v>
      </c>
      <c r="AE13" s="31">
        <f t="shared" si="5"/>
        <v>390</v>
      </c>
      <c r="AF13" s="31">
        <f t="shared" si="5"/>
        <v>1163</v>
      </c>
    </row>
    <row r="14" spans="2:32" ht="23.1" customHeight="1" x14ac:dyDescent="0.25">
      <c r="B14" s="23" t="s">
        <v>41</v>
      </c>
      <c r="C14" s="50">
        <v>15</v>
      </c>
      <c r="D14" s="50">
        <v>2</v>
      </c>
      <c r="E14" s="50">
        <v>0</v>
      </c>
      <c r="F14" s="50">
        <v>18</v>
      </c>
      <c r="G14" s="50">
        <v>2</v>
      </c>
      <c r="H14" s="50">
        <v>0</v>
      </c>
      <c r="I14" s="50">
        <v>0</v>
      </c>
      <c r="J14" s="50">
        <v>2</v>
      </c>
      <c r="K14" s="50">
        <v>0</v>
      </c>
      <c r="L14" s="50">
        <v>0</v>
      </c>
      <c r="M14" s="50">
        <v>151</v>
      </c>
      <c r="N14" s="50">
        <v>0</v>
      </c>
      <c r="O14" s="15">
        <f t="shared" si="0"/>
        <v>39</v>
      </c>
      <c r="P14" s="15">
        <f t="shared" si="1"/>
        <v>190</v>
      </c>
      <c r="R14" s="1" t="s">
        <v>10</v>
      </c>
      <c r="S14" s="17">
        <f t="shared" ref="S14:AF14" si="6">SUM(C26:C29)</f>
        <v>166</v>
      </c>
      <c r="T14" s="17">
        <f t="shared" si="6"/>
        <v>40</v>
      </c>
      <c r="U14" s="17">
        <f t="shared" si="6"/>
        <v>16</v>
      </c>
      <c r="V14" s="17">
        <f t="shared" si="6"/>
        <v>83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3</v>
      </c>
      <c r="AA14" s="17">
        <f t="shared" si="6"/>
        <v>1</v>
      </c>
      <c r="AB14" s="17">
        <f t="shared" si="6"/>
        <v>0</v>
      </c>
      <c r="AC14" s="17">
        <f t="shared" si="6"/>
        <v>766</v>
      </c>
      <c r="AD14" s="17">
        <f t="shared" si="6"/>
        <v>0</v>
      </c>
      <c r="AE14" s="31">
        <f t="shared" si="6"/>
        <v>317</v>
      </c>
      <c r="AF14" s="31">
        <f t="shared" si="6"/>
        <v>1083</v>
      </c>
    </row>
    <row r="15" spans="2:32" ht="23.1" customHeight="1" x14ac:dyDescent="0.25">
      <c r="B15" s="23" t="s">
        <v>42</v>
      </c>
      <c r="C15" s="50">
        <v>23</v>
      </c>
      <c r="D15" s="50">
        <v>8</v>
      </c>
      <c r="E15" s="50">
        <v>3</v>
      </c>
      <c r="F15" s="50">
        <v>32</v>
      </c>
      <c r="G15" s="50">
        <v>1</v>
      </c>
      <c r="H15" s="50">
        <v>0</v>
      </c>
      <c r="I15" s="50">
        <v>1</v>
      </c>
      <c r="J15" s="50">
        <v>2</v>
      </c>
      <c r="K15" s="50">
        <v>0</v>
      </c>
      <c r="L15" s="50">
        <v>0</v>
      </c>
      <c r="M15" s="50">
        <v>150</v>
      </c>
      <c r="N15" s="50">
        <v>0</v>
      </c>
      <c r="O15" s="15">
        <f t="shared" si="0"/>
        <v>70</v>
      </c>
      <c r="P15" s="15">
        <f t="shared" si="1"/>
        <v>220</v>
      </c>
      <c r="R15" s="1" t="s">
        <v>11</v>
      </c>
      <c r="S15" s="17">
        <f t="shared" ref="S15:AF15" si="7">SUM(C30:C33)</f>
        <v>179</v>
      </c>
      <c r="T15" s="17">
        <f t="shared" si="7"/>
        <v>48</v>
      </c>
      <c r="U15" s="17">
        <f t="shared" si="7"/>
        <v>31</v>
      </c>
      <c r="V15" s="17">
        <f t="shared" si="7"/>
        <v>89</v>
      </c>
      <c r="W15" s="17">
        <f t="shared" si="7"/>
        <v>0</v>
      </c>
      <c r="X15" s="17">
        <f t="shared" si="7"/>
        <v>1</v>
      </c>
      <c r="Y15" s="17">
        <f t="shared" si="7"/>
        <v>8</v>
      </c>
      <c r="Z15" s="17">
        <f t="shared" si="7"/>
        <v>10</v>
      </c>
      <c r="AA15" s="17">
        <f t="shared" si="7"/>
        <v>3</v>
      </c>
      <c r="AB15" s="17">
        <f t="shared" si="7"/>
        <v>0</v>
      </c>
      <c r="AC15" s="17">
        <f t="shared" si="7"/>
        <v>785</v>
      </c>
      <c r="AD15" s="17">
        <f t="shared" si="7"/>
        <v>0</v>
      </c>
      <c r="AE15" s="31">
        <f t="shared" si="7"/>
        <v>369</v>
      </c>
      <c r="AF15" s="31">
        <f t="shared" si="7"/>
        <v>1154</v>
      </c>
    </row>
    <row r="16" spans="2:32" ht="23.1" customHeight="1" x14ac:dyDescent="0.25">
      <c r="B16" s="23" t="s">
        <v>43</v>
      </c>
      <c r="C16" s="50">
        <v>17</v>
      </c>
      <c r="D16" s="50">
        <v>2</v>
      </c>
      <c r="E16" s="50">
        <v>2</v>
      </c>
      <c r="F16" s="50">
        <v>14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125</v>
      </c>
      <c r="N16" s="50">
        <v>0</v>
      </c>
      <c r="O16" s="15">
        <f t="shared" si="0"/>
        <v>36</v>
      </c>
      <c r="P16" s="15">
        <f t="shared" si="1"/>
        <v>161</v>
      </c>
      <c r="R16" s="1" t="s">
        <v>12</v>
      </c>
      <c r="S16" s="17">
        <f t="shared" ref="S16:AF16" si="8">SUM(C34:C37)</f>
        <v>193</v>
      </c>
      <c r="T16" s="17">
        <f t="shared" si="8"/>
        <v>53</v>
      </c>
      <c r="U16" s="17">
        <f t="shared" si="8"/>
        <v>31</v>
      </c>
      <c r="V16" s="17">
        <f t="shared" si="8"/>
        <v>82</v>
      </c>
      <c r="W16" s="17">
        <f t="shared" si="8"/>
        <v>2</v>
      </c>
      <c r="X16" s="17">
        <f t="shared" si="8"/>
        <v>0</v>
      </c>
      <c r="Y16" s="17">
        <f t="shared" si="8"/>
        <v>9</v>
      </c>
      <c r="Z16" s="17">
        <f t="shared" si="8"/>
        <v>2</v>
      </c>
      <c r="AA16" s="17">
        <f t="shared" si="8"/>
        <v>1</v>
      </c>
      <c r="AB16" s="17">
        <f t="shared" si="8"/>
        <v>1</v>
      </c>
      <c r="AC16" s="17">
        <f t="shared" si="8"/>
        <v>596</v>
      </c>
      <c r="AD16" s="17">
        <f t="shared" si="8"/>
        <v>0</v>
      </c>
      <c r="AE16" s="31">
        <f t="shared" si="8"/>
        <v>374</v>
      </c>
      <c r="AF16" s="31">
        <f t="shared" si="8"/>
        <v>970</v>
      </c>
    </row>
    <row r="17" spans="2:32" ht="23.1" customHeight="1" x14ac:dyDescent="0.25">
      <c r="B17" s="23" t="s">
        <v>44</v>
      </c>
      <c r="C17" s="50">
        <v>15</v>
      </c>
      <c r="D17" s="50">
        <v>2</v>
      </c>
      <c r="E17" s="50">
        <v>2</v>
      </c>
      <c r="F17" s="50">
        <v>8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126</v>
      </c>
      <c r="N17" s="50">
        <v>0</v>
      </c>
      <c r="O17" s="15">
        <f t="shared" si="0"/>
        <v>29</v>
      </c>
      <c r="P17" s="15">
        <f t="shared" si="1"/>
        <v>155</v>
      </c>
      <c r="R17" s="1" t="s">
        <v>13</v>
      </c>
      <c r="S17" s="17">
        <f t="shared" ref="S17:AF17" si="9">SUM(C38:C41)</f>
        <v>185</v>
      </c>
      <c r="T17" s="17">
        <f t="shared" si="9"/>
        <v>46</v>
      </c>
      <c r="U17" s="17">
        <f t="shared" si="9"/>
        <v>30</v>
      </c>
      <c r="V17" s="17">
        <f t="shared" si="9"/>
        <v>91</v>
      </c>
      <c r="W17" s="17">
        <f t="shared" si="9"/>
        <v>1</v>
      </c>
      <c r="X17" s="17">
        <f t="shared" si="9"/>
        <v>2</v>
      </c>
      <c r="Y17" s="17">
        <f t="shared" si="9"/>
        <v>8</v>
      </c>
      <c r="Z17" s="17">
        <f t="shared" si="9"/>
        <v>3</v>
      </c>
      <c r="AA17" s="17">
        <f t="shared" si="9"/>
        <v>1</v>
      </c>
      <c r="AB17" s="17">
        <f t="shared" si="9"/>
        <v>2</v>
      </c>
      <c r="AC17" s="17">
        <f t="shared" si="9"/>
        <v>765</v>
      </c>
      <c r="AD17" s="17">
        <f t="shared" si="9"/>
        <v>0</v>
      </c>
      <c r="AE17" s="31">
        <f t="shared" si="9"/>
        <v>369</v>
      </c>
      <c r="AF17" s="31">
        <f t="shared" si="9"/>
        <v>1134</v>
      </c>
    </row>
    <row r="18" spans="2:32" ht="23.1" customHeight="1" x14ac:dyDescent="0.25">
      <c r="B18" s="23" t="s">
        <v>45</v>
      </c>
      <c r="C18" s="50">
        <v>28</v>
      </c>
      <c r="D18" s="50">
        <v>4</v>
      </c>
      <c r="E18" s="50">
        <v>2</v>
      </c>
      <c r="F18" s="50">
        <v>11</v>
      </c>
      <c r="G18" s="50">
        <v>0</v>
      </c>
      <c r="H18" s="50">
        <v>0</v>
      </c>
      <c r="I18" s="50">
        <v>0</v>
      </c>
      <c r="J18" s="50">
        <v>0</v>
      </c>
      <c r="K18" s="50">
        <v>1</v>
      </c>
      <c r="L18" s="50">
        <v>0</v>
      </c>
      <c r="M18" s="50">
        <v>160</v>
      </c>
      <c r="N18" s="50">
        <v>0</v>
      </c>
      <c r="O18" s="15">
        <f t="shared" si="0"/>
        <v>46</v>
      </c>
      <c r="P18" s="15">
        <f t="shared" si="1"/>
        <v>206</v>
      </c>
      <c r="R18" s="1" t="s">
        <v>14</v>
      </c>
      <c r="S18" s="17">
        <f t="shared" ref="S18:AF18" si="10">SUM(C42:C45)</f>
        <v>239</v>
      </c>
      <c r="T18" s="17">
        <f t="shared" si="10"/>
        <v>55</v>
      </c>
      <c r="U18" s="17">
        <f t="shared" si="10"/>
        <v>25</v>
      </c>
      <c r="V18" s="17">
        <f t="shared" si="10"/>
        <v>61</v>
      </c>
      <c r="W18" s="17">
        <f t="shared" si="10"/>
        <v>0</v>
      </c>
      <c r="X18" s="17">
        <f t="shared" si="10"/>
        <v>0</v>
      </c>
      <c r="Y18" s="17">
        <f t="shared" si="10"/>
        <v>13</v>
      </c>
      <c r="Z18" s="17">
        <f t="shared" si="10"/>
        <v>12</v>
      </c>
      <c r="AA18" s="17">
        <f t="shared" si="10"/>
        <v>1</v>
      </c>
      <c r="AB18" s="17">
        <f t="shared" si="10"/>
        <v>2</v>
      </c>
      <c r="AC18" s="17">
        <f t="shared" si="10"/>
        <v>925</v>
      </c>
      <c r="AD18" s="17">
        <f t="shared" si="10"/>
        <v>0</v>
      </c>
      <c r="AE18" s="31">
        <f t="shared" si="10"/>
        <v>408</v>
      </c>
      <c r="AF18" s="31">
        <f t="shared" si="10"/>
        <v>1333</v>
      </c>
    </row>
    <row r="19" spans="2:32" ht="23.1" customHeight="1" x14ac:dyDescent="0.25">
      <c r="B19" s="23" t="s">
        <v>46</v>
      </c>
      <c r="C19" s="50">
        <v>16</v>
      </c>
      <c r="D19" s="50">
        <v>6</v>
      </c>
      <c r="E19" s="50">
        <v>0</v>
      </c>
      <c r="F19" s="50">
        <v>16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165</v>
      </c>
      <c r="N19" s="50">
        <v>0</v>
      </c>
      <c r="O19" s="15">
        <f t="shared" si="0"/>
        <v>38</v>
      </c>
      <c r="P19" s="15">
        <f t="shared" si="1"/>
        <v>203</v>
      </c>
      <c r="R19" s="1" t="s">
        <v>15</v>
      </c>
      <c r="S19" s="17">
        <f t="shared" ref="S19:AF19" si="11">SUM(C46:C49)</f>
        <v>364</v>
      </c>
      <c r="T19" s="17">
        <f t="shared" si="11"/>
        <v>62</v>
      </c>
      <c r="U19" s="17">
        <f t="shared" si="11"/>
        <v>32</v>
      </c>
      <c r="V19" s="17">
        <f t="shared" si="11"/>
        <v>84</v>
      </c>
      <c r="W19" s="17">
        <f t="shared" si="11"/>
        <v>2</v>
      </c>
      <c r="X19" s="17">
        <f t="shared" si="11"/>
        <v>0</v>
      </c>
      <c r="Y19" s="17">
        <f t="shared" si="11"/>
        <v>4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970</v>
      </c>
      <c r="AD19" s="17">
        <f t="shared" si="11"/>
        <v>0</v>
      </c>
      <c r="AE19" s="31">
        <f t="shared" si="11"/>
        <v>549</v>
      </c>
      <c r="AF19" s="31">
        <f t="shared" si="11"/>
        <v>1519</v>
      </c>
    </row>
    <row r="20" spans="2:32" ht="23.1" customHeight="1" x14ac:dyDescent="0.25">
      <c r="B20" s="23" t="s">
        <v>47</v>
      </c>
      <c r="C20" s="50">
        <v>36</v>
      </c>
      <c r="D20" s="50">
        <v>11</v>
      </c>
      <c r="E20" s="50">
        <v>4</v>
      </c>
      <c r="F20" s="50">
        <v>23</v>
      </c>
      <c r="G20" s="50">
        <v>2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170</v>
      </c>
      <c r="N20" s="50">
        <v>0</v>
      </c>
      <c r="O20" s="15">
        <f t="shared" si="0"/>
        <v>77</v>
      </c>
      <c r="P20" s="15">
        <f t="shared" si="1"/>
        <v>247</v>
      </c>
      <c r="R20" s="1" t="s">
        <v>16</v>
      </c>
      <c r="S20" s="17">
        <f t="shared" ref="S20:AF20" si="12">SUM(C50:C53)</f>
        <v>254</v>
      </c>
      <c r="T20" s="17">
        <f t="shared" si="12"/>
        <v>43</v>
      </c>
      <c r="U20" s="17">
        <f t="shared" si="12"/>
        <v>16</v>
      </c>
      <c r="V20" s="17">
        <f t="shared" si="12"/>
        <v>83</v>
      </c>
      <c r="W20" s="17">
        <f t="shared" si="12"/>
        <v>1</v>
      </c>
      <c r="X20" s="17">
        <f t="shared" si="12"/>
        <v>0</v>
      </c>
      <c r="Y20" s="17">
        <f t="shared" si="12"/>
        <v>3</v>
      </c>
      <c r="Z20" s="17">
        <f t="shared" si="12"/>
        <v>3</v>
      </c>
      <c r="AA20" s="17">
        <f t="shared" si="12"/>
        <v>1</v>
      </c>
      <c r="AB20" s="17">
        <f t="shared" si="12"/>
        <v>1</v>
      </c>
      <c r="AC20" s="17">
        <f t="shared" si="12"/>
        <v>865</v>
      </c>
      <c r="AD20" s="17">
        <f t="shared" si="12"/>
        <v>0</v>
      </c>
      <c r="AE20" s="31">
        <f t="shared" si="12"/>
        <v>405</v>
      </c>
      <c r="AF20" s="31">
        <f t="shared" si="12"/>
        <v>1270</v>
      </c>
    </row>
    <row r="21" spans="2:32" ht="23.1" customHeight="1" x14ac:dyDescent="0.25">
      <c r="B21" s="23" t="s">
        <v>48</v>
      </c>
      <c r="C21" s="50">
        <v>41</v>
      </c>
      <c r="D21" s="50">
        <v>8</v>
      </c>
      <c r="E21" s="50">
        <v>0</v>
      </c>
      <c r="F21" s="50">
        <v>20</v>
      </c>
      <c r="G21" s="50">
        <v>1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175</v>
      </c>
      <c r="N21" s="50">
        <v>0</v>
      </c>
      <c r="O21" s="15">
        <f t="shared" si="0"/>
        <v>70</v>
      </c>
      <c r="P21" s="15">
        <f t="shared" si="1"/>
        <v>245</v>
      </c>
      <c r="R21" s="36" t="s">
        <v>20</v>
      </c>
      <c r="S21" s="34">
        <f t="shared" ref="S21:AF21" si="13">SUM(C54:C57)</f>
        <v>224</v>
      </c>
      <c r="T21" s="17">
        <f t="shared" si="13"/>
        <v>41</v>
      </c>
      <c r="U21" s="17">
        <f t="shared" si="13"/>
        <v>37</v>
      </c>
      <c r="V21" s="17">
        <f t="shared" si="13"/>
        <v>108</v>
      </c>
      <c r="W21" s="17">
        <f t="shared" si="13"/>
        <v>1</v>
      </c>
      <c r="X21" s="17">
        <f t="shared" si="13"/>
        <v>0</v>
      </c>
      <c r="Y21" s="17">
        <f t="shared" si="13"/>
        <v>7</v>
      </c>
      <c r="Z21" s="17">
        <f t="shared" si="13"/>
        <v>3</v>
      </c>
      <c r="AA21" s="17">
        <f t="shared" si="13"/>
        <v>6</v>
      </c>
      <c r="AB21" s="17">
        <f t="shared" si="13"/>
        <v>240</v>
      </c>
      <c r="AC21" s="17">
        <f t="shared" si="13"/>
        <v>555</v>
      </c>
      <c r="AD21" s="17">
        <f t="shared" si="13"/>
        <v>0</v>
      </c>
      <c r="AE21" s="31">
        <f t="shared" si="13"/>
        <v>667</v>
      </c>
      <c r="AF21" s="31">
        <f t="shared" si="13"/>
        <v>1222</v>
      </c>
    </row>
    <row r="22" spans="2:32" ht="23.1" customHeight="1" x14ac:dyDescent="0.25">
      <c r="B22" s="23" t="s">
        <v>49</v>
      </c>
      <c r="C22" s="50">
        <v>36</v>
      </c>
      <c r="D22" s="50">
        <v>11</v>
      </c>
      <c r="E22" s="50">
        <v>5</v>
      </c>
      <c r="F22" s="50">
        <v>32</v>
      </c>
      <c r="G22" s="50">
        <v>1</v>
      </c>
      <c r="H22" s="50">
        <v>0</v>
      </c>
      <c r="I22" s="50">
        <v>4</v>
      </c>
      <c r="J22" s="50">
        <v>2</v>
      </c>
      <c r="K22" s="50">
        <v>1</v>
      </c>
      <c r="L22" s="50">
        <v>0</v>
      </c>
      <c r="M22" s="50">
        <v>140</v>
      </c>
      <c r="N22" s="50">
        <v>0</v>
      </c>
      <c r="O22" s="15">
        <f t="shared" si="0"/>
        <v>92</v>
      </c>
      <c r="P22" s="15">
        <f t="shared" si="1"/>
        <v>232</v>
      </c>
      <c r="R22" s="38" t="s">
        <v>90</v>
      </c>
      <c r="S22" s="39">
        <f>MAX(S10:S12)</f>
        <v>121</v>
      </c>
      <c r="T22" s="39">
        <f t="shared" ref="T22:AF22" si="14">MAX(T10:T12)</f>
        <v>29</v>
      </c>
      <c r="U22" s="39">
        <f t="shared" si="14"/>
        <v>7</v>
      </c>
      <c r="V22" s="39">
        <f t="shared" si="14"/>
        <v>72</v>
      </c>
      <c r="W22" s="39">
        <f t="shared" si="14"/>
        <v>3</v>
      </c>
      <c r="X22" s="39">
        <f t="shared" si="14"/>
        <v>0</v>
      </c>
      <c r="Y22" s="39">
        <f t="shared" si="14"/>
        <v>6</v>
      </c>
      <c r="Z22" s="39">
        <f t="shared" si="14"/>
        <v>5</v>
      </c>
      <c r="AA22" s="39">
        <f t="shared" si="14"/>
        <v>2</v>
      </c>
      <c r="AB22" s="39">
        <f t="shared" si="14"/>
        <v>0</v>
      </c>
      <c r="AC22" s="39">
        <f t="shared" si="14"/>
        <v>670</v>
      </c>
      <c r="AD22" s="39">
        <f t="shared" si="14"/>
        <v>0</v>
      </c>
      <c r="AE22" s="40">
        <f t="shared" si="14"/>
        <v>231</v>
      </c>
      <c r="AF22" s="40">
        <f t="shared" si="14"/>
        <v>901</v>
      </c>
    </row>
    <row r="23" spans="2:32" ht="23.1" customHeight="1" x14ac:dyDescent="0.25">
      <c r="B23" s="23" t="s">
        <v>50</v>
      </c>
      <c r="C23" s="50">
        <v>45</v>
      </c>
      <c r="D23" s="50">
        <v>14</v>
      </c>
      <c r="E23" s="50">
        <v>8</v>
      </c>
      <c r="F23" s="50">
        <v>30</v>
      </c>
      <c r="G23" s="50">
        <v>1</v>
      </c>
      <c r="H23" s="50">
        <v>0</v>
      </c>
      <c r="I23" s="50">
        <v>1</v>
      </c>
      <c r="J23" s="50">
        <v>2</v>
      </c>
      <c r="K23" s="50">
        <v>0</v>
      </c>
      <c r="L23" s="50">
        <v>0</v>
      </c>
      <c r="M23" s="50">
        <v>208</v>
      </c>
      <c r="N23" s="50">
        <v>0</v>
      </c>
      <c r="O23" s="15">
        <f t="shared" si="0"/>
        <v>101</v>
      </c>
      <c r="P23" s="15">
        <f t="shared" si="1"/>
        <v>309</v>
      </c>
      <c r="R23" s="38" t="s">
        <v>91</v>
      </c>
      <c r="S23" s="39">
        <f>MAX(S13:S18)</f>
        <v>239</v>
      </c>
      <c r="T23" s="39">
        <f t="shared" ref="T23:AF23" si="15">MAX(T13:T18)</f>
        <v>55</v>
      </c>
      <c r="U23" s="39">
        <f t="shared" si="15"/>
        <v>31</v>
      </c>
      <c r="V23" s="39">
        <f t="shared" si="15"/>
        <v>119</v>
      </c>
      <c r="W23" s="39">
        <f t="shared" si="15"/>
        <v>3</v>
      </c>
      <c r="X23" s="39">
        <f t="shared" si="15"/>
        <v>2</v>
      </c>
      <c r="Y23" s="39">
        <f t="shared" si="15"/>
        <v>13</v>
      </c>
      <c r="Z23" s="39">
        <f t="shared" si="15"/>
        <v>12</v>
      </c>
      <c r="AA23" s="39">
        <f t="shared" si="15"/>
        <v>3</v>
      </c>
      <c r="AB23" s="39">
        <f t="shared" si="15"/>
        <v>2</v>
      </c>
      <c r="AC23" s="39">
        <f t="shared" si="15"/>
        <v>925</v>
      </c>
      <c r="AD23" s="39">
        <f t="shared" si="15"/>
        <v>0</v>
      </c>
      <c r="AE23" s="40">
        <f t="shared" si="15"/>
        <v>408</v>
      </c>
      <c r="AF23" s="40">
        <f t="shared" si="15"/>
        <v>1333</v>
      </c>
    </row>
    <row r="24" spans="2:32" ht="23.1" customHeight="1" x14ac:dyDescent="0.25">
      <c r="B24" s="23" t="s">
        <v>51</v>
      </c>
      <c r="C24" s="50">
        <v>54</v>
      </c>
      <c r="D24" s="50">
        <v>12</v>
      </c>
      <c r="E24" s="50">
        <v>0</v>
      </c>
      <c r="F24" s="50">
        <v>30</v>
      </c>
      <c r="G24" s="50">
        <v>0</v>
      </c>
      <c r="H24" s="50">
        <v>0</v>
      </c>
      <c r="I24" s="50">
        <v>3</v>
      </c>
      <c r="J24" s="50">
        <v>2</v>
      </c>
      <c r="K24" s="50">
        <v>0</v>
      </c>
      <c r="L24" s="50">
        <v>0</v>
      </c>
      <c r="M24" s="50">
        <v>210</v>
      </c>
      <c r="N24" s="50">
        <v>0</v>
      </c>
      <c r="O24" s="15">
        <f t="shared" si="0"/>
        <v>101</v>
      </c>
      <c r="P24" s="15">
        <f t="shared" si="1"/>
        <v>311</v>
      </c>
      <c r="R24" s="38" t="s">
        <v>92</v>
      </c>
      <c r="S24" s="39">
        <f>MAX(S19:S21)</f>
        <v>364</v>
      </c>
      <c r="T24" s="39">
        <f t="shared" ref="T24:AF24" si="16">MAX(T19:T21)</f>
        <v>62</v>
      </c>
      <c r="U24" s="39">
        <f t="shared" si="16"/>
        <v>37</v>
      </c>
      <c r="V24" s="39">
        <f t="shared" si="16"/>
        <v>108</v>
      </c>
      <c r="W24" s="39">
        <f t="shared" si="16"/>
        <v>2</v>
      </c>
      <c r="X24" s="39">
        <f t="shared" si="16"/>
        <v>0</v>
      </c>
      <c r="Y24" s="39">
        <f t="shared" si="16"/>
        <v>7</v>
      </c>
      <c r="Z24" s="39">
        <f t="shared" si="16"/>
        <v>3</v>
      </c>
      <c r="AA24" s="39">
        <f t="shared" si="16"/>
        <v>6</v>
      </c>
      <c r="AB24" s="39">
        <f t="shared" si="16"/>
        <v>240</v>
      </c>
      <c r="AC24" s="39">
        <f t="shared" si="16"/>
        <v>970</v>
      </c>
      <c r="AD24" s="39">
        <f t="shared" si="16"/>
        <v>0</v>
      </c>
      <c r="AE24" s="40">
        <f t="shared" si="16"/>
        <v>667</v>
      </c>
      <c r="AF24" s="40">
        <f t="shared" si="16"/>
        <v>1519</v>
      </c>
    </row>
    <row r="25" spans="2:32" ht="23.1" customHeight="1" x14ac:dyDescent="0.25">
      <c r="B25" s="23" t="s">
        <v>52</v>
      </c>
      <c r="C25" s="50">
        <v>46</v>
      </c>
      <c r="D25" s="50">
        <v>11</v>
      </c>
      <c r="E25" s="50">
        <v>5</v>
      </c>
      <c r="F25" s="50">
        <v>27</v>
      </c>
      <c r="G25" s="50">
        <v>1</v>
      </c>
      <c r="H25" s="50">
        <v>0</v>
      </c>
      <c r="I25" s="50">
        <v>2</v>
      </c>
      <c r="J25" s="50">
        <v>4</v>
      </c>
      <c r="K25" s="50">
        <v>0</v>
      </c>
      <c r="L25" s="50">
        <v>0</v>
      </c>
      <c r="M25" s="50">
        <v>215</v>
      </c>
      <c r="N25" s="50">
        <v>0</v>
      </c>
      <c r="O25" s="15">
        <f t="shared" si="0"/>
        <v>96</v>
      </c>
      <c r="P25" s="15">
        <f t="shared" si="1"/>
        <v>311</v>
      </c>
      <c r="R25" s="37" t="s">
        <v>85</v>
      </c>
      <c r="S25" s="35">
        <f t="shared" ref="S25:AF25" si="17">SUM(S10:S12)</f>
        <v>255</v>
      </c>
      <c r="T25" s="16">
        <f t="shared" si="17"/>
        <v>57</v>
      </c>
      <c r="U25" s="16">
        <f t="shared" si="17"/>
        <v>19</v>
      </c>
      <c r="V25" s="16">
        <f t="shared" si="17"/>
        <v>195</v>
      </c>
      <c r="W25" s="16">
        <f t="shared" si="17"/>
        <v>6</v>
      </c>
      <c r="X25" s="16">
        <f t="shared" si="17"/>
        <v>0</v>
      </c>
      <c r="Y25" s="16">
        <f t="shared" si="17"/>
        <v>10</v>
      </c>
      <c r="Z25" s="16">
        <f t="shared" si="17"/>
        <v>10</v>
      </c>
      <c r="AA25" s="16">
        <f t="shared" si="17"/>
        <v>3</v>
      </c>
      <c r="AB25" s="16">
        <f t="shared" si="17"/>
        <v>0</v>
      </c>
      <c r="AC25" s="16">
        <f t="shared" si="17"/>
        <v>1589</v>
      </c>
      <c r="AD25" s="16">
        <f t="shared" si="17"/>
        <v>0</v>
      </c>
      <c r="AE25" s="32">
        <f t="shared" si="17"/>
        <v>555</v>
      </c>
      <c r="AF25" s="32">
        <f t="shared" si="17"/>
        <v>2144</v>
      </c>
    </row>
    <row r="26" spans="2:32" ht="23.1" customHeight="1" x14ac:dyDescent="0.25">
      <c r="B26" s="23" t="s">
        <v>53</v>
      </c>
      <c r="C26" s="50">
        <v>40</v>
      </c>
      <c r="D26" s="50">
        <v>14</v>
      </c>
      <c r="E26" s="50">
        <v>2</v>
      </c>
      <c r="F26" s="50">
        <v>24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221</v>
      </c>
      <c r="N26" s="50">
        <v>0</v>
      </c>
      <c r="O26" s="15">
        <f t="shared" si="0"/>
        <v>83</v>
      </c>
      <c r="P26" s="15">
        <f t="shared" si="1"/>
        <v>304</v>
      </c>
      <c r="R26" s="28" t="s">
        <v>86</v>
      </c>
      <c r="S26" s="16">
        <f t="shared" ref="S26:AF26" si="18">SUM(S13:S18)</f>
        <v>1143</v>
      </c>
      <c r="T26" s="16">
        <f t="shared" si="18"/>
        <v>290</v>
      </c>
      <c r="U26" s="16">
        <f t="shared" si="18"/>
        <v>151</v>
      </c>
      <c r="V26" s="16">
        <f t="shared" si="18"/>
        <v>525</v>
      </c>
      <c r="W26" s="16">
        <f t="shared" si="18"/>
        <v>6</v>
      </c>
      <c r="X26" s="16">
        <f t="shared" si="18"/>
        <v>3</v>
      </c>
      <c r="Y26" s="16">
        <f t="shared" si="18"/>
        <v>56</v>
      </c>
      <c r="Z26" s="16">
        <f t="shared" si="18"/>
        <v>40</v>
      </c>
      <c r="AA26" s="16">
        <f t="shared" si="18"/>
        <v>8</v>
      </c>
      <c r="AB26" s="16">
        <f t="shared" si="18"/>
        <v>5</v>
      </c>
      <c r="AC26" s="16">
        <f t="shared" si="18"/>
        <v>4610</v>
      </c>
      <c r="AD26" s="16">
        <f t="shared" si="18"/>
        <v>0</v>
      </c>
      <c r="AE26" s="32">
        <f t="shared" si="18"/>
        <v>2227</v>
      </c>
      <c r="AF26" s="32">
        <f t="shared" si="18"/>
        <v>6837</v>
      </c>
    </row>
    <row r="27" spans="2:32" ht="23.1" customHeight="1" x14ac:dyDescent="0.25">
      <c r="B27" s="23" t="s">
        <v>54</v>
      </c>
      <c r="C27" s="50">
        <v>31</v>
      </c>
      <c r="D27" s="50">
        <v>8</v>
      </c>
      <c r="E27" s="50">
        <v>2</v>
      </c>
      <c r="F27" s="50">
        <v>21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180</v>
      </c>
      <c r="N27" s="50">
        <v>0</v>
      </c>
      <c r="O27" s="15">
        <f t="shared" si="0"/>
        <v>65</v>
      </c>
      <c r="P27" s="15">
        <f t="shared" si="1"/>
        <v>245</v>
      </c>
      <c r="R27" s="29" t="s">
        <v>87</v>
      </c>
      <c r="S27" s="16">
        <f t="shared" ref="S27:AF27" si="19">SUM(S19:S21)</f>
        <v>842</v>
      </c>
      <c r="T27" s="16">
        <f t="shared" si="19"/>
        <v>146</v>
      </c>
      <c r="U27" s="16">
        <f t="shared" si="19"/>
        <v>85</v>
      </c>
      <c r="V27" s="16">
        <f t="shared" si="19"/>
        <v>275</v>
      </c>
      <c r="W27" s="16">
        <f t="shared" si="19"/>
        <v>4</v>
      </c>
      <c r="X27" s="16">
        <f t="shared" si="19"/>
        <v>0</v>
      </c>
      <c r="Y27" s="16">
        <f t="shared" si="19"/>
        <v>14</v>
      </c>
      <c r="Z27" s="16">
        <f t="shared" si="19"/>
        <v>7</v>
      </c>
      <c r="AA27" s="16">
        <f t="shared" si="19"/>
        <v>7</v>
      </c>
      <c r="AB27" s="16">
        <f t="shared" si="19"/>
        <v>241</v>
      </c>
      <c r="AC27" s="16">
        <f t="shared" si="19"/>
        <v>2390</v>
      </c>
      <c r="AD27" s="16">
        <f t="shared" si="19"/>
        <v>0</v>
      </c>
      <c r="AE27" s="32">
        <f t="shared" si="19"/>
        <v>1621</v>
      </c>
      <c r="AF27" s="32">
        <f t="shared" si="19"/>
        <v>4011</v>
      </c>
    </row>
    <row r="28" spans="2:32" ht="23.1" customHeight="1" x14ac:dyDescent="0.25">
      <c r="B28" s="23" t="s">
        <v>55</v>
      </c>
      <c r="C28" s="50">
        <v>45</v>
      </c>
      <c r="D28" s="50">
        <v>12</v>
      </c>
      <c r="E28" s="50">
        <v>4</v>
      </c>
      <c r="F28" s="50">
        <v>15</v>
      </c>
      <c r="G28" s="50">
        <v>0</v>
      </c>
      <c r="H28" s="50">
        <v>0</v>
      </c>
      <c r="I28" s="50">
        <v>4</v>
      </c>
      <c r="J28" s="50">
        <v>0</v>
      </c>
      <c r="K28" s="50">
        <v>1</v>
      </c>
      <c r="L28" s="50">
        <v>0</v>
      </c>
      <c r="M28" s="50">
        <v>150</v>
      </c>
      <c r="N28" s="50">
        <v>0</v>
      </c>
      <c r="O28" s="15">
        <f t="shared" si="0"/>
        <v>81</v>
      </c>
      <c r="P28" s="15">
        <f t="shared" si="1"/>
        <v>231</v>
      </c>
      <c r="R28" s="5" t="s">
        <v>17</v>
      </c>
      <c r="S28" s="16">
        <f t="shared" ref="S28:AF28" si="20">SUM(S10:S21)</f>
        <v>2240</v>
      </c>
      <c r="T28" s="16">
        <f t="shared" si="20"/>
        <v>493</v>
      </c>
      <c r="U28" s="16">
        <f t="shared" si="20"/>
        <v>255</v>
      </c>
      <c r="V28" s="16">
        <f t="shared" si="20"/>
        <v>995</v>
      </c>
      <c r="W28" s="16">
        <f t="shared" si="20"/>
        <v>16</v>
      </c>
      <c r="X28" s="16">
        <f t="shared" si="20"/>
        <v>3</v>
      </c>
      <c r="Y28" s="16">
        <f t="shared" si="20"/>
        <v>80</v>
      </c>
      <c r="Z28" s="16">
        <f t="shared" si="20"/>
        <v>57</v>
      </c>
      <c r="AA28" s="16">
        <f t="shared" si="20"/>
        <v>18</v>
      </c>
      <c r="AB28" s="16">
        <f t="shared" si="20"/>
        <v>246</v>
      </c>
      <c r="AC28" s="16">
        <f t="shared" si="20"/>
        <v>8589</v>
      </c>
      <c r="AD28" s="16">
        <f t="shared" si="20"/>
        <v>0</v>
      </c>
      <c r="AE28" s="32">
        <f t="shared" si="20"/>
        <v>4403</v>
      </c>
      <c r="AF28" s="32">
        <f t="shared" si="20"/>
        <v>12992</v>
      </c>
    </row>
    <row r="29" spans="2:32" ht="23.1" customHeight="1" x14ac:dyDescent="0.25">
      <c r="B29" s="23" t="s">
        <v>56</v>
      </c>
      <c r="C29" s="50">
        <v>50</v>
      </c>
      <c r="D29" s="50">
        <v>6</v>
      </c>
      <c r="E29" s="50">
        <v>8</v>
      </c>
      <c r="F29" s="50">
        <v>23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215</v>
      </c>
      <c r="N29" s="50">
        <v>0</v>
      </c>
      <c r="O29" s="15">
        <f t="shared" si="0"/>
        <v>88</v>
      </c>
      <c r="P29" s="15">
        <f t="shared" si="1"/>
        <v>303</v>
      </c>
      <c r="R29"/>
      <c r="S29" s="20"/>
      <c r="T29" s="19"/>
    </row>
    <row r="30" spans="2:32" ht="23.1" customHeight="1" x14ac:dyDescent="0.25">
      <c r="B30" s="23" t="s">
        <v>57</v>
      </c>
      <c r="C30" s="50">
        <v>41</v>
      </c>
      <c r="D30" s="50">
        <v>11</v>
      </c>
      <c r="E30" s="50">
        <v>3</v>
      </c>
      <c r="F30" s="50">
        <v>16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205</v>
      </c>
      <c r="N30" s="50">
        <v>0</v>
      </c>
      <c r="O30" s="15">
        <f t="shared" si="0"/>
        <v>71</v>
      </c>
      <c r="P30" s="15">
        <f t="shared" si="1"/>
        <v>276</v>
      </c>
    </row>
    <row r="31" spans="2:32" ht="23.1" customHeight="1" x14ac:dyDescent="0.25">
      <c r="B31" s="24" t="s">
        <v>58</v>
      </c>
      <c r="C31" s="50">
        <v>47</v>
      </c>
      <c r="D31" s="50">
        <v>6</v>
      </c>
      <c r="E31" s="50">
        <v>8</v>
      </c>
      <c r="F31" s="50">
        <v>18</v>
      </c>
      <c r="G31" s="50">
        <v>0</v>
      </c>
      <c r="H31" s="50">
        <v>1</v>
      </c>
      <c r="I31" s="50">
        <v>2</v>
      </c>
      <c r="J31" s="50">
        <v>3</v>
      </c>
      <c r="K31" s="50">
        <v>0</v>
      </c>
      <c r="L31" s="50">
        <v>0</v>
      </c>
      <c r="M31" s="50">
        <v>170</v>
      </c>
      <c r="N31" s="50">
        <v>0</v>
      </c>
      <c r="O31" s="15">
        <f t="shared" si="0"/>
        <v>85</v>
      </c>
      <c r="P31" s="15">
        <f t="shared" si="1"/>
        <v>255</v>
      </c>
    </row>
    <row r="32" spans="2:32" ht="23.1" customHeight="1" x14ac:dyDescent="0.25">
      <c r="B32" s="24" t="s">
        <v>59</v>
      </c>
      <c r="C32" s="50">
        <v>41</v>
      </c>
      <c r="D32" s="50">
        <v>12</v>
      </c>
      <c r="E32" s="50">
        <v>11</v>
      </c>
      <c r="F32" s="50">
        <v>26</v>
      </c>
      <c r="G32" s="50">
        <v>0</v>
      </c>
      <c r="H32" s="50">
        <v>0</v>
      </c>
      <c r="I32" s="50">
        <v>0</v>
      </c>
      <c r="J32" s="50">
        <v>6</v>
      </c>
      <c r="K32" s="50">
        <v>0</v>
      </c>
      <c r="L32" s="50">
        <v>0</v>
      </c>
      <c r="M32" s="50">
        <v>235</v>
      </c>
      <c r="N32" s="50">
        <v>0</v>
      </c>
      <c r="O32" s="15">
        <f t="shared" si="0"/>
        <v>96</v>
      </c>
      <c r="P32" s="15">
        <f t="shared" si="1"/>
        <v>331</v>
      </c>
    </row>
    <row r="33" spans="2:20" ht="23.1" customHeight="1" x14ac:dyDescent="0.25">
      <c r="B33" s="23" t="s">
        <v>60</v>
      </c>
      <c r="C33" s="50">
        <v>50</v>
      </c>
      <c r="D33" s="50">
        <v>19</v>
      </c>
      <c r="E33" s="50">
        <v>9</v>
      </c>
      <c r="F33" s="50">
        <v>29</v>
      </c>
      <c r="G33" s="50">
        <v>0</v>
      </c>
      <c r="H33" s="50">
        <v>0</v>
      </c>
      <c r="I33" s="50">
        <v>6</v>
      </c>
      <c r="J33" s="50">
        <v>1</v>
      </c>
      <c r="K33" s="50">
        <v>3</v>
      </c>
      <c r="L33" s="50">
        <v>0</v>
      </c>
      <c r="M33" s="50">
        <v>175</v>
      </c>
      <c r="N33" s="50">
        <v>0</v>
      </c>
      <c r="O33" s="15">
        <f t="shared" si="0"/>
        <v>117</v>
      </c>
      <c r="P33" s="15">
        <f t="shared" si="1"/>
        <v>292</v>
      </c>
    </row>
    <row r="34" spans="2:20" ht="23.1" customHeight="1" x14ac:dyDescent="0.25">
      <c r="B34" s="24" t="s">
        <v>61</v>
      </c>
      <c r="C34" s="50">
        <v>33</v>
      </c>
      <c r="D34" s="50">
        <v>11</v>
      </c>
      <c r="E34" s="50">
        <v>8</v>
      </c>
      <c r="F34" s="50">
        <v>17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198</v>
      </c>
      <c r="N34" s="50">
        <v>0</v>
      </c>
      <c r="O34" s="15">
        <f t="shared" si="0"/>
        <v>69</v>
      </c>
      <c r="P34" s="15">
        <f t="shared" si="1"/>
        <v>267</v>
      </c>
    </row>
    <row r="35" spans="2:20" ht="23.1" customHeight="1" x14ac:dyDescent="0.25">
      <c r="B35" s="24" t="s">
        <v>62</v>
      </c>
      <c r="C35" s="50">
        <v>55</v>
      </c>
      <c r="D35" s="50">
        <v>11</v>
      </c>
      <c r="E35" s="50">
        <v>6</v>
      </c>
      <c r="F35" s="50">
        <v>21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140</v>
      </c>
      <c r="N35" s="50">
        <v>0</v>
      </c>
      <c r="O35" s="15">
        <f t="shared" si="0"/>
        <v>93</v>
      </c>
      <c r="P35" s="15">
        <f t="shared" si="1"/>
        <v>233</v>
      </c>
    </row>
    <row r="36" spans="2:20" ht="23.1" customHeight="1" x14ac:dyDescent="0.25">
      <c r="B36" s="24" t="s">
        <v>63</v>
      </c>
      <c r="C36" s="50">
        <v>50</v>
      </c>
      <c r="D36" s="50">
        <v>13</v>
      </c>
      <c r="E36" s="50">
        <v>11</v>
      </c>
      <c r="F36" s="50">
        <v>23</v>
      </c>
      <c r="G36" s="50">
        <v>0</v>
      </c>
      <c r="H36" s="50">
        <v>0</v>
      </c>
      <c r="I36" s="50">
        <v>3</v>
      </c>
      <c r="J36" s="50">
        <v>2</v>
      </c>
      <c r="K36" s="50">
        <v>1</v>
      </c>
      <c r="L36" s="50">
        <v>0</v>
      </c>
      <c r="M36" s="50">
        <v>143</v>
      </c>
      <c r="N36" s="50">
        <v>0</v>
      </c>
      <c r="O36" s="15">
        <f t="shared" si="0"/>
        <v>103</v>
      </c>
      <c r="P36" s="15">
        <f t="shared" si="1"/>
        <v>246</v>
      </c>
    </row>
    <row r="37" spans="2:20" ht="23.1" customHeight="1" x14ac:dyDescent="0.25">
      <c r="B37" s="23" t="s">
        <v>64</v>
      </c>
      <c r="C37" s="50">
        <v>55</v>
      </c>
      <c r="D37" s="50">
        <v>18</v>
      </c>
      <c r="E37" s="50">
        <v>6</v>
      </c>
      <c r="F37" s="50">
        <v>21</v>
      </c>
      <c r="G37" s="50">
        <v>2</v>
      </c>
      <c r="H37" s="50">
        <v>0</v>
      </c>
      <c r="I37" s="50">
        <v>6</v>
      </c>
      <c r="J37" s="50">
        <v>0</v>
      </c>
      <c r="K37" s="50">
        <v>0</v>
      </c>
      <c r="L37" s="50">
        <v>1</v>
      </c>
      <c r="M37" s="50">
        <v>115</v>
      </c>
      <c r="N37" s="50">
        <v>0</v>
      </c>
      <c r="O37" s="15">
        <f t="shared" si="0"/>
        <v>109</v>
      </c>
      <c r="P37" s="15">
        <f t="shared" si="1"/>
        <v>224</v>
      </c>
    </row>
    <row r="38" spans="2:20" ht="23.1" customHeight="1" x14ac:dyDescent="0.25">
      <c r="B38" s="24" t="s">
        <v>65</v>
      </c>
      <c r="C38" s="50">
        <v>30</v>
      </c>
      <c r="D38" s="50">
        <v>10</v>
      </c>
      <c r="E38" s="50">
        <v>11</v>
      </c>
      <c r="F38" s="50">
        <v>21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190</v>
      </c>
      <c r="N38" s="50">
        <v>0</v>
      </c>
      <c r="O38" s="15">
        <f t="shared" si="0"/>
        <v>72</v>
      </c>
      <c r="P38" s="15">
        <f t="shared" si="1"/>
        <v>262</v>
      </c>
    </row>
    <row r="39" spans="2:20" ht="23.1" customHeight="1" x14ac:dyDescent="0.25">
      <c r="B39" s="24" t="s">
        <v>66</v>
      </c>
      <c r="C39" s="50">
        <v>58</v>
      </c>
      <c r="D39" s="50">
        <v>12</v>
      </c>
      <c r="E39" s="50">
        <v>6</v>
      </c>
      <c r="F39" s="50">
        <v>38</v>
      </c>
      <c r="G39" s="50">
        <v>0</v>
      </c>
      <c r="H39" s="50">
        <v>2</v>
      </c>
      <c r="I39" s="50">
        <v>4</v>
      </c>
      <c r="J39" s="50">
        <v>0</v>
      </c>
      <c r="K39" s="50">
        <v>0</v>
      </c>
      <c r="L39" s="50">
        <v>0</v>
      </c>
      <c r="M39" s="50">
        <v>220</v>
      </c>
      <c r="N39" s="50">
        <v>0</v>
      </c>
      <c r="O39" s="15">
        <f t="shared" si="0"/>
        <v>120</v>
      </c>
      <c r="P39" s="15">
        <f t="shared" si="1"/>
        <v>340</v>
      </c>
    </row>
    <row r="40" spans="2:20" ht="23.1" customHeight="1" x14ac:dyDescent="0.25">
      <c r="B40" s="24" t="s">
        <v>67</v>
      </c>
      <c r="C40" s="50">
        <v>51</v>
      </c>
      <c r="D40" s="50">
        <v>7</v>
      </c>
      <c r="E40" s="50">
        <v>9</v>
      </c>
      <c r="F40" s="50">
        <v>32</v>
      </c>
      <c r="G40" s="50">
        <v>1</v>
      </c>
      <c r="H40" s="50">
        <v>0</v>
      </c>
      <c r="I40" s="50">
        <v>4</v>
      </c>
      <c r="J40" s="50">
        <v>3</v>
      </c>
      <c r="K40" s="50">
        <v>1</v>
      </c>
      <c r="L40" s="50">
        <v>2</v>
      </c>
      <c r="M40" s="50">
        <v>170</v>
      </c>
      <c r="N40" s="50">
        <v>0</v>
      </c>
      <c r="O40" s="15">
        <f t="shared" si="0"/>
        <v>110</v>
      </c>
      <c r="P40" s="15">
        <f t="shared" si="1"/>
        <v>280</v>
      </c>
    </row>
    <row r="41" spans="2:20" ht="23.1" customHeight="1" x14ac:dyDescent="0.25">
      <c r="B41" s="23" t="s">
        <v>68</v>
      </c>
      <c r="C41" s="50">
        <v>46</v>
      </c>
      <c r="D41" s="50">
        <v>17</v>
      </c>
      <c r="E41" s="50">
        <v>4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185</v>
      </c>
      <c r="N41" s="50">
        <v>0</v>
      </c>
      <c r="O41" s="15">
        <f t="shared" si="0"/>
        <v>67</v>
      </c>
      <c r="P41" s="15">
        <f t="shared" si="1"/>
        <v>252</v>
      </c>
    </row>
    <row r="42" spans="2:20" ht="23.1" customHeight="1" x14ac:dyDescent="0.25">
      <c r="B42" s="24" t="s">
        <v>69</v>
      </c>
      <c r="C42" s="50">
        <v>53</v>
      </c>
      <c r="D42" s="50">
        <v>8</v>
      </c>
      <c r="E42" s="50">
        <v>6</v>
      </c>
      <c r="F42" s="50">
        <v>14</v>
      </c>
      <c r="G42" s="50">
        <v>0</v>
      </c>
      <c r="H42" s="50">
        <v>0</v>
      </c>
      <c r="I42" s="50">
        <v>3</v>
      </c>
      <c r="J42" s="50">
        <v>2</v>
      </c>
      <c r="K42" s="50">
        <v>0</v>
      </c>
      <c r="L42" s="50">
        <v>0</v>
      </c>
      <c r="M42" s="50">
        <v>205</v>
      </c>
      <c r="N42" s="50">
        <v>0</v>
      </c>
      <c r="O42" s="15">
        <f t="shared" si="0"/>
        <v>86</v>
      </c>
      <c r="P42" s="15">
        <f t="shared" si="1"/>
        <v>291</v>
      </c>
    </row>
    <row r="43" spans="2:20" ht="23.1" customHeight="1" x14ac:dyDescent="0.25">
      <c r="B43" s="23" t="s">
        <v>70</v>
      </c>
      <c r="C43" s="50">
        <v>61</v>
      </c>
      <c r="D43" s="50">
        <v>16</v>
      </c>
      <c r="E43" s="50">
        <v>11</v>
      </c>
      <c r="F43" s="50">
        <v>16</v>
      </c>
      <c r="G43" s="50">
        <v>0</v>
      </c>
      <c r="H43" s="50">
        <v>0</v>
      </c>
      <c r="I43" s="50">
        <v>6</v>
      </c>
      <c r="J43" s="50">
        <v>6</v>
      </c>
      <c r="K43" s="50">
        <v>0</v>
      </c>
      <c r="L43" s="50">
        <v>0</v>
      </c>
      <c r="M43" s="50">
        <v>230</v>
      </c>
      <c r="N43" s="50">
        <v>0</v>
      </c>
      <c r="O43" s="15">
        <f t="shared" si="0"/>
        <v>116</v>
      </c>
      <c r="P43" s="15">
        <f t="shared" si="1"/>
        <v>346</v>
      </c>
    </row>
    <row r="44" spans="2:20" ht="23.1" customHeight="1" x14ac:dyDescent="0.25">
      <c r="B44" s="25" t="s">
        <v>71</v>
      </c>
      <c r="C44" s="50">
        <v>46</v>
      </c>
      <c r="D44" s="50">
        <v>12</v>
      </c>
      <c r="E44" s="50">
        <v>6</v>
      </c>
      <c r="F44" s="50">
        <v>14</v>
      </c>
      <c r="G44" s="50">
        <v>0</v>
      </c>
      <c r="H44" s="50">
        <v>0</v>
      </c>
      <c r="I44" s="50">
        <v>2</v>
      </c>
      <c r="J44" s="50">
        <v>4</v>
      </c>
      <c r="K44" s="50">
        <v>0</v>
      </c>
      <c r="L44" s="50">
        <v>2</v>
      </c>
      <c r="M44" s="50">
        <v>280</v>
      </c>
      <c r="N44" s="50">
        <v>0</v>
      </c>
      <c r="O44" s="15">
        <f t="shared" si="0"/>
        <v>86</v>
      </c>
      <c r="P44" s="15">
        <f t="shared" si="1"/>
        <v>366</v>
      </c>
    </row>
    <row r="45" spans="2:20" ht="23.1" customHeight="1" x14ac:dyDescent="0.25">
      <c r="B45" s="23" t="s">
        <v>72</v>
      </c>
      <c r="C45" s="50">
        <v>79</v>
      </c>
      <c r="D45" s="50">
        <v>19</v>
      </c>
      <c r="E45" s="50">
        <v>2</v>
      </c>
      <c r="F45" s="50">
        <v>17</v>
      </c>
      <c r="G45" s="50">
        <v>0</v>
      </c>
      <c r="H45" s="50">
        <v>0</v>
      </c>
      <c r="I45" s="50">
        <v>2</v>
      </c>
      <c r="J45" s="50">
        <v>0</v>
      </c>
      <c r="K45" s="50">
        <v>1</v>
      </c>
      <c r="L45" s="50">
        <v>0</v>
      </c>
      <c r="M45" s="50">
        <v>210</v>
      </c>
      <c r="N45" s="50">
        <v>0</v>
      </c>
      <c r="O45" s="15">
        <f t="shared" si="0"/>
        <v>120</v>
      </c>
      <c r="P45" s="15">
        <f t="shared" si="1"/>
        <v>330</v>
      </c>
    </row>
    <row r="46" spans="2:20" ht="23.1" customHeight="1" x14ac:dyDescent="0.25">
      <c r="B46" s="24" t="s">
        <v>73</v>
      </c>
      <c r="C46" s="50">
        <v>82</v>
      </c>
      <c r="D46" s="50">
        <v>17</v>
      </c>
      <c r="E46" s="50">
        <v>11</v>
      </c>
      <c r="F46" s="50">
        <v>21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240</v>
      </c>
      <c r="N46" s="50">
        <v>0</v>
      </c>
      <c r="O46" s="15">
        <f t="shared" si="0"/>
        <v>133</v>
      </c>
      <c r="P46" s="15">
        <f t="shared" si="1"/>
        <v>373</v>
      </c>
      <c r="R46" s="8"/>
      <c r="T46"/>
    </row>
    <row r="47" spans="2:20" ht="23.1" customHeight="1" x14ac:dyDescent="0.25">
      <c r="B47" s="24" t="s">
        <v>74</v>
      </c>
      <c r="C47" s="50">
        <v>122</v>
      </c>
      <c r="D47" s="50">
        <v>10</v>
      </c>
      <c r="E47" s="50">
        <v>11</v>
      </c>
      <c r="F47" s="50">
        <v>28</v>
      </c>
      <c r="G47" s="50">
        <v>1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260</v>
      </c>
      <c r="N47" s="50">
        <v>0</v>
      </c>
      <c r="O47" s="15">
        <f t="shared" si="0"/>
        <v>172</v>
      </c>
      <c r="P47" s="15">
        <f t="shared" si="1"/>
        <v>432</v>
      </c>
      <c r="R47" s="8"/>
      <c r="T47"/>
    </row>
    <row r="48" spans="2:20" ht="23.1" customHeight="1" x14ac:dyDescent="0.25">
      <c r="B48" s="24" t="s">
        <v>75</v>
      </c>
      <c r="C48" s="50">
        <v>84</v>
      </c>
      <c r="D48" s="50">
        <v>21</v>
      </c>
      <c r="E48" s="50">
        <v>4</v>
      </c>
      <c r="F48" s="50">
        <v>20</v>
      </c>
      <c r="G48" s="50">
        <v>1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230</v>
      </c>
      <c r="N48" s="50">
        <v>0</v>
      </c>
      <c r="O48" s="15">
        <f t="shared" si="0"/>
        <v>133</v>
      </c>
      <c r="P48" s="15">
        <f t="shared" si="1"/>
        <v>363</v>
      </c>
      <c r="R48" s="8"/>
      <c r="T48"/>
    </row>
    <row r="49" spans="2:20" ht="23.1" customHeight="1" x14ac:dyDescent="0.25">
      <c r="B49" s="23" t="s">
        <v>76</v>
      </c>
      <c r="C49" s="50">
        <v>76</v>
      </c>
      <c r="D49" s="50">
        <v>14</v>
      </c>
      <c r="E49" s="50">
        <v>6</v>
      </c>
      <c r="F49" s="50">
        <v>15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240</v>
      </c>
      <c r="N49" s="50">
        <v>0</v>
      </c>
      <c r="O49" s="15">
        <f t="shared" si="0"/>
        <v>111</v>
      </c>
      <c r="P49" s="15">
        <f t="shared" si="1"/>
        <v>351</v>
      </c>
      <c r="R49" s="8"/>
      <c r="T49"/>
    </row>
    <row r="50" spans="2:20" ht="23.1" customHeight="1" x14ac:dyDescent="0.25">
      <c r="B50" s="24" t="s">
        <v>77</v>
      </c>
      <c r="C50" s="50">
        <v>55</v>
      </c>
      <c r="D50" s="50">
        <v>7</v>
      </c>
      <c r="E50" s="50">
        <v>7</v>
      </c>
      <c r="F50" s="50">
        <v>33</v>
      </c>
      <c r="G50" s="50">
        <v>1</v>
      </c>
      <c r="H50" s="50">
        <v>0</v>
      </c>
      <c r="I50" s="50">
        <v>2</v>
      </c>
      <c r="J50" s="50">
        <v>3</v>
      </c>
      <c r="K50" s="50">
        <v>1</v>
      </c>
      <c r="L50" s="50">
        <v>0</v>
      </c>
      <c r="M50" s="50">
        <v>190</v>
      </c>
      <c r="N50" s="50">
        <v>0</v>
      </c>
      <c r="O50" s="15">
        <f t="shared" si="0"/>
        <v>109</v>
      </c>
      <c r="P50" s="15">
        <f t="shared" si="1"/>
        <v>299</v>
      </c>
      <c r="R50" s="8"/>
      <c r="T50"/>
    </row>
    <row r="51" spans="2:20" ht="23.1" customHeight="1" x14ac:dyDescent="0.25">
      <c r="B51" s="24" t="s">
        <v>78</v>
      </c>
      <c r="C51" s="50">
        <v>60</v>
      </c>
      <c r="D51" s="50">
        <v>18</v>
      </c>
      <c r="E51" s="50">
        <v>2</v>
      </c>
      <c r="F51" s="50">
        <v>19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235</v>
      </c>
      <c r="N51" s="50">
        <v>0</v>
      </c>
      <c r="O51" s="15">
        <f t="shared" si="0"/>
        <v>99</v>
      </c>
      <c r="P51" s="15">
        <f t="shared" si="1"/>
        <v>334</v>
      </c>
      <c r="R51" s="8"/>
      <c r="T51"/>
    </row>
    <row r="52" spans="2:20" ht="23.1" customHeight="1" x14ac:dyDescent="0.25">
      <c r="B52" s="24" t="s">
        <v>79</v>
      </c>
      <c r="C52" s="50">
        <v>74</v>
      </c>
      <c r="D52" s="50">
        <v>12</v>
      </c>
      <c r="E52" s="50">
        <v>6</v>
      </c>
      <c r="F52" s="50">
        <v>10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230</v>
      </c>
      <c r="N52" s="50">
        <v>0</v>
      </c>
      <c r="O52" s="15">
        <f t="shared" si="0"/>
        <v>103</v>
      </c>
      <c r="P52" s="15">
        <f t="shared" si="1"/>
        <v>333</v>
      </c>
      <c r="R52" s="8"/>
      <c r="T52"/>
    </row>
    <row r="53" spans="2:20" ht="23.1" customHeight="1" x14ac:dyDescent="0.25">
      <c r="B53" s="23" t="s">
        <v>80</v>
      </c>
      <c r="C53" s="50">
        <v>65</v>
      </c>
      <c r="D53" s="50">
        <v>6</v>
      </c>
      <c r="E53" s="50">
        <v>1</v>
      </c>
      <c r="F53" s="50">
        <v>21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1</v>
      </c>
      <c r="M53" s="50">
        <v>210</v>
      </c>
      <c r="N53" s="50">
        <v>0</v>
      </c>
      <c r="O53" s="15">
        <f t="shared" si="0"/>
        <v>94</v>
      </c>
      <c r="P53" s="15">
        <f t="shared" si="1"/>
        <v>304</v>
      </c>
      <c r="R53" s="8"/>
      <c r="T53"/>
    </row>
    <row r="54" spans="2:20" ht="23.1" customHeight="1" x14ac:dyDescent="0.25">
      <c r="B54" s="23" t="s">
        <v>81</v>
      </c>
      <c r="C54" s="50">
        <v>46</v>
      </c>
      <c r="D54" s="50">
        <v>8</v>
      </c>
      <c r="E54" s="50">
        <v>11</v>
      </c>
      <c r="F54" s="50">
        <v>16</v>
      </c>
      <c r="G54" s="50">
        <v>0</v>
      </c>
      <c r="H54" s="50">
        <v>0</v>
      </c>
      <c r="I54" s="50">
        <v>4</v>
      </c>
      <c r="J54" s="50">
        <v>1</v>
      </c>
      <c r="K54" s="50">
        <v>2</v>
      </c>
      <c r="L54" s="50">
        <v>0</v>
      </c>
      <c r="M54" s="50">
        <v>140</v>
      </c>
      <c r="N54" s="50">
        <v>0</v>
      </c>
      <c r="O54" s="15">
        <f t="shared" si="0"/>
        <v>88</v>
      </c>
      <c r="P54" s="15">
        <f t="shared" si="1"/>
        <v>228</v>
      </c>
      <c r="R54" s="8"/>
      <c r="T54"/>
    </row>
    <row r="55" spans="2:20" ht="23.1" customHeight="1" x14ac:dyDescent="0.25">
      <c r="B55" s="23" t="s">
        <v>82</v>
      </c>
      <c r="C55" s="50">
        <v>55</v>
      </c>
      <c r="D55" s="50">
        <v>13</v>
      </c>
      <c r="E55" s="50">
        <v>9</v>
      </c>
      <c r="F55" s="50">
        <v>35</v>
      </c>
      <c r="G55" s="50">
        <v>0</v>
      </c>
      <c r="H55" s="50">
        <v>0</v>
      </c>
      <c r="I55" s="50">
        <v>3</v>
      </c>
      <c r="J55" s="50">
        <v>2</v>
      </c>
      <c r="K55" s="50">
        <v>0</v>
      </c>
      <c r="L55" s="50">
        <v>0</v>
      </c>
      <c r="M55" s="50">
        <v>220</v>
      </c>
      <c r="N55" s="50">
        <v>0</v>
      </c>
      <c r="O55" s="15">
        <f t="shared" si="0"/>
        <v>117</v>
      </c>
      <c r="P55" s="15">
        <f t="shared" si="1"/>
        <v>337</v>
      </c>
      <c r="R55" s="8"/>
      <c r="T55"/>
    </row>
    <row r="56" spans="2:20" ht="23.1" customHeight="1" x14ac:dyDescent="0.25">
      <c r="B56" s="23" t="s">
        <v>83</v>
      </c>
      <c r="C56" s="50">
        <v>51</v>
      </c>
      <c r="D56" s="50">
        <v>6</v>
      </c>
      <c r="E56" s="50">
        <v>11</v>
      </c>
      <c r="F56" s="50">
        <v>24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0</v>
      </c>
      <c r="M56" s="50">
        <v>195</v>
      </c>
      <c r="N56" s="50">
        <v>0</v>
      </c>
      <c r="O56" s="15">
        <f t="shared" si="0"/>
        <v>93</v>
      </c>
      <c r="P56" s="15">
        <f t="shared" si="1"/>
        <v>288</v>
      </c>
      <c r="R56" s="8"/>
      <c r="T56"/>
    </row>
    <row r="57" spans="2:20" ht="23.1" customHeight="1" x14ac:dyDescent="0.25">
      <c r="B57" s="23" t="s">
        <v>84</v>
      </c>
      <c r="C57" s="50">
        <v>72</v>
      </c>
      <c r="D57" s="50">
        <v>14</v>
      </c>
      <c r="E57" s="50">
        <v>6</v>
      </c>
      <c r="F57" s="50">
        <v>33</v>
      </c>
      <c r="G57" s="50">
        <v>1</v>
      </c>
      <c r="H57" s="50">
        <v>0</v>
      </c>
      <c r="I57" s="50">
        <v>0</v>
      </c>
      <c r="J57" s="50">
        <v>0</v>
      </c>
      <c r="K57" s="50">
        <v>3</v>
      </c>
      <c r="L57" s="50">
        <v>240</v>
      </c>
      <c r="M57" s="50">
        <v>0</v>
      </c>
      <c r="N57" s="50">
        <v>0</v>
      </c>
      <c r="O57" s="15">
        <f t="shared" si="0"/>
        <v>369</v>
      </c>
      <c r="P57" s="15">
        <f t="shared" si="1"/>
        <v>369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2240</v>
      </c>
      <c r="D58" s="16">
        <f t="shared" si="21"/>
        <v>493</v>
      </c>
      <c r="E58" s="16">
        <f t="shared" si="21"/>
        <v>255</v>
      </c>
      <c r="F58" s="16">
        <f t="shared" si="21"/>
        <v>995</v>
      </c>
      <c r="G58" s="16">
        <f t="shared" si="21"/>
        <v>16</v>
      </c>
      <c r="H58" s="16">
        <f t="shared" si="21"/>
        <v>3</v>
      </c>
      <c r="I58" s="16">
        <f t="shared" si="21"/>
        <v>80</v>
      </c>
      <c r="J58" s="16">
        <f t="shared" si="21"/>
        <v>57</v>
      </c>
      <c r="K58" s="16">
        <f t="shared" si="21"/>
        <v>18</v>
      </c>
      <c r="L58" s="16">
        <f t="shared" si="21"/>
        <v>246</v>
      </c>
      <c r="M58" s="16">
        <f t="shared" si="21"/>
        <v>8589</v>
      </c>
      <c r="N58" s="16">
        <f t="shared" si="21"/>
        <v>0</v>
      </c>
      <c r="O58" s="16">
        <f t="shared" si="21"/>
        <v>4403</v>
      </c>
      <c r="P58" s="16">
        <f t="shared" si="21"/>
        <v>12992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0.17241379310344829</v>
      </c>
      <c r="D59" s="43">
        <f t="shared" si="22"/>
        <v>3.7946428571428568E-2</v>
      </c>
      <c r="E59" s="43">
        <f t="shared" si="22"/>
        <v>1.9627463054187191E-2</v>
      </c>
      <c r="F59" s="43">
        <f t="shared" si="22"/>
        <v>7.6585591133004921E-2</v>
      </c>
      <c r="G59" s="43">
        <f t="shared" si="22"/>
        <v>1.2315270935960591E-3</v>
      </c>
      <c r="H59" s="43">
        <f t="shared" si="22"/>
        <v>2.3091133004926107E-4</v>
      </c>
      <c r="I59" s="43">
        <f t="shared" si="22"/>
        <v>6.1576354679802959E-3</v>
      </c>
      <c r="J59" s="43">
        <f t="shared" si="22"/>
        <v>4.3873152709359604E-3</v>
      </c>
      <c r="K59" s="43">
        <f t="shared" si="22"/>
        <v>1.3854679802955665E-3</v>
      </c>
      <c r="L59" s="43">
        <f t="shared" si="22"/>
        <v>1.893472906403941E-2</v>
      </c>
      <c r="M59" s="43">
        <f t="shared" si="22"/>
        <v>0.66109913793103448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0.50874403815580282</v>
      </c>
      <c r="D60" s="44">
        <f t="shared" ref="D60:N60" si="23">D58/$O$58</f>
        <v>0.11196911196911197</v>
      </c>
      <c r="E60" s="44">
        <f t="shared" si="23"/>
        <v>5.7915057915057917E-2</v>
      </c>
      <c r="F60" s="44">
        <f t="shared" si="23"/>
        <v>0.22598228480581423</v>
      </c>
      <c r="G60" s="44">
        <f t="shared" si="23"/>
        <v>3.6338859868271633E-3</v>
      </c>
      <c r="H60" s="44">
        <f t="shared" si="23"/>
        <v>6.8135362253009312E-4</v>
      </c>
      <c r="I60" s="44">
        <f t="shared" si="23"/>
        <v>1.8169429934135818E-2</v>
      </c>
      <c r="J60" s="44">
        <f t="shared" si="23"/>
        <v>1.2945718828071769E-2</v>
      </c>
      <c r="K60" s="44">
        <f t="shared" si="23"/>
        <v>4.0881217351805589E-3</v>
      </c>
      <c r="L60" s="44">
        <f t="shared" si="23"/>
        <v>5.5870997047467633E-2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Makindye-Kibuye'!C3:G3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'28.07 Kibuye-Makindye'!D5</f>
        <v>28.07.19</v>
      </c>
      <c r="E5" s="3"/>
      <c r="F5" s="41" t="s">
        <v>1</v>
      </c>
      <c r="G5" s="63" t="str">
        <f>'28.07 Kibuye-Makindye'!G5:H5</f>
        <v>FUELEX MAKINDYE</v>
      </c>
      <c r="H5" s="64"/>
      <c r="I5" s="14"/>
      <c r="J5" s="2" t="s">
        <v>5</v>
      </c>
      <c r="K5" s="63" t="str">
        <f>'28.07 Kibuye-Makindye'!K5:L5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Makindye-Kibuye'!D6:E6</f>
        <v>MAKINDYE</v>
      </c>
      <c r="E6" s="64"/>
      <c r="F6" s="2" t="s">
        <v>2</v>
      </c>
      <c r="G6" s="63" t="str">
        <f>'22.07 Makindye-Kibuye'!G6:H6</f>
        <v>KIBUYE</v>
      </c>
      <c r="H6" s="64"/>
      <c r="J6" s="2" t="s">
        <v>21</v>
      </c>
      <c r="K6" s="63" t="str">
        <f>'28.07 Kibuye-Makindye'!K6:L6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20</v>
      </c>
      <c r="D10" s="50">
        <v>0</v>
      </c>
      <c r="E10" s="50">
        <v>0</v>
      </c>
      <c r="F10" s="50">
        <v>30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50</v>
      </c>
      <c r="N10" s="50">
        <v>0</v>
      </c>
      <c r="O10" s="15">
        <f t="shared" ref="O10:O57" si="0">SUM(C10:L10,N10)</f>
        <v>51</v>
      </c>
      <c r="P10" s="15">
        <f t="shared" ref="P10:P58" si="1">SUM(C10:N10)</f>
        <v>101</v>
      </c>
      <c r="R10" s="1" t="s">
        <v>6</v>
      </c>
      <c r="S10" s="17">
        <f t="shared" ref="S10:AF10" si="2">SUM(C10:C13)</f>
        <v>95</v>
      </c>
      <c r="T10" s="17">
        <f t="shared" si="2"/>
        <v>14</v>
      </c>
      <c r="U10" s="17">
        <f t="shared" si="2"/>
        <v>22</v>
      </c>
      <c r="V10" s="17">
        <f t="shared" si="2"/>
        <v>175</v>
      </c>
      <c r="W10" s="17">
        <f t="shared" si="2"/>
        <v>1</v>
      </c>
      <c r="X10" s="17">
        <f t="shared" si="2"/>
        <v>0</v>
      </c>
      <c r="Y10" s="17">
        <f t="shared" si="2"/>
        <v>7</v>
      </c>
      <c r="Z10" s="17">
        <f t="shared" si="2"/>
        <v>3</v>
      </c>
      <c r="AA10" s="17">
        <f t="shared" si="2"/>
        <v>1</v>
      </c>
      <c r="AB10" s="17">
        <f t="shared" si="2"/>
        <v>0</v>
      </c>
      <c r="AC10" s="17">
        <f t="shared" si="2"/>
        <v>650</v>
      </c>
      <c r="AD10" s="17">
        <f t="shared" si="2"/>
        <v>0</v>
      </c>
      <c r="AE10" s="31">
        <f t="shared" si="2"/>
        <v>318</v>
      </c>
      <c r="AF10" s="31">
        <f t="shared" si="2"/>
        <v>968</v>
      </c>
    </row>
    <row r="11" spans="2:32" s="6" customFormat="1" ht="23.1" customHeight="1" x14ac:dyDescent="0.25">
      <c r="B11" s="23" t="s">
        <v>38</v>
      </c>
      <c r="C11" s="50">
        <v>10</v>
      </c>
      <c r="D11" s="50">
        <v>4</v>
      </c>
      <c r="E11" s="50">
        <v>3</v>
      </c>
      <c r="F11" s="50">
        <v>33</v>
      </c>
      <c r="G11" s="50">
        <v>0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180</v>
      </c>
      <c r="N11" s="50">
        <v>0</v>
      </c>
      <c r="O11" s="15">
        <f t="shared" si="0"/>
        <v>52</v>
      </c>
      <c r="P11" s="15">
        <f t="shared" si="1"/>
        <v>232</v>
      </c>
      <c r="R11" s="1" t="s">
        <v>7</v>
      </c>
      <c r="S11" s="17">
        <f t="shared" ref="S11:AF11" si="3">SUM(C14:C17)</f>
        <v>146</v>
      </c>
      <c r="T11" s="17">
        <f t="shared" si="3"/>
        <v>26</v>
      </c>
      <c r="U11" s="17">
        <f t="shared" si="3"/>
        <v>18</v>
      </c>
      <c r="V11" s="17">
        <f t="shared" si="3"/>
        <v>215</v>
      </c>
      <c r="W11" s="17">
        <f t="shared" si="3"/>
        <v>1</v>
      </c>
      <c r="X11" s="17">
        <f t="shared" si="3"/>
        <v>1</v>
      </c>
      <c r="Y11" s="17">
        <f t="shared" si="3"/>
        <v>6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835</v>
      </c>
      <c r="AD11" s="17">
        <f t="shared" si="3"/>
        <v>0</v>
      </c>
      <c r="AE11" s="31">
        <f t="shared" si="3"/>
        <v>417</v>
      </c>
      <c r="AF11" s="31">
        <f t="shared" si="3"/>
        <v>1252</v>
      </c>
    </row>
    <row r="12" spans="2:32" ht="23.1" customHeight="1" x14ac:dyDescent="0.25">
      <c r="B12" s="23" t="s">
        <v>39</v>
      </c>
      <c r="C12" s="50">
        <v>37</v>
      </c>
      <c r="D12" s="50">
        <v>6</v>
      </c>
      <c r="E12" s="50">
        <v>7</v>
      </c>
      <c r="F12" s="50">
        <v>60</v>
      </c>
      <c r="G12" s="50">
        <v>1</v>
      </c>
      <c r="H12" s="50">
        <v>0</v>
      </c>
      <c r="I12" s="50">
        <v>3</v>
      </c>
      <c r="J12" s="50">
        <v>1</v>
      </c>
      <c r="K12" s="50">
        <v>0</v>
      </c>
      <c r="L12" s="50">
        <v>0</v>
      </c>
      <c r="M12" s="50">
        <v>210</v>
      </c>
      <c r="N12" s="50">
        <v>0</v>
      </c>
      <c r="O12" s="15">
        <f t="shared" si="0"/>
        <v>115</v>
      </c>
      <c r="P12" s="15">
        <f t="shared" si="1"/>
        <v>325</v>
      </c>
      <c r="R12" s="1" t="s">
        <v>8</v>
      </c>
      <c r="S12" s="17">
        <f t="shared" ref="S12:AF12" si="4">SUM(C18:C21)</f>
        <v>173</v>
      </c>
      <c r="T12" s="17">
        <f t="shared" si="4"/>
        <v>35</v>
      </c>
      <c r="U12" s="17">
        <f t="shared" si="4"/>
        <v>32</v>
      </c>
      <c r="V12" s="17">
        <f t="shared" si="4"/>
        <v>204</v>
      </c>
      <c r="W12" s="17">
        <f t="shared" si="4"/>
        <v>1</v>
      </c>
      <c r="X12" s="17">
        <f t="shared" si="4"/>
        <v>0</v>
      </c>
      <c r="Y12" s="17">
        <f t="shared" si="4"/>
        <v>12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845</v>
      </c>
      <c r="AD12" s="17">
        <f t="shared" si="4"/>
        <v>0</v>
      </c>
      <c r="AE12" s="31">
        <f t="shared" si="4"/>
        <v>458</v>
      </c>
      <c r="AF12" s="31">
        <f t="shared" si="4"/>
        <v>1303</v>
      </c>
    </row>
    <row r="13" spans="2:32" ht="23.1" customHeight="1" x14ac:dyDescent="0.25">
      <c r="B13" s="23" t="s">
        <v>40</v>
      </c>
      <c r="C13" s="50">
        <v>28</v>
      </c>
      <c r="D13" s="50">
        <v>4</v>
      </c>
      <c r="E13" s="50">
        <v>12</v>
      </c>
      <c r="F13" s="50">
        <v>52</v>
      </c>
      <c r="G13" s="50">
        <v>0</v>
      </c>
      <c r="H13" s="50">
        <v>0</v>
      </c>
      <c r="I13" s="50">
        <v>3</v>
      </c>
      <c r="J13" s="50">
        <v>0</v>
      </c>
      <c r="K13" s="50">
        <v>1</v>
      </c>
      <c r="L13" s="50">
        <v>0</v>
      </c>
      <c r="M13" s="50">
        <v>210</v>
      </c>
      <c r="N13" s="50">
        <v>0</v>
      </c>
      <c r="O13" s="15">
        <f t="shared" si="0"/>
        <v>100</v>
      </c>
      <c r="P13" s="15">
        <f t="shared" si="1"/>
        <v>310</v>
      </c>
      <c r="R13" s="1" t="s">
        <v>9</v>
      </c>
      <c r="S13" s="17">
        <f t="shared" ref="S13:AF13" si="5">SUM(C22:C25)</f>
        <v>227</v>
      </c>
      <c r="T13" s="17">
        <f t="shared" si="5"/>
        <v>49</v>
      </c>
      <c r="U13" s="17">
        <f t="shared" si="5"/>
        <v>32</v>
      </c>
      <c r="V13" s="17">
        <f t="shared" si="5"/>
        <v>209</v>
      </c>
      <c r="W13" s="17">
        <f t="shared" si="5"/>
        <v>1</v>
      </c>
      <c r="X13" s="17">
        <f t="shared" si="5"/>
        <v>0</v>
      </c>
      <c r="Y13" s="17">
        <f t="shared" si="5"/>
        <v>17</v>
      </c>
      <c r="Z13" s="17">
        <f t="shared" si="5"/>
        <v>4</v>
      </c>
      <c r="AA13" s="17">
        <f t="shared" si="5"/>
        <v>1</v>
      </c>
      <c r="AB13" s="17">
        <f t="shared" si="5"/>
        <v>1</v>
      </c>
      <c r="AC13" s="17">
        <f t="shared" si="5"/>
        <v>935</v>
      </c>
      <c r="AD13" s="17">
        <f t="shared" si="5"/>
        <v>0</v>
      </c>
      <c r="AE13" s="31">
        <f t="shared" si="5"/>
        <v>541</v>
      </c>
      <c r="AF13" s="31">
        <f t="shared" si="5"/>
        <v>1476</v>
      </c>
    </row>
    <row r="14" spans="2:32" ht="23.1" customHeight="1" x14ac:dyDescent="0.25">
      <c r="B14" s="23" t="s">
        <v>41</v>
      </c>
      <c r="C14" s="50">
        <v>28</v>
      </c>
      <c r="D14" s="50">
        <v>8</v>
      </c>
      <c r="E14" s="50">
        <v>1</v>
      </c>
      <c r="F14" s="50">
        <v>44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205</v>
      </c>
      <c r="N14" s="50">
        <v>0</v>
      </c>
      <c r="O14" s="15">
        <f t="shared" si="0"/>
        <v>84</v>
      </c>
      <c r="P14" s="15">
        <f t="shared" si="1"/>
        <v>289</v>
      </c>
      <c r="R14" s="1" t="s">
        <v>10</v>
      </c>
      <c r="S14" s="17">
        <f t="shared" ref="S14:AF14" si="6">SUM(C26:C29)</f>
        <v>338</v>
      </c>
      <c r="T14" s="17">
        <f t="shared" si="6"/>
        <v>53</v>
      </c>
      <c r="U14" s="17">
        <f t="shared" si="6"/>
        <v>23</v>
      </c>
      <c r="V14" s="17">
        <f t="shared" si="6"/>
        <v>113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1010</v>
      </c>
      <c r="AD14" s="17">
        <f t="shared" si="6"/>
        <v>0</v>
      </c>
      <c r="AE14" s="31">
        <f t="shared" si="6"/>
        <v>538</v>
      </c>
      <c r="AF14" s="31">
        <f t="shared" si="6"/>
        <v>1548</v>
      </c>
    </row>
    <row r="15" spans="2:32" ht="23.1" customHeight="1" x14ac:dyDescent="0.25">
      <c r="B15" s="23" t="s">
        <v>42</v>
      </c>
      <c r="C15" s="50">
        <v>32</v>
      </c>
      <c r="D15" s="50">
        <v>8</v>
      </c>
      <c r="E15" s="50">
        <v>10</v>
      </c>
      <c r="F15" s="50">
        <v>46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210</v>
      </c>
      <c r="N15" s="50">
        <v>0</v>
      </c>
      <c r="O15" s="15">
        <f t="shared" si="0"/>
        <v>99</v>
      </c>
      <c r="P15" s="15">
        <f t="shared" si="1"/>
        <v>309</v>
      </c>
      <c r="R15" s="1" t="s">
        <v>11</v>
      </c>
      <c r="S15" s="17">
        <f t="shared" ref="S15:AF15" si="7">SUM(C30:C33)</f>
        <v>171</v>
      </c>
      <c r="T15" s="17">
        <f t="shared" si="7"/>
        <v>25</v>
      </c>
      <c r="U15" s="17">
        <f t="shared" si="7"/>
        <v>22</v>
      </c>
      <c r="V15" s="17">
        <f t="shared" si="7"/>
        <v>154</v>
      </c>
      <c r="W15" s="17">
        <f t="shared" si="7"/>
        <v>1</v>
      </c>
      <c r="X15" s="17">
        <f t="shared" si="7"/>
        <v>0</v>
      </c>
      <c r="Y15" s="17">
        <f t="shared" si="7"/>
        <v>6</v>
      </c>
      <c r="Z15" s="17">
        <f t="shared" si="7"/>
        <v>3</v>
      </c>
      <c r="AA15" s="17">
        <f t="shared" si="7"/>
        <v>1</v>
      </c>
      <c r="AB15" s="17">
        <f t="shared" si="7"/>
        <v>0</v>
      </c>
      <c r="AC15" s="17">
        <f t="shared" si="7"/>
        <v>905</v>
      </c>
      <c r="AD15" s="17">
        <f t="shared" si="7"/>
        <v>0</v>
      </c>
      <c r="AE15" s="31">
        <f t="shared" si="7"/>
        <v>383</v>
      </c>
      <c r="AF15" s="31">
        <f t="shared" si="7"/>
        <v>1288</v>
      </c>
    </row>
    <row r="16" spans="2:32" ht="23.1" customHeight="1" x14ac:dyDescent="0.25">
      <c r="B16" s="23" t="s">
        <v>43</v>
      </c>
      <c r="C16" s="50">
        <v>51</v>
      </c>
      <c r="D16" s="50">
        <v>6</v>
      </c>
      <c r="E16" s="50">
        <v>3</v>
      </c>
      <c r="F16" s="50">
        <v>50</v>
      </c>
      <c r="G16" s="50">
        <v>1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210</v>
      </c>
      <c r="N16" s="50">
        <v>0</v>
      </c>
      <c r="O16" s="15">
        <f t="shared" si="0"/>
        <v>113</v>
      </c>
      <c r="P16" s="15">
        <f t="shared" si="1"/>
        <v>323</v>
      </c>
      <c r="R16" s="1" t="s">
        <v>12</v>
      </c>
      <c r="S16" s="17">
        <f t="shared" ref="S16:AF16" si="8">SUM(C34:C37)</f>
        <v>146</v>
      </c>
      <c r="T16" s="17">
        <f t="shared" si="8"/>
        <v>19</v>
      </c>
      <c r="U16" s="17">
        <f t="shared" si="8"/>
        <v>5</v>
      </c>
      <c r="V16" s="17">
        <f t="shared" si="8"/>
        <v>162</v>
      </c>
      <c r="W16" s="17">
        <f t="shared" si="8"/>
        <v>2</v>
      </c>
      <c r="X16" s="17">
        <f t="shared" si="8"/>
        <v>0</v>
      </c>
      <c r="Y16" s="17">
        <f t="shared" si="8"/>
        <v>5</v>
      </c>
      <c r="Z16" s="17">
        <f t="shared" si="8"/>
        <v>1</v>
      </c>
      <c r="AA16" s="17">
        <f t="shared" si="8"/>
        <v>1</v>
      </c>
      <c r="AB16" s="17">
        <f t="shared" si="8"/>
        <v>0</v>
      </c>
      <c r="AC16" s="17">
        <f t="shared" si="8"/>
        <v>870</v>
      </c>
      <c r="AD16" s="17">
        <f t="shared" si="8"/>
        <v>0</v>
      </c>
      <c r="AE16" s="31">
        <f t="shared" si="8"/>
        <v>341</v>
      </c>
      <c r="AF16" s="31">
        <f t="shared" si="8"/>
        <v>1211</v>
      </c>
    </row>
    <row r="17" spans="2:32" ht="23.1" customHeight="1" x14ac:dyDescent="0.25">
      <c r="B17" s="23" t="s">
        <v>44</v>
      </c>
      <c r="C17" s="50">
        <v>35</v>
      </c>
      <c r="D17" s="50">
        <v>4</v>
      </c>
      <c r="E17" s="50">
        <v>4</v>
      </c>
      <c r="F17" s="50">
        <v>75</v>
      </c>
      <c r="G17" s="50">
        <v>0</v>
      </c>
      <c r="H17" s="50">
        <v>1</v>
      </c>
      <c r="I17" s="50">
        <v>0</v>
      </c>
      <c r="J17" s="50">
        <v>2</v>
      </c>
      <c r="K17" s="50">
        <v>0</v>
      </c>
      <c r="L17" s="50">
        <v>0</v>
      </c>
      <c r="M17" s="50">
        <v>210</v>
      </c>
      <c r="N17" s="50">
        <v>0</v>
      </c>
      <c r="O17" s="15">
        <f t="shared" si="0"/>
        <v>121</v>
      </c>
      <c r="P17" s="15">
        <f t="shared" si="1"/>
        <v>331</v>
      </c>
      <c r="R17" s="1" t="s">
        <v>13</v>
      </c>
      <c r="S17" s="17">
        <f t="shared" ref="S17:AF17" si="9">SUM(C38:C41)</f>
        <v>112</v>
      </c>
      <c r="T17" s="17">
        <f t="shared" si="9"/>
        <v>19</v>
      </c>
      <c r="U17" s="17">
        <f t="shared" si="9"/>
        <v>6</v>
      </c>
      <c r="V17" s="17">
        <f t="shared" si="9"/>
        <v>113</v>
      </c>
      <c r="W17" s="17">
        <f t="shared" si="9"/>
        <v>1</v>
      </c>
      <c r="X17" s="17">
        <f t="shared" si="9"/>
        <v>0</v>
      </c>
      <c r="Y17" s="17">
        <f t="shared" si="9"/>
        <v>7</v>
      </c>
      <c r="Z17" s="17">
        <f t="shared" si="9"/>
        <v>0</v>
      </c>
      <c r="AA17" s="17">
        <f t="shared" si="9"/>
        <v>2</v>
      </c>
      <c r="AB17" s="17">
        <f t="shared" si="9"/>
        <v>0</v>
      </c>
      <c r="AC17" s="17">
        <f t="shared" si="9"/>
        <v>830</v>
      </c>
      <c r="AD17" s="17">
        <f t="shared" si="9"/>
        <v>0</v>
      </c>
      <c r="AE17" s="31">
        <f t="shared" si="9"/>
        <v>260</v>
      </c>
      <c r="AF17" s="31">
        <f t="shared" si="9"/>
        <v>1090</v>
      </c>
    </row>
    <row r="18" spans="2:32" ht="23.1" customHeight="1" x14ac:dyDescent="0.25">
      <c r="B18" s="23" t="s">
        <v>45</v>
      </c>
      <c r="C18" s="50">
        <v>47</v>
      </c>
      <c r="D18" s="50">
        <v>7</v>
      </c>
      <c r="E18" s="50">
        <v>3</v>
      </c>
      <c r="F18" s="50">
        <v>61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210</v>
      </c>
      <c r="N18" s="50">
        <v>0</v>
      </c>
      <c r="O18" s="15">
        <f t="shared" si="0"/>
        <v>120</v>
      </c>
      <c r="P18" s="15">
        <f t="shared" si="1"/>
        <v>330</v>
      </c>
      <c r="R18" s="1" t="s">
        <v>14</v>
      </c>
      <c r="S18" s="17">
        <f t="shared" ref="S18:AF18" si="10">SUM(C42:C45)</f>
        <v>145</v>
      </c>
      <c r="T18" s="17">
        <f t="shared" si="10"/>
        <v>23</v>
      </c>
      <c r="U18" s="17">
        <f t="shared" si="10"/>
        <v>0</v>
      </c>
      <c r="V18" s="17">
        <f t="shared" si="10"/>
        <v>149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905</v>
      </c>
      <c r="AD18" s="17">
        <f t="shared" si="10"/>
        <v>0</v>
      </c>
      <c r="AE18" s="31">
        <f t="shared" si="10"/>
        <v>326</v>
      </c>
      <c r="AF18" s="31">
        <f t="shared" si="10"/>
        <v>1231</v>
      </c>
    </row>
    <row r="19" spans="2:32" ht="23.1" customHeight="1" x14ac:dyDescent="0.25">
      <c r="B19" s="23" t="s">
        <v>46</v>
      </c>
      <c r="C19" s="50">
        <v>35</v>
      </c>
      <c r="D19" s="50">
        <v>8</v>
      </c>
      <c r="E19" s="50">
        <v>10</v>
      </c>
      <c r="F19" s="50">
        <v>48</v>
      </c>
      <c r="G19" s="50">
        <v>1</v>
      </c>
      <c r="H19" s="50">
        <v>0</v>
      </c>
      <c r="I19" s="50">
        <v>4</v>
      </c>
      <c r="J19" s="50">
        <v>0</v>
      </c>
      <c r="K19" s="50">
        <v>0</v>
      </c>
      <c r="L19" s="50">
        <v>0</v>
      </c>
      <c r="M19" s="50">
        <v>210</v>
      </c>
      <c r="N19" s="50">
        <v>0</v>
      </c>
      <c r="O19" s="15">
        <f t="shared" si="0"/>
        <v>106</v>
      </c>
      <c r="P19" s="15">
        <f t="shared" si="1"/>
        <v>316</v>
      </c>
      <c r="R19" s="1" t="s">
        <v>15</v>
      </c>
      <c r="S19" s="17">
        <f t="shared" ref="S19:AF19" si="11">SUM(C46:C49)</f>
        <v>207</v>
      </c>
      <c r="T19" s="17">
        <f t="shared" si="11"/>
        <v>22</v>
      </c>
      <c r="U19" s="17">
        <f t="shared" si="11"/>
        <v>11</v>
      </c>
      <c r="V19" s="17">
        <f t="shared" si="11"/>
        <v>164</v>
      </c>
      <c r="W19" s="17">
        <f t="shared" si="11"/>
        <v>2</v>
      </c>
      <c r="X19" s="17">
        <f t="shared" si="11"/>
        <v>0</v>
      </c>
      <c r="Y19" s="17">
        <f t="shared" si="11"/>
        <v>9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845</v>
      </c>
      <c r="AD19" s="17">
        <f t="shared" si="11"/>
        <v>0</v>
      </c>
      <c r="AE19" s="31">
        <f t="shared" si="11"/>
        <v>416</v>
      </c>
      <c r="AF19" s="31">
        <f t="shared" si="11"/>
        <v>1261</v>
      </c>
    </row>
    <row r="20" spans="2:32" ht="23.1" customHeight="1" x14ac:dyDescent="0.25">
      <c r="B20" s="23" t="s">
        <v>47</v>
      </c>
      <c r="C20" s="50">
        <v>49</v>
      </c>
      <c r="D20" s="50">
        <v>11</v>
      </c>
      <c r="E20" s="50">
        <v>12</v>
      </c>
      <c r="F20" s="50">
        <v>40</v>
      </c>
      <c r="G20" s="50">
        <v>0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215</v>
      </c>
      <c r="N20" s="50">
        <v>0</v>
      </c>
      <c r="O20" s="15">
        <f t="shared" si="0"/>
        <v>115</v>
      </c>
      <c r="P20" s="15">
        <f t="shared" si="1"/>
        <v>330</v>
      </c>
      <c r="R20" s="1" t="s">
        <v>16</v>
      </c>
      <c r="S20" s="17">
        <f t="shared" ref="S20:AF20" si="12">SUM(C50:C53)</f>
        <v>160</v>
      </c>
      <c r="T20" s="17">
        <f t="shared" si="12"/>
        <v>33</v>
      </c>
      <c r="U20" s="17">
        <f t="shared" si="12"/>
        <v>18</v>
      </c>
      <c r="V20" s="17">
        <f t="shared" si="12"/>
        <v>152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0</v>
      </c>
      <c r="AA20" s="17">
        <f t="shared" si="12"/>
        <v>2</v>
      </c>
      <c r="AB20" s="17">
        <f t="shared" si="12"/>
        <v>0</v>
      </c>
      <c r="AC20" s="17">
        <f t="shared" si="12"/>
        <v>910</v>
      </c>
      <c r="AD20" s="17">
        <f t="shared" si="12"/>
        <v>0</v>
      </c>
      <c r="AE20" s="31">
        <f t="shared" si="12"/>
        <v>372</v>
      </c>
      <c r="AF20" s="31">
        <f t="shared" si="12"/>
        <v>1282</v>
      </c>
    </row>
    <row r="21" spans="2:32" ht="23.1" customHeight="1" x14ac:dyDescent="0.25">
      <c r="B21" s="23" t="s">
        <v>48</v>
      </c>
      <c r="C21" s="50">
        <v>42</v>
      </c>
      <c r="D21" s="50">
        <v>9</v>
      </c>
      <c r="E21" s="50">
        <v>7</v>
      </c>
      <c r="F21" s="50">
        <v>55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210</v>
      </c>
      <c r="N21" s="50">
        <v>0</v>
      </c>
      <c r="O21" s="15">
        <f t="shared" si="0"/>
        <v>117</v>
      </c>
      <c r="P21" s="15">
        <f t="shared" si="1"/>
        <v>327</v>
      </c>
      <c r="R21" s="36" t="s">
        <v>20</v>
      </c>
      <c r="S21" s="34">
        <f t="shared" ref="S21:AF21" si="13">SUM(C54:C57)</f>
        <v>153</v>
      </c>
      <c r="T21" s="17">
        <f t="shared" si="13"/>
        <v>16</v>
      </c>
      <c r="U21" s="17">
        <f t="shared" si="13"/>
        <v>4</v>
      </c>
      <c r="V21" s="17">
        <f t="shared" si="13"/>
        <v>139</v>
      </c>
      <c r="W21" s="17">
        <f t="shared" si="13"/>
        <v>1</v>
      </c>
      <c r="X21" s="17">
        <f t="shared" si="13"/>
        <v>0</v>
      </c>
      <c r="Y21" s="17">
        <f t="shared" si="13"/>
        <v>5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875</v>
      </c>
      <c r="AD21" s="17">
        <f t="shared" si="13"/>
        <v>0</v>
      </c>
      <c r="AE21" s="31">
        <f t="shared" si="13"/>
        <v>319</v>
      </c>
      <c r="AF21" s="31">
        <f t="shared" si="13"/>
        <v>1194</v>
      </c>
    </row>
    <row r="22" spans="2:32" ht="23.1" customHeight="1" x14ac:dyDescent="0.25">
      <c r="B22" s="23" t="s">
        <v>49</v>
      </c>
      <c r="C22" s="50">
        <v>49</v>
      </c>
      <c r="D22" s="50">
        <v>12</v>
      </c>
      <c r="E22" s="50">
        <v>5</v>
      </c>
      <c r="F22" s="50">
        <v>58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235</v>
      </c>
      <c r="N22" s="50">
        <v>0</v>
      </c>
      <c r="O22" s="15">
        <f t="shared" si="0"/>
        <v>128</v>
      </c>
      <c r="P22" s="15">
        <f t="shared" si="1"/>
        <v>363</v>
      </c>
      <c r="R22" s="38" t="s">
        <v>90</v>
      </c>
      <c r="S22" s="39">
        <f>MAX(S10:S12)</f>
        <v>173</v>
      </c>
      <c r="T22" s="39">
        <f t="shared" ref="T22:AF22" si="14">MAX(T10:T12)</f>
        <v>35</v>
      </c>
      <c r="U22" s="39">
        <f t="shared" si="14"/>
        <v>32</v>
      </c>
      <c r="V22" s="39">
        <f t="shared" si="14"/>
        <v>215</v>
      </c>
      <c r="W22" s="39">
        <f t="shared" si="14"/>
        <v>1</v>
      </c>
      <c r="X22" s="39">
        <f t="shared" si="14"/>
        <v>1</v>
      </c>
      <c r="Y22" s="39">
        <f t="shared" si="14"/>
        <v>12</v>
      </c>
      <c r="Z22" s="39">
        <f t="shared" si="14"/>
        <v>4</v>
      </c>
      <c r="AA22" s="39">
        <f t="shared" si="14"/>
        <v>1</v>
      </c>
      <c r="AB22" s="39">
        <f t="shared" si="14"/>
        <v>0</v>
      </c>
      <c r="AC22" s="39">
        <f t="shared" si="14"/>
        <v>845</v>
      </c>
      <c r="AD22" s="39">
        <f t="shared" si="14"/>
        <v>0</v>
      </c>
      <c r="AE22" s="40">
        <f t="shared" si="14"/>
        <v>458</v>
      </c>
      <c r="AF22" s="40">
        <f t="shared" si="14"/>
        <v>1303</v>
      </c>
    </row>
    <row r="23" spans="2:32" ht="23.1" customHeight="1" x14ac:dyDescent="0.25">
      <c r="B23" s="23" t="s">
        <v>50</v>
      </c>
      <c r="C23" s="50">
        <v>56</v>
      </c>
      <c r="D23" s="50">
        <v>11</v>
      </c>
      <c r="E23" s="50">
        <v>2</v>
      </c>
      <c r="F23" s="50">
        <v>49</v>
      </c>
      <c r="G23" s="50">
        <v>1</v>
      </c>
      <c r="H23" s="50">
        <v>0</v>
      </c>
      <c r="I23" s="50">
        <v>1</v>
      </c>
      <c r="J23" s="50">
        <v>3</v>
      </c>
      <c r="K23" s="50">
        <v>0</v>
      </c>
      <c r="L23" s="50">
        <v>1</v>
      </c>
      <c r="M23" s="50">
        <v>245</v>
      </c>
      <c r="N23" s="50">
        <v>0</v>
      </c>
      <c r="O23" s="15">
        <f t="shared" si="0"/>
        <v>124</v>
      </c>
      <c r="P23" s="15">
        <f t="shared" si="1"/>
        <v>369</v>
      </c>
      <c r="R23" s="38" t="s">
        <v>91</v>
      </c>
      <c r="S23" s="39">
        <f>MAX(S13:S18)</f>
        <v>338</v>
      </c>
      <c r="T23" s="39">
        <f t="shared" ref="T23:AF23" si="15">MAX(T13:T18)</f>
        <v>53</v>
      </c>
      <c r="U23" s="39">
        <f t="shared" si="15"/>
        <v>32</v>
      </c>
      <c r="V23" s="39">
        <f t="shared" si="15"/>
        <v>209</v>
      </c>
      <c r="W23" s="39">
        <f t="shared" si="15"/>
        <v>2</v>
      </c>
      <c r="X23" s="39">
        <f t="shared" si="15"/>
        <v>0</v>
      </c>
      <c r="Y23" s="39">
        <f t="shared" si="15"/>
        <v>17</v>
      </c>
      <c r="Z23" s="39">
        <f t="shared" si="15"/>
        <v>4</v>
      </c>
      <c r="AA23" s="39">
        <f t="shared" si="15"/>
        <v>2</v>
      </c>
      <c r="AB23" s="39">
        <f t="shared" si="15"/>
        <v>1</v>
      </c>
      <c r="AC23" s="39">
        <f t="shared" si="15"/>
        <v>1010</v>
      </c>
      <c r="AD23" s="39">
        <f t="shared" si="15"/>
        <v>0</v>
      </c>
      <c r="AE23" s="40">
        <f t="shared" si="15"/>
        <v>541</v>
      </c>
      <c r="AF23" s="40">
        <f t="shared" si="15"/>
        <v>1548</v>
      </c>
    </row>
    <row r="24" spans="2:32" ht="23.1" customHeight="1" x14ac:dyDescent="0.25">
      <c r="B24" s="23" t="s">
        <v>51</v>
      </c>
      <c r="C24" s="50">
        <v>47</v>
      </c>
      <c r="D24" s="50">
        <v>9</v>
      </c>
      <c r="E24" s="50">
        <v>8</v>
      </c>
      <c r="F24" s="50">
        <v>49</v>
      </c>
      <c r="G24" s="50">
        <v>0</v>
      </c>
      <c r="H24" s="50">
        <v>0</v>
      </c>
      <c r="I24" s="50">
        <v>5</v>
      </c>
      <c r="J24" s="50">
        <v>1</v>
      </c>
      <c r="K24" s="50">
        <v>1</v>
      </c>
      <c r="L24" s="50">
        <v>0</v>
      </c>
      <c r="M24" s="50">
        <v>210</v>
      </c>
      <c r="N24" s="50">
        <v>0</v>
      </c>
      <c r="O24" s="15">
        <f t="shared" si="0"/>
        <v>120</v>
      </c>
      <c r="P24" s="15">
        <f t="shared" si="1"/>
        <v>330</v>
      </c>
      <c r="R24" s="38" t="s">
        <v>92</v>
      </c>
      <c r="S24" s="39">
        <f>MAX(S19:S21)</f>
        <v>207</v>
      </c>
      <c r="T24" s="39">
        <f t="shared" ref="T24:AF24" si="16">MAX(T19:T21)</f>
        <v>33</v>
      </c>
      <c r="U24" s="39">
        <f t="shared" si="16"/>
        <v>18</v>
      </c>
      <c r="V24" s="39">
        <f t="shared" si="16"/>
        <v>164</v>
      </c>
      <c r="W24" s="39">
        <f t="shared" si="16"/>
        <v>2</v>
      </c>
      <c r="X24" s="39">
        <f t="shared" si="16"/>
        <v>0</v>
      </c>
      <c r="Y24" s="39">
        <f t="shared" si="16"/>
        <v>9</v>
      </c>
      <c r="Z24" s="39">
        <f t="shared" si="16"/>
        <v>1</v>
      </c>
      <c r="AA24" s="39">
        <f t="shared" si="16"/>
        <v>2</v>
      </c>
      <c r="AB24" s="39">
        <f t="shared" si="16"/>
        <v>0</v>
      </c>
      <c r="AC24" s="39">
        <f t="shared" si="16"/>
        <v>910</v>
      </c>
      <c r="AD24" s="39">
        <f t="shared" si="16"/>
        <v>0</v>
      </c>
      <c r="AE24" s="40">
        <f t="shared" si="16"/>
        <v>416</v>
      </c>
      <c r="AF24" s="40">
        <f t="shared" si="16"/>
        <v>1282</v>
      </c>
    </row>
    <row r="25" spans="2:32" ht="23.1" customHeight="1" x14ac:dyDescent="0.25">
      <c r="B25" s="23" t="s">
        <v>52</v>
      </c>
      <c r="C25" s="50">
        <v>75</v>
      </c>
      <c r="D25" s="50">
        <v>17</v>
      </c>
      <c r="E25" s="50">
        <v>17</v>
      </c>
      <c r="F25" s="50">
        <v>53</v>
      </c>
      <c r="G25" s="50">
        <v>0</v>
      </c>
      <c r="H25" s="50">
        <v>0</v>
      </c>
      <c r="I25" s="50">
        <v>7</v>
      </c>
      <c r="J25" s="50">
        <v>0</v>
      </c>
      <c r="K25" s="50">
        <v>0</v>
      </c>
      <c r="L25" s="50">
        <v>0</v>
      </c>
      <c r="M25" s="50">
        <v>245</v>
      </c>
      <c r="N25" s="50">
        <v>0</v>
      </c>
      <c r="O25" s="15">
        <f t="shared" si="0"/>
        <v>169</v>
      </c>
      <c r="P25" s="15">
        <f t="shared" si="1"/>
        <v>414</v>
      </c>
      <c r="R25" s="37" t="s">
        <v>85</v>
      </c>
      <c r="S25" s="35">
        <f t="shared" ref="S25:AF25" si="17">SUM(S10:S12)</f>
        <v>414</v>
      </c>
      <c r="T25" s="16">
        <f t="shared" si="17"/>
        <v>75</v>
      </c>
      <c r="U25" s="16">
        <f t="shared" si="17"/>
        <v>72</v>
      </c>
      <c r="V25" s="16">
        <f t="shared" si="17"/>
        <v>594</v>
      </c>
      <c r="W25" s="16">
        <f t="shared" si="17"/>
        <v>3</v>
      </c>
      <c r="X25" s="16">
        <f t="shared" si="17"/>
        <v>1</v>
      </c>
      <c r="Y25" s="16">
        <f t="shared" si="17"/>
        <v>25</v>
      </c>
      <c r="Z25" s="16">
        <f t="shared" si="17"/>
        <v>8</v>
      </c>
      <c r="AA25" s="16">
        <f t="shared" si="17"/>
        <v>1</v>
      </c>
      <c r="AB25" s="16">
        <f t="shared" si="17"/>
        <v>0</v>
      </c>
      <c r="AC25" s="16">
        <f t="shared" si="17"/>
        <v>2330</v>
      </c>
      <c r="AD25" s="16">
        <f t="shared" si="17"/>
        <v>0</v>
      </c>
      <c r="AE25" s="32">
        <f t="shared" si="17"/>
        <v>1193</v>
      </c>
      <c r="AF25" s="32">
        <f t="shared" si="17"/>
        <v>3523</v>
      </c>
    </row>
    <row r="26" spans="2:32" ht="23.1" customHeight="1" x14ac:dyDescent="0.25">
      <c r="B26" s="23" t="s">
        <v>53</v>
      </c>
      <c r="C26" s="50">
        <v>90</v>
      </c>
      <c r="D26" s="50">
        <v>10</v>
      </c>
      <c r="E26" s="50">
        <v>4</v>
      </c>
      <c r="F26" s="50">
        <v>14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265</v>
      </c>
      <c r="N26" s="50">
        <v>0</v>
      </c>
      <c r="O26" s="15">
        <f t="shared" si="0"/>
        <v>121</v>
      </c>
      <c r="P26" s="15">
        <f t="shared" si="1"/>
        <v>386</v>
      </c>
      <c r="R26" s="28" t="s">
        <v>86</v>
      </c>
      <c r="S26" s="16">
        <f t="shared" ref="S26:AF26" si="18">SUM(S13:S18)</f>
        <v>1139</v>
      </c>
      <c r="T26" s="16">
        <f t="shared" si="18"/>
        <v>188</v>
      </c>
      <c r="U26" s="16">
        <f t="shared" si="18"/>
        <v>88</v>
      </c>
      <c r="V26" s="16">
        <f t="shared" si="18"/>
        <v>900</v>
      </c>
      <c r="W26" s="16">
        <f t="shared" si="18"/>
        <v>5</v>
      </c>
      <c r="X26" s="16">
        <f t="shared" si="18"/>
        <v>0</v>
      </c>
      <c r="Y26" s="16">
        <f t="shared" si="18"/>
        <v>48</v>
      </c>
      <c r="Z26" s="16">
        <f t="shared" si="18"/>
        <v>15</v>
      </c>
      <c r="AA26" s="16">
        <f t="shared" si="18"/>
        <v>5</v>
      </c>
      <c r="AB26" s="16">
        <f t="shared" si="18"/>
        <v>1</v>
      </c>
      <c r="AC26" s="16">
        <f t="shared" si="18"/>
        <v>5455</v>
      </c>
      <c r="AD26" s="16">
        <f t="shared" si="18"/>
        <v>0</v>
      </c>
      <c r="AE26" s="32">
        <f t="shared" si="18"/>
        <v>2389</v>
      </c>
      <c r="AF26" s="32">
        <f t="shared" si="18"/>
        <v>7844</v>
      </c>
    </row>
    <row r="27" spans="2:32" ht="23.1" customHeight="1" x14ac:dyDescent="0.25">
      <c r="B27" s="23" t="s">
        <v>54</v>
      </c>
      <c r="C27" s="50">
        <v>120</v>
      </c>
      <c r="D27" s="50">
        <v>15</v>
      </c>
      <c r="E27" s="50">
        <v>9</v>
      </c>
      <c r="F27" s="50">
        <v>34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245</v>
      </c>
      <c r="N27" s="50">
        <v>0</v>
      </c>
      <c r="O27" s="15">
        <f t="shared" si="0"/>
        <v>180</v>
      </c>
      <c r="P27" s="15">
        <f t="shared" si="1"/>
        <v>425</v>
      </c>
      <c r="R27" s="29" t="s">
        <v>87</v>
      </c>
      <c r="S27" s="16">
        <f t="shared" ref="S27:AF27" si="19">SUM(S19:S21)</f>
        <v>520</v>
      </c>
      <c r="T27" s="16">
        <f t="shared" si="19"/>
        <v>71</v>
      </c>
      <c r="U27" s="16">
        <f t="shared" si="19"/>
        <v>33</v>
      </c>
      <c r="V27" s="16">
        <f t="shared" si="19"/>
        <v>455</v>
      </c>
      <c r="W27" s="16">
        <f t="shared" si="19"/>
        <v>3</v>
      </c>
      <c r="X27" s="16">
        <f t="shared" si="19"/>
        <v>0</v>
      </c>
      <c r="Y27" s="16">
        <f t="shared" si="19"/>
        <v>21</v>
      </c>
      <c r="Z27" s="16">
        <f t="shared" si="19"/>
        <v>2</v>
      </c>
      <c r="AA27" s="16">
        <f t="shared" si="19"/>
        <v>2</v>
      </c>
      <c r="AB27" s="16">
        <f t="shared" si="19"/>
        <v>0</v>
      </c>
      <c r="AC27" s="16">
        <f t="shared" si="19"/>
        <v>2630</v>
      </c>
      <c r="AD27" s="16">
        <f t="shared" si="19"/>
        <v>0</v>
      </c>
      <c r="AE27" s="32">
        <f t="shared" si="19"/>
        <v>1107</v>
      </c>
      <c r="AF27" s="32">
        <f t="shared" si="19"/>
        <v>3737</v>
      </c>
    </row>
    <row r="28" spans="2:32" ht="23.1" customHeight="1" x14ac:dyDescent="0.25">
      <c r="B28" s="23" t="s">
        <v>55</v>
      </c>
      <c r="C28" s="50">
        <v>90</v>
      </c>
      <c r="D28" s="50">
        <v>12</v>
      </c>
      <c r="E28" s="50">
        <v>5</v>
      </c>
      <c r="F28" s="50">
        <v>40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255</v>
      </c>
      <c r="N28" s="50">
        <v>0</v>
      </c>
      <c r="O28" s="15">
        <f t="shared" si="0"/>
        <v>149</v>
      </c>
      <c r="P28" s="15">
        <f t="shared" si="1"/>
        <v>404</v>
      </c>
      <c r="R28" s="5" t="s">
        <v>17</v>
      </c>
      <c r="S28" s="16">
        <f t="shared" ref="S28:AF28" si="20">SUM(S10:S21)</f>
        <v>2073</v>
      </c>
      <c r="T28" s="16">
        <f t="shared" si="20"/>
        <v>334</v>
      </c>
      <c r="U28" s="16">
        <f t="shared" si="20"/>
        <v>193</v>
      </c>
      <c r="V28" s="16">
        <f t="shared" si="20"/>
        <v>1949</v>
      </c>
      <c r="W28" s="16">
        <f t="shared" si="20"/>
        <v>11</v>
      </c>
      <c r="X28" s="16">
        <f t="shared" si="20"/>
        <v>1</v>
      </c>
      <c r="Y28" s="16">
        <f t="shared" si="20"/>
        <v>94</v>
      </c>
      <c r="Z28" s="16">
        <f t="shared" si="20"/>
        <v>25</v>
      </c>
      <c r="AA28" s="16">
        <f t="shared" si="20"/>
        <v>8</v>
      </c>
      <c r="AB28" s="16">
        <f t="shared" si="20"/>
        <v>1</v>
      </c>
      <c r="AC28" s="16">
        <f t="shared" si="20"/>
        <v>10415</v>
      </c>
      <c r="AD28" s="16">
        <f t="shared" si="20"/>
        <v>0</v>
      </c>
      <c r="AE28" s="32">
        <f t="shared" si="20"/>
        <v>4689</v>
      </c>
      <c r="AF28" s="32">
        <f t="shared" si="20"/>
        <v>15104</v>
      </c>
    </row>
    <row r="29" spans="2:32" ht="23.1" customHeight="1" x14ac:dyDescent="0.25">
      <c r="B29" s="23" t="s">
        <v>56</v>
      </c>
      <c r="C29" s="50">
        <v>38</v>
      </c>
      <c r="D29" s="50">
        <v>16</v>
      </c>
      <c r="E29" s="50">
        <v>5</v>
      </c>
      <c r="F29" s="50">
        <v>25</v>
      </c>
      <c r="G29" s="50">
        <v>0</v>
      </c>
      <c r="H29" s="50">
        <v>0</v>
      </c>
      <c r="I29" s="50">
        <v>2</v>
      </c>
      <c r="J29" s="50">
        <v>2</v>
      </c>
      <c r="K29" s="50">
        <v>0</v>
      </c>
      <c r="L29" s="50">
        <v>0</v>
      </c>
      <c r="M29" s="50">
        <v>245</v>
      </c>
      <c r="N29" s="50">
        <v>0</v>
      </c>
      <c r="O29" s="15">
        <f t="shared" si="0"/>
        <v>88</v>
      </c>
      <c r="P29" s="15">
        <f t="shared" si="1"/>
        <v>333</v>
      </c>
      <c r="R29"/>
      <c r="S29" s="20"/>
      <c r="T29" s="19"/>
    </row>
    <row r="30" spans="2:32" ht="23.1" customHeight="1" x14ac:dyDescent="0.25">
      <c r="B30" s="23" t="s">
        <v>57</v>
      </c>
      <c r="C30" s="50">
        <v>43</v>
      </c>
      <c r="D30" s="50">
        <v>14</v>
      </c>
      <c r="E30" s="50">
        <v>5</v>
      </c>
      <c r="F30" s="50">
        <v>33</v>
      </c>
      <c r="G30" s="50">
        <v>1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245</v>
      </c>
      <c r="N30" s="50">
        <v>0</v>
      </c>
      <c r="O30" s="15">
        <f t="shared" si="0"/>
        <v>100</v>
      </c>
      <c r="P30" s="15">
        <f t="shared" si="1"/>
        <v>345</v>
      </c>
    </row>
    <row r="31" spans="2:32" ht="23.1" customHeight="1" x14ac:dyDescent="0.25">
      <c r="B31" s="24" t="s">
        <v>58</v>
      </c>
      <c r="C31" s="50">
        <v>57</v>
      </c>
      <c r="D31" s="50">
        <v>6</v>
      </c>
      <c r="E31" s="50">
        <v>16</v>
      </c>
      <c r="F31" s="50">
        <v>38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240</v>
      </c>
      <c r="N31" s="50">
        <v>0</v>
      </c>
      <c r="O31" s="15">
        <f t="shared" si="0"/>
        <v>119</v>
      </c>
      <c r="P31" s="15">
        <f t="shared" si="1"/>
        <v>359</v>
      </c>
    </row>
    <row r="32" spans="2:32" ht="23.1" customHeight="1" x14ac:dyDescent="0.25">
      <c r="B32" s="24" t="s">
        <v>59</v>
      </c>
      <c r="C32" s="50">
        <v>36</v>
      </c>
      <c r="D32" s="50">
        <v>0</v>
      </c>
      <c r="E32" s="50">
        <v>0</v>
      </c>
      <c r="F32" s="50">
        <v>45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210</v>
      </c>
      <c r="N32" s="50">
        <v>0</v>
      </c>
      <c r="O32" s="15">
        <f t="shared" si="0"/>
        <v>81</v>
      </c>
      <c r="P32" s="15">
        <f t="shared" si="1"/>
        <v>291</v>
      </c>
    </row>
    <row r="33" spans="2:20" ht="23.1" customHeight="1" x14ac:dyDescent="0.25">
      <c r="B33" s="23" t="s">
        <v>60</v>
      </c>
      <c r="C33" s="50">
        <v>35</v>
      </c>
      <c r="D33" s="50">
        <v>5</v>
      </c>
      <c r="E33" s="50">
        <v>1</v>
      </c>
      <c r="F33" s="50">
        <v>38</v>
      </c>
      <c r="G33" s="50">
        <v>0</v>
      </c>
      <c r="H33" s="50">
        <v>0</v>
      </c>
      <c r="I33" s="50">
        <v>2</v>
      </c>
      <c r="J33" s="50">
        <v>1</v>
      </c>
      <c r="K33" s="50">
        <v>1</v>
      </c>
      <c r="L33" s="50">
        <v>0</v>
      </c>
      <c r="M33" s="50">
        <v>210</v>
      </c>
      <c r="N33" s="50">
        <v>0</v>
      </c>
      <c r="O33" s="15">
        <f t="shared" si="0"/>
        <v>83</v>
      </c>
      <c r="P33" s="15">
        <f t="shared" si="1"/>
        <v>293</v>
      </c>
    </row>
    <row r="34" spans="2:20" ht="23.1" customHeight="1" x14ac:dyDescent="0.25">
      <c r="B34" s="24" t="s">
        <v>61</v>
      </c>
      <c r="C34" s="50">
        <v>45</v>
      </c>
      <c r="D34" s="50">
        <v>8</v>
      </c>
      <c r="E34" s="50">
        <v>2</v>
      </c>
      <c r="F34" s="50">
        <v>42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210</v>
      </c>
      <c r="N34" s="50">
        <v>0</v>
      </c>
      <c r="O34" s="15">
        <f t="shared" si="0"/>
        <v>100</v>
      </c>
      <c r="P34" s="15">
        <f t="shared" si="1"/>
        <v>310</v>
      </c>
    </row>
    <row r="35" spans="2:20" ht="23.1" customHeight="1" x14ac:dyDescent="0.25">
      <c r="B35" s="24" t="s">
        <v>62</v>
      </c>
      <c r="C35" s="50">
        <v>45</v>
      </c>
      <c r="D35" s="50">
        <v>4</v>
      </c>
      <c r="E35" s="50">
        <v>1</v>
      </c>
      <c r="F35" s="50">
        <v>53</v>
      </c>
      <c r="G35" s="50">
        <v>1</v>
      </c>
      <c r="H35" s="50">
        <v>0</v>
      </c>
      <c r="I35" s="50">
        <v>1</v>
      </c>
      <c r="J35" s="50">
        <v>0</v>
      </c>
      <c r="K35" s="50">
        <v>1</v>
      </c>
      <c r="L35" s="50">
        <v>0</v>
      </c>
      <c r="M35" s="50">
        <v>205</v>
      </c>
      <c r="N35" s="50">
        <v>0</v>
      </c>
      <c r="O35" s="15">
        <f t="shared" si="0"/>
        <v>106</v>
      </c>
      <c r="P35" s="15">
        <f t="shared" si="1"/>
        <v>311</v>
      </c>
    </row>
    <row r="36" spans="2:20" ht="23.1" customHeight="1" x14ac:dyDescent="0.25">
      <c r="B36" s="24" t="s">
        <v>63</v>
      </c>
      <c r="C36" s="50">
        <v>26</v>
      </c>
      <c r="D36" s="50">
        <v>7</v>
      </c>
      <c r="E36" s="50">
        <v>2</v>
      </c>
      <c r="F36" s="50">
        <v>30</v>
      </c>
      <c r="G36" s="50">
        <v>1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210</v>
      </c>
      <c r="N36" s="50">
        <v>0</v>
      </c>
      <c r="O36" s="15">
        <f t="shared" si="0"/>
        <v>68</v>
      </c>
      <c r="P36" s="15">
        <f t="shared" si="1"/>
        <v>278</v>
      </c>
    </row>
    <row r="37" spans="2:20" ht="23.1" customHeight="1" x14ac:dyDescent="0.25">
      <c r="B37" s="23" t="s">
        <v>64</v>
      </c>
      <c r="C37" s="50">
        <v>30</v>
      </c>
      <c r="D37" s="50">
        <v>0</v>
      </c>
      <c r="E37" s="50">
        <v>0</v>
      </c>
      <c r="F37" s="50">
        <v>37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245</v>
      </c>
      <c r="N37" s="50">
        <v>0</v>
      </c>
      <c r="O37" s="15">
        <f t="shared" si="0"/>
        <v>67</v>
      </c>
      <c r="P37" s="15">
        <f t="shared" si="1"/>
        <v>312</v>
      </c>
    </row>
    <row r="38" spans="2:20" ht="23.1" customHeight="1" x14ac:dyDescent="0.25">
      <c r="B38" s="24" t="s">
        <v>65</v>
      </c>
      <c r="C38" s="50">
        <v>28</v>
      </c>
      <c r="D38" s="50">
        <v>4</v>
      </c>
      <c r="E38" s="50">
        <v>2</v>
      </c>
      <c r="F38" s="50">
        <v>30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180</v>
      </c>
      <c r="N38" s="50">
        <v>0</v>
      </c>
      <c r="O38" s="15">
        <f t="shared" si="0"/>
        <v>64</v>
      </c>
      <c r="P38" s="15">
        <f t="shared" si="1"/>
        <v>244</v>
      </c>
    </row>
    <row r="39" spans="2:20" ht="23.1" customHeight="1" x14ac:dyDescent="0.25">
      <c r="B39" s="24" t="s">
        <v>66</v>
      </c>
      <c r="C39" s="50">
        <v>20</v>
      </c>
      <c r="D39" s="50">
        <v>1</v>
      </c>
      <c r="E39" s="50">
        <v>1</v>
      </c>
      <c r="F39" s="50">
        <v>29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230</v>
      </c>
      <c r="N39" s="50">
        <v>0</v>
      </c>
      <c r="O39" s="15">
        <f t="shared" si="0"/>
        <v>51</v>
      </c>
      <c r="P39" s="15">
        <f t="shared" si="1"/>
        <v>281</v>
      </c>
    </row>
    <row r="40" spans="2:20" ht="23.1" customHeight="1" x14ac:dyDescent="0.25">
      <c r="B40" s="24" t="s">
        <v>67</v>
      </c>
      <c r="C40" s="50">
        <v>30</v>
      </c>
      <c r="D40" s="50">
        <v>12</v>
      </c>
      <c r="E40" s="50">
        <v>1</v>
      </c>
      <c r="F40" s="50">
        <v>33</v>
      </c>
      <c r="G40" s="50">
        <v>1</v>
      </c>
      <c r="H40" s="50">
        <v>0</v>
      </c>
      <c r="I40" s="50">
        <v>3</v>
      </c>
      <c r="J40" s="50">
        <v>0</v>
      </c>
      <c r="K40" s="50">
        <v>2</v>
      </c>
      <c r="L40" s="50">
        <v>0</v>
      </c>
      <c r="M40" s="50">
        <v>210</v>
      </c>
      <c r="N40" s="50">
        <v>0</v>
      </c>
      <c r="O40" s="15">
        <f t="shared" si="0"/>
        <v>82</v>
      </c>
      <c r="P40" s="15">
        <f t="shared" si="1"/>
        <v>292</v>
      </c>
    </row>
    <row r="41" spans="2:20" ht="23.1" customHeight="1" x14ac:dyDescent="0.25">
      <c r="B41" s="23" t="s">
        <v>68</v>
      </c>
      <c r="C41" s="50">
        <v>34</v>
      </c>
      <c r="D41" s="50">
        <v>2</v>
      </c>
      <c r="E41" s="50">
        <v>2</v>
      </c>
      <c r="F41" s="50">
        <v>21</v>
      </c>
      <c r="G41" s="50">
        <v>0</v>
      </c>
      <c r="H41" s="50">
        <v>0</v>
      </c>
      <c r="I41" s="50">
        <v>4</v>
      </c>
      <c r="J41" s="50">
        <v>0</v>
      </c>
      <c r="K41" s="50">
        <v>0</v>
      </c>
      <c r="L41" s="50">
        <v>0</v>
      </c>
      <c r="M41" s="50">
        <v>210</v>
      </c>
      <c r="N41" s="50">
        <v>0</v>
      </c>
      <c r="O41" s="15">
        <f t="shared" si="0"/>
        <v>63</v>
      </c>
      <c r="P41" s="15">
        <f t="shared" si="1"/>
        <v>273</v>
      </c>
    </row>
    <row r="42" spans="2:20" ht="23.1" customHeight="1" x14ac:dyDescent="0.25">
      <c r="B42" s="24" t="s">
        <v>69</v>
      </c>
      <c r="C42" s="50">
        <v>40</v>
      </c>
      <c r="D42" s="50">
        <v>4</v>
      </c>
      <c r="E42" s="50">
        <v>0</v>
      </c>
      <c r="F42" s="50">
        <v>36</v>
      </c>
      <c r="G42" s="50">
        <v>0</v>
      </c>
      <c r="H42" s="50">
        <v>0</v>
      </c>
      <c r="I42" s="50">
        <v>0</v>
      </c>
      <c r="J42" s="50">
        <v>3</v>
      </c>
      <c r="K42" s="50">
        <v>0</v>
      </c>
      <c r="L42" s="50">
        <v>0</v>
      </c>
      <c r="M42" s="50">
        <v>240</v>
      </c>
      <c r="N42" s="50">
        <v>0</v>
      </c>
      <c r="O42" s="15">
        <f t="shared" si="0"/>
        <v>83</v>
      </c>
      <c r="P42" s="15">
        <f t="shared" si="1"/>
        <v>323</v>
      </c>
    </row>
    <row r="43" spans="2:20" ht="23.1" customHeight="1" x14ac:dyDescent="0.25">
      <c r="B43" s="23" t="s">
        <v>70</v>
      </c>
      <c r="C43" s="50">
        <v>40</v>
      </c>
      <c r="D43" s="50">
        <v>4</v>
      </c>
      <c r="E43" s="50">
        <v>0</v>
      </c>
      <c r="F43" s="50">
        <v>40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245</v>
      </c>
      <c r="N43" s="50">
        <v>0</v>
      </c>
      <c r="O43" s="15">
        <f t="shared" si="0"/>
        <v>87</v>
      </c>
      <c r="P43" s="15">
        <f t="shared" si="1"/>
        <v>332</v>
      </c>
    </row>
    <row r="44" spans="2:20" ht="23.1" customHeight="1" x14ac:dyDescent="0.25">
      <c r="B44" s="25" t="s">
        <v>71</v>
      </c>
      <c r="C44" s="50">
        <v>35</v>
      </c>
      <c r="D44" s="50">
        <v>6</v>
      </c>
      <c r="E44" s="50">
        <v>0</v>
      </c>
      <c r="F44" s="50">
        <v>35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210</v>
      </c>
      <c r="N44" s="50">
        <v>0</v>
      </c>
      <c r="O44" s="15">
        <f t="shared" si="0"/>
        <v>77</v>
      </c>
      <c r="P44" s="15">
        <f t="shared" si="1"/>
        <v>287</v>
      </c>
    </row>
    <row r="45" spans="2:20" ht="23.1" customHeight="1" x14ac:dyDescent="0.25">
      <c r="B45" s="23" t="s">
        <v>72</v>
      </c>
      <c r="C45" s="50">
        <v>30</v>
      </c>
      <c r="D45" s="50">
        <v>9</v>
      </c>
      <c r="E45" s="50">
        <v>0</v>
      </c>
      <c r="F45" s="50">
        <v>38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210</v>
      </c>
      <c r="N45" s="50">
        <v>0</v>
      </c>
      <c r="O45" s="15">
        <f t="shared" si="0"/>
        <v>79</v>
      </c>
      <c r="P45" s="15">
        <f t="shared" si="1"/>
        <v>289</v>
      </c>
    </row>
    <row r="46" spans="2:20" ht="23.1" customHeight="1" x14ac:dyDescent="0.25">
      <c r="B46" s="24" t="s">
        <v>73</v>
      </c>
      <c r="C46" s="50">
        <v>60</v>
      </c>
      <c r="D46" s="50">
        <v>7</v>
      </c>
      <c r="E46" s="50">
        <v>3</v>
      </c>
      <c r="F46" s="50">
        <v>48</v>
      </c>
      <c r="G46" s="50">
        <v>2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245</v>
      </c>
      <c r="N46" s="50">
        <v>0</v>
      </c>
      <c r="O46" s="15">
        <f t="shared" si="0"/>
        <v>124</v>
      </c>
      <c r="P46" s="15">
        <f t="shared" si="1"/>
        <v>369</v>
      </c>
      <c r="R46" s="8"/>
      <c r="T46"/>
    </row>
    <row r="47" spans="2:20" ht="23.1" customHeight="1" x14ac:dyDescent="0.25">
      <c r="B47" s="24" t="s">
        <v>74</v>
      </c>
      <c r="C47" s="50">
        <v>45</v>
      </c>
      <c r="D47" s="50">
        <v>1</v>
      </c>
      <c r="E47" s="50">
        <v>0</v>
      </c>
      <c r="F47" s="50">
        <v>37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210</v>
      </c>
      <c r="N47" s="50">
        <v>0</v>
      </c>
      <c r="O47" s="15">
        <f t="shared" si="0"/>
        <v>85</v>
      </c>
      <c r="P47" s="15">
        <f t="shared" si="1"/>
        <v>295</v>
      </c>
      <c r="R47" s="8"/>
      <c r="T47"/>
    </row>
    <row r="48" spans="2:20" ht="23.1" customHeight="1" x14ac:dyDescent="0.25">
      <c r="B48" s="24" t="s">
        <v>75</v>
      </c>
      <c r="C48" s="50">
        <v>47</v>
      </c>
      <c r="D48" s="50">
        <v>5</v>
      </c>
      <c r="E48" s="50">
        <v>5</v>
      </c>
      <c r="F48" s="50">
        <v>42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180</v>
      </c>
      <c r="N48" s="50">
        <v>0</v>
      </c>
      <c r="O48" s="15">
        <f t="shared" si="0"/>
        <v>101</v>
      </c>
      <c r="P48" s="15">
        <f t="shared" si="1"/>
        <v>281</v>
      </c>
      <c r="R48" s="8"/>
      <c r="T48"/>
    </row>
    <row r="49" spans="2:20" ht="23.1" customHeight="1" x14ac:dyDescent="0.25">
      <c r="B49" s="23" t="s">
        <v>76</v>
      </c>
      <c r="C49" s="50">
        <v>55</v>
      </c>
      <c r="D49" s="50">
        <v>9</v>
      </c>
      <c r="E49" s="50">
        <v>3</v>
      </c>
      <c r="F49" s="50">
        <v>37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210</v>
      </c>
      <c r="N49" s="50">
        <v>0</v>
      </c>
      <c r="O49" s="15">
        <f t="shared" si="0"/>
        <v>106</v>
      </c>
      <c r="P49" s="15">
        <f t="shared" si="1"/>
        <v>316</v>
      </c>
      <c r="R49" s="8"/>
      <c r="T49"/>
    </row>
    <row r="50" spans="2:20" ht="23.1" customHeight="1" x14ac:dyDescent="0.25">
      <c r="B50" s="24" t="s">
        <v>77</v>
      </c>
      <c r="C50" s="50">
        <v>45</v>
      </c>
      <c r="D50" s="50">
        <v>8</v>
      </c>
      <c r="E50" s="50">
        <v>2</v>
      </c>
      <c r="F50" s="50">
        <v>48</v>
      </c>
      <c r="G50" s="50">
        <v>0</v>
      </c>
      <c r="H50" s="50">
        <v>0</v>
      </c>
      <c r="I50" s="50">
        <v>2</v>
      </c>
      <c r="J50" s="50">
        <v>0</v>
      </c>
      <c r="K50" s="50">
        <v>1</v>
      </c>
      <c r="L50" s="50">
        <v>0</v>
      </c>
      <c r="M50" s="50">
        <v>210</v>
      </c>
      <c r="N50" s="50">
        <v>0</v>
      </c>
      <c r="O50" s="15">
        <f t="shared" si="0"/>
        <v>106</v>
      </c>
      <c r="P50" s="15">
        <f t="shared" si="1"/>
        <v>316</v>
      </c>
      <c r="R50" s="8"/>
      <c r="T50"/>
    </row>
    <row r="51" spans="2:20" ht="23.1" customHeight="1" x14ac:dyDescent="0.25">
      <c r="B51" s="24" t="s">
        <v>78</v>
      </c>
      <c r="C51" s="50">
        <v>48</v>
      </c>
      <c r="D51" s="50">
        <v>11</v>
      </c>
      <c r="E51" s="50">
        <v>1</v>
      </c>
      <c r="F51" s="50">
        <v>31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245</v>
      </c>
      <c r="N51" s="50">
        <v>0</v>
      </c>
      <c r="O51" s="15">
        <f t="shared" si="0"/>
        <v>92</v>
      </c>
      <c r="P51" s="15">
        <f t="shared" si="1"/>
        <v>337</v>
      </c>
      <c r="R51" s="8"/>
      <c r="T51"/>
    </row>
    <row r="52" spans="2:20" ht="23.1" customHeight="1" x14ac:dyDescent="0.25">
      <c r="B52" s="24" t="s">
        <v>79</v>
      </c>
      <c r="C52" s="50">
        <v>38</v>
      </c>
      <c r="D52" s="50">
        <v>9</v>
      </c>
      <c r="E52" s="50">
        <v>8</v>
      </c>
      <c r="F52" s="50">
        <v>40</v>
      </c>
      <c r="G52" s="50">
        <v>0</v>
      </c>
      <c r="H52" s="50">
        <v>0</v>
      </c>
      <c r="I52" s="50">
        <v>3</v>
      </c>
      <c r="J52" s="50">
        <v>0</v>
      </c>
      <c r="K52" s="50">
        <v>1</v>
      </c>
      <c r="L52" s="50">
        <v>0</v>
      </c>
      <c r="M52" s="50">
        <v>245</v>
      </c>
      <c r="N52" s="50">
        <v>0</v>
      </c>
      <c r="O52" s="15">
        <f t="shared" si="0"/>
        <v>99</v>
      </c>
      <c r="P52" s="15">
        <f t="shared" si="1"/>
        <v>344</v>
      </c>
      <c r="R52" s="8"/>
      <c r="T52"/>
    </row>
    <row r="53" spans="2:20" ht="23.1" customHeight="1" x14ac:dyDescent="0.25">
      <c r="B53" s="23" t="s">
        <v>80</v>
      </c>
      <c r="C53" s="50">
        <v>29</v>
      </c>
      <c r="D53" s="50">
        <v>5</v>
      </c>
      <c r="E53" s="50">
        <v>7</v>
      </c>
      <c r="F53" s="50">
        <v>33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210</v>
      </c>
      <c r="N53" s="50">
        <v>0</v>
      </c>
      <c r="O53" s="15">
        <f t="shared" si="0"/>
        <v>75</v>
      </c>
      <c r="P53" s="15">
        <f t="shared" si="1"/>
        <v>285</v>
      </c>
      <c r="R53" s="8"/>
      <c r="T53"/>
    </row>
    <row r="54" spans="2:20" ht="23.1" customHeight="1" x14ac:dyDescent="0.25">
      <c r="B54" s="23" t="s">
        <v>81</v>
      </c>
      <c r="C54" s="50">
        <v>34</v>
      </c>
      <c r="D54" s="50">
        <v>1</v>
      </c>
      <c r="E54" s="50">
        <v>0</v>
      </c>
      <c r="F54" s="50">
        <v>36</v>
      </c>
      <c r="G54" s="50">
        <v>1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245</v>
      </c>
      <c r="N54" s="50">
        <v>0</v>
      </c>
      <c r="O54" s="15">
        <f t="shared" si="0"/>
        <v>74</v>
      </c>
      <c r="P54" s="15">
        <f t="shared" si="1"/>
        <v>319</v>
      </c>
      <c r="R54" s="8"/>
      <c r="T54"/>
    </row>
    <row r="55" spans="2:20" ht="23.1" customHeight="1" x14ac:dyDescent="0.25">
      <c r="B55" s="23" t="s">
        <v>82</v>
      </c>
      <c r="C55" s="50">
        <v>42</v>
      </c>
      <c r="D55" s="50">
        <v>8</v>
      </c>
      <c r="E55" s="50">
        <v>0</v>
      </c>
      <c r="F55" s="50">
        <v>40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210</v>
      </c>
      <c r="N55" s="50">
        <v>0</v>
      </c>
      <c r="O55" s="15">
        <f t="shared" si="0"/>
        <v>90</v>
      </c>
      <c r="P55" s="15">
        <f t="shared" si="1"/>
        <v>300</v>
      </c>
      <c r="R55" s="8"/>
      <c r="T55"/>
    </row>
    <row r="56" spans="2:20" ht="23.1" customHeight="1" x14ac:dyDescent="0.25">
      <c r="B56" s="23" t="s">
        <v>83</v>
      </c>
      <c r="C56" s="50">
        <v>42</v>
      </c>
      <c r="D56" s="50">
        <v>5</v>
      </c>
      <c r="E56" s="50">
        <v>1</v>
      </c>
      <c r="F56" s="50">
        <v>30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210</v>
      </c>
      <c r="N56" s="50">
        <v>0</v>
      </c>
      <c r="O56" s="15">
        <f t="shared" si="0"/>
        <v>80</v>
      </c>
      <c r="P56" s="15">
        <f t="shared" si="1"/>
        <v>290</v>
      </c>
      <c r="R56" s="8"/>
      <c r="T56"/>
    </row>
    <row r="57" spans="2:20" ht="23.1" customHeight="1" x14ac:dyDescent="0.25">
      <c r="B57" s="23" t="s">
        <v>84</v>
      </c>
      <c r="C57" s="50">
        <v>35</v>
      </c>
      <c r="D57" s="50">
        <v>2</v>
      </c>
      <c r="E57" s="50">
        <v>3</v>
      </c>
      <c r="F57" s="50">
        <v>33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210</v>
      </c>
      <c r="N57" s="50">
        <v>0</v>
      </c>
      <c r="O57" s="15">
        <f t="shared" si="0"/>
        <v>75</v>
      </c>
      <c r="P57" s="15">
        <f t="shared" si="1"/>
        <v>285</v>
      </c>
      <c r="R57" s="8"/>
      <c r="T57"/>
    </row>
    <row r="58" spans="2:20" ht="23.1" customHeight="1" x14ac:dyDescent="0.25">
      <c r="B58" s="26" t="s">
        <v>18</v>
      </c>
      <c r="C58" s="16">
        <f t="shared" ref="C58:O58" si="21">SUM(C10:C57)</f>
        <v>2073</v>
      </c>
      <c r="D58" s="16">
        <f t="shared" si="21"/>
        <v>334</v>
      </c>
      <c r="E58" s="16">
        <f t="shared" si="21"/>
        <v>193</v>
      </c>
      <c r="F58" s="16">
        <f t="shared" si="21"/>
        <v>1949</v>
      </c>
      <c r="G58" s="16">
        <f t="shared" si="21"/>
        <v>11</v>
      </c>
      <c r="H58" s="16">
        <f t="shared" si="21"/>
        <v>1</v>
      </c>
      <c r="I58" s="16">
        <f t="shared" si="21"/>
        <v>94</v>
      </c>
      <c r="J58" s="16">
        <f t="shared" si="21"/>
        <v>25</v>
      </c>
      <c r="K58" s="16">
        <f t="shared" si="21"/>
        <v>8</v>
      </c>
      <c r="L58" s="16">
        <f t="shared" si="21"/>
        <v>1</v>
      </c>
      <c r="M58" s="16">
        <f t="shared" si="21"/>
        <v>10415</v>
      </c>
      <c r="N58" s="16">
        <f t="shared" si="21"/>
        <v>0</v>
      </c>
      <c r="O58" s="16">
        <f t="shared" si="21"/>
        <v>4689</v>
      </c>
      <c r="P58" s="15">
        <f t="shared" si="1"/>
        <v>15104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0.13724841101694915</v>
      </c>
      <c r="D59" s="43">
        <f t="shared" si="22"/>
        <v>2.2113347457627119E-2</v>
      </c>
      <c r="E59" s="43">
        <f t="shared" si="22"/>
        <v>1.2778072033898306E-2</v>
      </c>
      <c r="F59" s="43">
        <f t="shared" si="22"/>
        <v>0.12903866525423729</v>
      </c>
      <c r="G59" s="43">
        <f t="shared" si="22"/>
        <v>7.2828389830508476E-4</v>
      </c>
      <c r="H59" s="43">
        <f t="shared" si="22"/>
        <v>6.6207627118644068E-5</v>
      </c>
      <c r="I59" s="43">
        <f t="shared" si="22"/>
        <v>6.2235169491525423E-3</v>
      </c>
      <c r="J59" s="43">
        <f t="shared" si="22"/>
        <v>1.6551906779661016E-3</v>
      </c>
      <c r="K59" s="43">
        <f t="shared" si="22"/>
        <v>5.2966101694915254E-4</v>
      </c>
      <c r="L59" s="43">
        <f t="shared" si="22"/>
        <v>6.6207627118644068E-5</v>
      </c>
      <c r="M59" s="43">
        <f t="shared" si="22"/>
        <v>0.68955243644067798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0.44209852847088932</v>
      </c>
      <c r="D60" s="44">
        <f t="shared" ref="D60:N60" si="23">D58/$O$58</f>
        <v>7.1230539560673919E-2</v>
      </c>
      <c r="E60" s="44">
        <f t="shared" si="23"/>
        <v>4.1160162081467264E-2</v>
      </c>
      <c r="F60" s="44">
        <f t="shared" si="23"/>
        <v>0.41565365749626787</v>
      </c>
      <c r="G60" s="44">
        <f t="shared" si="23"/>
        <v>2.3459159735551289E-3</v>
      </c>
      <c r="H60" s="44">
        <f t="shared" si="23"/>
        <v>2.1326508850501172E-4</v>
      </c>
      <c r="I60" s="44">
        <f t="shared" si="23"/>
        <v>2.0046918319471103E-2</v>
      </c>
      <c r="J60" s="44">
        <f t="shared" si="23"/>
        <v>5.3316272126252935E-3</v>
      </c>
      <c r="K60" s="44">
        <f t="shared" si="23"/>
        <v>1.7061207080400938E-3</v>
      </c>
      <c r="L60" s="44">
        <f t="shared" si="23"/>
        <v>2.1326508850501172E-4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F52" zoomScale="60" workbookViewId="0">
      <selection activeCell="AE55" sqref="AE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'28.07 Makindye-Kibuye'!C3:G3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170</v>
      </c>
      <c r="E5" s="66"/>
      <c r="F5" s="41" t="s">
        <v>1</v>
      </c>
      <c r="G5" s="63" t="str">
        <f>'28.07 Kibuye-Makindye'!G5:H5</f>
        <v>FUELEX MAKINDYE</v>
      </c>
      <c r="H5" s="64"/>
      <c r="I5" s="14"/>
      <c r="J5" s="2" t="s">
        <v>5</v>
      </c>
      <c r="K5" s="63" t="str">
        <f>'28.07 Kibuye-Makindye'!K5:L5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'28.07 Kibuye-Makindye'!D6:E6</f>
        <v>KIBUYE</v>
      </c>
      <c r="E6" s="64"/>
      <c r="F6" s="2" t="s">
        <v>2</v>
      </c>
      <c r="G6" s="63" t="str">
        <f>'28.07 Kibuye-Makindye'!G6:H6</f>
        <v>MAKINDYE</v>
      </c>
      <c r="H6" s="64"/>
      <c r="J6" s="2" t="s">
        <v>21</v>
      </c>
      <c r="K6" s="63" t="str">
        <f>'28.07 Kibuye-Makindye'!K6:L6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Kibuye-Makindye'!C10,'23.07 Kibuye-Makindye'!C10,'24.07 Kibuye-Makindye'!C10,'25.07 Kibuye-Makindye'!C10,'26.07 Kibuye-Makindye-24h'!C10,'27.07 Kibuye-Makindye-24h'!C10,'28.07 Kibuye-Makindye'!C10)</f>
        <v>21.714285714285715</v>
      </c>
      <c r="D10" s="49">
        <f>AVERAGE('22.07 Kibuye-Makindye'!D10,'23.07 Kibuye-Makindye'!D10,'24.07 Kibuye-Makindye'!D10,'25.07 Kibuye-Makindye'!D10,'26.07 Kibuye-Makindye-24h'!D10,'27.07 Kibuye-Makindye-24h'!D10,'28.07 Kibuye-Makindye'!D10)</f>
        <v>4.7142857142857144</v>
      </c>
      <c r="E10" s="49">
        <f>AVERAGE('22.07 Kibuye-Makindye'!E10,'23.07 Kibuye-Makindye'!E10,'24.07 Kibuye-Makindye'!E10,'25.07 Kibuye-Makindye'!E10,'26.07 Kibuye-Makindye-24h'!E10,'27.07 Kibuye-Makindye-24h'!E10,'28.07 Kibuye-Makindye'!E10)</f>
        <v>1</v>
      </c>
      <c r="F10" s="49">
        <f>AVERAGE('22.07 Kibuye-Makindye'!F10,'23.07 Kibuye-Makindye'!F10,'24.07 Kibuye-Makindye'!F10,'25.07 Kibuye-Makindye'!F10,'26.07 Kibuye-Makindye-24h'!F10,'27.07 Kibuye-Makindye-24h'!F10,'28.07 Kibuye-Makindye'!F10)</f>
        <v>21.428571428571427</v>
      </c>
      <c r="G10" s="49">
        <f>AVERAGE('22.07 Kibuye-Makindye'!G10,'23.07 Kibuye-Makindye'!G10,'24.07 Kibuye-Makindye'!G10,'25.07 Kibuye-Makindye'!G10,'26.07 Kibuye-Makindye-24h'!G10,'27.07 Kibuye-Makindye-24h'!G10,'28.07 Kibuye-Makindye'!G10)</f>
        <v>0</v>
      </c>
      <c r="H10" s="49">
        <f>AVERAGE('22.07 Kibuye-Makindye'!H10,'23.07 Kibuye-Makindye'!H10,'24.07 Kibuye-Makindye'!H10,'25.07 Kibuye-Makindye'!H10,'26.07 Kibuye-Makindye-24h'!H10,'27.07 Kibuye-Makindye-24h'!H10,'28.07 Kibuye-Makindye'!H10)</f>
        <v>0</v>
      </c>
      <c r="I10" s="49">
        <f>AVERAGE('22.07 Kibuye-Makindye'!I10,'23.07 Kibuye-Makindye'!I10,'24.07 Kibuye-Makindye'!I10,'25.07 Kibuye-Makindye'!I10,'26.07 Kibuye-Makindye-24h'!I10,'27.07 Kibuye-Makindye-24h'!I10,'28.07 Kibuye-Makindye'!I10)</f>
        <v>1</v>
      </c>
      <c r="J10" s="49">
        <f>AVERAGE('22.07 Kibuye-Makindye'!J10,'23.07 Kibuye-Makindye'!J10,'24.07 Kibuye-Makindye'!J10,'25.07 Kibuye-Makindye'!J10,'26.07 Kibuye-Makindye-24h'!J10,'27.07 Kibuye-Makindye-24h'!J10,'28.07 Kibuye-Makindye'!J10)</f>
        <v>0.5714285714285714</v>
      </c>
      <c r="K10" s="49">
        <f>AVERAGE('22.07 Kibuye-Makindye'!K10,'23.07 Kibuye-Makindye'!K10,'24.07 Kibuye-Makindye'!K10,'25.07 Kibuye-Makindye'!K10,'26.07 Kibuye-Makindye-24h'!K10,'27.07 Kibuye-Makindye-24h'!K10,'28.07 Kibuye-Makindye'!K10)</f>
        <v>0.14285714285714285</v>
      </c>
      <c r="L10" s="49">
        <f>AVERAGE('22.07 Kibuye-Makindye'!L10,'23.07 Kibuye-Makindye'!L10,'24.07 Kibuye-Makindye'!L10,'25.07 Kibuye-Makindye'!L10,'26.07 Kibuye-Makindye-24h'!L10,'27.07 Kibuye-Makindye-24h'!L10,'28.07 Kibuye-Makindye'!L10)</f>
        <v>0</v>
      </c>
      <c r="M10" s="49">
        <f>AVERAGE('22.07 Kibuye-Makindye'!M10,'23.07 Kibuye-Makindye'!M10,'24.07 Kibuye-Makindye'!M10,'25.07 Kibuye-Makindye'!M10,'26.07 Kibuye-Makindye-24h'!M10,'27.07 Kibuye-Makindye-24h'!M10,'28.07 Kibuye-Makindye'!M10)</f>
        <v>119.28571428571429</v>
      </c>
      <c r="N10" s="49">
        <f>AVERAGE('22.07 Kibuye-Makindye'!N10,'23.07 Kibuye-Makindye'!N10,'24.07 Kibuye-Makindye'!N10,'25.07 Kibuye-Makindye'!N10,'26.07 Kibuye-Makindye-24h'!N10,'27.07 Kibuye-Makindye-24h'!N10,'28.07 Kibuye-Makindye'!N10)</f>
        <v>0</v>
      </c>
      <c r="O10" s="15">
        <f t="shared" ref="O10:O57" si="0">SUM(C10:L10,N10)</f>
        <v>50.571428571428577</v>
      </c>
      <c r="P10" s="15">
        <f t="shared" ref="P10:P57" si="1">SUM(C10:N10)</f>
        <v>169.85714285714286</v>
      </c>
      <c r="R10" s="1" t="s">
        <v>6</v>
      </c>
      <c r="S10" s="17">
        <f t="shared" ref="S10:AF10" si="2">SUM(C10:C13)</f>
        <v>129.85714285714286</v>
      </c>
      <c r="T10" s="17">
        <f t="shared" si="2"/>
        <v>30.857142857142854</v>
      </c>
      <c r="U10" s="17">
        <f t="shared" si="2"/>
        <v>11.142857142857142</v>
      </c>
      <c r="V10" s="17">
        <f t="shared" si="2"/>
        <v>118.57142857142856</v>
      </c>
      <c r="W10" s="17">
        <f t="shared" si="2"/>
        <v>1.1428571428571428</v>
      </c>
      <c r="X10" s="17">
        <f t="shared" si="2"/>
        <v>0.2857142857142857</v>
      </c>
      <c r="Y10" s="17">
        <f t="shared" si="2"/>
        <v>5.1428571428571423</v>
      </c>
      <c r="Z10" s="17">
        <f t="shared" si="2"/>
        <v>4.5714285714285712</v>
      </c>
      <c r="AA10" s="17">
        <f t="shared" si="2"/>
        <v>1.1428571428571428</v>
      </c>
      <c r="AB10" s="17">
        <f t="shared" si="2"/>
        <v>0.14285714285714285</v>
      </c>
      <c r="AC10" s="17">
        <f t="shared" si="2"/>
        <v>628.57142857142856</v>
      </c>
      <c r="AD10" s="17">
        <f t="shared" si="2"/>
        <v>0</v>
      </c>
      <c r="AE10" s="31">
        <f t="shared" si="2"/>
        <v>302.85714285714289</v>
      </c>
      <c r="AF10" s="31">
        <f t="shared" si="2"/>
        <v>931.42857142857133</v>
      </c>
    </row>
    <row r="11" spans="2:32" s="6" customFormat="1" ht="23.1" customHeight="1" x14ac:dyDescent="0.25">
      <c r="B11" s="23" t="s">
        <v>38</v>
      </c>
      <c r="C11" s="49">
        <f>AVERAGE('22.07 Kibuye-Makindye'!C11,'23.07 Kibuye-Makindye'!C11,'24.07 Kibuye-Makindye'!C11,'25.07 Kibuye-Makindye'!C11,'26.07 Kibuye-Makindye-24h'!C11,'27.07 Kibuye-Makindye-24h'!C11,'28.07 Kibuye-Makindye'!C11)</f>
        <v>32.428571428571431</v>
      </c>
      <c r="D11" s="49">
        <f>AVERAGE('22.07 Kibuye-Makindye'!D11,'23.07 Kibuye-Makindye'!D11,'24.07 Kibuye-Makindye'!D11,'25.07 Kibuye-Makindye'!D11,'26.07 Kibuye-Makindye-24h'!D11,'27.07 Kibuye-Makindye-24h'!D11,'28.07 Kibuye-Makindye'!D11)</f>
        <v>7.2857142857142856</v>
      </c>
      <c r="E11" s="49">
        <f>AVERAGE('22.07 Kibuye-Makindye'!E11,'23.07 Kibuye-Makindye'!E11,'24.07 Kibuye-Makindye'!E11,'25.07 Kibuye-Makindye'!E11,'26.07 Kibuye-Makindye-24h'!E11,'27.07 Kibuye-Makindye-24h'!E11,'28.07 Kibuye-Makindye'!E11)</f>
        <v>2.2857142857142856</v>
      </c>
      <c r="F11" s="49">
        <f>AVERAGE('22.07 Kibuye-Makindye'!F11,'23.07 Kibuye-Makindye'!F11,'24.07 Kibuye-Makindye'!F11,'25.07 Kibuye-Makindye'!F11,'26.07 Kibuye-Makindye-24h'!F11,'27.07 Kibuye-Makindye-24h'!F11,'28.07 Kibuye-Makindye'!F11)</f>
        <v>31.714285714285715</v>
      </c>
      <c r="G11" s="49">
        <f>AVERAGE('22.07 Kibuye-Makindye'!G11,'23.07 Kibuye-Makindye'!G11,'24.07 Kibuye-Makindye'!G11,'25.07 Kibuye-Makindye'!G11,'26.07 Kibuye-Makindye-24h'!G11,'27.07 Kibuye-Makindye-24h'!G11,'28.07 Kibuye-Makindye'!G11)</f>
        <v>0.42857142857142855</v>
      </c>
      <c r="H11" s="49">
        <f>AVERAGE('22.07 Kibuye-Makindye'!H11,'23.07 Kibuye-Makindye'!H11,'24.07 Kibuye-Makindye'!H11,'25.07 Kibuye-Makindye'!H11,'26.07 Kibuye-Makindye-24h'!H11,'27.07 Kibuye-Makindye-24h'!H11,'28.07 Kibuye-Makindye'!H11)</f>
        <v>0.2857142857142857</v>
      </c>
      <c r="I11" s="49">
        <f>AVERAGE('22.07 Kibuye-Makindye'!I11,'23.07 Kibuye-Makindye'!I11,'24.07 Kibuye-Makindye'!I11,'25.07 Kibuye-Makindye'!I11,'26.07 Kibuye-Makindye-24h'!I11,'27.07 Kibuye-Makindye-24h'!I11,'28.07 Kibuye-Makindye'!I11)</f>
        <v>1.2857142857142858</v>
      </c>
      <c r="J11" s="49">
        <f>AVERAGE('22.07 Kibuye-Makindye'!J11,'23.07 Kibuye-Makindye'!J11,'24.07 Kibuye-Makindye'!J11,'25.07 Kibuye-Makindye'!J11,'26.07 Kibuye-Makindye-24h'!J11,'27.07 Kibuye-Makindye-24h'!J11,'28.07 Kibuye-Makindye'!J11)</f>
        <v>0.8571428571428571</v>
      </c>
      <c r="K11" s="49">
        <f>AVERAGE('22.07 Kibuye-Makindye'!K11,'23.07 Kibuye-Makindye'!K11,'24.07 Kibuye-Makindye'!K11,'25.07 Kibuye-Makindye'!K11,'26.07 Kibuye-Makindye-24h'!K11,'27.07 Kibuye-Makindye-24h'!K11,'28.07 Kibuye-Makindye'!K11)</f>
        <v>0.7142857142857143</v>
      </c>
      <c r="L11" s="49">
        <f>AVERAGE('22.07 Kibuye-Makindye'!L11,'23.07 Kibuye-Makindye'!L11,'24.07 Kibuye-Makindye'!L11,'25.07 Kibuye-Makindye'!L11,'26.07 Kibuye-Makindye-24h'!L11,'27.07 Kibuye-Makindye-24h'!L11,'28.07 Kibuye-Makindye'!L11)</f>
        <v>0</v>
      </c>
      <c r="M11" s="49">
        <f>AVERAGE('22.07 Kibuye-Makindye'!M11,'23.07 Kibuye-Makindye'!M11,'24.07 Kibuye-Makindye'!M11,'25.07 Kibuye-Makindye'!M11,'26.07 Kibuye-Makindye-24h'!M11,'27.07 Kibuye-Makindye-24h'!M11,'28.07 Kibuye-Makindye'!M11)</f>
        <v>141.85714285714286</v>
      </c>
      <c r="N11" s="49">
        <f>AVERAGE('22.07 Kibuye-Makindye'!N11,'23.07 Kibuye-Makindye'!N11,'24.07 Kibuye-Makindye'!N11,'25.07 Kibuye-Makindye'!N11,'26.07 Kibuye-Makindye-24h'!N11,'27.07 Kibuye-Makindye-24h'!N11,'28.07 Kibuye-Makindye'!N11)</f>
        <v>0</v>
      </c>
      <c r="O11" s="15">
        <f t="shared" si="0"/>
        <v>77.285714285714306</v>
      </c>
      <c r="P11" s="15">
        <f t="shared" si="1"/>
        <v>219.14285714285717</v>
      </c>
      <c r="R11" s="1" t="s">
        <v>7</v>
      </c>
      <c r="S11" s="17">
        <f t="shared" ref="S11:AF11" si="3">SUM(C14:C17)</f>
        <v>133.57142857142858</v>
      </c>
      <c r="T11" s="17">
        <f t="shared" si="3"/>
        <v>44.857142857142861</v>
      </c>
      <c r="U11" s="17">
        <f t="shared" si="3"/>
        <v>16.142857142857142</v>
      </c>
      <c r="V11" s="17">
        <f t="shared" si="3"/>
        <v>134.71428571428572</v>
      </c>
      <c r="W11" s="17">
        <f t="shared" si="3"/>
        <v>2.5714285714285712</v>
      </c>
      <c r="X11" s="17">
        <f t="shared" si="3"/>
        <v>0.42857142857142855</v>
      </c>
      <c r="Y11" s="17">
        <f t="shared" si="3"/>
        <v>7.8571428571428577</v>
      </c>
      <c r="Z11" s="17">
        <f t="shared" si="3"/>
        <v>6</v>
      </c>
      <c r="AA11" s="17">
        <f t="shared" si="3"/>
        <v>1.4285714285714284</v>
      </c>
      <c r="AB11" s="17">
        <f t="shared" si="3"/>
        <v>0</v>
      </c>
      <c r="AC11" s="17">
        <f t="shared" si="3"/>
        <v>759.28571428571422</v>
      </c>
      <c r="AD11" s="17">
        <f t="shared" si="3"/>
        <v>0</v>
      </c>
      <c r="AE11" s="31">
        <f t="shared" si="3"/>
        <v>347.57142857142861</v>
      </c>
      <c r="AF11" s="31">
        <f t="shared" si="3"/>
        <v>1106.8571428571429</v>
      </c>
    </row>
    <row r="12" spans="2:32" ht="23.1" customHeight="1" x14ac:dyDescent="0.25">
      <c r="B12" s="23" t="s">
        <v>39</v>
      </c>
      <c r="C12" s="49">
        <f>AVERAGE('22.07 Kibuye-Makindye'!C12,'23.07 Kibuye-Makindye'!C12,'24.07 Kibuye-Makindye'!C12,'25.07 Kibuye-Makindye'!C12,'26.07 Kibuye-Makindye-24h'!C12,'27.07 Kibuye-Makindye-24h'!C12,'28.07 Kibuye-Makindye'!C12)</f>
        <v>34.428571428571431</v>
      </c>
      <c r="D12" s="49">
        <f>AVERAGE('22.07 Kibuye-Makindye'!D12,'23.07 Kibuye-Makindye'!D12,'24.07 Kibuye-Makindye'!D12,'25.07 Kibuye-Makindye'!D12,'26.07 Kibuye-Makindye-24h'!D12,'27.07 Kibuye-Makindye-24h'!D12,'28.07 Kibuye-Makindye'!D12)</f>
        <v>8.1428571428571423</v>
      </c>
      <c r="E12" s="49">
        <f>AVERAGE('22.07 Kibuye-Makindye'!E12,'23.07 Kibuye-Makindye'!E12,'24.07 Kibuye-Makindye'!E12,'25.07 Kibuye-Makindye'!E12,'26.07 Kibuye-Makindye-24h'!E12,'27.07 Kibuye-Makindye-24h'!E12,'28.07 Kibuye-Makindye'!E12)</f>
        <v>3.4285714285714284</v>
      </c>
      <c r="F12" s="49">
        <f>AVERAGE('22.07 Kibuye-Makindye'!F12,'23.07 Kibuye-Makindye'!F12,'24.07 Kibuye-Makindye'!F12,'25.07 Kibuye-Makindye'!F12,'26.07 Kibuye-Makindye-24h'!F12,'27.07 Kibuye-Makindye-24h'!F12,'28.07 Kibuye-Makindye'!F12)</f>
        <v>32.285714285714285</v>
      </c>
      <c r="G12" s="49">
        <f>AVERAGE('22.07 Kibuye-Makindye'!G12,'23.07 Kibuye-Makindye'!G12,'24.07 Kibuye-Makindye'!G12,'25.07 Kibuye-Makindye'!G12,'26.07 Kibuye-Makindye-24h'!G12,'27.07 Kibuye-Makindye-24h'!G12,'28.07 Kibuye-Makindye'!G12)</f>
        <v>0.14285714285714285</v>
      </c>
      <c r="H12" s="49">
        <f>AVERAGE('22.07 Kibuye-Makindye'!H12,'23.07 Kibuye-Makindye'!H12,'24.07 Kibuye-Makindye'!H12,'25.07 Kibuye-Makindye'!H12,'26.07 Kibuye-Makindye-24h'!H12,'27.07 Kibuye-Makindye-24h'!H12,'28.07 Kibuye-Makindye'!H12)</f>
        <v>0</v>
      </c>
      <c r="I12" s="49">
        <f>AVERAGE('22.07 Kibuye-Makindye'!I12,'23.07 Kibuye-Makindye'!I12,'24.07 Kibuye-Makindye'!I12,'25.07 Kibuye-Makindye'!I12,'26.07 Kibuye-Makindye-24h'!I12,'27.07 Kibuye-Makindye-24h'!I12,'28.07 Kibuye-Makindye'!I12)</f>
        <v>1.1428571428571428</v>
      </c>
      <c r="J12" s="49">
        <f>AVERAGE('22.07 Kibuye-Makindye'!J12,'23.07 Kibuye-Makindye'!J12,'24.07 Kibuye-Makindye'!J12,'25.07 Kibuye-Makindye'!J12,'26.07 Kibuye-Makindye-24h'!J12,'27.07 Kibuye-Makindye-24h'!J12,'28.07 Kibuye-Makindye'!J12)</f>
        <v>0.8571428571428571</v>
      </c>
      <c r="K12" s="49">
        <f>AVERAGE('22.07 Kibuye-Makindye'!K12,'23.07 Kibuye-Makindye'!K12,'24.07 Kibuye-Makindye'!K12,'25.07 Kibuye-Makindye'!K12,'26.07 Kibuye-Makindye-24h'!K12,'27.07 Kibuye-Makindye-24h'!K12,'28.07 Kibuye-Makindye'!K12)</f>
        <v>0.14285714285714285</v>
      </c>
      <c r="L12" s="49">
        <f>AVERAGE('22.07 Kibuye-Makindye'!L12,'23.07 Kibuye-Makindye'!L12,'24.07 Kibuye-Makindye'!L12,'25.07 Kibuye-Makindye'!L12,'26.07 Kibuye-Makindye-24h'!L12,'27.07 Kibuye-Makindye-24h'!L12,'28.07 Kibuye-Makindye'!L12)</f>
        <v>0</v>
      </c>
      <c r="M12" s="49">
        <f>AVERAGE('22.07 Kibuye-Makindye'!M12,'23.07 Kibuye-Makindye'!M12,'24.07 Kibuye-Makindye'!M12,'25.07 Kibuye-Makindye'!M12,'26.07 Kibuye-Makindye-24h'!M12,'27.07 Kibuye-Makindye-24h'!M12,'28.07 Kibuye-Makindye'!M12)</f>
        <v>186</v>
      </c>
      <c r="N12" s="49">
        <f>AVERAGE('22.07 Kibuye-Makindye'!N12,'23.07 Kibuye-Makindye'!N12,'24.07 Kibuye-Makindye'!N12,'25.07 Kibuye-Makindye'!N12,'26.07 Kibuye-Makindye-24h'!N12,'27.07 Kibuye-Makindye-24h'!N12,'28.07 Kibuye-Makindye'!N12)</f>
        <v>0</v>
      </c>
      <c r="O12" s="15">
        <f t="shared" si="0"/>
        <v>80.571428571428555</v>
      </c>
      <c r="P12" s="15">
        <f t="shared" si="1"/>
        <v>266.57142857142856</v>
      </c>
      <c r="R12" s="1" t="s">
        <v>8</v>
      </c>
      <c r="S12" s="17">
        <f t="shared" ref="S12:AF12" si="4">SUM(C18:C21)</f>
        <v>135</v>
      </c>
      <c r="T12" s="17">
        <f t="shared" si="4"/>
        <v>44.714285714285708</v>
      </c>
      <c r="U12" s="17">
        <f t="shared" si="4"/>
        <v>20.142857142857146</v>
      </c>
      <c r="V12" s="17">
        <f t="shared" si="4"/>
        <v>112.14285714285714</v>
      </c>
      <c r="W12" s="17">
        <f t="shared" si="4"/>
        <v>2</v>
      </c>
      <c r="X12" s="17">
        <f t="shared" si="4"/>
        <v>0.2857142857142857</v>
      </c>
      <c r="Y12" s="17">
        <f t="shared" si="4"/>
        <v>10.142857142857142</v>
      </c>
      <c r="Z12" s="17">
        <f t="shared" si="4"/>
        <v>9.8571428571428577</v>
      </c>
      <c r="AA12" s="17">
        <f t="shared" si="4"/>
        <v>2.5714285714285716</v>
      </c>
      <c r="AB12" s="17">
        <f t="shared" si="4"/>
        <v>0.2857142857142857</v>
      </c>
      <c r="AC12" s="17">
        <f t="shared" si="4"/>
        <v>797.28571428571433</v>
      </c>
      <c r="AD12" s="17">
        <f t="shared" si="4"/>
        <v>0</v>
      </c>
      <c r="AE12" s="31">
        <f t="shared" si="4"/>
        <v>337.14285714285711</v>
      </c>
      <c r="AF12" s="31">
        <f t="shared" si="4"/>
        <v>1134.4285714285713</v>
      </c>
    </row>
    <row r="13" spans="2:32" ht="23.1" customHeight="1" x14ac:dyDescent="0.25">
      <c r="B13" s="23" t="s">
        <v>40</v>
      </c>
      <c r="C13" s="49">
        <f>AVERAGE('22.07 Kibuye-Makindye'!C13,'23.07 Kibuye-Makindye'!C13,'24.07 Kibuye-Makindye'!C13,'25.07 Kibuye-Makindye'!C13,'26.07 Kibuye-Makindye-24h'!C13,'27.07 Kibuye-Makindye-24h'!C13,'28.07 Kibuye-Makindye'!C13)</f>
        <v>41.285714285714285</v>
      </c>
      <c r="D13" s="49">
        <f>AVERAGE('22.07 Kibuye-Makindye'!D13,'23.07 Kibuye-Makindye'!D13,'24.07 Kibuye-Makindye'!D13,'25.07 Kibuye-Makindye'!D13,'26.07 Kibuye-Makindye-24h'!D13,'27.07 Kibuye-Makindye-24h'!D13,'28.07 Kibuye-Makindye'!D13)</f>
        <v>10.714285714285714</v>
      </c>
      <c r="E13" s="49">
        <f>AVERAGE('22.07 Kibuye-Makindye'!E13,'23.07 Kibuye-Makindye'!E13,'24.07 Kibuye-Makindye'!E13,'25.07 Kibuye-Makindye'!E13,'26.07 Kibuye-Makindye-24h'!E13,'27.07 Kibuye-Makindye-24h'!E13,'28.07 Kibuye-Makindye'!E13)</f>
        <v>4.4285714285714288</v>
      </c>
      <c r="F13" s="49">
        <f>AVERAGE('22.07 Kibuye-Makindye'!F13,'23.07 Kibuye-Makindye'!F13,'24.07 Kibuye-Makindye'!F13,'25.07 Kibuye-Makindye'!F13,'26.07 Kibuye-Makindye-24h'!F13,'27.07 Kibuye-Makindye-24h'!F13,'28.07 Kibuye-Makindye'!F13)</f>
        <v>33.142857142857146</v>
      </c>
      <c r="G13" s="49">
        <f>AVERAGE('22.07 Kibuye-Makindye'!G13,'23.07 Kibuye-Makindye'!G13,'24.07 Kibuye-Makindye'!G13,'25.07 Kibuye-Makindye'!G13,'26.07 Kibuye-Makindye-24h'!G13,'27.07 Kibuye-Makindye-24h'!G13,'28.07 Kibuye-Makindye'!G13)</f>
        <v>0.5714285714285714</v>
      </c>
      <c r="H13" s="49">
        <f>AVERAGE('22.07 Kibuye-Makindye'!H13,'23.07 Kibuye-Makindye'!H13,'24.07 Kibuye-Makindye'!H13,'25.07 Kibuye-Makindye'!H13,'26.07 Kibuye-Makindye-24h'!H13,'27.07 Kibuye-Makindye-24h'!H13,'28.07 Kibuye-Makindye'!H13)</f>
        <v>0</v>
      </c>
      <c r="I13" s="49">
        <f>AVERAGE('22.07 Kibuye-Makindye'!I13,'23.07 Kibuye-Makindye'!I13,'24.07 Kibuye-Makindye'!I13,'25.07 Kibuye-Makindye'!I13,'26.07 Kibuye-Makindye-24h'!I13,'27.07 Kibuye-Makindye-24h'!I13,'28.07 Kibuye-Makindye'!I13)</f>
        <v>1.7142857142857142</v>
      </c>
      <c r="J13" s="49">
        <f>AVERAGE('22.07 Kibuye-Makindye'!J13,'23.07 Kibuye-Makindye'!J13,'24.07 Kibuye-Makindye'!J13,'25.07 Kibuye-Makindye'!J13,'26.07 Kibuye-Makindye-24h'!J13,'27.07 Kibuye-Makindye-24h'!J13,'28.07 Kibuye-Makindye'!J13)</f>
        <v>2.2857142857142856</v>
      </c>
      <c r="K13" s="49">
        <f>AVERAGE('22.07 Kibuye-Makindye'!K13,'23.07 Kibuye-Makindye'!K13,'24.07 Kibuye-Makindye'!K13,'25.07 Kibuye-Makindye'!K13,'26.07 Kibuye-Makindye-24h'!K13,'27.07 Kibuye-Makindye-24h'!K13,'28.07 Kibuye-Makindye'!K13)</f>
        <v>0.14285714285714285</v>
      </c>
      <c r="L13" s="49">
        <f>AVERAGE('22.07 Kibuye-Makindye'!L13,'23.07 Kibuye-Makindye'!L13,'24.07 Kibuye-Makindye'!L13,'25.07 Kibuye-Makindye'!L13,'26.07 Kibuye-Makindye-24h'!L13,'27.07 Kibuye-Makindye-24h'!L13,'28.07 Kibuye-Makindye'!L13)</f>
        <v>0.14285714285714285</v>
      </c>
      <c r="M13" s="49">
        <f>AVERAGE('22.07 Kibuye-Makindye'!M13,'23.07 Kibuye-Makindye'!M13,'24.07 Kibuye-Makindye'!M13,'25.07 Kibuye-Makindye'!M13,'26.07 Kibuye-Makindye-24h'!M13,'27.07 Kibuye-Makindye-24h'!M13,'28.07 Kibuye-Makindye'!M13)</f>
        <v>181.42857142857142</v>
      </c>
      <c r="N13" s="49">
        <f>AVERAGE('22.07 Kibuye-Makindye'!N13,'23.07 Kibuye-Makindye'!N13,'24.07 Kibuye-Makindye'!N13,'25.07 Kibuye-Makindye'!N13,'26.07 Kibuye-Makindye-24h'!N13,'27.07 Kibuye-Makindye-24h'!N13,'28.07 Kibuye-Makindye'!N13)</f>
        <v>0</v>
      </c>
      <c r="O13" s="15">
        <f t="shared" si="0"/>
        <v>94.428571428571431</v>
      </c>
      <c r="P13" s="15">
        <f t="shared" si="1"/>
        <v>275.85714285714283</v>
      </c>
      <c r="R13" s="1" t="s">
        <v>9</v>
      </c>
      <c r="S13" s="17">
        <f t="shared" ref="S13:AF13" si="5">SUM(C22:C25)</f>
        <v>157.71428571428569</v>
      </c>
      <c r="T13" s="17">
        <f t="shared" si="5"/>
        <v>54</v>
      </c>
      <c r="U13" s="17">
        <f t="shared" si="5"/>
        <v>27</v>
      </c>
      <c r="V13" s="17">
        <f t="shared" si="5"/>
        <v>105.28571428571428</v>
      </c>
      <c r="W13" s="17">
        <f t="shared" si="5"/>
        <v>1.4285714285714284</v>
      </c>
      <c r="X13" s="17">
        <f t="shared" si="5"/>
        <v>0.2857142857142857</v>
      </c>
      <c r="Y13" s="17">
        <f t="shared" si="5"/>
        <v>10.714285714285715</v>
      </c>
      <c r="Z13" s="17">
        <f t="shared" si="5"/>
        <v>9</v>
      </c>
      <c r="AA13" s="17">
        <f t="shared" si="5"/>
        <v>3</v>
      </c>
      <c r="AB13" s="17">
        <f t="shared" si="5"/>
        <v>0.5714285714285714</v>
      </c>
      <c r="AC13" s="17">
        <f t="shared" si="5"/>
        <v>711.42857142857133</v>
      </c>
      <c r="AD13" s="17">
        <f t="shared" si="5"/>
        <v>0</v>
      </c>
      <c r="AE13" s="31">
        <f t="shared" si="5"/>
        <v>369</v>
      </c>
      <c r="AF13" s="31">
        <f t="shared" si="5"/>
        <v>1080.4285714285716</v>
      </c>
    </row>
    <row r="14" spans="2:32" ht="23.1" customHeight="1" x14ac:dyDescent="0.25">
      <c r="B14" s="23" t="s">
        <v>41</v>
      </c>
      <c r="C14" s="49">
        <f>AVERAGE('22.07 Kibuye-Makindye'!C14,'23.07 Kibuye-Makindye'!C14,'24.07 Kibuye-Makindye'!C14,'25.07 Kibuye-Makindye'!C14,'26.07 Kibuye-Makindye-24h'!C14,'27.07 Kibuye-Makindye-24h'!C14,'28.07 Kibuye-Makindye'!C14)</f>
        <v>32.714285714285715</v>
      </c>
      <c r="D14" s="49">
        <f>AVERAGE('22.07 Kibuye-Makindye'!D14,'23.07 Kibuye-Makindye'!D14,'24.07 Kibuye-Makindye'!D14,'25.07 Kibuye-Makindye'!D14,'26.07 Kibuye-Makindye-24h'!D14,'27.07 Kibuye-Makindye-24h'!D14,'28.07 Kibuye-Makindye'!D14)</f>
        <v>10.857142857142858</v>
      </c>
      <c r="E14" s="49">
        <f>AVERAGE('22.07 Kibuye-Makindye'!E14,'23.07 Kibuye-Makindye'!E14,'24.07 Kibuye-Makindye'!E14,'25.07 Kibuye-Makindye'!E14,'26.07 Kibuye-Makindye-24h'!E14,'27.07 Kibuye-Makindye-24h'!E14,'28.07 Kibuye-Makindye'!E14)</f>
        <v>3.1428571428571428</v>
      </c>
      <c r="F14" s="49">
        <f>AVERAGE('22.07 Kibuye-Makindye'!F14,'23.07 Kibuye-Makindye'!F14,'24.07 Kibuye-Makindye'!F14,'25.07 Kibuye-Makindye'!F14,'26.07 Kibuye-Makindye-24h'!F14,'27.07 Kibuye-Makindye-24h'!F14,'28.07 Kibuye-Makindye'!F14)</f>
        <v>35</v>
      </c>
      <c r="G14" s="49">
        <f>AVERAGE('22.07 Kibuye-Makindye'!G14,'23.07 Kibuye-Makindye'!G14,'24.07 Kibuye-Makindye'!G14,'25.07 Kibuye-Makindye'!G14,'26.07 Kibuye-Makindye-24h'!G14,'27.07 Kibuye-Makindye-24h'!G14,'28.07 Kibuye-Makindye'!G14)</f>
        <v>0.8571428571428571</v>
      </c>
      <c r="H14" s="49">
        <f>AVERAGE('22.07 Kibuye-Makindye'!H14,'23.07 Kibuye-Makindye'!H14,'24.07 Kibuye-Makindye'!H14,'25.07 Kibuye-Makindye'!H14,'26.07 Kibuye-Makindye-24h'!H14,'27.07 Kibuye-Makindye-24h'!H14,'28.07 Kibuye-Makindye'!H14)</f>
        <v>0.14285714285714285</v>
      </c>
      <c r="I14" s="49">
        <f>AVERAGE('22.07 Kibuye-Makindye'!I14,'23.07 Kibuye-Makindye'!I14,'24.07 Kibuye-Makindye'!I14,'25.07 Kibuye-Makindye'!I14,'26.07 Kibuye-Makindye-24h'!I14,'27.07 Kibuye-Makindye-24h'!I14,'28.07 Kibuye-Makindye'!I14)</f>
        <v>1.7142857142857142</v>
      </c>
      <c r="J14" s="49">
        <f>AVERAGE('22.07 Kibuye-Makindye'!J14,'23.07 Kibuye-Makindye'!J14,'24.07 Kibuye-Makindye'!J14,'25.07 Kibuye-Makindye'!J14,'26.07 Kibuye-Makindye-24h'!J14,'27.07 Kibuye-Makindye-24h'!J14,'28.07 Kibuye-Makindye'!J14)</f>
        <v>1.5714285714285714</v>
      </c>
      <c r="K14" s="49">
        <f>AVERAGE('22.07 Kibuye-Makindye'!K14,'23.07 Kibuye-Makindye'!K14,'24.07 Kibuye-Makindye'!K14,'25.07 Kibuye-Makindye'!K14,'26.07 Kibuye-Makindye-24h'!K14,'27.07 Kibuye-Makindye-24h'!K14,'28.07 Kibuye-Makindye'!K14)</f>
        <v>0.42857142857142855</v>
      </c>
      <c r="L14" s="49">
        <f>AVERAGE('22.07 Kibuye-Makindye'!L14,'23.07 Kibuye-Makindye'!L14,'24.07 Kibuye-Makindye'!L14,'25.07 Kibuye-Makindye'!L14,'26.07 Kibuye-Makindye-24h'!L14,'27.07 Kibuye-Makindye-24h'!L14,'28.07 Kibuye-Makindye'!L14)</f>
        <v>0</v>
      </c>
      <c r="M14" s="49">
        <f>AVERAGE('22.07 Kibuye-Makindye'!M14,'23.07 Kibuye-Makindye'!M14,'24.07 Kibuye-Makindye'!M14,'25.07 Kibuye-Makindye'!M14,'26.07 Kibuye-Makindye-24h'!M14,'27.07 Kibuye-Makindye-24h'!M14,'28.07 Kibuye-Makindye'!M14)</f>
        <v>185.85714285714286</v>
      </c>
      <c r="N14" s="49">
        <f>AVERAGE('22.07 Kibuye-Makindye'!N14,'23.07 Kibuye-Makindye'!N14,'24.07 Kibuye-Makindye'!N14,'25.07 Kibuye-Makindye'!N14,'26.07 Kibuye-Makindye-24h'!N14,'27.07 Kibuye-Makindye-24h'!N14,'28.07 Kibuye-Makindye'!N14)</f>
        <v>0</v>
      </c>
      <c r="O14" s="15">
        <f t="shared" si="0"/>
        <v>86.428571428571431</v>
      </c>
      <c r="P14" s="15">
        <f t="shared" si="1"/>
        <v>272.28571428571428</v>
      </c>
      <c r="R14" s="1" t="s">
        <v>10</v>
      </c>
      <c r="S14" s="17">
        <f t="shared" ref="S14:AF14" si="6">SUM(C26:C29)</f>
        <v>201.42857142857142</v>
      </c>
      <c r="T14" s="17">
        <f t="shared" si="6"/>
        <v>58.571428571428569</v>
      </c>
      <c r="U14" s="17">
        <f t="shared" si="6"/>
        <v>29.285714285714285</v>
      </c>
      <c r="V14" s="17">
        <f t="shared" si="6"/>
        <v>92.142857142857139</v>
      </c>
      <c r="W14" s="17">
        <f t="shared" si="6"/>
        <v>0.8571428571428571</v>
      </c>
      <c r="X14" s="17">
        <f t="shared" si="6"/>
        <v>0</v>
      </c>
      <c r="Y14" s="17">
        <f t="shared" si="6"/>
        <v>8.8571428571428559</v>
      </c>
      <c r="Z14" s="17">
        <f t="shared" si="6"/>
        <v>9.5714285714285712</v>
      </c>
      <c r="AA14" s="17">
        <f t="shared" si="6"/>
        <v>3.1428571428571428</v>
      </c>
      <c r="AB14" s="17">
        <f t="shared" si="6"/>
        <v>0.5714285714285714</v>
      </c>
      <c r="AC14" s="17">
        <f t="shared" si="6"/>
        <v>743.28571428571422</v>
      </c>
      <c r="AD14" s="17">
        <f t="shared" si="6"/>
        <v>0</v>
      </c>
      <c r="AE14" s="31">
        <f t="shared" si="6"/>
        <v>404.42857142857139</v>
      </c>
      <c r="AF14" s="31">
        <f t="shared" si="6"/>
        <v>1147.7142857142858</v>
      </c>
    </row>
    <row r="15" spans="2:32" ht="23.1" customHeight="1" x14ac:dyDescent="0.25">
      <c r="B15" s="23" t="s">
        <v>42</v>
      </c>
      <c r="C15" s="49">
        <f>AVERAGE('22.07 Kibuye-Makindye'!C15,'23.07 Kibuye-Makindye'!C15,'24.07 Kibuye-Makindye'!C15,'25.07 Kibuye-Makindye'!C15,'26.07 Kibuye-Makindye-24h'!C15,'27.07 Kibuye-Makindye-24h'!C15,'28.07 Kibuye-Makindye'!C15)</f>
        <v>35.142857142857146</v>
      </c>
      <c r="D15" s="49">
        <f>AVERAGE('22.07 Kibuye-Makindye'!D15,'23.07 Kibuye-Makindye'!D15,'24.07 Kibuye-Makindye'!D15,'25.07 Kibuye-Makindye'!D15,'26.07 Kibuye-Makindye-24h'!D15,'27.07 Kibuye-Makindye-24h'!D15,'28.07 Kibuye-Makindye'!D15)</f>
        <v>11.285714285714286</v>
      </c>
      <c r="E15" s="49">
        <f>AVERAGE('22.07 Kibuye-Makindye'!E15,'23.07 Kibuye-Makindye'!E15,'24.07 Kibuye-Makindye'!E15,'25.07 Kibuye-Makindye'!E15,'26.07 Kibuye-Makindye-24h'!E15,'27.07 Kibuye-Makindye-24h'!E15,'28.07 Kibuye-Makindye'!E15)</f>
        <v>5</v>
      </c>
      <c r="F15" s="49">
        <f>AVERAGE('22.07 Kibuye-Makindye'!F15,'23.07 Kibuye-Makindye'!F15,'24.07 Kibuye-Makindye'!F15,'25.07 Kibuye-Makindye'!F15,'26.07 Kibuye-Makindye-24h'!F15,'27.07 Kibuye-Makindye-24h'!F15,'28.07 Kibuye-Makindye'!F15)</f>
        <v>36.428571428571431</v>
      </c>
      <c r="G15" s="49">
        <f>AVERAGE('22.07 Kibuye-Makindye'!G15,'23.07 Kibuye-Makindye'!G15,'24.07 Kibuye-Makindye'!G15,'25.07 Kibuye-Makindye'!G15,'26.07 Kibuye-Makindye-24h'!G15,'27.07 Kibuye-Makindye-24h'!G15,'28.07 Kibuye-Makindye'!G15)</f>
        <v>0.7142857142857143</v>
      </c>
      <c r="H15" s="49">
        <f>AVERAGE('22.07 Kibuye-Makindye'!H15,'23.07 Kibuye-Makindye'!H15,'24.07 Kibuye-Makindye'!H15,'25.07 Kibuye-Makindye'!H15,'26.07 Kibuye-Makindye-24h'!H15,'27.07 Kibuye-Makindye-24h'!H15,'28.07 Kibuye-Makindye'!H15)</f>
        <v>0</v>
      </c>
      <c r="I15" s="49">
        <f>AVERAGE('22.07 Kibuye-Makindye'!I15,'23.07 Kibuye-Makindye'!I15,'24.07 Kibuye-Makindye'!I15,'25.07 Kibuye-Makindye'!I15,'26.07 Kibuye-Makindye-24h'!I15,'27.07 Kibuye-Makindye-24h'!I15,'28.07 Kibuye-Makindye'!I15)</f>
        <v>1.2857142857142858</v>
      </c>
      <c r="J15" s="49">
        <f>AVERAGE('22.07 Kibuye-Makindye'!J15,'23.07 Kibuye-Makindye'!J15,'24.07 Kibuye-Makindye'!J15,'25.07 Kibuye-Makindye'!J15,'26.07 Kibuye-Makindye-24h'!J15,'27.07 Kibuye-Makindye-24h'!J15,'28.07 Kibuye-Makindye'!J15)</f>
        <v>1.5714285714285714</v>
      </c>
      <c r="K15" s="49">
        <f>AVERAGE('22.07 Kibuye-Makindye'!K15,'23.07 Kibuye-Makindye'!K15,'24.07 Kibuye-Makindye'!K15,'25.07 Kibuye-Makindye'!K15,'26.07 Kibuye-Makindye-24h'!K15,'27.07 Kibuye-Makindye-24h'!K15,'28.07 Kibuye-Makindye'!K15)</f>
        <v>0.14285714285714285</v>
      </c>
      <c r="L15" s="49">
        <f>AVERAGE('22.07 Kibuye-Makindye'!L15,'23.07 Kibuye-Makindye'!L15,'24.07 Kibuye-Makindye'!L15,'25.07 Kibuye-Makindye'!L15,'26.07 Kibuye-Makindye-24h'!L15,'27.07 Kibuye-Makindye-24h'!L15,'28.07 Kibuye-Makindye'!L15)</f>
        <v>0</v>
      </c>
      <c r="M15" s="49">
        <f>AVERAGE('22.07 Kibuye-Makindye'!M15,'23.07 Kibuye-Makindye'!M15,'24.07 Kibuye-Makindye'!M15,'25.07 Kibuye-Makindye'!M15,'26.07 Kibuye-Makindye-24h'!M15,'27.07 Kibuye-Makindye-24h'!M15,'28.07 Kibuye-Makindye'!M15)</f>
        <v>185.85714285714286</v>
      </c>
      <c r="N15" s="49">
        <f>AVERAGE('22.07 Kibuye-Makindye'!N15,'23.07 Kibuye-Makindye'!N15,'24.07 Kibuye-Makindye'!N15,'25.07 Kibuye-Makindye'!N15,'26.07 Kibuye-Makindye-24h'!N15,'27.07 Kibuye-Makindye-24h'!N15,'28.07 Kibuye-Makindye'!N15)</f>
        <v>0</v>
      </c>
      <c r="O15" s="15">
        <f t="shared" si="0"/>
        <v>91.571428571428569</v>
      </c>
      <c r="P15" s="15">
        <f t="shared" si="1"/>
        <v>277.42857142857144</v>
      </c>
      <c r="R15" s="1" t="s">
        <v>11</v>
      </c>
      <c r="S15" s="17">
        <f t="shared" ref="S15:AF15" si="7">SUM(C30:C33)</f>
        <v>206</v>
      </c>
      <c r="T15" s="17">
        <f t="shared" si="7"/>
        <v>59.571428571428569</v>
      </c>
      <c r="U15" s="17">
        <f t="shared" si="7"/>
        <v>26.857142857142858</v>
      </c>
      <c r="V15" s="17">
        <f t="shared" si="7"/>
        <v>83.428571428571431</v>
      </c>
      <c r="W15" s="17">
        <f t="shared" si="7"/>
        <v>0.5714285714285714</v>
      </c>
      <c r="X15" s="17">
        <f t="shared" si="7"/>
        <v>0.2857142857142857</v>
      </c>
      <c r="Y15" s="17">
        <f t="shared" si="7"/>
        <v>10.428571428571429</v>
      </c>
      <c r="Z15" s="17">
        <f t="shared" si="7"/>
        <v>10.714285714285714</v>
      </c>
      <c r="AA15" s="17">
        <f t="shared" si="7"/>
        <v>4</v>
      </c>
      <c r="AB15" s="17">
        <f t="shared" si="7"/>
        <v>0.42857142857142855</v>
      </c>
      <c r="AC15" s="17">
        <f t="shared" si="7"/>
        <v>763</v>
      </c>
      <c r="AD15" s="17">
        <f t="shared" si="7"/>
        <v>0.14285714285714285</v>
      </c>
      <c r="AE15" s="31">
        <f t="shared" si="7"/>
        <v>402.4285714285715</v>
      </c>
      <c r="AF15" s="31">
        <f t="shared" si="7"/>
        <v>1165.4285714285713</v>
      </c>
    </row>
    <row r="16" spans="2:32" ht="23.1" customHeight="1" x14ac:dyDescent="0.25">
      <c r="B16" s="23" t="s">
        <v>43</v>
      </c>
      <c r="C16" s="49">
        <f>AVERAGE('22.07 Kibuye-Makindye'!C16,'23.07 Kibuye-Makindye'!C16,'24.07 Kibuye-Makindye'!C16,'25.07 Kibuye-Makindye'!C16,'26.07 Kibuye-Makindye-24h'!C16,'27.07 Kibuye-Makindye-24h'!C16,'28.07 Kibuye-Makindye'!C16)</f>
        <v>34.428571428571431</v>
      </c>
      <c r="D16" s="49">
        <f>AVERAGE('22.07 Kibuye-Makindye'!D16,'23.07 Kibuye-Makindye'!D16,'24.07 Kibuye-Makindye'!D16,'25.07 Kibuye-Makindye'!D16,'26.07 Kibuye-Makindye-24h'!D16,'27.07 Kibuye-Makindye-24h'!D16,'28.07 Kibuye-Makindye'!D16)</f>
        <v>13</v>
      </c>
      <c r="E16" s="49">
        <f>AVERAGE('22.07 Kibuye-Makindye'!E16,'23.07 Kibuye-Makindye'!E16,'24.07 Kibuye-Makindye'!E16,'25.07 Kibuye-Makindye'!E16,'26.07 Kibuye-Makindye-24h'!E16,'27.07 Kibuye-Makindye-24h'!E16,'28.07 Kibuye-Makindye'!E16)</f>
        <v>4</v>
      </c>
      <c r="F16" s="49">
        <f>AVERAGE('22.07 Kibuye-Makindye'!F16,'23.07 Kibuye-Makindye'!F16,'24.07 Kibuye-Makindye'!F16,'25.07 Kibuye-Makindye'!F16,'26.07 Kibuye-Makindye-24h'!F16,'27.07 Kibuye-Makindye-24h'!F16,'28.07 Kibuye-Makindye'!F16)</f>
        <v>37.142857142857146</v>
      </c>
      <c r="G16" s="49">
        <f>AVERAGE('22.07 Kibuye-Makindye'!G16,'23.07 Kibuye-Makindye'!G16,'24.07 Kibuye-Makindye'!G16,'25.07 Kibuye-Makindye'!G16,'26.07 Kibuye-Makindye-24h'!G16,'27.07 Kibuye-Makindye-24h'!G16,'28.07 Kibuye-Makindye'!G16)</f>
        <v>0.5714285714285714</v>
      </c>
      <c r="H16" s="49">
        <f>AVERAGE('22.07 Kibuye-Makindye'!H16,'23.07 Kibuye-Makindye'!H16,'24.07 Kibuye-Makindye'!H16,'25.07 Kibuye-Makindye'!H16,'26.07 Kibuye-Makindye-24h'!H16,'27.07 Kibuye-Makindye-24h'!H16,'28.07 Kibuye-Makindye'!H16)</f>
        <v>0</v>
      </c>
      <c r="I16" s="49">
        <f>AVERAGE('22.07 Kibuye-Makindye'!I16,'23.07 Kibuye-Makindye'!I16,'24.07 Kibuye-Makindye'!I16,'25.07 Kibuye-Makindye'!I16,'26.07 Kibuye-Makindye-24h'!I16,'27.07 Kibuye-Makindye-24h'!I16,'28.07 Kibuye-Makindye'!I16)</f>
        <v>3.4285714285714284</v>
      </c>
      <c r="J16" s="49">
        <f>AVERAGE('22.07 Kibuye-Makindye'!J16,'23.07 Kibuye-Makindye'!J16,'24.07 Kibuye-Makindye'!J16,'25.07 Kibuye-Makindye'!J16,'26.07 Kibuye-Makindye-24h'!J16,'27.07 Kibuye-Makindye-24h'!J16,'28.07 Kibuye-Makindye'!J16)</f>
        <v>1.5714285714285714</v>
      </c>
      <c r="K16" s="49">
        <f>AVERAGE('22.07 Kibuye-Makindye'!K16,'23.07 Kibuye-Makindye'!K16,'24.07 Kibuye-Makindye'!K16,'25.07 Kibuye-Makindye'!K16,'26.07 Kibuye-Makindye-24h'!K16,'27.07 Kibuye-Makindye-24h'!K16,'28.07 Kibuye-Makindye'!K16)</f>
        <v>0.7142857142857143</v>
      </c>
      <c r="L16" s="49">
        <f>AVERAGE('22.07 Kibuye-Makindye'!L16,'23.07 Kibuye-Makindye'!L16,'24.07 Kibuye-Makindye'!L16,'25.07 Kibuye-Makindye'!L16,'26.07 Kibuye-Makindye-24h'!L16,'27.07 Kibuye-Makindye-24h'!L16,'28.07 Kibuye-Makindye'!L16)</f>
        <v>0</v>
      </c>
      <c r="M16" s="49">
        <f>AVERAGE('22.07 Kibuye-Makindye'!M16,'23.07 Kibuye-Makindye'!M16,'24.07 Kibuye-Makindye'!M16,'25.07 Kibuye-Makindye'!M16,'26.07 Kibuye-Makindye-24h'!M16,'27.07 Kibuye-Makindye-24h'!M16,'28.07 Kibuye-Makindye'!M16)</f>
        <v>191.42857142857142</v>
      </c>
      <c r="N16" s="49">
        <f>AVERAGE('22.07 Kibuye-Makindye'!N16,'23.07 Kibuye-Makindye'!N16,'24.07 Kibuye-Makindye'!N16,'25.07 Kibuye-Makindye'!N16,'26.07 Kibuye-Makindye-24h'!N16,'27.07 Kibuye-Makindye-24h'!N16,'28.07 Kibuye-Makindye'!N16)</f>
        <v>0</v>
      </c>
      <c r="O16" s="15">
        <f t="shared" si="0"/>
        <v>94.857142857142861</v>
      </c>
      <c r="P16" s="15">
        <f t="shared" si="1"/>
        <v>286.28571428571428</v>
      </c>
      <c r="R16" s="1" t="s">
        <v>12</v>
      </c>
      <c r="S16" s="17">
        <f t="shared" ref="S16:AF16" si="8">SUM(C34:C37)</f>
        <v>190.14285714285714</v>
      </c>
      <c r="T16" s="17">
        <f t="shared" si="8"/>
        <v>57.285714285714292</v>
      </c>
      <c r="U16" s="17">
        <f t="shared" si="8"/>
        <v>30</v>
      </c>
      <c r="V16" s="17">
        <f t="shared" si="8"/>
        <v>82.142857142857139</v>
      </c>
      <c r="W16" s="17">
        <f t="shared" si="8"/>
        <v>0.42857142857142855</v>
      </c>
      <c r="X16" s="17">
        <f t="shared" si="8"/>
        <v>0.14285714285714285</v>
      </c>
      <c r="Y16" s="17">
        <f t="shared" si="8"/>
        <v>10.714285714285714</v>
      </c>
      <c r="Z16" s="17">
        <f t="shared" si="8"/>
        <v>6.4285714285714288</v>
      </c>
      <c r="AA16" s="17">
        <f t="shared" si="8"/>
        <v>1.7142857142857142</v>
      </c>
      <c r="AB16" s="17">
        <f t="shared" si="8"/>
        <v>0.2857142857142857</v>
      </c>
      <c r="AC16" s="17">
        <f t="shared" si="8"/>
        <v>700.14285714285711</v>
      </c>
      <c r="AD16" s="17">
        <f t="shared" si="8"/>
        <v>0</v>
      </c>
      <c r="AE16" s="31">
        <f t="shared" si="8"/>
        <v>379.28571428571428</v>
      </c>
      <c r="AF16" s="31">
        <f t="shared" si="8"/>
        <v>1079.4285714285713</v>
      </c>
    </row>
    <row r="17" spans="2:32" ht="23.1" customHeight="1" x14ac:dyDescent="0.25">
      <c r="B17" s="23" t="s">
        <v>44</v>
      </c>
      <c r="C17" s="49">
        <f>AVERAGE('22.07 Kibuye-Makindye'!C17,'23.07 Kibuye-Makindye'!C17,'24.07 Kibuye-Makindye'!C17,'25.07 Kibuye-Makindye'!C17,'26.07 Kibuye-Makindye-24h'!C17,'27.07 Kibuye-Makindye-24h'!C17,'28.07 Kibuye-Makindye'!C17)</f>
        <v>31.285714285714285</v>
      </c>
      <c r="D17" s="49">
        <f>AVERAGE('22.07 Kibuye-Makindye'!D17,'23.07 Kibuye-Makindye'!D17,'24.07 Kibuye-Makindye'!D17,'25.07 Kibuye-Makindye'!D17,'26.07 Kibuye-Makindye-24h'!D17,'27.07 Kibuye-Makindye-24h'!D17,'28.07 Kibuye-Makindye'!D17)</f>
        <v>9.7142857142857135</v>
      </c>
      <c r="E17" s="49">
        <f>AVERAGE('22.07 Kibuye-Makindye'!E17,'23.07 Kibuye-Makindye'!E17,'24.07 Kibuye-Makindye'!E17,'25.07 Kibuye-Makindye'!E17,'26.07 Kibuye-Makindye-24h'!E17,'27.07 Kibuye-Makindye-24h'!E17,'28.07 Kibuye-Makindye'!E17)</f>
        <v>4</v>
      </c>
      <c r="F17" s="49">
        <f>AVERAGE('22.07 Kibuye-Makindye'!F17,'23.07 Kibuye-Makindye'!F17,'24.07 Kibuye-Makindye'!F17,'25.07 Kibuye-Makindye'!F17,'26.07 Kibuye-Makindye-24h'!F17,'27.07 Kibuye-Makindye-24h'!F17,'28.07 Kibuye-Makindye'!F17)</f>
        <v>26.142857142857142</v>
      </c>
      <c r="G17" s="49">
        <f>AVERAGE('22.07 Kibuye-Makindye'!G17,'23.07 Kibuye-Makindye'!G17,'24.07 Kibuye-Makindye'!G17,'25.07 Kibuye-Makindye'!G17,'26.07 Kibuye-Makindye-24h'!G17,'27.07 Kibuye-Makindye-24h'!G17,'28.07 Kibuye-Makindye'!G17)</f>
        <v>0.42857142857142855</v>
      </c>
      <c r="H17" s="49">
        <f>AVERAGE('22.07 Kibuye-Makindye'!H17,'23.07 Kibuye-Makindye'!H17,'24.07 Kibuye-Makindye'!H17,'25.07 Kibuye-Makindye'!H17,'26.07 Kibuye-Makindye-24h'!H17,'27.07 Kibuye-Makindye-24h'!H17,'28.07 Kibuye-Makindye'!H17)</f>
        <v>0.2857142857142857</v>
      </c>
      <c r="I17" s="49">
        <f>AVERAGE('22.07 Kibuye-Makindye'!I17,'23.07 Kibuye-Makindye'!I17,'24.07 Kibuye-Makindye'!I17,'25.07 Kibuye-Makindye'!I17,'26.07 Kibuye-Makindye-24h'!I17,'27.07 Kibuye-Makindye-24h'!I17,'28.07 Kibuye-Makindye'!I17)</f>
        <v>1.4285714285714286</v>
      </c>
      <c r="J17" s="49">
        <f>AVERAGE('22.07 Kibuye-Makindye'!J17,'23.07 Kibuye-Makindye'!J17,'24.07 Kibuye-Makindye'!J17,'25.07 Kibuye-Makindye'!J17,'26.07 Kibuye-Makindye-24h'!J17,'27.07 Kibuye-Makindye-24h'!J17,'28.07 Kibuye-Makindye'!J17)</f>
        <v>1.2857142857142858</v>
      </c>
      <c r="K17" s="49">
        <f>AVERAGE('22.07 Kibuye-Makindye'!K17,'23.07 Kibuye-Makindye'!K17,'24.07 Kibuye-Makindye'!K17,'25.07 Kibuye-Makindye'!K17,'26.07 Kibuye-Makindye-24h'!K17,'27.07 Kibuye-Makindye-24h'!K17,'28.07 Kibuye-Makindye'!K17)</f>
        <v>0.14285714285714285</v>
      </c>
      <c r="L17" s="49">
        <f>AVERAGE('22.07 Kibuye-Makindye'!L17,'23.07 Kibuye-Makindye'!L17,'24.07 Kibuye-Makindye'!L17,'25.07 Kibuye-Makindye'!L17,'26.07 Kibuye-Makindye-24h'!L17,'27.07 Kibuye-Makindye-24h'!L17,'28.07 Kibuye-Makindye'!L17)</f>
        <v>0</v>
      </c>
      <c r="M17" s="49">
        <f>AVERAGE('22.07 Kibuye-Makindye'!M17,'23.07 Kibuye-Makindye'!M17,'24.07 Kibuye-Makindye'!M17,'25.07 Kibuye-Makindye'!M17,'26.07 Kibuye-Makindye-24h'!M17,'27.07 Kibuye-Makindye-24h'!M17,'28.07 Kibuye-Makindye'!M17)</f>
        <v>196.14285714285714</v>
      </c>
      <c r="N17" s="49">
        <f>AVERAGE('22.07 Kibuye-Makindye'!N17,'23.07 Kibuye-Makindye'!N17,'24.07 Kibuye-Makindye'!N17,'25.07 Kibuye-Makindye'!N17,'26.07 Kibuye-Makindye-24h'!N17,'27.07 Kibuye-Makindye-24h'!N17,'28.07 Kibuye-Makindye'!N17)</f>
        <v>0</v>
      </c>
      <c r="O17" s="15">
        <f t="shared" si="0"/>
        <v>74.714285714285722</v>
      </c>
      <c r="P17" s="15">
        <f t="shared" si="1"/>
        <v>270.85714285714289</v>
      </c>
      <c r="R17" s="1" t="s">
        <v>13</v>
      </c>
      <c r="S17" s="17">
        <f t="shared" ref="S17:AF17" si="9">SUM(C38:C41)</f>
        <v>198.28571428571428</v>
      </c>
      <c r="T17" s="17">
        <f t="shared" si="9"/>
        <v>66.571428571428569</v>
      </c>
      <c r="U17" s="17">
        <f t="shared" si="9"/>
        <v>22.571428571428569</v>
      </c>
      <c r="V17" s="17">
        <f t="shared" si="9"/>
        <v>82.428571428571416</v>
      </c>
      <c r="W17" s="17">
        <f t="shared" si="9"/>
        <v>0.2857142857142857</v>
      </c>
      <c r="X17" s="17">
        <f t="shared" si="9"/>
        <v>0.42857142857142855</v>
      </c>
      <c r="Y17" s="17">
        <f t="shared" si="9"/>
        <v>10.428571428571427</v>
      </c>
      <c r="Z17" s="17">
        <f t="shared" si="9"/>
        <v>6</v>
      </c>
      <c r="AA17" s="17">
        <f t="shared" si="9"/>
        <v>1.4285714285714286</v>
      </c>
      <c r="AB17" s="17">
        <f t="shared" si="9"/>
        <v>0.71428571428571419</v>
      </c>
      <c r="AC17" s="17">
        <f t="shared" si="9"/>
        <v>667.71428571428578</v>
      </c>
      <c r="AD17" s="17">
        <f t="shared" si="9"/>
        <v>0</v>
      </c>
      <c r="AE17" s="31">
        <f t="shared" si="9"/>
        <v>389.14285714285711</v>
      </c>
      <c r="AF17" s="31">
        <f t="shared" si="9"/>
        <v>1056.8571428571429</v>
      </c>
    </row>
    <row r="18" spans="2:32" ht="23.1" customHeight="1" x14ac:dyDescent="0.25">
      <c r="B18" s="23" t="s">
        <v>45</v>
      </c>
      <c r="C18" s="49">
        <f>AVERAGE('22.07 Kibuye-Makindye'!C18,'23.07 Kibuye-Makindye'!C18,'24.07 Kibuye-Makindye'!C18,'25.07 Kibuye-Makindye'!C18,'26.07 Kibuye-Makindye-24h'!C18,'27.07 Kibuye-Makindye-24h'!C18,'28.07 Kibuye-Makindye'!C18)</f>
        <v>38</v>
      </c>
      <c r="D18" s="49">
        <f>AVERAGE('22.07 Kibuye-Makindye'!D18,'23.07 Kibuye-Makindye'!D18,'24.07 Kibuye-Makindye'!D18,'25.07 Kibuye-Makindye'!D18,'26.07 Kibuye-Makindye-24h'!D18,'27.07 Kibuye-Makindye-24h'!D18,'28.07 Kibuye-Makindye'!D18)</f>
        <v>12.285714285714286</v>
      </c>
      <c r="E18" s="49">
        <f>AVERAGE('22.07 Kibuye-Makindye'!E18,'23.07 Kibuye-Makindye'!E18,'24.07 Kibuye-Makindye'!E18,'25.07 Kibuye-Makindye'!E18,'26.07 Kibuye-Makindye-24h'!E18,'27.07 Kibuye-Makindye-24h'!E18,'28.07 Kibuye-Makindye'!E18)</f>
        <v>4.4285714285714288</v>
      </c>
      <c r="F18" s="49">
        <f>AVERAGE('22.07 Kibuye-Makindye'!F18,'23.07 Kibuye-Makindye'!F18,'24.07 Kibuye-Makindye'!F18,'25.07 Kibuye-Makindye'!F18,'26.07 Kibuye-Makindye-24h'!F18,'27.07 Kibuye-Makindye-24h'!F18,'28.07 Kibuye-Makindye'!F18)</f>
        <v>32.857142857142854</v>
      </c>
      <c r="G18" s="49">
        <f>AVERAGE('22.07 Kibuye-Makindye'!G18,'23.07 Kibuye-Makindye'!G18,'24.07 Kibuye-Makindye'!G18,'25.07 Kibuye-Makindye'!G18,'26.07 Kibuye-Makindye-24h'!G18,'27.07 Kibuye-Makindye-24h'!G18,'28.07 Kibuye-Makindye'!G18)</f>
        <v>0.7142857142857143</v>
      </c>
      <c r="H18" s="49">
        <f>AVERAGE('22.07 Kibuye-Makindye'!H18,'23.07 Kibuye-Makindye'!H18,'24.07 Kibuye-Makindye'!H18,'25.07 Kibuye-Makindye'!H18,'26.07 Kibuye-Makindye-24h'!H18,'27.07 Kibuye-Makindye-24h'!H18,'28.07 Kibuye-Makindye'!H18)</f>
        <v>0.14285714285714285</v>
      </c>
      <c r="I18" s="49">
        <f>AVERAGE('22.07 Kibuye-Makindye'!I18,'23.07 Kibuye-Makindye'!I18,'24.07 Kibuye-Makindye'!I18,'25.07 Kibuye-Makindye'!I18,'26.07 Kibuye-Makindye-24h'!I18,'27.07 Kibuye-Makindye-24h'!I18,'28.07 Kibuye-Makindye'!I18)</f>
        <v>2</v>
      </c>
      <c r="J18" s="49">
        <f>AVERAGE('22.07 Kibuye-Makindye'!J18,'23.07 Kibuye-Makindye'!J18,'24.07 Kibuye-Makindye'!J18,'25.07 Kibuye-Makindye'!J18,'26.07 Kibuye-Makindye-24h'!J18,'27.07 Kibuye-Makindye-24h'!J18,'28.07 Kibuye-Makindye'!J18)</f>
        <v>2</v>
      </c>
      <c r="K18" s="49">
        <f>AVERAGE('22.07 Kibuye-Makindye'!K18,'23.07 Kibuye-Makindye'!K18,'24.07 Kibuye-Makindye'!K18,'25.07 Kibuye-Makindye'!K18,'26.07 Kibuye-Makindye-24h'!K18,'27.07 Kibuye-Makindye-24h'!K18,'28.07 Kibuye-Makindye'!K18)</f>
        <v>0.5714285714285714</v>
      </c>
      <c r="L18" s="49">
        <f>AVERAGE('22.07 Kibuye-Makindye'!L18,'23.07 Kibuye-Makindye'!L18,'24.07 Kibuye-Makindye'!L18,'25.07 Kibuye-Makindye'!L18,'26.07 Kibuye-Makindye-24h'!L18,'27.07 Kibuye-Makindye-24h'!L18,'28.07 Kibuye-Makindye'!L18)</f>
        <v>0.14285714285714285</v>
      </c>
      <c r="M18" s="49">
        <f>AVERAGE('22.07 Kibuye-Makindye'!M18,'23.07 Kibuye-Makindye'!M18,'24.07 Kibuye-Makindye'!M18,'25.07 Kibuye-Makindye'!M18,'26.07 Kibuye-Makindye-24h'!M18,'27.07 Kibuye-Makindye-24h'!M18,'28.07 Kibuye-Makindye'!M18)</f>
        <v>198.57142857142858</v>
      </c>
      <c r="N18" s="49">
        <f>AVERAGE('22.07 Kibuye-Makindye'!N18,'23.07 Kibuye-Makindye'!N18,'24.07 Kibuye-Makindye'!N18,'25.07 Kibuye-Makindye'!N18,'26.07 Kibuye-Makindye-24h'!N18,'27.07 Kibuye-Makindye-24h'!N18,'28.07 Kibuye-Makindye'!N18)</f>
        <v>0</v>
      </c>
      <c r="O18" s="15">
        <f t="shared" si="0"/>
        <v>93.142857142857125</v>
      </c>
      <c r="P18" s="15">
        <f t="shared" si="1"/>
        <v>291.71428571428572</v>
      </c>
      <c r="R18" s="1" t="s">
        <v>14</v>
      </c>
      <c r="S18" s="17">
        <f t="shared" ref="S18:AF18" si="10">SUM(C42:C45)</f>
        <v>214.42857142857142</v>
      </c>
      <c r="T18" s="17">
        <f t="shared" si="10"/>
        <v>75</v>
      </c>
      <c r="U18" s="17">
        <f t="shared" si="10"/>
        <v>29.428571428571431</v>
      </c>
      <c r="V18" s="17">
        <f t="shared" si="10"/>
        <v>85</v>
      </c>
      <c r="W18" s="17">
        <f t="shared" si="10"/>
        <v>0.42857142857142855</v>
      </c>
      <c r="X18" s="17">
        <f t="shared" si="10"/>
        <v>0</v>
      </c>
      <c r="Y18" s="17">
        <f t="shared" si="10"/>
        <v>12.428571428571429</v>
      </c>
      <c r="Z18" s="17">
        <f t="shared" si="10"/>
        <v>8.8571428571428559</v>
      </c>
      <c r="AA18" s="17">
        <f t="shared" si="10"/>
        <v>2.2857142857142856</v>
      </c>
      <c r="AB18" s="17">
        <f t="shared" si="10"/>
        <v>1.1428571428571428</v>
      </c>
      <c r="AC18" s="17">
        <f t="shared" si="10"/>
        <v>672.28571428571422</v>
      </c>
      <c r="AD18" s="17">
        <f t="shared" si="10"/>
        <v>0.2857142857142857</v>
      </c>
      <c r="AE18" s="31">
        <f t="shared" si="10"/>
        <v>429.28571428571428</v>
      </c>
      <c r="AF18" s="31">
        <f t="shared" si="10"/>
        <v>1101.5714285714287</v>
      </c>
    </row>
    <row r="19" spans="2:32" ht="23.1" customHeight="1" x14ac:dyDescent="0.25">
      <c r="B19" s="23" t="s">
        <v>46</v>
      </c>
      <c r="C19" s="49">
        <f>AVERAGE('22.07 Kibuye-Makindye'!C19,'23.07 Kibuye-Makindye'!C19,'24.07 Kibuye-Makindye'!C19,'25.07 Kibuye-Makindye'!C19,'26.07 Kibuye-Makindye-24h'!C19,'27.07 Kibuye-Makindye-24h'!C19,'28.07 Kibuye-Makindye'!C19)</f>
        <v>28</v>
      </c>
      <c r="D19" s="49">
        <f>AVERAGE('22.07 Kibuye-Makindye'!D19,'23.07 Kibuye-Makindye'!D19,'24.07 Kibuye-Makindye'!D19,'25.07 Kibuye-Makindye'!D19,'26.07 Kibuye-Makindye-24h'!D19,'27.07 Kibuye-Makindye-24h'!D19,'28.07 Kibuye-Makindye'!D19)</f>
        <v>10.142857142857142</v>
      </c>
      <c r="E19" s="49">
        <f>AVERAGE('22.07 Kibuye-Makindye'!E19,'23.07 Kibuye-Makindye'!E19,'24.07 Kibuye-Makindye'!E19,'25.07 Kibuye-Makindye'!E19,'26.07 Kibuye-Makindye-24h'!E19,'27.07 Kibuye-Makindye-24h'!E19,'28.07 Kibuye-Makindye'!E19)</f>
        <v>5.2857142857142856</v>
      </c>
      <c r="F19" s="49">
        <f>AVERAGE('22.07 Kibuye-Makindye'!F19,'23.07 Kibuye-Makindye'!F19,'24.07 Kibuye-Makindye'!F19,'25.07 Kibuye-Makindye'!F19,'26.07 Kibuye-Makindye-24h'!F19,'27.07 Kibuye-Makindye-24h'!F19,'28.07 Kibuye-Makindye'!F19)</f>
        <v>28</v>
      </c>
      <c r="G19" s="49">
        <f>AVERAGE('22.07 Kibuye-Makindye'!G19,'23.07 Kibuye-Makindye'!G19,'24.07 Kibuye-Makindye'!G19,'25.07 Kibuye-Makindye'!G19,'26.07 Kibuye-Makindye-24h'!G19,'27.07 Kibuye-Makindye-24h'!G19,'28.07 Kibuye-Makindye'!G19)</f>
        <v>0.2857142857142857</v>
      </c>
      <c r="H19" s="49">
        <f>AVERAGE('22.07 Kibuye-Makindye'!H19,'23.07 Kibuye-Makindye'!H19,'24.07 Kibuye-Makindye'!H19,'25.07 Kibuye-Makindye'!H19,'26.07 Kibuye-Makindye-24h'!H19,'27.07 Kibuye-Makindye-24h'!H19,'28.07 Kibuye-Makindye'!H19)</f>
        <v>0.14285714285714285</v>
      </c>
      <c r="I19" s="49">
        <f>AVERAGE('22.07 Kibuye-Makindye'!I19,'23.07 Kibuye-Makindye'!I19,'24.07 Kibuye-Makindye'!I19,'25.07 Kibuye-Makindye'!I19,'26.07 Kibuye-Makindye-24h'!I19,'27.07 Kibuye-Makindye-24h'!I19,'28.07 Kibuye-Makindye'!I19)</f>
        <v>2.2857142857142856</v>
      </c>
      <c r="J19" s="49">
        <f>AVERAGE('22.07 Kibuye-Makindye'!J19,'23.07 Kibuye-Makindye'!J19,'24.07 Kibuye-Makindye'!J19,'25.07 Kibuye-Makindye'!J19,'26.07 Kibuye-Makindye-24h'!J19,'27.07 Kibuye-Makindye-24h'!J19,'28.07 Kibuye-Makindye'!J19)</f>
        <v>3.2857142857142856</v>
      </c>
      <c r="K19" s="49">
        <f>AVERAGE('22.07 Kibuye-Makindye'!K19,'23.07 Kibuye-Makindye'!K19,'24.07 Kibuye-Makindye'!K19,'25.07 Kibuye-Makindye'!K19,'26.07 Kibuye-Makindye-24h'!K19,'27.07 Kibuye-Makindye-24h'!K19,'28.07 Kibuye-Makindye'!K19)</f>
        <v>0.42857142857142855</v>
      </c>
      <c r="L19" s="49">
        <f>AVERAGE('22.07 Kibuye-Makindye'!L19,'23.07 Kibuye-Makindye'!L19,'24.07 Kibuye-Makindye'!L19,'25.07 Kibuye-Makindye'!L19,'26.07 Kibuye-Makindye-24h'!L19,'27.07 Kibuye-Makindye-24h'!L19,'28.07 Kibuye-Makindye'!L19)</f>
        <v>0</v>
      </c>
      <c r="M19" s="49">
        <f>AVERAGE('22.07 Kibuye-Makindye'!M19,'23.07 Kibuye-Makindye'!M19,'24.07 Kibuye-Makindye'!M19,'25.07 Kibuye-Makindye'!M19,'26.07 Kibuye-Makindye-24h'!M19,'27.07 Kibuye-Makindye-24h'!M19,'28.07 Kibuye-Makindye'!M19)</f>
        <v>200.71428571428572</v>
      </c>
      <c r="N19" s="49">
        <f>AVERAGE('22.07 Kibuye-Makindye'!N19,'23.07 Kibuye-Makindye'!N19,'24.07 Kibuye-Makindye'!N19,'25.07 Kibuye-Makindye'!N19,'26.07 Kibuye-Makindye-24h'!N19,'27.07 Kibuye-Makindye-24h'!N19,'28.07 Kibuye-Makindye'!N19)</f>
        <v>0</v>
      </c>
      <c r="O19" s="15">
        <f t="shared" si="0"/>
        <v>77.857142857142861</v>
      </c>
      <c r="P19" s="15">
        <f t="shared" si="1"/>
        <v>278.57142857142856</v>
      </c>
      <c r="R19" s="1" t="s">
        <v>15</v>
      </c>
      <c r="S19" s="17">
        <f t="shared" ref="S19:AF19" si="11">SUM(C46:C49)</f>
        <v>252</v>
      </c>
      <c r="T19" s="17">
        <f t="shared" si="11"/>
        <v>77.571428571428584</v>
      </c>
      <c r="U19" s="17">
        <f t="shared" si="11"/>
        <v>29.285714285714285</v>
      </c>
      <c r="V19" s="17">
        <f t="shared" si="11"/>
        <v>69</v>
      </c>
      <c r="W19" s="17">
        <f t="shared" si="11"/>
        <v>1.4285714285714284</v>
      </c>
      <c r="X19" s="17">
        <f t="shared" si="11"/>
        <v>0</v>
      </c>
      <c r="Y19" s="17">
        <f t="shared" si="11"/>
        <v>9.1428571428571423</v>
      </c>
      <c r="Z19" s="17">
        <f t="shared" si="11"/>
        <v>6.5714285714285712</v>
      </c>
      <c r="AA19" s="17">
        <f t="shared" si="11"/>
        <v>1.2857142857142856</v>
      </c>
      <c r="AB19" s="17">
        <f t="shared" si="11"/>
        <v>0</v>
      </c>
      <c r="AC19" s="17">
        <f t="shared" si="11"/>
        <v>756</v>
      </c>
      <c r="AD19" s="17">
        <f t="shared" si="11"/>
        <v>0</v>
      </c>
      <c r="AE19" s="31">
        <f t="shared" si="11"/>
        <v>446.28571428571428</v>
      </c>
      <c r="AF19" s="31">
        <f t="shared" si="11"/>
        <v>1202.2857142857142</v>
      </c>
    </row>
    <row r="20" spans="2:32" ht="23.1" customHeight="1" x14ac:dyDescent="0.25">
      <c r="B20" s="23" t="s">
        <v>47</v>
      </c>
      <c r="C20" s="49">
        <f>AVERAGE('22.07 Kibuye-Makindye'!C20,'23.07 Kibuye-Makindye'!C20,'24.07 Kibuye-Makindye'!C20,'25.07 Kibuye-Makindye'!C20,'26.07 Kibuye-Makindye-24h'!C20,'27.07 Kibuye-Makindye-24h'!C20,'28.07 Kibuye-Makindye'!C20)</f>
        <v>29.571428571428573</v>
      </c>
      <c r="D20" s="49">
        <f>AVERAGE('22.07 Kibuye-Makindye'!D20,'23.07 Kibuye-Makindye'!D20,'24.07 Kibuye-Makindye'!D20,'25.07 Kibuye-Makindye'!D20,'26.07 Kibuye-Makindye-24h'!D20,'27.07 Kibuye-Makindye-24h'!D20,'28.07 Kibuye-Makindye'!D20)</f>
        <v>13.142857142857142</v>
      </c>
      <c r="E20" s="49">
        <f>AVERAGE('22.07 Kibuye-Makindye'!E20,'23.07 Kibuye-Makindye'!E20,'24.07 Kibuye-Makindye'!E20,'25.07 Kibuye-Makindye'!E20,'26.07 Kibuye-Makindye-24h'!E20,'27.07 Kibuye-Makindye-24h'!E20,'28.07 Kibuye-Makindye'!E20)</f>
        <v>4.4285714285714288</v>
      </c>
      <c r="F20" s="49">
        <f>AVERAGE('22.07 Kibuye-Makindye'!F20,'23.07 Kibuye-Makindye'!F20,'24.07 Kibuye-Makindye'!F20,'25.07 Kibuye-Makindye'!F20,'26.07 Kibuye-Makindye-24h'!F20,'27.07 Kibuye-Makindye-24h'!F20,'28.07 Kibuye-Makindye'!F20)</f>
        <v>27.428571428571427</v>
      </c>
      <c r="G20" s="49">
        <f>AVERAGE('22.07 Kibuye-Makindye'!G20,'23.07 Kibuye-Makindye'!G20,'24.07 Kibuye-Makindye'!G20,'25.07 Kibuye-Makindye'!G20,'26.07 Kibuye-Makindye-24h'!G20,'27.07 Kibuye-Makindye-24h'!G20,'28.07 Kibuye-Makindye'!G20)</f>
        <v>0.42857142857142855</v>
      </c>
      <c r="H20" s="49">
        <f>AVERAGE('22.07 Kibuye-Makindye'!H20,'23.07 Kibuye-Makindye'!H20,'24.07 Kibuye-Makindye'!H20,'25.07 Kibuye-Makindye'!H20,'26.07 Kibuye-Makindye-24h'!H20,'27.07 Kibuye-Makindye-24h'!H20,'28.07 Kibuye-Makindye'!H20)</f>
        <v>0</v>
      </c>
      <c r="I20" s="49">
        <f>AVERAGE('22.07 Kibuye-Makindye'!I20,'23.07 Kibuye-Makindye'!I20,'24.07 Kibuye-Makindye'!I20,'25.07 Kibuye-Makindye'!I20,'26.07 Kibuye-Makindye-24h'!I20,'27.07 Kibuye-Makindye-24h'!I20,'28.07 Kibuye-Makindye'!I20)</f>
        <v>3.2857142857142856</v>
      </c>
      <c r="J20" s="49">
        <f>AVERAGE('22.07 Kibuye-Makindye'!J20,'23.07 Kibuye-Makindye'!J20,'24.07 Kibuye-Makindye'!J20,'25.07 Kibuye-Makindye'!J20,'26.07 Kibuye-Makindye-24h'!J20,'27.07 Kibuye-Makindye-24h'!J20,'28.07 Kibuye-Makindye'!J20)</f>
        <v>2.5714285714285716</v>
      </c>
      <c r="K20" s="49">
        <f>AVERAGE('22.07 Kibuye-Makindye'!K20,'23.07 Kibuye-Makindye'!K20,'24.07 Kibuye-Makindye'!K20,'25.07 Kibuye-Makindye'!K20,'26.07 Kibuye-Makindye-24h'!K20,'27.07 Kibuye-Makindye-24h'!K20,'28.07 Kibuye-Makindye'!K20)</f>
        <v>0.8571428571428571</v>
      </c>
      <c r="L20" s="49">
        <f>AVERAGE('22.07 Kibuye-Makindye'!L20,'23.07 Kibuye-Makindye'!L20,'24.07 Kibuye-Makindye'!L20,'25.07 Kibuye-Makindye'!L20,'26.07 Kibuye-Makindye-24h'!L20,'27.07 Kibuye-Makindye-24h'!L20,'28.07 Kibuye-Makindye'!L20)</f>
        <v>0.14285714285714285</v>
      </c>
      <c r="M20" s="49">
        <f>AVERAGE('22.07 Kibuye-Makindye'!M20,'23.07 Kibuye-Makindye'!M20,'24.07 Kibuye-Makindye'!M20,'25.07 Kibuye-Makindye'!M20,'26.07 Kibuye-Makindye-24h'!M20,'27.07 Kibuye-Makindye-24h'!M20,'28.07 Kibuye-Makindye'!M20)</f>
        <v>208</v>
      </c>
      <c r="N20" s="49">
        <f>AVERAGE('22.07 Kibuye-Makindye'!N20,'23.07 Kibuye-Makindye'!N20,'24.07 Kibuye-Makindye'!N20,'25.07 Kibuye-Makindye'!N20,'26.07 Kibuye-Makindye-24h'!N20,'27.07 Kibuye-Makindye-24h'!N20,'28.07 Kibuye-Makindye'!N20)</f>
        <v>0</v>
      </c>
      <c r="O20" s="15">
        <f t="shared" si="0"/>
        <v>81.857142857142861</v>
      </c>
      <c r="P20" s="15">
        <f t="shared" si="1"/>
        <v>289.85714285714289</v>
      </c>
      <c r="R20" s="1" t="s">
        <v>16</v>
      </c>
      <c r="S20" s="17">
        <f t="shared" ref="S20:AF20" si="12">SUM(C50:C53)</f>
        <v>266</v>
      </c>
      <c r="T20" s="17">
        <f t="shared" si="12"/>
        <v>78.857142857142861</v>
      </c>
      <c r="U20" s="17">
        <f t="shared" si="12"/>
        <v>32.285714285714285</v>
      </c>
      <c r="V20" s="17">
        <f t="shared" si="12"/>
        <v>81</v>
      </c>
      <c r="W20" s="17">
        <f t="shared" si="12"/>
        <v>2.8571428571428568</v>
      </c>
      <c r="X20" s="17">
        <f t="shared" si="12"/>
        <v>0.71428571428571419</v>
      </c>
      <c r="Y20" s="17">
        <f t="shared" si="12"/>
        <v>8.7142857142857153</v>
      </c>
      <c r="Z20" s="17">
        <f t="shared" si="12"/>
        <v>6.1428571428571423</v>
      </c>
      <c r="AA20" s="17">
        <f t="shared" si="12"/>
        <v>2.2857142857142856</v>
      </c>
      <c r="AB20" s="17">
        <f t="shared" si="12"/>
        <v>0.8571428571428571</v>
      </c>
      <c r="AC20" s="17">
        <f t="shared" si="12"/>
        <v>753.14285714285722</v>
      </c>
      <c r="AD20" s="17">
        <f t="shared" si="12"/>
        <v>0</v>
      </c>
      <c r="AE20" s="31">
        <f t="shared" si="12"/>
        <v>479.71428571428567</v>
      </c>
      <c r="AF20" s="31">
        <f t="shared" si="12"/>
        <v>1232.8571428571429</v>
      </c>
    </row>
    <row r="21" spans="2:32" ht="23.1" customHeight="1" x14ac:dyDescent="0.25">
      <c r="B21" s="23" t="s">
        <v>48</v>
      </c>
      <c r="C21" s="49">
        <f>AVERAGE('22.07 Kibuye-Makindye'!C21,'23.07 Kibuye-Makindye'!C21,'24.07 Kibuye-Makindye'!C21,'25.07 Kibuye-Makindye'!C21,'26.07 Kibuye-Makindye-24h'!C21,'27.07 Kibuye-Makindye-24h'!C21,'28.07 Kibuye-Makindye'!C21)</f>
        <v>39.428571428571431</v>
      </c>
      <c r="D21" s="49">
        <f>AVERAGE('22.07 Kibuye-Makindye'!D21,'23.07 Kibuye-Makindye'!D21,'24.07 Kibuye-Makindye'!D21,'25.07 Kibuye-Makindye'!D21,'26.07 Kibuye-Makindye-24h'!D21,'27.07 Kibuye-Makindye-24h'!D21,'28.07 Kibuye-Makindye'!D21)</f>
        <v>9.1428571428571423</v>
      </c>
      <c r="E21" s="49">
        <f>AVERAGE('22.07 Kibuye-Makindye'!E21,'23.07 Kibuye-Makindye'!E21,'24.07 Kibuye-Makindye'!E21,'25.07 Kibuye-Makindye'!E21,'26.07 Kibuye-Makindye-24h'!E21,'27.07 Kibuye-Makindye-24h'!E21,'28.07 Kibuye-Makindye'!E21)</f>
        <v>6</v>
      </c>
      <c r="F21" s="49">
        <f>AVERAGE('22.07 Kibuye-Makindye'!F21,'23.07 Kibuye-Makindye'!F21,'24.07 Kibuye-Makindye'!F21,'25.07 Kibuye-Makindye'!F21,'26.07 Kibuye-Makindye-24h'!F21,'27.07 Kibuye-Makindye-24h'!F21,'28.07 Kibuye-Makindye'!F21)</f>
        <v>23.857142857142858</v>
      </c>
      <c r="G21" s="49">
        <f>AVERAGE('22.07 Kibuye-Makindye'!G21,'23.07 Kibuye-Makindye'!G21,'24.07 Kibuye-Makindye'!G21,'25.07 Kibuye-Makindye'!G21,'26.07 Kibuye-Makindye-24h'!G21,'27.07 Kibuye-Makindye-24h'!G21,'28.07 Kibuye-Makindye'!G21)</f>
        <v>0.5714285714285714</v>
      </c>
      <c r="H21" s="49">
        <f>AVERAGE('22.07 Kibuye-Makindye'!H21,'23.07 Kibuye-Makindye'!H21,'24.07 Kibuye-Makindye'!H21,'25.07 Kibuye-Makindye'!H21,'26.07 Kibuye-Makindye-24h'!H21,'27.07 Kibuye-Makindye-24h'!H21,'28.07 Kibuye-Makindye'!H21)</f>
        <v>0</v>
      </c>
      <c r="I21" s="49">
        <f>AVERAGE('22.07 Kibuye-Makindye'!I21,'23.07 Kibuye-Makindye'!I21,'24.07 Kibuye-Makindye'!I21,'25.07 Kibuye-Makindye'!I21,'26.07 Kibuye-Makindye-24h'!I21,'27.07 Kibuye-Makindye-24h'!I21,'28.07 Kibuye-Makindye'!I21)</f>
        <v>2.5714285714285716</v>
      </c>
      <c r="J21" s="49">
        <f>AVERAGE('22.07 Kibuye-Makindye'!J21,'23.07 Kibuye-Makindye'!J21,'24.07 Kibuye-Makindye'!J21,'25.07 Kibuye-Makindye'!J21,'26.07 Kibuye-Makindye-24h'!J21,'27.07 Kibuye-Makindye-24h'!J21,'28.07 Kibuye-Makindye'!J21)</f>
        <v>2</v>
      </c>
      <c r="K21" s="49">
        <f>AVERAGE('22.07 Kibuye-Makindye'!K21,'23.07 Kibuye-Makindye'!K21,'24.07 Kibuye-Makindye'!K21,'25.07 Kibuye-Makindye'!K21,'26.07 Kibuye-Makindye-24h'!K21,'27.07 Kibuye-Makindye-24h'!K21,'28.07 Kibuye-Makindye'!K21)</f>
        <v>0.7142857142857143</v>
      </c>
      <c r="L21" s="49">
        <f>AVERAGE('22.07 Kibuye-Makindye'!L21,'23.07 Kibuye-Makindye'!L21,'24.07 Kibuye-Makindye'!L21,'25.07 Kibuye-Makindye'!L21,'26.07 Kibuye-Makindye-24h'!L21,'27.07 Kibuye-Makindye-24h'!L21,'28.07 Kibuye-Makindye'!L21)</f>
        <v>0</v>
      </c>
      <c r="M21" s="49">
        <f>AVERAGE('22.07 Kibuye-Makindye'!M21,'23.07 Kibuye-Makindye'!M21,'24.07 Kibuye-Makindye'!M21,'25.07 Kibuye-Makindye'!M21,'26.07 Kibuye-Makindye-24h'!M21,'27.07 Kibuye-Makindye-24h'!M21,'28.07 Kibuye-Makindye'!M21)</f>
        <v>190</v>
      </c>
      <c r="N21" s="49">
        <f>AVERAGE('22.07 Kibuye-Makindye'!N21,'23.07 Kibuye-Makindye'!N21,'24.07 Kibuye-Makindye'!N21,'25.07 Kibuye-Makindye'!N21,'26.07 Kibuye-Makindye-24h'!N21,'27.07 Kibuye-Makindye-24h'!N21,'28.07 Kibuye-Makindye'!N21)</f>
        <v>0</v>
      </c>
      <c r="O21" s="15">
        <f t="shared" si="0"/>
        <v>84.285714285714278</v>
      </c>
      <c r="P21" s="15">
        <f t="shared" si="1"/>
        <v>274.28571428571428</v>
      </c>
      <c r="R21" s="36" t="s">
        <v>20</v>
      </c>
      <c r="S21" s="34">
        <f t="shared" ref="S21:AF21" si="13">SUM(C54:C57)</f>
        <v>261.71428571428567</v>
      </c>
      <c r="T21" s="17">
        <f t="shared" si="13"/>
        <v>59</v>
      </c>
      <c r="U21" s="17">
        <f t="shared" si="13"/>
        <v>28.142857142857146</v>
      </c>
      <c r="V21" s="17">
        <f t="shared" si="13"/>
        <v>59.714285714285708</v>
      </c>
      <c r="W21" s="17">
        <f t="shared" si="13"/>
        <v>3.8571428571428572</v>
      </c>
      <c r="X21" s="17">
        <f t="shared" si="13"/>
        <v>1</v>
      </c>
      <c r="Y21" s="17">
        <f t="shared" si="13"/>
        <v>7.5714285714285712</v>
      </c>
      <c r="Z21" s="17">
        <f t="shared" si="13"/>
        <v>4.5714285714285712</v>
      </c>
      <c r="AA21" s="17">
        <f t="shared" si="13"/>
        <v>2</v>
      </c>
      <c r="AB21" s="17">
        <f t="shared" si="13"/>
        <v>35.142857142857139</v>
      </c>
      <c r="AC21" s="17">
        <f t="shared" si="13"/>
        <v>651.28571428571422</v>
      </c>
      <c r="AD21" s="17">
        <f t="shared" si="13"/>
        <v>0</v>
      </c>
      <c r="AE21" s="31">
        <f t="shared" si="13"/>
        <v>462.71428571428578</v>
      </c>
      <c r="AF21" s="31">
        <f t="shared" si="13"/>
        <v>1114</v>
      </c>
    </row>
    <row r="22" spans="2:32" ht="23.1" customHeight="1" x14ac:dyDescent="0.25">
      <c r="B22" s="23" t="s">
        <v>49</v>
      </c>
      <c r="C22" s="49">
        <f>AVERAGE('22.07 Kibuye-Makindye'!C22,'23.07 Kibuye-Makindye'!C22,'24.07 Kibuye-Makindye'!C22,'25.07 Kibuye-Makindye'!C22,'26.07 Kibuye-Makindye-24h'!C22,'27.07 Kibuye-Makindye-24h'!C22,'28.07 Kibuye-Makindye'!C22)</f>
        <v>41.857142857142854</v>
      </c>
      <c r="D22" s="49">
        <f>AVERAGE('22.07 Kibuye-Makindye'!D22,'23.07 Kibuye-Makindye'!D22,'24.07 Kibuye-Makindye'!D22,'25.07 Kibuye-Makindye'!D22,'26.07 Kibuye-Makindye-24h'!D22,'27.07 Kibuye-Makindye-24h'!D22,'28.07 Kibuye-Makindye'!D22)</f>
        <v>12.285714285714286</v>
      </c>
      <c r="E22" s="49">
        <f>AVERAGE('22.07 Kibuye-Makindye'!E22,'23.07 Kibuye-Makindye'!E22,'24.07 Kibuye-Makindye'!E22,'25.07 Kibuye-Makindye'!E22,'26.07 Kibuye-Makindye-24h'!E22,'27.07 Kibuye-Makindye-24h'!E22,'28.07 Kibuye-Makindye'!E22)</f>
        <v>7.1428571428571432</v>
      </c>
      <c r="F22" s="49">
        <f>AVERAGE('22.07 Kibuye-Makindye'!F22,'23.07 Kibuye-Makindye'!F22,'24.07 Kibuye-Makindye'!F22,'25.07 Kibuye-Makindye'!F22,'26.07 Kibuye-Makindye-24h'!F22,'27.07 Kibuye-Makindye-24h'!F22,'28.07 Kibuye-Makindye'!F22)</f>
        <v>28.142857142857142</v>
      </c>
      <c r="G22" s="49">
        <f>AVERAGE('22.07 Kibuye-Makindye'!G22,'23.07 Kibuye-Makindye'!G22,'24.07 Kibuye-Makindye'!G22,'25.07 Kibuye-Makindye'!G22,'26.07 Kibuye-Makindye-24h'!G22,'27.07 Kibuye-Makindye-24h'!G22,'28.07 Kibuye-Makindye'!G22)</f>
        <v>0.7142857142857143</v>
      </c>
      <c r="H22" s="49">
        <f>AVERAGE('22.07 Kibuye-Makindye'!H22,'23.07 Kibuye-Makindye'!H22,'24.07 Kibuye-Makindye'!H22,'25.07 Kibuye-Makindye'!H22,'26.07 Kibuye-Makindye-24h'!H22,'27.07 Kibuye-Makindye-24h'!H22,'28.07 Kibuye-Makindye'!H22)</f>
        <v>0</v>
      </c>
      <c r="I22" s="49">
        <f>AVERAGE('22.07 Kibuye-Makindye'!I22,'23.07 Kibuye-Makindye'!I22,'24.07 Kibuye-Makindye'!I22,'25.07 Kibuye-Makindye'!I22,'26.07 Kibuye-Makindye-24h'!I22,'27.07 Kibuye-Makindye-24h'!I22,'28.07 Kibuye-Makindye'!I22)</f>
        <v>2.8571428571428572</v>
      </c>
      <c r="J22" s="49">
        <f>AVERAGE('22.07 Kibuye-Makindye'!J22,'23.07 Kibuye-Makindye'!J22,'24.07 Kibuye-Makindye'!J22,'25.07 Kibuye-Makindye'!J22,'26.07 Kibuye-Makindye-24h'!J22,'27.07 Kibuye-Makindye-24h'!J22,'28.07 Kibuye-Makindye'!J22)</f>
        <v>3.1428571428571428</v>
      </c>
      <c r="K22" s="49">
        <f>AVERAGE('22.07 Kibuye-Makindye'!K22,'23.07 Kibuye-Makindye'!K22,'24.07 Kibuye-Makindye'!K22,'25.07 Kibuye-Makindye'!K22,'26.07 Kibuye-Makindye-24h'!K22,'27.07 Kibuye-Makindye-24h'!K22,'28.07 Kibuye-Makindye'!K22)</f>
        <v>0.5714285714285714</v>
      </c>
      <c r="L22" s="49">
        <f>AVERAGE('22.07 Kibuye-Makindye'!L22,'23.07 Kibuye-Makindye'!L22,'24.07 Kibuye-Makindye'!L22,'25.07 Kibuye-Makindye'!L22,'26.07 Kibuye-Makindye-24h'!L22,'27.07 Kibuye-Makindye-24h'!L22,'28.07 Kibuye-Makindye'!L22)</f>
        <v>0</v>
      </c>
      <c r="M22" s="49">
        <f>AVERAGE('22.07 Kibuye-Makindye'!M22,'23.07 Kibuye-Makindye'!M22,'24.07 Kibuye-Makindye'!M22,'25.07 Kibuye-Makindye'!M22,'26.07 Kibuye-Makindye-24h'!M22,'27.07 Kibuye-Makindye-24h'!M22,'28.07 Kibuye-Makindye'!M22)</f>
        <v>178.71428571428572</v>
      </c>
      <c r="N22" s="49">
        <f>AVERAGE('22.07 Kibuye-Makindye'!N22,'23.07 Kibuye-Makindye'!N22,'24.07 Kibuye-Makindye'!N22,'25.07 Kibuye-Makindye'!N22,'26.07 Kibuye-Makindye-24h'!N22,'27.07 Kibuye-Makindye-24h'!N22,'28.07 Kibuye-Makindye'!N22)</f>
        <v>0</v>
      </c>
      <c r="O22" s="15">
        <f t="shared" si="0"/>
        <v>96.714285714285708</v>
      </c>
      <c r="P22" s="15">
        <f t="shared" si="1"/>
        <v>275.42857142857144</v>
      </c>
      <c r="R22" s="1" t="s">
        <v>147</v>
      </c>
      <c r="S22" s="34">
        <f>SUM(C58:C61)</f>
        <v>237.25</v>
      </c>
      <c r="T22" s="34">
        <f t="shared" ref="T22:AF22" si="14">SUM(D58:D61)</f>
        <v>56</v>
      </c>
      <c r="U22" s="34">
        <f t="shared" si="14"/>
        <v>20</v>
      </c>
      <c r="V22" s="34">
        <f t="shared" si="14"/>
        <v>49.25</v>
      </c>
      <c r="W22" s="34">
        <f t="shared" si="14"/>
        <v>0.25</v>
      </c>
      <c r="X22" s="34">
        <f t="shared" si="14"/>
        <v>1.5</v>
      </c>
      <c r="Y22" s="34">
        <f t="shared" si="14"/>
        <v>12.5</v>
      </c>
      <c r="Z22" s="34">
        <f t="shared" si="14"/>
        <v>4.75</v>
      </c>
      <c r="AA22" s="34">
        <f t="shared" si="14"/>
        <v>2.75</v>
      </c>
      <c r="AB22" s="34">
        <f t="shared" si="14"/>
        <v>0</v>
      </c>
      <c r="AC22" s="34">
        <f t="shared" si="14"/>
        <v>447.75</v>
      </c>
      <c r="AD22" s="34">
        <f t="shared" si="14"/>
        <v>0</v>
      </c>
      <c r="AE22" s="31">
        <f t="shared" si="14"/>
        <v>384.25</v>
      </c>
      <c r="AF22" s="31">
        <f t="shared" si="14"/>
        <v>832</v>
      </c>
    </row>
    <row r="23" spans="2:32" ht="23.1" customHeight="1" x14ac:dyDescent="0.25">
      <c r="B23" s="23" t="s">
        <v>50</v>
      </c>
      <c r="C23" s="49">
        <f>AVERAGE('22.07 Kibuye-Makindye'!C23,'23.07 Kibuye-Makindye'!C23,'24.07 Kibuye-Makindye'!C23,'25.07 Kibuye-Makindye'!C23,'26.07 Kibuye-Makindye-24h'!C23,'27.07 Kibuye-Makindye-24h'!C23,'28.07 Kibuye-Makindye'!C23)</f>
        <v>35.428571428571431</v>
      </c>
      <c r="D23" s="49">
        <f>AVERAGE('22.07 Kibuye-Makindye'!D23,'23.07 Kibuye-Makindye'!D23,'24.07 Kibuye-Makindye'!D23,'25.07 Kibuye-Makindye'!D23,'26.07 Kibuye-Makindye-24h'!D23,'27.07 Kibuye-Makindye-24h'!D23,'28.07 Kibuye-Makindye'!D23)</f>
        <v>12.571428571428571</v>
      </c>
      <c r="E23" s="49">
        <f>AVERAGE('22.07 Kibuye-Makindye'!E23,'23.07 Kibuye-Makindye'!E23,'24.07 Kibuye-Makindye'!E23,'25.07 Kibuye-Makindye'!E23,'26.07 Kibuye-Makindye-24h'!E23,'27.07 Kibuye-Makindye-24h'!E23,'28.07 Kibuye-Makindye'!E23)</f>
        <v>6.2857142857142856</v>
      </c>
      <c r="F23" s="49">
        <f>AVERAGE('22.07 Kibuye-Makindye'!F23,'23.07 Kibuye-Makindye'!F23,'24.07 Kibuye-Makindye'!F23,'25.07 Kibuye-Makindye'!F23,'26.07 Kibuye-Makindye-24h'!F23,'27.07 Kibuye-Makindye-24h'!F23,'28.07 Kibuye-Makindye'!F23)</f>
        <v>24.571428571428573</v>
      </c>
      <c r="G23" s="49">
        <f>AVERAGE('22.07 Kibuye-Makindye'!G23,'23.07 Kibuye-Makindye'!G23,'24.07 Kibuye-Makindye'!G23,'25.07 Kibuye-Makindye'!G23,'26.07 Kibuye-Makindye-24h'!G23,'27.07 Kibuye-Makindye-24h'!G23,'28.07 Kibuye-Makindye'!G23)</f>
        <v>0.2857142857142857</v>
      </c>
      <c r="H23" s="49">
        <f>AVERAGE('22.07 Kibuye-Makindye'!H23,'23.07 Kibuye-Makindye'!H23,'24.07 Kibuye-Makindye'!H23,'25.07 Kibuye-Makindye'!H23,'26.07 Kibuye-Makindye-24h'!H23,'27.07 Kibuye-Makindye-24h'!H23,'28.07 Kibuye-Makindye'!H23)</f>
        <v>0.14285714285714285</v>
      </c>
      <c r="I23" s="49">
        <f>AVERAGE('22.07 Kibuye-Makindye'!I23,'23.07 Kibuye-Makindye'!I23,'24.07 Kibuye-Makindye'!I23,'25.07 Kibuye-Makindye'!I23,'26.07 Kibuye-Makindye-24h'!I23,'27.07 Kibuye-Makindye-24h'!I23,'28.07 Kibuye-Makindye'!I23)</f>
        <v>1.4285714285714286</v>
      </c>
      <c r="J23" s="49">
        <f>AVERAGE('22.07 Kibuye-Makindye'!J23,'23.07 Kibuye-Makindye'!J23,'24.07 Kibuye-Makindye'!J23,'25.07 Kibuye-Makindye'!J23,'26.07 Kibuye-Makindye-24h'!J23,'27.07 Kibuye-Makindye-24h'!J23,'28.07 Kibuye-Makindye'!J23)</f>
        <v>2.1428571428571428</v>
      </c>
      <c r="K23" s="49">
        <f>AVERAGE('22.07 Kibuye-Makindye'!K23,'23.07 Kibuye-Makindye'!K23,'24.07 Kibuye-Makindye'!K23,'25.07 Kibuye-Makindye'!K23,'26.07 Kibuye-Makindye-24h'!K23,'27.07 Kibuye-Makindye-24h'!K23,'28.07 Kibuye-Makindye'!K23)</f>
        <v>0.42857142857142855</v>
      </c>
      <c r="L23" s="49">
        <f>AVERAGE('22.07 Kibuye-Makindye'!L23,'23.07 Kibuye-Makindye'!L23,'24.07 Kibuye-Makindye'!L23,'25.07 Kibuye-Makindye'!L23,'26.07 Kibuye-Makindye-24h'!L23,'27.07 Kibuye-Makindye-24h'!L23,'28.07 Kibuye-Makindye'!L23)</f>
        <v>0.2857142857142857</v>
      </c>
      <c r="M23" s="49">
        <f>AVERAGE('22.07 Kibuye-Makindye'!M23,'23.07 Kibuye-Makindye'!M23,'24.07 Kibuye-Makindye'!M23,'25.07 Kibuye-Makindye'!M23,'26.07 Kibuye-Makindye-24h'!M23,'27.07 Kibuye-Makindye-24h'!M23,'28.07 Kibuye-Makindye'!M23)</f>
        <v>176.85714285714286</v>
      </c>
      <c r="N23" s="49">
        <f>AVERAGE('22.07 Kibuye-Makindye'!N23,'23.07 Kibuye-Makindye'!N23,'24.07 Kibuye-Makindye'!N23,'25.07 Kibuye-Makindye'!N23,'26.07 Kibuye-Makindye-24h'!N23,'27.07 Kibuye-Makindye-24h'!N23,'28.07 Kibuye-Makindye'!N23)</f>
        <v>0</v>
      </c>
      <c r="O23" s="15">
        <f t="shared" si="0"/>
        <v>83.571428571428584</v>
      </c>
      <c r="P23" s="15">
        <f t="shared" si="1"/>
        <v>260.42857142857144</v>
      </c>
      <c r="R23" s="1" t="s">
        <v>148</v>
      </c>
      <c r="S23" s="34">
        <f>SUM(C62:C65)</f>
        <v>188</v>
      </c>
      <c r="T23" s="34">
        <f t="shared" ref="T23:AF23" si="15">SUM(D62:D65)</f>
        <v>42.5</v>
      </c>
      <c r="U23" s="34">
        <f t="shared" si="15"/>
        <v>24</v>
      </c>
      <c r="V23" s="34">
        <f t="shared" si="15"/>
        <v>66</v>
      </c>
      <c r="W23" s="34">
        <f t="shared" si="15"/>
        <v>0.5</v>
      </c>
      <c r="X23" s="34">
        <f t="shared" si="15"/>
        <v>2</v>
      </c>
      <c r="Y23" s="34">
        <f t="shared" si="15"/>
        <v>12</v>
      </c>
      <c r="Z23" s="34">
        <f t="shared" si="15"/>
        <v>2.5</v>
      </c>
      <c r="AA23" s="34">
        <f t="shared" si="15"/>
        <v>0</v>
      </c>
      <c r="AB23" s="34">
        <f t="shared" si="15"/>
        <v>0</v>
      </c>
      <c r="AC23" s="34">
        <f t="shared" si="15"/>
        <v>436.5</v>
      </c>
      <c r="AD23" s="34">
        <f t="shared" si="15"/>
        <v>0</v>
      </c>
      <c r="AE23" s="31">
        <f t="shared" si="15"/>
        <v>337.5</v>
      </c>
      <c r="AF23" s="31">
        <f t="shared" si="15"/>
        <v>774</v>
      </c>
    </row>
    <row r="24" spans="2:32" ht="23.1" customHeight="1" x14ac:dyDescent="0.25">
      <c r="B24" s="23" t="s">
        <v>51</v>
      </c>
      <c r="C24" s="49">
        <f>AVERAGE('22.07 Kibuye-Makindye'!C24,'23.07 Kibuye-Makindye'!C24,'24.07 Kibuye-Makindye'!C24,'25.07 Kibuye-Makindye'!C24,'26.07 Kibuye-Makindye-24h'!C24,'27.07 Kibuye-Makindye-24h'!C24,'28.07 Kibuye-Makindye'!C24)</f>
        <v>41.142857142857146</v>
      </c>
      <c r="D24" s="49">
        <f>AVERAGE('22.07 Kibuye-Makindye'!D24,'23.07 Kibuye-Makindye'!D24,'24.07 Kibuye-Makindye'!D24,'25.07 Kibuye-Makindye'!D24,'26.07 Kibuye-Makindye-24h'!D24,'27.07 Kibuye-Makindye-24h'!D24,'28.07 Kibuye-Makindye'!D24)</f>
        <v>13</v>
      </c>
      <c r="E24" s="49">
        <f>AVERAGE('22.07 Kibuye-Makindye'!E24,'23.07 Kibuye-Makindye'!E24,'24.07 Kibuye-Makindye'!E24,'25.07 Kibuye-Makindye'!E24,'26.07 Kibuye-Makindye-24h'!E24,'27.07 Kibuye-Makindye-24h'!E24,'28.07 Kibuye-Makindye'!E24)</f>
        <v>6.7142857142857144</v>
      </c>
      <c r="F24" s="49">
        <f>AVERAGE('22.07 Kibuye-Makindye'!F24,'23.07 Kibuye-Makindye'!F24,'24.07 Kibuye-Makindye'!F24,'25.07 Kibuye-Makindye'!F24,'26.07 Kibuye-Makindye-24h'!F24,'27.07 Kibuye-Makindye-24h'!F24,'28.07 Kibuye-Makindye'!F24)</f>
        <v>26.285714285714285</v>
      </c>
      <c r="G24" s="49">
        <f>AVERAGE('22.07 Kibuye-Makindye'!G24,'23.07 Kibuye-Makindye'!G24,'24.07 Kibuye-Makindye'!G24,'25.07 Kibuye-Makindye'!G24,'26.07 Kibuye-Makindye-24h'!G24,'27.07 Kibuye-Makindye-24h'!G24,'28.07 Kibuye-Makindye'!G24)</f>
        <v>0.14285714285714285</v>
      </c>
      <c r="H24" s="49">
        <f>AVERAGE('22.07 Kibuye-Makindye'!H24,'23.07 Kibuye-Makindye'!H24,'24.07 Kibuye-Makindye'!H24,'25.07 Kibuye-Makindye'!H24,'26.07 Kibuye-Makindye-24h'!H24,'27.07 Kibuye-Makindye-24h'!H24,'28.07 Kibuye-Makindye'!H24)</f>
        <v>0.14285714285714285</v>
      </c>
      <c r="I24" s="49">
        <f>AVERAGE('22.07 Kibuye-Makindye'!I24,'23.07 Kibuye-Makindye'!I24,'24.07 Kibuye-Makindye'!I24,'25.07 Kibuye-Makindye'!I24,'26.07 Kibuye-Makindye-24h'!I24,'27.07 Kibuye-Makindye-24h'!I24,'28.07 Kibuye-Makindye'!I24)</f>
        <v>3.1428571428571428</v>
      </c>
      <c r="J24" s="49">
        <f>AVERAGE('22.07 Kibuye-Makindye'!J24,'23.07 Kibuye-Makindye'!J24,'24.07 Kibuye-Makindye'!J24,'25.07 Kibuye-Makindye'!J24,'26.07 Kibuye-Makindye-24h'!J24,'27.07 Kibuye-Makindye-24h'!J24,'28.07 Kibuye-Makindye'!J24)</f>
        <v>1.5714285714285714</v>
      </c>
      <c r="K24" s="49">
        <f>AVERAGE('22.07 Kibuye-Makindye'!K24,'23.07 Kibuye-Makindye'!K24,'24.07 Kibuye-Makindye'!K24,'25.07 Kibuye-Makindye'!K24,'26.07 Kibuye-Makindye-24h'!K24,'27.07 Kibuye-Makindye-24h'!K24,'28.07 Kibuye-Makindye'!K24)</f>
        <v>1.2857142857142858</v>
      </c>
      <c r="L24" s="49">
        <f>AVERAGE('22.07 Kibuye-Makindye'!L24,'23.07 Kibuye-Makindye'!L24,'24.07 Kibuye-Makindye'!L24,'25.07 Kibuye-Makindye'!L24,'26.07 Kibuye-Makindye-24h'!L24,'27.07 Kibuye-Makindye-24h'!L24,'28.07 Kibuye-Makindye'!L24)</f>
        <v>0.2857142857142857</v>
      </c>
      <c r="M24" s="49">
        <f>AVERAGE('22.07 Kibuye-Makindye'!M24,'23.07 Kibuye-Makindye'!M24,'24.07 Kibuye-Makindye'!M24,'25.07 Kibuye-Makindye'!M24,'26.07 Kibuye-Makindye-24h'!M24,'27.07 Kibuye-Makindye-24h'!M24,'28.07 Kibuye-Makindye'!M24)</f>
        <v>175.71428571428572</v>
      </c>
      <c r="N24" s="49">
        <f>AVERAGE('22.07 Kibuye-Makindye'!N24,'23.07 Kibuye-Makindye'!N24,'24.07 Kibuye-Makindye'!N24,'25.07 Kibuye-Makindye'!N24,'26.07 Kibuye-Makindye-24h'!N24,'27.07 Kibuye-Makindye-24h'!N24,'28.07 Kibuye-Makindye'!N24)</f>
        <v>0</v>
      </c>
      <c r="O24" s="15">
        <f t="shared" si="0"/>
        <v>93.714285714285708</v>
      </c>
      <c r="P24" s="15">
        <f t="shared" si="1"/>
        <v>269.42857142857144</v>
      </c>
      <c r="R24" s="1" t="s">
        <v>149</v>
      </c>
      <c r="S24" s="34">
        <f>SUM(C66:C69)</f>
        <v>207.5</v>
      </c>
      <c r="T24" s="34">
        <f t="shared" ref="T24:AF24" si="16">SUM(D66:D69)</f>
        <v>54.5</v>
      </c>
      <c r="U24" s="34">
        <f t="shared" si="16"/>
        <v>23</v>
      </c>
      <c r="V24" s="34">
        <f t="shared" si="16"/>
        <v>37.5</v>
      </c>
      <c r="W24" s="34">
        <f t="shared" si="16"/>
        <v>0</v>
      </c>
      <c r="X24" s="34">
        <f t="shared" si="16"/>
        <v>0.5</v>
      </c>
      <c r="Y24" s="34">
        <f t="shared" si="16"/>
        <v>21.5</v>
      </c>
      <c r="Z24" s="34">
        <f t="shared" si="16"/>
        <v>2.5</v>
      </c>
      <c r="AA24" s="34">
        <f t="shared" si="16"/>
        <v>0</v>
      </c>
      <c r="AB24" s="34">
        <f t="shared" si="16"/>
        <v>0</v>
      </c>
      <c r="AC24" s="34">
        <f t="shared" si="16"/>
        <v>351</v>
      </c>
      <c r="AD24" s="34">
        <f t="shared" si="16"/>
        <v>0</v>
      </c>
      <c r="AE24" s="31">
        <f t="shared" si="16"/>
        <v>347</v>
      </c>
      <c r="AF24" s="31">
        <f t="shared" si="16"/>
        <v>698</v>
      </c>
    </row>
    <row r="25" spans="2:32" ht="23.1" customHeight="1" x14ac:dyDescent="0.25">
      <c r="B25" s="23" t="s">
        <v>52</v>
      </c>
      <c r="C25" s="49">
        <f>AVERAGE('22.07 Kibuye-Makindye'!C25,'23.07 Kibuye-Makindye'!C25,'24.07 Kibuye-Makindye'!C25,'25.07 Kibuye-Makindye'!C25,'26.07 Kibuye-Makindye-24h'!C25,'27.07 Kibuye-Makindye-24h'!C25,'28.07 Kibuye-Makindye'!C25)</f>
        <v>39.285714285714285</v>
      </c>
      <c r="D25" s="49">
        <f>AVERAGE('22.07 Kibuye-Makindye'!D25,'23.07 Kibuye-Makindye'!D25,'24.07 Kibuye-Makindye'!D25,'25.07 Kibuye-Makindye'!D25,'26.07 Kibuye-Makindye-24h'!D25,'27.07 Kibuye-Makindye-24h'!D25,'28.07 Kibuye-Makindye'!D25)</f>
        <v>16.142857142857142</v>
      </c>
      <c r="E25" s="49">
        <f>AVERAGE('22.07 Kibuye-Makindye'!E25,'23.07 Kibuye-Makindye'!E25,'24.07 Kibuye-Makindye'!E25,'25.07 Kibuye-Makindye'!E25,'26.07 Kibuye-Makindye-24h'!E25,'27.07 Kibuye-Makindye-24h'!E25,'28.07 Kibuye-Makindye'!E25)</f>
        <v>6.8571428571428568</v>
      </c>
      <c r="F25" s="49">
        <f>AVERAGE('22.07 Kibuye-Makindye'!F25,'23.07 Kibuye-Makindye'!F25,'24.07 Kibuye-Makindye'!F25,'25.07 Kibuye-Makindye'!F25,'26.07 Kibuye-Makindye-24h'!F25,'27.07 Kibuye-Makindye-24h'!F25,'28.07 Kibuye-Makindye'!F25)</f>
        <v>26.285714285714285</v>
      </c>
      <c r="G25" s="49">
        <f>AVERAGE('22.07 Kibuye-Makindye'!G25,'23.07 Kibuye-Makindye'!G25,'24.07 Kibuye-Makindye'!G25,'25.07 Kibuye-Makindye'!G25,'26.07 Kibuye-Makindye-24h'!G25,'27.07 Kibuye-Makindye-24h'!G25,'28.07 Kibuye-Makindye'!G25)</f>
        <v>0.2857142857142857</v>
      </c>
      <c r="H25" s="49">
        <f>AVERAGE('22.07 Kibuye-Makindye'!H25,'23.07 Kibuye-Makindye'!H25,'24.07 Kibuye-Makindye'!H25,'25.07 Kibuye-Makindye'!H25,'26.07 Kibuye-Makindye-24h'!H25,'27.07 Kibuye-Makindye-24h'!H25,'28.07 Kibuye-Makindye'!H25)</f>
        <v>0</v>
      </c>
      <c r="I25" s="49">
        <f>AVERAGE('22.07 Kibuye-Makindye'!I25,'23.07 Kibuye-Makindye'!I25,'24.07 Kibuye-Makindye'!I25,'25.07 Kibuye-Makindye'!I25,'26.07 Kibuye-Makindye-24h'!I25,'27.07 Kibuye-Makindye-24h'!I25,'28.07 Kibuye-Makindye'!I25)</f>
        <v>3.2857142857142856</v>
      </c>
      <c r="J25" s="49">
        <f>AVERAGE('22.07 Kibuye-Makindye'!J25,'23.07 Kibuye-Makindye'!J25,'24.07 Kibuye-Makindye'!J25,'25.07 Kibuye-Makindye'!J25,'26.07 Kibuye-Makindye-24h'!J25,'27.07 Kibuye-Makindye-24h'!J25,'28.07 Kibuye-Makindye'!J25)</f>
        <v>2.1428571428571428</v>
      </c>
      <c r="K25" s="49">
        <f>AVERAGE('22.07 Kibuye-Makindye'!K25,'23.07 Kibuye-Makindye'!K25,'24.07 Kibuye-Makindye'!K25,'25.07 Kibuye-Makindye'!K25,'26.07 Kibuye-Makindye-24h'!K25,'27.07 Kibuye-Makindye-24h'!K25,'28.07 Kibuye-Makindye'!K25)</f>
        <v>0.7142857142857143</v>
      </c>
      <c r="L25" s="49">
        <f>AVERAGE('22.07 Kibuye-Makindye'!L25,'23.07 Kibuye-Makindye'!L25,'24.07 Kibuye-Makindye'!L25,'25.07 Kibuye-Makindye'!L25,'26.07 Kibuye-Makindye-24h'!L25,'27.07 Kibuye-Makindye-24h'!L25,'28.07 Kibuye-Makindye'!L25)</f>
        <v>0</v>
      </c>
      <c r="M25" s="49">
        <f>AVERAGE('22.07 Kibuye-Makindye'!M25,'23.07 Kibuye-Makindye'!M25,'24.07 Kibuye-Makindye'!M25,'25.07 Kibuye-Makindye'!M25,'26.07 Kibuye-Makindye-24h'!M25,'27.07 Kibuye-Makindye-24h'!M25,'28.07 Kibuye-Makindye'!M25)</f>
        <v>180.14285714285714</v>
      </c>
      <c r="N25" s="49">
        <f>AVERAGE('22.07 Kibuye-Makindye'!N25,'23.07 Kibuye-Makindye'!N25,'24.07 Kibuye-Makindye'!N25,'25.07 Kibuye-Makindye'!N25,'26.07 Kibuye-Makindye-24h'!N25,'27.07 Kibuye-Makindye-24h'!N25,'28.07 Kibuye-Makindye'!N25)</f>
        <v>0</v>
      </c>
      <c r="O25" s="15">
        <f t="shared" si="0"/>
        <v>95</v>
      </c>
      <c r="P25" s="15">
        <f t="shared" si="1"/>
        <v>275.14285714285711</v>
      </c>
      <c r="R25" s="1" t="s">
        <v>150</v>
      </c>
      <c r="S25" s="34">
        <f>SUM(C70:C73)</f>
        <v>130.5</v>
      </c>
      <c r="T25" s="34">
        <f t="shared" ref="T25:AF25" si="17">SUM(D70:D73)</f>
        <v>39</v>
      </c>
      <c r="U25" s="34">
        <f t="shared" si="17"/>
        <v>20.5</v>
      </c>
      <c r="V25" s="34">
        <f t="shared" si="17"/>
        <v>17.5</v>
      </c>
      <c r="W25" s="34">
        <f t="shared" si="17"/>
        <v>0.5</v>
      </c>
      <c r="X25" s="34">
        <f t="shared" si="17"/>
        <v>1.5</v>
      </c>
      <c r="Y25" s="34">
        <f t="shared" si="17"/>
        <v>8.5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269</v>
      </c>
      <c r="AD25" s="34">
        <f t="shared" si="17"/>
        <v>0</v>
      </c>
      <c r="AE25" s="31">
        <f t="shared" si="17"/>
        <v>219</v>
      </c>
      <c r="AF25" s="31">
        <f t="shared" si="17"/>
        <v>488</v>
      </c>
    </row>
    <row r="26" spans="2:32" ht="23.1" customHeight="1" x14ac:dyDescent="0.25">
      <c r="B26" s="23" t="s">
        <v>53</v>
      </c>
      <c r="C26" s="49">
        <f>AVERAGE('22.07 Kibuye-Makindye'!C26,'23.07 Kibuye-Makindye'!C26,'24.07 Kibuye-Makindye'!C26,'25.07 Kibuye-Makindye'!C26,'26.07 Kibuye-Makindye-24h'!C26,'27.07 Kibuye-Makindye-24h'!C26,'28.07 Kibuye-Makindye'!C26)</f>
        <v>48.857142857142854</v>
      </c>
      <c r="D26" s="49">
        <f>AVERAGE('22.07 Kibuye-Makindye'!D26,'23.07 Kibuye-Makindye'!D26,'24.07 Kibuye-Makindye'!D26,'25.07 Kibuye-Makindye'!D26,'26.07 Kibuye-Makindye-24h'!D26,'27.07 Kibuye-Makindye-24h'!D26,'28.07 Kibuye-Makindye'!D26)</f>
        <v>13</v>
      </c>
      <c r="E26" s="49">
        <f>AVERAGE('22.07 Kibuye-Makindye'!E26,'23.07 Kibuye-Makindye'!E26,'24.07 Kibuye-Makindye'!E26,'25.07 Kibuye-Makindye'!E26,'26.07 Kibuye-Makindye-24h'!E26,'27.07 Kibuye-Makindye-24h'!E26,'28.07 Kibuye-Makindye'!E26)</f>
        <v>6.5714285714285712</v>
      </c>
      <c r="F26" s="49">
        <f>AVERAGE('22.07 Kibuye-Makindye'!F26,'23.07 Kibuye-Makindye'!F26,'24.07 Kibuye-Makindye'!F26,'25.07 Kibuye-Makindye'!F26,'26.07 Kibuye-Makindye-24h'!F26,'27.07 Kibuye-Makindye-24h'!F26,'28.07 Kibuye-Makindye'!F26)</f>
        <v>24.142857142857142</v>
      </c>
      <c r="G26" s="49">
        <f>AVERAGE('22.07 Kibuye-Makindye'!G26,'23.07 Kibuye-Makindye'!G26,'24.07 Kibuye-Makindye'!G26,'25.07 Kibuye-Makindye'!G26,'26.07 Kibuye-Makindye-24h'!G26,'27.07 Kibuye-Makindye-24h'!G26,'28.07 Kibuye-Makindye'!G26)</f>
        <v>0.2857142857142857</v>
      </c>
      <c r="H26" s="49">
        <f>AVERAGE('22.07 Kibuye-Makindye'!H26,'23.07 Kibuye-Makindye'!H26,'24.07 Kibuye-Makindye'!H26,'25.07 Kibuye-Makindye'!H26,'26.07 Kibuye-Makindye-24h'!H26,'27.07 Kibuye-Makindye-24h'!H26,'28.07 Kibuye-Makindye'!H26)</f>
        <v>0</v>
      </c>
      <c r="I26" s="49">
        <f>AVERAGE('22.07 Kibuye-Makindye'!I26,'23.07 Kibuye-Makindye'!I26,'24.07 Kibuye-Makindye'!I26,'25.07 Kibuye-Makindye'!I26,'26.07 Kibuye-Makindye-24h'!I26,'27.07 Kibuye-Makindye-24h'!I26,'28.07 Kibuye-Makindye'!I26)</f>
        <v>2.2857142857142856</v>
      </c>
      <c r="J26" s="49">
        <f>AVERAGE('22.07 Kibuye-Makindye'!J26,'23.07 Kibuye-Makindye'!J26,'24.07 Kibuye-Makindye'!J26,'25.07 Kibuye-Makindye'!J26,'26.07 Kibuye-Makindye-24h'!J26,'27.07 Kibuye-Makindye-24h'!J26,'28.07 Kibuye-Makindye'!J26)</f>
        <v>1.8571428571428572</v>
      </c>
      <c r="K26" s="49">
        <f>AVERAGE('22.07 Kibuye-Makindye'!K26,'23.07 Kibuye-Makindye'!K26,'24.07 Kibuye-Makindye'!K26,'25.07 Kibuye-Makindye'!K26,'26.07 Kibuye-Makindye-24h'!K26,'27.07 Kibuye-Makindye-24h'!K26,'28.07 Kibuye-Makindye'!K26)</f>
        <v>1.1428571428571428</v>
      </c>
      <c r="L26" s="49">
        <f>AVERAGE('22.07 Kibuye-Makindye'!L26,'23.07 Kibuye-Makindye'!L26,'24.07 Kibuye-Makindye'!L26,'25.07 Kibuye-Makindye'!L26,'26.07 Kibuye-Makindye-24h'!L26,'27.07 Kibuye-Makindye-24h'!L26,'28.07 Kibuye-Makindye'!L26)</f>
        <v>0.14285714285714285</v>
      </c>
      <c r="M26" s="49">
        <f>AVERAGE('22.07 Kibuye-Makindye'!M26,'23.07 Kibuye-Makindye'!M26,'24.07 Kibuye-Makindye'!M26,'25.07 Kibuye-Makindye'!M26,'26.07 Kibuye-Makindye-24h'!M26,'27.07 Kibuye-Makindye-24h'!M26,'28.07 Kibuye-Makindye'!M26)</f>
        <v>178</v>
      </c>
      <c r="N26" s="49">
        <f>AVERAGE('22.07 Kibuye-Makindye'!N26,'23.07 Kibuye-Makindye'!N26,'24.07 Kibuye-Makindye'!N26,'25.07 Kibuye-Makindye'!N26,'26.07 Kibuye-Makindye-24h'!N26,'27.07 Kibuye-Makindye-24h'!N26,'28.07 Kibuye-Makindye'!N26)</f>
        <v>0</v>
      </c>
      <c r="O26" s="15">
        <f t="shared" si="0"/>
        <v>98.285714285714292</v>
      </c>
      <c r="P26" s="15">
        <f t="shared" si="1"/>
        <v>276.28571428571428</v>
      </c>
      <c r="R26" s="1" t="s">
        <v>151</v>
      </c>
      <c r="S26" s="34">
        <f>SUM(C74:C77)</f>
        <v>133.5</v>
      </c>
      <c r="T26" s="34">
        <f t="shared" ref="T26:AF26" si="18">SUM(D74:D77)</f>
        <v>55.5</v>
      </c>
      <c r="U26" s="34">
        <f t="shared" si="18"/>
        <v>18.5</v>
      </c>
      <c r="V26" s="34">
        <f t="shared" si="18"/>
        <v>11.5</v>
      </c>
      <c r="W26" s="34">
        <f t="shared" si="18"/>
        <v>0</v>
      </c>
      <c r="X26" s="34">
        <f t="shared" si="18"/>
        <v>0</v>
      </c>
      <c r="Y26" s="34">
        <f t="shared" si="18"/>
        <v>8.5</v>
      </c>
      <c r="Z26" s="34">
        <f t="shared" si="18"/>
        <v>1.5</v>
      </c>
      <c r="AA26" s="34">
        <f t="shared" si="18"/>
        <v>0</v>
      </c>
      <c r="AB26" s="34">
        <f t="shared" si="18"/>
        <v>0</v>
      </c>
      <c r="AC26" s="34">
        <f t="shared" si="18"/>
        <v>222.5</v>
      </c>
      <c r="AD26" s="34">
        <f t="shared" si="18"/>
        <v>0</v>
      </c>
      <c r="AE26" s="31">
        <f t="shared" si="18"/>
        <v>229</v>
      </c>
      <c r="AF26" s="31">
        <f t="shared" si="18"/>
        <v>451.5</v>
      </c>
    </row>
    <row r="27" spans="2:32" ht="23.1" customHeight="1" x14ac:dyDescent="0.25">
      <c r="B27" s="23" t="s">
        <v>54</v>
      </c>
      <c r="C27" s="49">
        <f>AVERAGE('22.07 Kibuye-Makindye'!C27,'23.07 Kibuye-Makindye'!C27,'24.07 Kibuye-Makindye'!C27,'25.07 Kibuye-Makindye'!C27,'26.07 Kibuye-Makindye-24h'!C27,'27.07 Kibuye-Makindye-24h'!C27,'28.07 Kibuye-Makindye'!C27)</f>
        <v>45.857142857142854</v>
      </c>
      <c r="D27" s="49">
        <f>AVERAGE('22.07 Kibuye-Makindye'!D27,'23.07 Kibuye-Makindye'!D27,'24.07 Kibuye-Makindye'!D27,'25.07 Kibuye-Makindye'!D27,'26.07 Kibuye-Makindye-24h'!D27,'27.07 Kibuye-Makindye-24h'!D27,'28.07 Kibuye-Makindye'!D27)</f>
        <v>15.571428571428571</v>
      </c>
      <c r="E27" s="49">
        <f>AVERAGE('22.07 Kibuye-Makindye'!E27,'23.07 Kibuye-Makindye'!E27,'24.07 Kibuye-Makindye'!E27,'25.07 Kibuye-Makindye'!E27,'26.07 Kibuye-Makindye-24h'!E27,'27.07 Kibuye-Makindye-24h'!E27,'28.07 Kibuye-Makindye'!E27)</f>
        <v>6.7142857142857144</v>
      </c>
      <c r="F27" s="49">
        <f>AVERAGE('22.07 Kibuye-Makindye'!F27,'23.07 Kibuye-Makindye'!F27,'24.07 Kibuye-Makindye'!F27,'25.07 Kibuye-Makindye'!F27,'26.07 Kibuye-Makindye-24h'!F27,'27.07 Kibuye-Makindye-24h'!F27,'28.07 Kibuye-Makindye'!F27)</f>
        <v>22.285714285714285</v>
      </c>
      <c r="G27" s="49">
        <f>AVERAGE('22.07 Kibuye-Makindye'!G27,'23.07 Kibuye-Makindye'!G27,'24.07 Kibuye-Makindye'!G27,'25.07 Kibuye-Makindye'!G27,'26.07 Kibuye-Makindye-24h'!G27,'27.07 Kibuye-Makindye-24h'!G27,'28.07 Kibuye-Makindye'!G27)</f>
        <v>0</v>
      </c>
      <c r="H27" s="49">
        <f>AVERAGE('22.07 Kibuye-Makindye'!H27,'23.07 Kibuye-Makindye'!H27,'24.07 Kibuye-Makindye'!H27,'25.07 Kibuye-Makindye'!H27,'26.07 Kibuye-Makindye-24h'!H27,'27.07 Kibuye-Makindye-24h'!H27,'28.07 Kibuye-Makindye'!H27)</f>
        <v>0</v>
      </c>
      <c r="I27" s="49">
        <f>AVERAGE('22.07 Kibuye-Makindye'!I27,'23.07 Kibuye-Makindye'!I27,'24.07 Kibuye-Makindye'!I27,'25.07 Kibuye-Makindye'!I27,'26.07 Kibuye-Makindye-24h'!I27,'27.07 Kibuye-Makindye-24h'!I27,'28.07 Kibuye-Makindye'!I27)</f>
        <v>2.4285714285714284</v>
      </c>
      <c r="J27" s="49">
        <f>AVERAGE('22.07 Kibuye-Makindye'!J27,'23.07 Kibuye-Makindye'!J27,'24.07 Kibuye-Makindye'!J27,'25.07 Kibuye-Makindye'!J27,'26.07 Kibuye-Makindye-24h'!J27,'27.07 Kibuye-Makindye-24h'!J27,'28.07 Kibuye-Makindye'!J27)</f>
        <v>2.7142857142857144</v>
      </c>
      <c r="K27" s="49">
        <f>AVERAGE('22.07 Kibuye-Makindye'!K27,'23.07 Kibuye-Makindye'!K27,'24.07 Kibuye-Makindye'!K27,'25.07 Kibuye-Makindye'!K27,'26.07 Kibuye-Makindye-24h'!K27,'27.07 Kibuye-Makindye-24h'!K27,'28.07 Kibuye-Makindye'!K27)</f>
        <v>0.5714285714285714</v>
      </c>
      <c r="L27" s="49">
        <f>AVERAGE('22.07 Kibuye-Makindye'!L27,'23.07 Kibuye-Makindye'!L27,'24.07 Kibuye-Makindye'!L27,'25.07 Kibuye-Makindye'!L27,'26.07 Kibuye-Makindye-24h'!L27,'27.07 Kibuye-Makindye-24h'!L27,'28.07 Kibuye-Makindye'!L27)</f>
        <v>0.14285714285714285</v>
      </c>
      <c r="M27" s="49">
        <f>AVERAGE('22.07 Kibuye-Makindye'!M27,'23.07 Kibuye-Makindye'!M27,'24.07 Kibuye-Makindye'!M27,'25.07 Kibuye-Makindye'!M27,'26.07 Kibuye-Makindye-24h'!M27,'27.07 Kibuye-Makindye-24h'!M27,'28.07 Kibuye-Makindye'!M27)</f>
        <v>173.28571428571428</v>
      </c>
      <c r="N27" s="49">
        <f>AVERAGE('22.07 Kibuye-Makindye'!N27,'23.07 Kibuye-Makindye'!N27,'24.07 Kibuye-Makindye'!N27,'25.07 Kibuye-Makindye'!N27,'26.07 Kibuye-Makindye-24h'!N27,'27.07 Kibuye-Makindye-24h'!N27,'28.07 Kibuye-Makindye'!N27)</f>
        <v>0</v>
      </c>
      <c r="O27" s="15">
        <f t="shared" si="0"/>
        <v>96.285714285714263</v>
      </c>
      <c r="P27" s="15">
        <f t="shared" si="1"/>
        <v>269.57142857142856</v>
      </c>
      <c r="R27" s="1" t="s">
        <v>152</v>
      </c>
      <c r="S27" s="34">
        <f>SUM(C78:C81)</f>
        <v>81</v>
      </c>
      <c r="T27" s="34">
        <f t="shared" ref="T27:AF27" si="19">SUM(D78:D81)</f>
        <v>25.5</v>
      </c>
      <c r="U27" s="34">
        <f t="shared" si="19"/>
        <v>5.5</v>
      </c>
      <c r="V27" s="34">
        <f t="shared" si="19"/>
        <v>9</v>
      </c>
      <c r="W27" s="34">
        <f t="shared" si="19"/>
        <v>0</v>
      </c>
      <c r="X27" s="34">
        <f t="shared" si="19"/>
        <v>2</v>
      </c>
      <c r="Y27" s="34">
        <f t="shared" si="19"/>
        <v>4.5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170.5</v>
      </c>
      <c r="AD27" s="34">
        <f t="shared" si="19"/>
        <v>0</v>
      </c>
      <c r="AE27" s="31">
        <f t="shared" si="19"/>
        <v>127.5</v>
      </c>
      <c r="AF27" s="31">
        <f t="shared" si="19"/>
        <v>298</v>
      </c>
    </row>
    <row r="28" spans="2:32" ht="23.1" customHeight="1" x14ac:dyDescent="0.25">
      <c r="B28" s="23" t="s">
        <v>55</v>
      </c>
      <c r="C28" s="49">
        <f>AVERAGE('22.07 Kibuye-Makindye'!C28,'23.07 Kibuye-Makindye'!C28,'24.07 Kibuye-Makindye'!C28,'25.07 Kibuye-Makindye'!C28,'26.07 Kibuye-Makindye-24h'!C28,'27.07 Kibuye-Makindye-24h'!C28,'28.07 Kibuye-Makindye'!C28)</f>
        <v>54.714285714285715</v>
      </c>
      <c r="D28" s="49">
        <f>AVERAGE('22.07 Kibuye-Makindye'!D28,'23.07 Kibuye-Makindye'!D28,'24.07 Kibuye-Makindye'!D28,'25.07 Kibuye-Makindye'!D28,'26.07 Kibuye-Makindye-24h'!D28,'27.07 Kibuye-Makindye-24h'!D28,'28.07 Kibuye-Makindye'!D28)</f>
        <v>17.142857142857142</v>
      </c>
      <c r="E28" s="49">
        <f>AVERAGE('22.07 Kibuye-Makindye'!E28,'23.07 Kibuye-Makindye'!E28,'24.07 Kibuye-Makindye'!E28,'25.07 Kibuye-Makindye'!E28,'26.07 Kibuye-Makindye-24h'!E28,'27.07 Kibuye-Makindye-24h'!E28,'28.07 Kibuye-Makindye'!E28)</f>
        <v>8.2857142857142865</v>
      </c>
      <c r="F28" s="49">
        <f>AVERAGE('22.07 Kibuye-Makindye'!F28,'23.07 Kibuye-Makindye'!F28,'24.07 Kibuye-Makindye'!F28,'25.07 Kibuye-Makindye'!F28,'26.07 Kibuye-Makindye-24h'!F28,'27.07 Kibuye-Makindye-24h'!F28,'28.07 Kibuye-Makindye'!F28)</f>
        <v>22.142857142857142</v>
      </c>
      <c r="G28" s="49">
        <f>AVERAGE('22.07 Kibuye-Makindye'!G28,'23.07 Kibuye-Makindye'!G28,'24.07 Kibuye-Makindye'!G28,'25.07 Kibuye-Makindye'!G28,'26.07 Kibuye-Makindye-24h'!G28,'27.07 Kibuye-Makindye-24h'!G28,'28.07 Kibuye-Makindye'!G28)</f>
        <v>0.2857142857142857</v>
      </c>
      <c r="H28" s="49">
        <f>AVERAGE('22.07 Kibuye-Makindye'!H28,'23.07 Kibuye-Makindye'!H28,'24.07 Kibuye-Makindye'!H28,'25.07 Kibuye-Makindye'!H28,'26.07 Kibuye-Makindye-24h'!H28,'27.07 Kibuye-Makindye-24h'!H28,'28.07 Kibuye-Makindye'!H28)</f>
        <v>0</v>
      </c>
      <c r="I28" s="49">
        <f>AVERAGE('22.07 Kibuye-Makindye'!I28,'23.07 Kibuye-Makindye'!I28,'24.07 Kibuye-Makindye'!I28,'25.07 Kibuye-Makindye'!I28,'26.07 Kibuye-Makindye-24h'!I28,'27.07 Kibuye-Makindye-24h'!I28,'28.07 Kibuye-Makindye'!I28)</f>
        <v>2.5714285714285716</v>
      </c>
      <c r="J28" s="49">
        <f>AVERAGE('22.07 Kibuye-Makindye'!J28,'23.07 Kibuye-Makindye'!J28,'24.07 Kibuye-Makindye'!J28,'25.07 Kibuye-Makindye'!J28,'26.07 Kibuye-Makindye-24h'!J28,'27.07 Kibuye-Makindye-24h'!J28,'28.07 Kibuye-Makindye'!J28)</f>
        <v>2.4285714285714284</v>
      </c>
      <c r="K28" s="49">
        <f>AVERAGE('22.07 Kibuye-Makindye'!K28,'23.07 Kibuye-Makindye'!K28,'24.07 Kibuye-Makindye'!K28,'25.07 Kibuye-Makindye'!K28,'26.07 Kibuye-Makindye-24h'!K28,'27.07 Kibuye-Makindye-24h'!K28,'28.07 Kibuye-Makindye'!K28)</f>
        <v>0.5714285714285714</v>
      </c>
      <c r="L28" s="49">
        <f>AVERAGE('22.07 Kibuye-Makindye'!L28,'23.07 Kibuye-Makindye'!L28,'24.07 Kibuye-Makindye'!L28,'25.07 Kibuye-Makindye'!L28,'26.07 Kibuye-Makindye-24h'!L28,'27.07 Kibuye-Makindye-24h'!L28,'28.07 Kibuye-Makindye'!L28)</f>
        <v>0.14285714285714285</v>
      </c>
      <c r="M28" s="49">
        <f>AVERAGE('22.07 Kibuye-Makindye'!M28,'23.07 Kibuye-Makindye'!M28,'24.07 Kibuye-Makindye'!M28,'25.07 Kibuye-Makindye'!M28,'26.07 Kibuye-Makindye-24h'!M28,'27.07 Kibuye-Makindye-24h'!M28,'28.07 Kibuye-Makindye'!M28)</f>
        <v>186.28571428571428</v>
      </c>
      <c r="N28" s="49">
        <f>AVERAGE('22.07 Kibuye-Makindye'!N28,'23.07 Kibuye-Makindye'!N28,'24.07 Kibuye-Makindye'!N28,'25.07 Kibuye-Makindye'!N28,'26.07 Kibuye-Makindye-24h'!N28,'27.07 Kibuye-Makindye-24h'!N28,'28.07 Kibuye-Makindye'!N28)</f>
        <v>0</v>
      </c>
      <c r="O28" s="15">
        <f t="shared" si="0"/>
        <v>108.28571428571429</v>
      </c>
      <c r="P28" s="15">
        <f t="shared" si="1"/>
        <v>294.57142857142856</v>
      </c>
      <c r="R28" s="1" t="s">
        <v>153</v>
      </c>
      <c r="S28" s="34">
        <f>SUM(C82:C85)</f>
        <v>67</v>
      </c>
      <c r="T28" s="34">
        <f t="shared" ref="T28:AF28" si="20">SUM(D82:D85)</f>
        <v>12</v>
      </c>
      <c r="U28" s="34">
        <f t="shared" si="20"/>
        <v>1</v>
      </c>
      <c r="V28" s="34">
        <f t="shared" si="20"/>
        <v>3.5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0.5</v>
      </c>
      <c r="AA28" s="34">
        <f t="shared" si="20"/>
        <v>0.5</v>
      </c>
      <c r="AB28" s="34">
        <f t="shared" si="20"/>
        <v>0.5</v>
      </c>
      <c r="AC28" s="34">
        <f t="shared" si="20"/>
        <v>135</v>
      </c>
      <c r="AD28" s="34">
        <f t="shared" si="20"/>
        <v>0</v>
      </c>
      <c r="AE28" s="31">
        <f t="shared" si="20"/>
        <v>88</v>
      </c>
      <c r="AF28" s="31">
        <f t="shared" si="20"/>
        <v>223</v>
      </c>
    </row>
    <row r="29" spans="2:32" ht="23.1" customHeight="1" x14ac:dyDescent="0.25">
      <c r="B29" s="23" t="s">
        <v>56</v>
      </c>
      <c r="C29" s="49">
        <f>AVERAGE('22.07 Kibuye-Makindye'!C29,'23.07 Kibuye-Makindye'!C29,'24.07 Kibuye-Makindye'!C29,'25.07 Kibuye-Makindye'!C29,'26.07 Kibuye-Makindye-24h'!C29,'27.07 Kibuye-Makindye-24h'!C29,'28.07 Kibuye-Makindye'!C29)</f>
        <v>52</v>
      </c>
      <c r="D29" s="49">
        <f>AVERAGE('22.07 Kibuye-Makindye'!D29,'23.07 Kibuye-Makindye'!D29,'24.07 Kibuye-Makindye'!D29,'25.07 Kibuye-Makindye'!D29,'26.07 Kibuye-Makindye-24h'!D29,'27.07 Kibuye-Makindye-24h'!D29,'28.07 Kibuye-Makindye'!D29)</f>
        <v>12.857142857142858</v>
      </c>
      <c r="E29" s="49">
        <f>AVERAGE('22.07 Kibuye-Makindye'!E29,'23.07 Kibuye-Makindye'!E29,'24.07 Kibuye-Makindye'!E29,'25.07 Kibuye-Makindye'!E29,'26.07 Kibuye-Makindye-24h'!E29,'27.07 Kibuye-Makindye-24h'!E29,'28.07 Kibuye-Makindye'!E29)</f>
        <v>7.7142857142857144</v>
      </c>
      <c r="F29" s="49">
        <f>AVERAGE('22.07 Kibuye-Makindye'!F29,'23.07 Kibuye-Makindye'!F29,'24.07 Kibuye-Makindye'!F29,'25.07 Kibuye-Makindye'!F29,'26.07 Kibuye-Makindye-24h'!F29,'27.07 Kibuye-Makindye-24h'!F29,'28.07 Kibuye-Makindye'!F29)</f>
        <v>23.571428571428573</v>
      </c>
      <c r="G29" s="49">
        <f>AVERAGE('22.07 Kibuye-Makindye'!G29,'23.07 Kibuye-Makindye'!G29,'24.07 Kibuye-Makindye'!G29,'25.07 Kibuye-Makindye'!G29,'26.07 Kibuye-Makindye-24h'!G29,'27.07 Kibuye-Makindye-24h'!G29,'28.07 Kibuye-Makindye'!G29)</f>
        <v>0.2857142857142857</v>
      </c>
      <c r="H29" s="49">
        <f>AVERAGE('22.07 Kibuye-Makindye'!H29,'23.07 Kibuye-Makindye'!H29,'24.07 Kibuye-Makindye'!H29,'25.07 Kibuye-Makindye'!H29,'26.07 Kibuye-Makindye-24h'!H29,'27.07 Kibuye-Makindye-24h'!H29,'28.07 Kibuye-Makindye'!H29)</f>
        <v>0</v>
      </c>
      <c r="I29" s="49">
        <f>AVERAGE('22.07 Kibuye-Makindye'!I29,'23.07 Kibuye-Makindye'!I29,'24.07 Kibuye-Makindye'!I29,'25.07 Kibuye-Makindye'!I29,'26.07 Kibuye-Makindye-24h'!I29,'27.07 Kibuye-Makindye-24h'!I29,'28.07 Kibuye-Makindye'!I29)</f>
        <v>1.5714285714285714</v>
      </c>
      <c r="J29" s="49">
        <f>AVERAGE('22.07 Kibuye-Makindye'!J29,'23.07 Kibuye-Makindye'!J29,'24.07 Kibuye-Makindye'!J29,'25.07 Kibuye-Makindye'!J29,'26.07 Kibuye-Makindye-24h'!J29,'27.07 Kibuye-Makindye-24h'!J29,'28.07 Kibuye-Makindye'!J29)</f>
        <v>2.5714285714285716</v>
      </c>
      <c r="K29" s="49">
        <f>AVERAGE('22.07 Kibuye-Makindye'!K29,'23.07 Kibuye-Makindye'!K29,'24.07 Kibuye-Makindye'!K29,'25.07 Kibuye-Makindye'!K29,'26.07 Kibuye-Makindye-24h'!K29,'27.07 Kibuye-Makindye-24h'!K29,'28.07 Kibuye-Makindye'!K29)</f>
        <v>0.8571428571428571</v>
      </c>
      <c r="L29" s="49">
        <f>AVERAGE('22.07 Kibuye-Makindye'!L29,'23.07 Kibuye-Makindye'!L29,'24.07 Kibuye-Makindye'!L29,'25.07 Kibuye-Makindye'!L29,'26.07 Kibuye-Makindye-24h'!L29,'27.07 Kibuye-Makindye-24h'!L29,'28.07 Kibuye-Makindye'!L29)</f>
        <v>0.14285714285714285</v>
      </c>
      <c r="M29" s="49">
        <f>AVERAGE('22.07 Kibuye-Makindye'!M29,'23.07 Kibuye-Makindye'!M29,'24.07 Kibuye-Makindye'!M29,'25.07 Kibuye-Makindye'!M29,'26.07 Kibuye-Makindye-24h'!M29,'27.07 Kibuye-Makindye-24h'!M29,'28.07 Kibuye-Makindye'!M29)</f>
        <v>205.71428571428572</v>
      </c>
      <c r="N29" s="49">
        <f>AVERAGE('22.07 Kibuye-Makindye'!N29,'23.07 Kibuye-Makindye'!N29,'24.07 Kibuye-Makindye'!N29,'25.07 Kibuye-Makindye'!N29,'26.07 Kibuye-Makindye-24h'!N29,'27.07 Kibuye-Makindye-24h'!N29,'28.07 Kibuye-Makindye'!N29)</f>
        <v>0</v>
      </c>
      <c r="O29" s="15">
        <f t="shared" si="0"/>
        <v>101.57142857142857</v>
      </c>
      <c r="P29" s="15">
        <f t="shared" si="1"/>
        <v>307.28571428571428</v>
      </c>
      <c r="R29" s="1" t="s">
        <v>154</v>
      </c>
      <c r="S29" s="34">
        <f>SUM(C86:C89)</f>
        <v>70.5</v>
      </c>
      <c r="T29" s="34">
        <f t="shared" ref="T29:AF29" si="21">SUM(D86:D89)</f>
        <v>9.5</v>
      </c>
      <c r="U29" s="34">
        <f t="shared" si="21"/>
        <v>5.5</v>
      </c>
      <c r="V29" s="34">
        <f t="shared" si="21"/>
        <v>4.5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1.5</v>
      </c>
      <c r="AA29" s="34">
        <f t="shared" si="21"/>
        <v>1</v>
      </c>
      <c r="AB29" s="34">
        <f t="shared" si="21"/>
        <v>0</v>
      </c>
      <c r="AC29" s="34">
        <f t="shared" si="21"/>
        <v>129.5</v>
      </c>
      <c r="AD29" s="34">
        <f t="shared" si="21"/>
        <v>0</v>
      </c>
      <c r="AE29" s="31">
        <f t="shared" si="21"/>
        <v>93.5</v>
      </c>
      <c r="AF29" s="31">
        <f t="shared" si="21"/>
        <v>223</v>
      </c>
    </row>
    <row r="30" spans="2:32" ht="23.1" customHeight="1" x14ac:dyDescent="0.25">
      <c r="B30" s="23" t="s">
        <v>57</v>
      </c>
      <c r="C30" s="49">
        <f>AVERAGE('22.07 Kibuye-Makindye'!C30,'23.07 Kibuye-Makindye'!C30,'24.07 Kibuye-Makindye'!C30,'25.07 Kibuye-Makindye'!C30,'26.07 Kibuye-Makindye-24h'!C30,'27.07 Kibuye-Makindye-24h'!C30,'28.07 Kibuye-Makindye'!C30)</f>
        <v>56.285714285714285</v>
      </c>
      <c r="D30" s="49">
        <f>AVERAGE('22.07 Kibuye-Makindye'!D30,'23.07 Kibuye-Makindye'!D30,'24.07 Kibuye-Makindye'!D30,'25.07 Kibuye-Makindye'!D30,'26.07 Kibuye-Makindye-24h'!D30,'27.07 Kibuye-Makindye-24h'!D30,'28.07 Kibuye-Makindye'!D30)</f>
        <v>16.285714285714285</v>
      </c>
      <c r="E30" s="49">
        <f>AVERAGE('22.07 Kibuye-Makindye'!E30,'23.07 Kibuye-Makindye'!E30,'24.07 Kibuye-Makindye'!E30,'25.07 Kibuye-Makindye'!E30,'26.07 Kibuye-Makindye-24h'!E30,'27.07 Kibuye-Makindye-24h'!E30,'28.07 Kibuye-Makindye'!E30)</f>
        <v>7.5714285714285712</v>
      </c>
      <c r="F30" s="49">
        <f>AVERAGE('22.07 Kibuye-Makindye'!F30,'23.07 Kibuye-Makindye'!F30,'24.07 Kibuye-Makindye'!F30,'25.07 Kibuye-Makindye'!F30,'26.07 Kibuye-Makindye-24h'!F30,'27.07 Kibuye-Makindye-24h'!F30,'28.07 Kibuye-Makindye'!F30)</f>
        <v>21.285714285714285</v>
      </c>
      <c r="G30" s="49">
        <f>AVERAGE('22.07 Kibuye-Makindye'!G30,'23.07 Kibuye-Makindye'!G30,'24.07 Kibuye-Makindye'!G30,'25.07 Kibuye-Makindye'!G30,'26.07 Kibuye-Makindye-24h'!G30,'27.07 Kibuye-Makindye-24h'!G30,'28.07 Kibuye-Makindye'!G30)</f>
        <v>0</v>
      </c>
      <c r="H30" s="49">
        <f>AVERAGE('22.07 Kibuye-Makindye'!H30,'23.07 Kibuye-Makindye'!H30,'24.07 Kibuye-Makindye'!H30,'25.07 Kibuye-Makindye'!H30,'26.07 Kibuye-Makindye-24h'!H30,'27.07 Kibuye-Makindye-24h'!H30,'28.07 Kibuye-Makindye'!H30)</f>
        <v>0.14285714285714285</v>
      </c>
      <c r="I30" s="49">
        <f>AVERAGE('22.07 Kibuye-Makindye'!I30,'23.07 Kibuye-Makindye'!I30,'24.07 Kibuye-Makindye'!I30,'25.07 Kibuye-Makindye'!I30,'26.07 Kibuye-Makindye-24h'!I30,'27.07 Kibuye-Makindye-24h'!I30,'28.07 Kibuye-Makindye'!I30)</f>
        <v>3.4285714285714284</v>
      </c>
      <c r="J30" s="49">
        <f>AVERAGE('22.07 Kibuye-Makindye'!J30,'23.07 Kibuye-Makindye'!J30,'24.07 Kibuye-Makindye'!J30,'25.07 Kibuye-Makindye'!J30,'26.07 Kibuye-Makindye-24h'!J30,'27.07 Kibuye-Makindye-24h'!J30,'28.07 Kibuye-Makindye'!J30)</f>
        <v>3.1428571428571428</v>
      </c>
      <c r="K30" s="49">
        <f>AVERAGE('22.07 Kibuye-Makindye'!K30,'23.07 Kibuye-Makindye'!K30,'24.07 Kibuye-Makindye'!K30,'25.07 Kibuye-Makindye'!K30,'26.07 Kibuye-Makindye-24h'!K30,'27.07 Kibuye-Makindye-24h'!K30,'28.07 Kibuye-Makindye'!K30)</f>
        <v>0.8571428571428571</v>
      </c>
      <c r="L30" s="49">
        <f>AVERAGE('22.07 Kibuye-Makindye'!L30,'23.07 Kibuye-Makindye'!L30,'24.07 Kibuye-Makindye'!L30,'25.07 Kibuye-Makindye'!L30,'26.07 Kibuye-Makindye-24h'!L30,'27.07 Kibuye-Makindye-24h'!L30,'28.07 Kibuye-Makindye'!L30)</f>
        <v>0</v>
      </c>
      <c r="M30" s="49">
        <f>AVERAGE('22.07 Kibuye-Makindye'!M30,'23.07 Kibuye-Makindye'!M30,'24.07 Kibuye-Makindye'!M30,'25.07 Kibuye-Makindye'!M30,'26.07 Kibuye-Makindye-24h'!M30,'27.07 Kibuye-Makindye-24h'!M30,'28.07 Kibuye-Makindye'!M30)</f>
        <v>201.85714285714286</v>
      </c>
      <c r="N30" s="49">
        <f>AVERAGE('22.07 Kibuye-Makindye'!N30,'23.07 Kibuye-Makindye'!N30,'24.07 Kibuye-Makindye'!N30,'25.07 Kibuye-Makindye'!N30,'26.07 Kibuye-Makindye-24h'!N30,'27.07 Kibuye-Makindye-24h'!N30,'28.07 Kibuye-Makindye'!N30)</f>
        <v>0</v>
      </c>
      <c r="O30" s="15">
        <f t="shared" si="0"/>
        <v>108.99999999999999</v>
      </c>
      <c r="P30" s="15">
        <f t="shared" si="1"/>
        <v>310.85714285714283</v>
      </c>
      <c r="R30" s="1" t="s">
        <v>155</v>
      </c>
      <c r="S30" s="34">
        <f>SUM(C90:C93)</f>
        <v>39</v>
      </c>
      <c r="T30" s="34">
        <f t="shared" ref="T30:AF30" si="22">SUM(D90:D93)</f>
        <v>10</v>
      </c>
      <c r="U30" s="34">
        <f t="shared" si="22"/>
        <v>2</v>
      </c>
      <c r="V30" s="34">
        <f t="shared" si="22"/>
        <v>3.5</v>
      </c>
      <c r="W30" s="34">
        <f t="shared" si="22"/>
        <v>0</v>
      </c>
      <c r="X30" s="34">
        <f t="shared" si="22"/>
        <v>0</v>
      </c>
      <c r="Y30" s="34">
        <f t="shared" si="22"/>
        <v>4.5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67.5</v>
      </c>
      <c r="AD30" s="34">
        <f t="shared" si="22"/>
        <v>0</v>
      </c>
      <c r="AE30" s="31">
        <f t="shared" si="22"/>
        <v>59</v>
      </c>
      <c r="AF30" s="31">
        <f t="shared" si="22"/>
        <v>126.5</v>
      </c>
    </row>
    <row r="31" spans="2:32" ht="23.1" customHeight="1" x14ac:dyDescent="0.25">
      <c r="B31" s="24" t="s">
        <v>58</v>
      </c>
      <c r="C31" s="49">
        <f>AVERAGE('22.07 Kibuye-Makindye'!C31,'23.07 Kibuye-Makindye'!C31,'24.07 Kibuye-Makindye'!C31,'25.07 Kibuye-Makindye'!C31,'26.07 Kibuye-Makindye-24h'!C31,'27.07 Kibuye-Makindye-24h'!C31,'28.07 Kibuye-Makindye'!C31)</f>
        <v>53.142857142857146</v>
      </c>
      <c r="D31" s="49">
        <f>AVERAGE('22.07 Kibuye-Makindye'!D31,'23.07 Kibuye-Makindye'!D31,'24.07 Kibuye-Makindye'!D31,'25.07 Kibuye-Makindye'!D31,'26.07 Kibuye-Makindye-24h'!D31,'27.07 Kibuye-Makindye-24h'!D31,'28.07 Kibuye-Makindye'!D31)</f>
        <v>13.142857142857142</v>
      </c>
      <c r="E31" s="49">
        <f>AVERAGE('22.07 Kibuye-Makindye'!E31,'23.07 Kibuye-Makindye'!E31,'24.07 Kibuye-Makindye'!E31,'25.07 Kibuye-Makindye'!E31,'26.07 Kibuye-Makindye-24h'!E31,'27.07 Kibuye-Makindye-24h'!E31,'28.07 Kibuye-Makindye'!E31)</f>
        <v>8</v>
      </c>
      <c r="F31" s="49">
        <f>AVERAGE('22.07 Kibuye-Makindye'!F31,'23.07 Kibuye-Makindye'!F31,'24.07 Kibuye-Makindye'!F31,'25.07 Kibuye-Makindye'!F31,'26.07 Kibuye-Makindye-24h'!F31,'27.07 Kibuye-Makindye-24h'!F31,'28.07 Kibuye-Makindye'!F31)</f>
        <v>24.285714285714285</v>
      </c>
      <c r="G31" s="49">
        <f>AVERAGE('22.07 Kibuye-Makindye'!G31,'23.07 Kibuye-Makindye'!G31,'24.07 Kibuye-Makindye'!G31,'25.07 Kibuye-Makindye'!G31,'26.07 Kibuye-Makindye-24h'!G31,'27.07 Kibuye-Makindye-24h'!G31,'28.07 Kibuye-Makindye'!G31)</f>
        <v>0.2857142857142857</v>
      </c>
      <c r="H31" s="49">
        <f>AVERAGE('22.07 Kibuye-Makindye'!H31,'23.07 Kibuye-Makindye'!H31,'24.07 Kibuye-Makindye'!H31,'25.07 Kibuye-Makindye'!H31,'26.07 Kibuye-Makindye-24h'!H31,'27.07 Kibuye-Makindye-24h'!H31,'28.07 Kibuye-Makindye'!H31)</f>
        <v>0.14285714285714285</v>
      </c>
      <c r="I31" s="49">
        <f>AVERAGE('22.07 Kibuye-Makindye'!I31,'23.07 Kibuye-Makindye'!I31,'24.07 Kibuye-Makindye'!I31,'25.07 Kibuye-Makindye'!I31,'26.07 Kibuye-Makindye-24h'!I31,'27.07 Kibuye-Makindye-24h'!I31,'28.07 Kibuye-Makindye'!I31)</f>
        <v>2.7142857142857144</v>
      </c>
      <c r="J31" s="49">
        <f>AVERAGE('22.07 Kibuye-Makindye'!J31,'23.07 Kibuye-Makindye'!J31,'24.07 Kibuye-Makindye'!J31,'25.07 Kibuye-Makindye'!J31,'26.07 Kibuye-Makindye-24h'!J31,'27.07 Kibuye-Makindye-24h'!J31,'28.07 Kibuye-Makindye'!J31)</f>
        <v>2.8571428571428572</v>
      </c>
      <c r="K31" s="49">
        <f>AVERAGE('22.07 Kibuye-Makindye'!K31,'23.07 Kibuye-Makindye'!K31,'24.07 Kibuye-Makindye'!K31,'25.07 Kibuye-Makindye'!K31,'26.07 Kibuye-Makindye-24h'!K31,'27.07 Kibuye-Makindye-24h'!K31,'28.07 Kibuye-Makindye'!K31)</f>
        <v>1</v>
      </c>
      <c r="L31" s="49">
        <f>AVERAGE('22.07 Kibuye-Makindye'!L31,'23.07 Kibuye-Makindye'!L31,'24.07 Kibuye-Makindye'!L31,'25.07 Kibuye-Makindye'!L31,'26.07 Kibuye-Makindye-24h'!L31,'27.07 Kibuye-Makindye-24h'!L31,'28.07 Kibuye-Makindye'!L31)</f>
        <v>0.14285714285714285</v>
      </c>
      <c r="M31" s="49">
        <f>AVERAGE('22.07 Kibuye-Makindye'!M31,'23.07 Kibuye-Makindye'!M31,'24.07 Kibuye-Makindye'!M31,'25.07 Kibuye-Makindye'!M31,'26.07 Kibuye-Makindye-24h'!M31,'27.07 Kibuye-Makindye-24h'!M31,'28.07 Kibuye-Makindye'!M31)</f>
        <v>201.57142857142858</v>
      </c>
      <c r="N31" s="49">
        <f>AVERAGE('22.07 Kibuye-Makindye'!N31,'23.07 Kibuye-Makindye'!N31,'24.07 Kibuye-Makindye'!N31,'25.07 Kibuye-Makindye'!N31,'26.07 Kibuye-Makindye-24h'!N31,'27.07 Kibuye-Makindye-24h'!N31,'28.07 Kibuye-Makindye'!N31)</f>
        <v>0</v>
      </c>
      <c r="O31" s="15">
        <f t="shared" si="0"/>
        <v>105.71428571428572</v>
      </c>
      <c r="P31" s="15">
        <f t="shared" si="1"/>
        <v>307.28571428571433</v>
      </c>
      <c r="R31" s="1" t="s">
        <v>156</v>
      </c>
      <c r="S31" s="34">
        <f>SUM(C94:C97)</f>
        <v>35</v>
      </c>
      <c r="T31" s="34">
        <f t="shared" ref="T31:AF31" si="23">SUM(D94:D97)</f>
        <v>11.5</v>
      </c>
      <c r="U31" s="34">
        <f t="shared" si="23"/>
        <v>3</v>
      </c>
      <c r="V31" s="34">
        <f t="shared" si="23"/>
        <v>1.5</v>
      </c>
      <c r="W31" s="34">
        <f t="shared" si="23"/>
        <v>0</v>
      </c>
      <c r="X31" s="34">
        <f t="shared" si="23"/>
        <v>0</v>
      </c>
      <c r="Y31" s="34">
        <f t="shared" si="23"/>
        <v>4.5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64</v>
      </c>
      <c r="AD31" s="34">
        <f t="shared" si="23"/>
        <v>0</v>
      </c>
      <c r="AE31" s="31">
        <f t="shared" si="23"/>
        <v>56</v>
      </c>
      <c r="AF31" s="31">
        <f t="shared" si="23"/>
        <v>120</v>
      </c>
    </row>
    <row r="32" spans="2:32" ht="23.1" customHeight="1" x14ac:dyDescent="0.25">
      <c r="B32" s="24" t="s">
        <v>59</v>
      </c>
      <c r="C32" s="49">
        <f>AVERAGE('22.07 Kibuye-Makindye'!C32,'23.07 Kibuye-Makindye'!C32,'24.07 Kibuye-Makindye'!C32,'25.07 Kibuye-Makindye'!C32,'26.07 Kibuye-Makindye-24h'!C32,'27.07 Kibuye-Makindye-24h'!C32,'28.07 Kibuye-Makindye'!C32)</f>
        <v>48.285714285714285</v>
      </c>
      <c r="D32" s="49">
        <f>AVERAGE('22.07 Kibuye-Makindye'!D32,'23.07 Kibuye-Makindye'!D32,'24.07 Kibuye-Makindye'!D32,'25.07 Kibuye-Makindye'!D32,'26.07 Kibuye-Makindye-24h'!D32,'27.07 Kibuye-Makindye-24h'!D32,'28.07 Kibuye-Makindye'!D32)</f>
        <v>16.714285714285715</v>
      </c>
      <c r="E32" s="49">
        <f>AVERAGE('22.07 Kibuye-Makindye'!E32,'23.07 Kibuye-Makindye'!E32,'24.07 Kibuye-Makindye'!E32,'25.07 Kibuye-Makindye'!E32,'26.07 Kibuye-Makindye-24h'!E32,'27.07 Kibuye-Makindye-24h'!E32,'28.07 Kibuye-Makindye'!E32)</f>
        <v>7.2857142857142856</v>
      </c>
      <c r="F32" s="49">
        <f>AVERAGE('22.07 Kibuye-Makindye'!F32,'23.07 Kibuye-Makindye'!F32,'24.07 Kibuye-Makindye'!F32,'25.07 Kibuye-Makindye'!F32,'26.07 Kibuye-Makindye-24h'!F32,'27.07 Kibuye-Makindye-24h'!F32,'28.07 Kibuye-Makindye'!F32)</f>
        <v>20.857142857142858</v>
      </c>
      <c r="G32" s="49">
        <f>AVERAGE('22.07 Kibuye-Makindye'!G32,'23.07 Kibuye-Makindye'!G32,'24.07 Kibuye-Makindye'!G32,'25.07 Kibuye-Makindye'!G32,'26.07 Kibuye-Makindye-24h'!G32,'27.07 Kibuye-Makindye-24h'!G32,'28.07 Kibuye-Makindye'!G32)</f>
        <v>0.2857142857142857</v>
      </c>
      <c r="H32" s="49">
        <f>AVERAGE('22.07 Kibuye-Makindye'!H32,'23.07 Kibuye-Makindye'!H32,'24.07 Kibuye-Makindye'!H32,'25.07 Kibuye-Makindye'!H32,'26.07 Kibuye-Makindye-24h'!H32,'27.07 Kibuye-Makindye-24h'!H32,'28.07 Kibuye-Makindye'!H32)</f>
        <v>0</v>
      </c>
      <c r="I32" s="49">
        <f>AVERAGE('22.07 Kibuye-Makindye'!I32,'23.07 Kibuye-Makindye'!I32,'24.07 Kibuye-Makindye'!I32,'25.07 Kibuye-Makindye'!I32,'26.07 Kibuye-Makindye-24h'!I32,'27.07 Kibuye-Makindye-24h'!I32,'28.07 Kibuye-Makindye'!I32)</f>
        <v>1.4285714285714286</v>
      </c>
      <c r="J32" s="49">
        <f>AVERAGE('22.07 Kibuye-Makindye'!J32,'23.07 Kibuye-Makindye'!J32,'24.07 Kibuye-Makindye'!J32,'25.07 Kibuye-Makindye'!J32,'26.07 Kibuye-Makindye-24h'!J32,'27.07 Kibuye-Makindye-24h'!J32,'28.07 Kibuye-Makindye'!J32)</f>
        <v>2.5714285714285716</v>
      </c>
      <c r="K32" s="49">
        <f>AVERAGE('22.07 Kibuye-Makindye'!K32,'23.07 Kibuye-Makindye'!K32,'24.07 Kibuye-Makindye'!K32,'25.07 Kibuye-Makindye'!K32,'26.07 Kibuye-Makindye-24h'!K32,'27.07 Kibuye-Makindye-24h'!K32,'28.07 Kibuye-Makindye'!K32)</f>
        <v>1</v>
      </c>
      <c r="L32" s="49">
        <f>AVERAGE('22.07 Kibuye-Makindye'!L32,'23.07 Kibuye-Makindye'!L32,'24.07 Kibuye-Makindye'!L32,'25.07 Kibuye-Makindye'!L32,'26.07 Kibuye-Makindye-24h'!L32,'27.07 Kibuye-Makindye-24h'!L32,'28.07 Kibuye-Makindye'!L32)</f>
        <v>0</v>
      </c>
      <c r="M32" s="49">
        <f>AVERAGE('22.07 Kibuye-Makindye'!M32,'23.07 Kibuye-Makindye'!M32,'24.07 Kibuye-Makindye'!M32,'25.07 Kibuye-Makindye'!M32,'26.07 Kibuye-Makindye-24h'!M32,'27.07 Kibuye-Makindye-24h'!M32,'28.07 Kibuye-Makindye'!M32)</f>
        <v>193.57142857142858</v>
      </c>
      <c r="N32" s="49">
        <f>AVERAGE('22.07 Kibuye-Makindye'!N32,'23.07 Kibuye-Makindye'!N32,'24.07 Kibuye-Makindye'!N32,'25.07 Kibuye-Makindye'!N32,'26.07 Kibuye-Makindye-24h'!N32,'27.07 Kibuye-Makindye-24h'!N32,'28.07 Kibuye-Makindye'!N32)</f>
        <v>0.14285714285714285</v>
      </c>
      <c r="O32" s="15">
        <f t="shared" si="0"/>
        <v>98.571428571428584</v>
      </c>
      <c r="P32" s="15">
        <f t="shared" si="1"/>
        <v>292.14285714285717</v>
      </c>
      <c r="R32" s="1" t="s">
        <v>157</v>
      </c>
      <c r="S32" s="34">
        <f>SUM(C98:C101)</f>
        <v>23.5</v>
      </c>
      <c r="T32" s="34">
        <f t="shared" ref="T32:AF32" si="24">SUM(D98:D101)</f>
        <v>11.5</v>
      </c>
      <c r="U32" s="34">
        <f t="shared" si="24"/>
        <v>1</v>
      </c>
      <c r="V32" s="34">
        <f t="shared" si="24"/>
        <v>9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0.5</v>
      </c>
      <c r="AC32" s="34">
        <f t="shared" si="24"/>
        <v>82.5</v>
      </c>
      <c r="AD32" s="34">
        <f t="shared" si="24"/>
        <v>0</v>
      </c>
      <c r="AE32" s="31">
        <f t="shared" si="24"/>
        <v>46.5</v>
      </c>
      <c r="AF32" s="31">
        <f t="shared" si="24"/>
        <v>129</v>
      </c>
    </row>
    <row r="33" spans="2:32" ht="23.1" customHeight="1" x14ac:dyDescent="0.25">
      <c r="B33" s="23" t="s">
        <v>60</v>
      </c>
      <c r="C33" s="49">
        <f>AVERAGE('22.07 Kibuye-Makindye'!C33,'23.07 Kibuye-Makindye'!C33,'24.07 Kibuye-Makindye'!C33,'25.07 Kibuye-Makindye'!C33,'26.07 Kibuye-Makindye-24h'!C33,'27.07 Kibuye-Makindye-24h'!C33,'28.07 Kibuye-Makindye'!C33)</f>
        <v>48.285714285714285</v>
      </c>
      <c r="D33" s="49">
        <f>AVERAGE('22.07 Kibuye-Makindye'!D33,'23.07 Kibuye-Makindye'!D33,'24.07 Kibuye-Makindye'!D33,'25.07 Kibuye-Makindye'!D33,'26.07 Kibuye-Makindye-24h'!D33,'27.07 Kibuye-Makindye-24h'!D33,'28.07 Kibuye-Makindye'!D33)</f>
        <v>13.428571428571429</v>
      </c>
      <c r="E33" s="49">
        <f>AVERAGE('22.07 Kibuye-Makindye'!E33,'23.07 Kibuye-Makindye'!E33,'24.07 Kibuye-Makindye'!E33,'25.07 Kibuye-Makindye'!E33,'26.07 Kibuye-Makindye-24h'!E33,'27.07 Kibuye-Makindye-24h'!E33,'28.07 Kibuye-Makindye'!E33)</f>
        <v>4</v>
      </c>
      <c r="F33" s="49">
        <f>AVERAGE('22.07 Kibuye-Makindye'!F33,'23.07 Kibuye-Makindye'!F33,'24.07 Kibuye-Makindye'!F33,'25.07 Kibuye-Makindye'!F33,'26.07 Kibuye-Makindye-24h'!F33,'27.07 Kibuye-Makindye-24h'!F33,'28.07 Kibuye-Makindye'!F33)</f>
        <v>17</v>
      </c>
      <c r="G33" s="49">
        <f>AVERAGE('22.07 Kibuye-Makindye'!G33,'23.07 Kibuye-Makindye'!G33,'24.07 Kibuye-Makindye'!G33,'25.07 Kibuye-Makindye'!G33,'26.07 Kibuye-Makindye-24h'!G33,'27.07 Kibuye-Makindye-24h'!G33,'28.07 Kibuye-Makindye'!G33)</f>
        <v>0</v>
      </c>
      <c r="H33" s="49">
        <f>AVERAGE('22.07 Kibuye-Makindye'!H33,'23.07 Kibuye-Makindye'!H33,'24.07 Kibuye-Makindye'!H33,'25.07 Kibuye-Makindye'!H33,'26.07 Kibuye-Makindye-24h'!H33,'27.07 Kibuye-Makindye-24h'!H33,'28.07 Kibuye-Makindye'!H33)</f>
        <v>0</v>
      </c>
      <c r="I33" s="49">
        <f>AVERAGE('22.07 Kibuye-Makindye'!I33,'23.07 Kibuye-Makindye'!I33,'24.07 Kibuye-Makindye'!I33,'25.07 Kibuye-Makindye'!I33,'26.07 Kibuye-Makindye-24h'!I33,'27.07 Kibuye-Makindye-24h'!I33,'28.07 Kibuye-Makindye'!I33)</f>
        <v>2.8571428571428572</v>
      </c>
      <c r="J33" s="49">
        <f>AVERAGE('22.07 Kibuye-Makindye'!J33,'23.07 Kibuye-Makindye'!J33,'24.07 Kibuye-Makindye'!J33,'25.07 Kibuye-Makindye'!J33,'26.07 Kibuye-Makindye-24h'!J33,'27.07 Kibuye-Makindye-24h'!J33,'28.07 Kibuye-Makindye'!J33)</f>
        <v>2.1428571428571428</v>
      </c>
      <c r="K33" s="49">
        <f>AVERAGE('22.07 Kibuye-Makindye'!K33,'23.07 Kibuye-Makindye'!K33,'24.07 Kibuye-Makindye'!K33,'25.07 Kibuye-Makindye'!K33,'26.07 Kibuye-Makindye-24h'!K33,'27.07 Kibuye-Makindye-24h'!K33,'28.07 Kibuye-Makindye'!K33)</f>
        <v>1.1428571428571428</v>
      </c>
      <c r="L33" s="49">
        <f>AVERAGE('22.07 Kibuye-Makindye'!L33,'23.07 Kibuye-Makindye'!L33,'24.07 Kibuye-Makindye'!L33,'25.07 Kibuye-Makindye'!L33,'26.07 Kibuye-Makindye-24h'!L33,'27.07 Kibuye-Makindye-24h'!L33,'28.07 Kibuye-Makindye'!L33)</f>
        <v>0.2857142857142857</v>
      </c>
      <c r="M33" s="49">
        <f>AVERAGE('22.07 Kibuye-Makindye'!M33,'23.07 Kibuye-Makindye'!M33,'24.07 Kibuye-Makindye'!M33,'25.07 Kibuye-Makindye'!M33,'26.07 Kibuye-Makindye-24h'!M33,'27.07 Kibuye-Makindye-24h'!M33,'28.07 Kibuye-Makindye'!M33)</f>
        <v>166</v>
      </c>
      <c r="N33" s="49">
        <f>AVERAGE('22.07 Kibuye-Makindye'!N33,'23.07 Kibuye-Makindye'!N33,'24.07 Kibuye-Makindye'!N33,'25.07 Kibuye-Makindye'!N33,'26.07 Kibuye-Makindye-24h'!N33,'27.07 Kibuye-Makindye-24h'!N33,'28.07 Kibuye-Makindye'!N33)</f>
        <v>0</v>
      </c>
      <c r="O33" s="15">
        <f t="shared" si="0"/>
        <v>89.142857142857153</v>
      </c>
      <c r="P33" s="15">
        <f t="shared" si="1"/>
        <v>255.14285714285717</v>
      </c>
      <c r="R33" s="1" t="s">
        <v>158</v>
      </c>
      <c r="S33" s="34">
        <f>SUM(C102:C105)</f>
        <v>17.5</v>
      </c>
      <c r="T33" s="34">
        <f t="shared" ref="T33:AF33" si="25">SUM(D102:D105)</f>
        <v>4</v>
      </c>
      <c r="U33" s="34">
        <f t="shared" si="25"/>
        <v>5.5</v>
      </c>
      <c r="V33" s="34">
        <f t="shared" si="25"/>
        <v>15.5</v>
      </c>
      <c r="W33" s="34">
        <f t="shared" si="25"/>
        <v>0</v>
      </c>
      <c r="X33" s="34">
        <f t="shared" si="25"/>
        <v>0</v>
      </c>
      <c r="Y33" s="34">
        <f t="shared" si="25"/>
        <v>3.5</v>
      </c>
      <c r="Z33" s="34">
        <f t="shared" si="25"/>
        <v>0.5</v>
      </c>
      <c r="AA33" s="34">
        <f t="shared" si="25"/>
        <v>2</v>
      </c>
      <c r="AB33" s="34">
        <f t="shared" si="25"/>
        <v>1.5</v>
      </c>
      <c r="AC33" s="34">
        <f t="shared" si="25"/>
        <v>74</v>
      </c>
      <c r="AD33" s="34">
        <f t="shared" si="25"/>
        <v>0</v>
      </c>
      <c r="AE33" s="31">
        <f t="shared" si="25"/>
        <v>50</v>
      </c>
      <c r="AF33" s="31">
        <f t="shared" si="25"/>
        <v>124</v>
      </c>
    </row>
    <row r="34" spans="2:32" ht="23.1" customHeight="1" x14ac:dyDescent="0.25">
      <c r="B34" s="24" t="s">
        <v>61</v>
      </c>
      <c r="C34" s="49">
        <f>AVERAGE('22.07 Kibuye-Makindye'!C34,'23.07 Kibuye-Makindye'!C34,'24.07 Kibuye-Makindye'!C34,'25.07 Kibuye-Makindye'!C34,'26.07 Kibuye-Makindye-24h'!C34,'27.07 Kibuye-Makindye-24h'!C34,'28.07 Kibuye-Makindye'!C34)</f>
        <v>42.285714285714285</v>
      </c>
      <c r="D34" s="49">
        <f>AVERAGE('22.07 Kibuye-Makindye'!D34,'23.07 Kibuye-Makindye'!D34,'24.07 Kibuye-Makindye'!D34,'25.07 Kibuye-Makindye'!D34,'26.07 Kibuye-Makindye-24h'!D34,'27.07 Kibuye-Makindye-24h'!D34,'28.07 Kibuye-Makindye'!D34)</f>
        <v>14.428571428571429</v>
      </c>
      <c r="E34" s="49">
        <f>AVERAGE('22.07 Kibuye-Makindye'!E34,'23.07 Kibuye-Makindye'!E34,'24.07 Kibuye-Makindye'!E34,'25.07 Kibuye-Makindye'!E34,'26.07 Kibuye-Makindye-24h'!E34,'27.07 Kibuye-Makindye-24h'!E34,'28.07 Kibuye-Makindye'!E34)</f>
        <v>7.1428571428571432</v>
      </c>
      <c r="F34" s="49">
        <f>AVERAGE('22.07 Kibuye-Makindye'!F34,'23.07 Kibuye-Makindye'!F34,'24.07 Kibuye-Makindye'!F34,'25.07 Kibuye-Makindye'!F34,'26.07 Kibuye-Makindye-24h'!F34,'27.07 Kibuye-Makindye-24h'!F34,'28.07 Kibuye-Makindye'!F34)</f>
        <v>24</v>
      </c>
      <c r="G34" s="49">
        <f>AVERAGE('22.07 Kibuye-Makindye'!G34,'23.07 Kibuye-Makindye'!G34,'24.07 Kibuye-Makindye'!G34,'25.07 Kibuye-Makindye'!G34,'26.07 Kibuye-Makindye-24h'!G34,'27.07 Kibuye-Makindye-24h'!G34,'28.07 Kibuye-Makindye'!G34)</f>
        <v>0</v>
      </c>
      <c r="H34" s="49">
        <f>AVERAGE('22.07 Kibuye-Makindye'!H34,'23.07 Kibuye-Makindye'!H34,'24.07 Kibuye-Makindye'!H34,'25.07 Kibuye-Makindye'!H34,'26.07 Kibuye-Makindye-24h'!H34,'27.07 Kibuye-Makindye-24h'!H34,'28.07 Kibuye-Makindye'!H34)</f>
        <v>0</v>
      </c>
      <c r="I34" s="49">
        <f>AVERAGE('22.07 Kibuye-Makindye'!I34,'23.07 Kibuye-Makindye'!I34,'24.07 Kibuye-Makindye'!I34,'25.07 Kibuye-Makindye'!I34,'26.07 Kibuye-Makindye-24h'!I34,'27.07 Kibuye-Makindye-24h'!I34,'28.07 Kibuye-Makindye'!I34)</f>
        <v>2.8571428571428572</v>
      </c>
      <c r="J34" s="49">
        <f>AVERAGE('22.07 Kibuye-Makindye'!J34,'23.07 Kibuye-Makindye'!J34,'24.07 Kibuye-Makindye'!J34,'25.07 Kibuye-Makindye'!J34,'26.07 Kibuye-Makindye-24h'!J34,'27.07 Kibuye-Makindye-24h'!J34,'28.07 Kibuye-Makindye'!J34)</f>
        <v>1.5714285714285714</v>
      </c>
      <c r="K34" s="49">
        <f>AVERAGE('22.07 Kibuye-Makindye'!K34,'23.07 Kibuye-Makindye'!K34,'24.07 Kibuye-Makindye'!K34,'25.07 Kibuye-Makindye'!K34,'26.07 Kibuye-Makindye-24h'!K34,'27.07 Kibuye-Makindye-24h'!K34,'28.07 Kibuye-Makindye'!K34)</f>
        <v>0.2857142857142857</v>
      </c>
      <c r="L34" s="49">
        <f>AVERAGE('22.07 Kibuye-Makindye'!L34,'23.07 Kibuye-Makindye'!L34,'24.07 Kibuye-Makindye'!L34,'25.07 Kibuye-Makindye'!L34,'26.07 Kibuye-Makindye-24h'!L34,'27.07 Kibuye-Makindye-24h'!L34,'28.07 Kibuye-Makindye'!L34)</f>
        <v>0</v>
      </c>
      <c r="M34" s="49">
        <f>AVERAGE('22.07 Kibuye-Makindye'!M34,'23.07 Kibuye-Makindye'!M34,'24.07 Kibuye-Makindye'!M34,'25.07 Kibuye-Makindye'!M34,'26.07 Kibuye-Makindye-24h'!M34,'27.07 Kibuye-Makindye-24h'!M34,'28.07 Kibuye-Makindye'!M34)</f>
        <v>191.57142857142858</v>
      </c>
      <c r="N34" s="49">
        <f>AVERAGE('22.07 Kibuye-Makindye'!N34,'23.07 Kibuye-Makindye'!N34,'24.07 Kibuye-Makindye'!N34,'25.07 Kibuye-Makindye'!N34,'26.07 Kibuye-Makindye-24h'!N34,'27.07 Kibuye-Makindye-24h'!N34,'28.07 Kibuye-Makindye'!N34)</f>
        <v>0</v>
      </c>
      <c r="O34" s="15">
        <f t="shared" si="0"/>
        <v>92.571428571428584</v>
      </c>
      <c r="P34" s="15">
        <f t="shared" si="1"/>
        <v>284.14285714285717</v>
      </c>
      <c r="R34" s="38" t="s">
        <v>90</v>
      </c>
      <c r="S34" s="39">
        <f t="shared" ref="S34:AF34" si="26">MAX(S10:S12)</f>
        <v>135</v>
      </c>
      <c r="T34" s="39">
        <f t="shared" si="26"/>
        <v>44.857142857142861</v>
      </c>
      <c r="U34" s="39">
        <f t="shared" si="26"/>
        <v>20.142857142857146</v>
      </c>
      <c r="V34" s="39">
        <f t="shared" si="26"/>
        <v>134.71428571428572</v>
      </c>
      <c r="W34" s="39">
        <f t="shared" si="26"/>
        <v>2.5714285714285712</v>
      </c>
      <c r="X34" s="39">
        <f t="shared" si="26"/>
        <v>0.42857142857142855</v>
      </c>
      <c r="Y34" s="39">
        <f t="shared" si="26"/>
        <v>10.142857142857142</v>
      </c>
      <c r="Z34" s="39">
        <f t="shared" si="26"/>
        <v>9.8571428571428577</v>
      </c>
      <c r="AA34" s="39">
        <f t="shared" si="26"/>
        <v>2.5714285714285716</v>
      </c>
      <c r="AB34" s="39">
        <f t="shared" si="26"/>
        <v>0.2857142857142857</v>
      </c>
      <c r="AC34" s="39">
        <f t="shared" si="26"/>
        <v>797.28571428571433</v>
      </c>
      <c r="AD34" s="39">
        <f t="shared" si="26"/>
        <v>0</v>
      </c>
      <c r="AE34" s="40">
        <f t="shared" si="26"/>
        <v>347.57142857142861</v>
      </c>
      <c r="AF34" s="40">
        <f t="shared" si="26"/>
        <v>1134.4285714285713</v>
      </c>
    </row>
    <row r="35" spans="2:32" ht="23.1" customHeight="1" x14ac:dyDescent="0.25">
      <c r="B35" s="24" t="s">
        <v>62</v>
      </c>
      <c r="C35" s="49">
        <f>AVERAGE('22.07 Kibuye-Makindye'!C35,'23.07 Kibuye-Makindye'!C35,'24.07 Kibuye-Makindye'!C35,'25.07 Kibuye-Makindye'!C35,'26.07 Kibuye-Makindye-24h'!C35,'27.07 Kibuye-Makindye-24h'!C35,'28.07 Kibuye-Makindye'!C35)</f>
        <v>46.857142857142854</v>
      </c>
      <c r="D35" s="49">
        <f>AVERAGE('22.07 Kibuye-Makindye'!D35,'23.07 Kibuye-Makindye'!D35,'24.07 Kibuye-Makindye'!D35,'25.07 Kibuye-Makindye'!D35,'26.07 Kibuye-Makindye-24h'!D35,'27.07 Kibuye-Makindye-24h'!D35,'28.07 Kibuye-Makindye'!D35)</f>
        <v>15.142857142857142</v>
      </c>
      <c r="E35" s="49">
        <f>AVERAGE('22.07 Kibuye-Makindye'!E35,'23.07 Kibuye-Makindye'!E35,'24.07 Kibuye-Makindye'!E35,'25.07 Kibuye-Makindye'!E35,'26.07 Kibuye-Makindye-24h'!E35,'27.07 Kibuye-Makindye-24h'!E35,'28.07 Kibuye-Makindye'!E35)</f>
        <v>7.7142857142857144</v>
      </c>
      <c r="F35" s="49">
        <f>AVERAGE('22.07 Kibuye-Makindye'!F35,'23.07 Kibuye-Makindye'!F35,'24.07 Kibuye-Makindye'!F35,'25.07 Kibuye-Makindye'!F35,'26.07 Kibuye-Makindye-24h'!F35,'27.07 Kibuye-Makindye-24h'!F35,'28.07 Kibuye-Makindye'!F35)</f>
        <v>21.571428571428573</v>
      </c>
      <c r="G35" s="49">
        <f>AVERAGE('22.07 Kibuye-Makindye'!G35,'23.07 Kibuye-Makindye'!G35,'24.07 Kibuye-Makindye'!G35,'25.07 Kibuye-Makindye'!G35,'26.07 Kibuye-Makindye-24h'!G35,'27.07 Kibuye-Makindye-24h'!G35,'28.07 Kibuye-Makindye'!G35)</f>
        <v>0</v>
      </c>
      <c r="H35" s="49">
        <f>AVERAGE('22.07 Kibuye-Makindye'!H35,'23.07 Kibuye-Makindye'!H35,'24.07 Kibuye-Makindye'!H35,'25.07 Kibuye-Makindye'!H35,'26.07 Kibuye-Makindye-24h'!H35,'27.07 Kibuye-Makindye-24h'!H35,'28.07 Kibuye-Makindye'!H35)</f>
        <v>0</v>
      </c>
      <c r="I35" s="49">
        <f>AVERAGE('22.07 Kibuye-Makindye'!I35,'23.07 Kibuye-Makindye'!I35,'24.07 Kibuye-Makindye'!I35,'25.07 Kibuye-Makindye'!I35,'26.07 Kibuye-Makindye-24h'!I35,'27.07 Kibuye-Makindye-24h'!I35,'28.07 Kibuye-Makindye'!I35)</f>
        <v>1</v>
      </c>
      <c r="J35" s="49">
        <f>AVERAGE('22.07 Kibuye-Makindye'!J35,'23.07 Kibuye-Makindye'!J35,'24.07 Kibuye-Makindye'!J35,'25.07 Kibuye-Makindye'!J35,'26.07 Kibuye-Makindye-24h'!J35,'27.07 Kibuye-Makindye-24h'!J35,'28.07 Kibuye-Makindye'!J35)</f>
        <v>0.5714285714285714</v>
      </c>
      <c r="K35" s="49">
        <f>AVERAGE('22.07 Kibuye-Makindye'!K35,'23.07 Kibuye-Makindye'!K35,'24.07 Kibuye-Makindye'!K35,'25.07 Kibuye-Makindye'!K35,'26.07 Kibuye-Makindye-24h'!K35,'27.07 Kibuye-Makindye-24h'!K35,'28.07 Kibuye-Makindye'!K35)</f>
        <v>0.2857142857142857</v>
      </c>
      <c r="L35" s="49">
        <f>AVERAGE('22.07 Kibuye-Makindye'!L35,'23.07 Kibuye-Makindye'!L35,'24.07 Kibuye-Makindye'!L35,'25.07 Kibuye-Makindye'!L35,'26.07 Kibuye-Makindye-24h'!L35,'27.07 Kibuye-Makindye-24h'!L35,'28.07 Kibuye-Makindye'!L35)</f>
        <v>0</v>
      </c>
      <c r="M35" s="49">
        <f>AVERAGE('22.07 Kibuye-Makindye'!M35,'23.07 Kibuye-Makindye'!M35,'24.07 Kibuye-Makindye'!M35,'25.07 Kibuye-Makindye'!M35,'26.07 Kibuye-Makindye-24h'!M35,'27.07 Kibuye-Makindye-24h'!M35,'28.07 Kibuye-Makindye'!M35)</f>
        <v>169.57142857142858</v>
      </c>
      <c r="N35" s="49">
        <f>AVERAGE('22.07 Kibuye-Makindye'!N35,'23.07 Kibuye-Makindye'!N35,'24.07 Kibuye-Makindye'!N35,'25.07 Kibuye-Makindye'!N35,'26.07 Kibuye-Makindye-24h'!N35,'27.07 Kibuye-Makindye-24h'!N35,'28.07 Kibuye-Makindye'!N35)</f>
        <v>0</v>
      </c>
      <c r="O35" s="15">
        <f t="shared" si="0"/>
        <v>93.142857142857139</v>
      </c>
      <c r="P35" s="15">
        <f t="shared" si="1"/>
        <v>262.71428571428572</v>
      </c>
      <c r="R35" s="38" t="s">
        <v>91</v>
      </c>
      <c r="S35" s="39">
        <f t="shared" ref="S35:AF35" si="27">MAX(S13:S18)</f>
        <v>214.42857142857142</v>
      </c>
      <c r="T35" s="39">
        <f t="shared" si="27"/>
        <v>75</v>
      </c>
      <c r="U35" s="39">
        <f t="shared" si="27"/>
        <v>30</v>
      </c>
      <c r="V35" s="39">
        <f t="shared" si="27"/>
        <v>105.28571428571428</v>
      </c>
      <c r="W35" s="39">
        <f t="shared" si="27"/>
        <v>1.4285714285714284</v>
      </c>
      <c r="X35" s="39">
        <f t="shared" si="27"/>
        <v>0.42857142857142855</v>
      </c>
      <c r="Y35" s="39">
        <f t="shared" si="27"/>
        <v>12.428571428571429</v>
      </c>
      <c r="Z35" s="39">
        <f t="shared" si="27"/>
        <v>10.714285714285714</v>
      </c>
      <c r="AA35" s="39">
        <f t="shared" si="27"/>
        <v>4</v>
      </c>
      <c r="AB35" s="39">
        <f t="shared" si="27"/>
        <v>1.1428571428571428</v>
      </c>
      <c r="AC35" s="39">
        <f t="shared" si="27"/>
        <v>763</v>
      </c>
      <c r="AD35" s="39">
        <f t="shared" si="27"/>
        <v>0.2857142857142857</v>
      </c>
      <c r="AE35" s="40">
        <f t="shared" si="27"/>
        <v>429.28571428571428</v>
      </c>
      <c r="AF35" s="40">
        <f t="shared" si="27"/>
        <v>1165.4285714285713</v>
      </c>
    </row>
    <row r="36" spans="2:32" ht="23.1" customHeight="1" x14ac:dyDescent="0.25">
      <c r="B36" s="24" t="s">
        <v>63</v>
      </c>
      <c r="C36" s="49">
        <f>AVERAGE('22.07 Kibuye-Makindye'!C36,'23.07 Kibuye-Makindye'!C36,'24.07 Kibuye-Makindye'!C36,'25.07 Kibuye-Makindye'!C36,'26.07 Kibuye-Makindye-24h'!C36,'27.07 Kibuye-Makindye-24h'!C36,'28.07 Kibuye-Makindye'!C36)</f>
        <v>51.142857142857146</v>
      </c>
      <c r="D36" s="49">
        <f>AVERAGE('22.07 Kibuye-Makindye'!D36,'23.07 Kibuye-Makindye'!D36,'24.07 Kibuye-Makindye'!D36,'25.07 Kibuye-Makindye'!D36,'26.07 Kibuye-Makindye-24h'!D36,'27.07 Kibuye-Makindye-24h'!D36,'28.07 Kibuye-Makindye'!D36)</f>
        <v>14.857142857142858</v>
      </c>
      <c r="E36" s="49">
        <f>AVERAGE('22.07 Kibuye-Makindye'!E36,'23.07 Kibuye-Makindye'!E36,'24.07 Kibuye-Makindye'!E36,'25.07 Kibuye-Makindye'!E36,'26.07 Kibuye-Makindye-24h'!E36,'27.07 Kibuye-Makindye-24h'!E36,'28.07 Kibuye-Makindye'!E36)</f>
        <v>8.5714285714285712</v>
      </c>
      <c r="F36" s="49">
        <f>AVERAGE('22.07 Kibuye-Makindye'!F36,'23.07 Kibuye-Makindye'!F36,'24.07 Kibuye-Makindye'!F36,'25.07 Kibuye-Makindye'!F36,'26.07 Kibuye-Makindye-24h'!F36,'27.07 Kibuye-Makindye-24h'!F36,'28.07 Kibuye-Makindye'!F36)</f>
        <v>17.714285714285715</v>
      </c>
      <c r="G36" s="49">
        <f>AVERAGE('22.07 Kibuye-Makindye'!G36,'23.07 Kibuye-Makindye'!G36,'24.07 Kibuye-Makindye'!G36,'25.07 Kibuye-Makindye'!G36,'26.07 Kibuye-Makindye-24h'!G36,'27.07 Kibuye-Makindye-24h'!G36,'28.07 Kibuye-Makindye'!G36)</f>
        <v>0</v>
      </c>
      <c r="H36" s="49">
        <f>AVERAGE('22.07 Kibuye-Makindye'!H36,'23.07 Kibuye-Makindye'!H36,'24.07 Kibuye-Makindye'!H36,'25.07 Kibuye-Makindye'!H36,'26.07 Kibuye-Makindye-24h'!H36,'27.07 Kibuye-Makindye-24h'!H36,'28.07 Kibuye-Makindye'!H36)</f>
        <v>0.14285714285714285</v>
      </c>
      <c r="I36" s="49">
        <f>AVERAGE('22.07 Kibuye-Makindye'!I36,'23.07 Kibuye-Makindye'!I36,'24.07 Kibuye-Makindye'!I36,'25.07 Kibuye-Makindye'!I36,'26.07 Kibuye-Makindye-24h'!I36,'27.07 Kibuye-Makindye-24h'!I36,'28.07 Kibuye-Makindye'!I36)</f>
        <v>3.2857142857142856</v>
      </c>
      <c r="J36" s="49">
        <f>AVERAGE('22.07 Kibuye-Makindye'!J36,'23.07 Kibuye-Makindye'!J36,'24.07 Kibuye-Makindye'!J36,'25.07 Kibuye-Makindye'!J36,'26.07 Kibuye-Makindye-24h'!J36,'27.07 Kibuye-Makindye-24h'!J36,'28.07 Kibuye-Makindye'!J36)</f>
        <v>2.5714285714285716</v>
      </c>
      <c r="K36" s="49">
        <f>AVERAGE('22.07 Kibuye-Makindye'!K36,'23.07 Kibuye-Makindye'!K36,'24.07 Kibuye-Makindye'!K36,'25.07 Kibuye-Makindye'!K36,'26.07 Kibuye-Makindye-24h'!K36,'27.07 Kibuye-Makindye-24h'!K36,'28.07 Kibuye-Makindye'!K36)</f>
        <v>0.5714285714285714</v>
      </c>
      <c r="L36" s="49">
        <f>AVERAGE('22.07 Kibuye-Makindye'!L36,'23.07 Kibuye-Makindye'!L36,'24.07 Kibuye-Makindye'!L36,'25.07 Kibuye-Makindye'!L36,'26.07 Kibuye-Makindye-24h'!L36,'27.07 Kibuye-Makindye-24h'!L36,'28.07 Kibuye-Makindye'!L36)</f>
        <v>0.14285714285714285</v>
      </c>
      <c r="M36" s="49">
        <f>AVERAGE('22.07 Kibuye-Makindye'!M36,'23.07 Kibuye-Makindye'!M36,'24.07 Kibuye-Makindye'!M36,'25.07 Kibuye-Makindye'!M36,'26.07 Kibuye-Makindye-24h'!M36,'27.07 Kibuye-Makindye-24h'!M36,'28.07 Kibuye-Makindye'!M36)</f>
        <v>168.28571428571428</v>
      </c>
      <c r="N36" s="49">
        <f>AVERAGE('22.07 Kibuye-Makindye'!N36,'23.07 Kibuye-Makindye'!N36,'24.07 Kibuye-Makindye'!N36,'25.07 Kibuye-Makindye'!N36,'26.07 Kibuye-Makindye-24h'!N36,'27.07 Kibuye-Makindye-24h'!N36,'28.07 Kibuye-Makindye'!N36)</f>
        <v>0</v>
      </c>
      <c r="O36" s="15">
        <f t="shared" si="0"/>
        <v>98.999999999999986</v>
      </c>
      <c r="P36" s="15">
        <f t="shared" si="1"/>
        <v>267.28571428571428</v>
      </c>
      <c r="R36" s="38" t="s">
        <v>92</v>
      </c>
      <c r="S36" s="39">
        <f t="shared" ref="S36:AF36" si="28">MAX(S19:S21)</f>
        <v>266</v>
      </c>
      <c r="T36" s="39">
        <f t="shared" si="28"/>
        <v>78.857142857142861</v>
      </c>
      <c r="U36" s="39">
        <f t="shared" si="28"/>
        <v>32.285714285714285</v>
      </c>
      <c r="V36" s="39">
        <f t="shared" si="28"/>
        <v>81</v>
      </c>
      <c r="W36" s="39">
        <f t="shared" si="28"/>
        <v>3.8571428571428572</v>
      </c>
      <c r="X36" s="39">
        <f t="shared" si="28"/>
        <v>1</v>
      </c>
      <c r="Y36" s="39">
        <f t="shared" si="28"/>
        <v>9.1428571428571423</v>
      </c>
      <c r="Z36" s="39">
        <f t="shared" si="28"/>
        <v>6.5714285714285712</v>
      </c>
      <c r="AA36" s="39">
        <f t="shared" si="28"/>
        <v>2.2857142857142856</v>
      </c>
      <c r="AB36" s="39">
        <f t="shared" si="28"/>
        <v>35.142857142857139</v>
      </c>
      <c r="AC36" s="39">
        <f t="shared" si="28"/>
        <v>756</v>
      </c>
      <c r="AD36" s="39">
        <f t="shared" si="28"/>
        <v>0</v>
      </c>
      <c r="AE36" s="40">
        <f t="shared" si="28"/>
        <v>479.71428571428567</v>
      </c>
      <c r="AF36" s="40">
        <f t="shared" si="28"/>
        <v>1232.8571428571429</v>
      </c>
    </row>
    <row r="37" spans="2:32" ht="23.1" customHeight="1" x14ac:dyDescent="0.25">
      <c r="B37" s="23" t="s">
        <v>64</v>
      </c>
      <c r="C37" s="49">
        <f>AVERAGE('22.07 Kibuye-Makindye'!C37,'23.07 Kibuye-Makindye'!C37,'24.07 Kibuye-Makindye'!C37,'25.07 Kibuye-Makindye'!C37,'26.07 Kibuye-Makindye-24h'!C37,'27.07 Kibuye-Makindye-24h'!C37,'28.07 Kibuye-Makindye'!C37)</f>
        <v>49.857142857142854</v>
      </c>
      <c r="D37" s="49">
        <f>AVERAGE('22.07 Kibuye-Makindye'!D37,'23.07 Kibuye-Makindye'!D37,'24.07 Kibuye-Makindye'!D37,'25.07 Kibuye-Makindye'!D37,'26.07 Kibuye-Makindye-24h'!D37,'27.07 Kibuye-Makindye-24h'!D37,'28.07 Kibuye-Makindye'!D37)</f>
        <v>12.857142857142858</v>
      </c>
      <c r="E37" s="49">
        <f>AVERAGE('22.07 Kibuye-Makindye'!E37,'23.07 Kibuye-Makindye'!E37,'24.07 Kibuye-Makindye'!E37,'25.07 Kibuye-Makindye'!E37,'26.07 Kibuye-Makindye-24h'!E37,'27.07 Kibuye-Makindye-24h'!E37,'28.07 Kibuye-Makindye'!E37)</f>
        <v>6.5714285714285712</v>
      </c>
      <c r="F37" s="49">
        <f>AVERAGE('22.07 Kibuye-Makindye'!F37,'23.07 Kibuye-Makindye'!F37,'24.07 Kibuye-Makindye'!F37,'25.07 Kibuye-Makindye'!F37,'26.07 Kibuye-Makindye-24h'!F37,'27.07 Kibuye-Makindye-24h'!F37,'28.07 Kibuye-Makindye'!F37)</f>
        <v>18.857142857142858</v>
      </c>
      <c r="G37" s="49">
        <f>AVERAGE('22.07 Kibuye-Makindye'!G37,'23.07 Kibuye-Makindye'!G37,'24.07 Kibuye-Makindye'!G37,'25.07 Kibuye-Makindye'!G37,'26.07 Kibuye-Makindye-24h'!G37,'27.07 Kibuye-Makindye-24h'!G37,'28.07 Kibuye-Makindye'!G37)</f>
        <v>0.42857142857142855</v>
      </c>
      <c r="H37" s="49">
        <f>AVERAGE('22.07 Kibuye-Makindye'!H37,'23.07 Kibuye-Makindye'!H37,'24.07 Kibuye-Makindye'!H37,'25.07 Kibuye-Makindye'!H37,'26.07 Kibuye-Makindye-24h'!H37,'27.07 Kibuye-Makindye-24h'!H37,'28.07 Kibuye-Makindye'!H37)</f>
        <v>0</v>
      </c>
      <c r="I37" s="49">
        <f>AVERAGE('22.07 Kibuye-Makindye'!I37,'23.07 Kibuye-Makindye'!I37,'24.07 Kibuye-Makindye'!I37,'25.07 Kibuye-Makindye'!I37,'26.07 Kibuye-Makindye-24h'!I37,'27.07 Kibuye-Makindye-24h'!I37,'28.07 Kibuye-Makindye'!I37)</f>
        <v>3.5714285714285716</v>
      </c>
      <c r="J37" s="49">
        <f>AVERAGE('22.07 Kibuye-Makindye'!J37,'23.07 Kibuye-Makindye'!J37,'24.07 Kibuye-Makindye'!J37,'25.07 Kibuye-Makindye'!J37,'26.07 Kibuye-Makindye-24h'!J37,'27.07 Kibuye-Makindye-24h'!J37,'28.07 Kibuye-Makindye'!J37)</f>
        <v>1.7142857142857142</v>
      </c>
      <c r="K37" s="49">
        <f>AVERAGE('22.07 Kibuye-Makindye'!K37,'23.07 Kibuye-Makindye'!K37,'24.07 Kibuye-Makindye'!K37,'25.07 Kibuye-Makindye'!K37,'26.07 Kibuye-Makindye-24h'!K37,'27.07 Kibuye-Makindye-24h'!K37,'28.07 Kibuye-Makindye'!K37)</f>
        <v>0.5714285714285714</v>
      </c>
      <c r="L37" s="49">
        <f>AVERAGE('22.07 Kibuye-Makindye'!L37,'23.07 Kibuye-Makindye'!L37,'24.07 Kibuye-Makindye'!L37,'25.07 Kibuye-Makindye'!L37,'26.07 Kibuye-Makindye-24h'!L37,'27.07 Kibuye-Makindye-24h'!L37,'28.07 Kibuye-Makindye'!L37)</f>
        <v>0.14285714285714285</v>
      </c>
      <c r="M37" s="49">
        <f>AVERAGE('22.07 Kibuye-Makindye'!M37,'23.07 Kibuye-Makindye'!M37,'24.07 Kibuye-Makindye'!M37,'25.07 Kibuye-Makindye'!M37,'26.07 Kibuye-Makindye-24h'!M37,'27.07 Kibuye-Makindye-24h'!M37,'28.07 Kibuye-Makindye'!M37)</f>
        <v>170.71428571428572</v>
      </c>
      <c r="N37" s="49">
        <f>AVERAGE('22.07 Kibuye-Makindye'!N37,'23.07 Kibuye-Makindye'!N37,'24.07 Kibuye-Makindye'!N37,'25.07 Kibuye-Makindye'!N37,'26.07 Kibuye-Makindye-24h'!N37,'27.07 Kibuye-Makindye-24h'!N37,'28.07 Kibuye-Makindye'!N37)</f>
        <v>0</v>
      </c>
      <c r="O37" s="15">
        <f t="shared" si="0"/>
        <v>94.571428571428555</v>
      </c>
      <c r="P37" s="15">
        <f t="shared" si="1"/>
        <v>265.28571428571428</v>
      </c>
      <c r="R37" s="37" t="s">
        <v>85</v>
      </c>
      <c r="S37" s="35">
        <f t="shared" ref="S37:AF37" si="29">SUM(S10:S12)</f>
        <v>398.42857142857144</v>
      </c>
      <c r="T37" s="16">
        <f t="shared" si="29"/>
        <v>120.42857142857143</v>
      </c>
      <c r="U37" s="16">
        <f t="shared" si="29"/>
        <v>47.428571428571431</v>
      </c>
      <c r="V37" s="16">
        <f t="shared" si="29"/>
        <v>365.42857142857144</v>
      </c>
      <c r="W37" s="16">
        <f t="shared" si="29"/>
        <v>5.7142857142857135</v>
      </c>
      <c r="X37" s="16">
        <f t="shared" si="29"/>
        <v>0.99999999999999989</v>
      </c>
      <c r="Y37" s="16">
        <f t="shared" si="29"/>
        <v>23.142857142857142</v>
      </c>
      <c r="Z37" s="16">
        <f t="shared" si="29"/>
        <v>20.428571428571431</v>
      </c>
      <c r="AA37" s="16">
        <f t="shared" si="29"/>
        <v>5.1428571428571423</v>
      </c>
      <c r="AB37" s="16">
        <f t="shared" si="29"/>
        <v>0.42857142857142855</v>
      </c>
      <c r="AC37" s="16">
        <f t="shared" si="29"/>
        <v>2185.1428571428569</v>
      </c>
      <c r="AD37" s="16">
        <f t="shared" si="29"/>
        <v>0</v>
      </c>
      <c r="AE37" s="32">
        <f t="shared" si="29"/>
        <v>987.57142857142867</v>
      </c>
      <c r="AF37" s="32">
        <f t="shared" si="29"/>
        <v>3172.7142857142853</v>
      </c>
    </row>
    <row r="38" spans="2:32" ht="23.1" customHeight="1" x14ac:dyDescent="0.25">
      <c r="B38" s="24" t="s">
        <v>65</v>
      </c>
      <c r="C38" s="49">
        <f>AVERAGE('22.07 Kibuye-Makindye'!C38,'23.07 Kibuye-Makindye'!C38,'24.07 Kibuye-Makindye'!C38,'25.07 Kibuye-Makindye'!C38,'26.07 Kibuye-Makindye-24h'!C38,'27.07 Kibuye-Makindye-24h'!C38,'28.07 Kibuye-Makindye'!C38)</f>
        <v>49.571428571428569</v>
      </c>
      <c r="D38" s="49">
        <f>AVERAGE('22.07 Kibuye-Makindye'!D38,'23.07 Kibuye-Makindye'!D38,'24.07 Kibuye-Makindye'!D38,'25.07 Kibuye-Makindye'!D38,'26.07 Kibuye-Makindye-24h'!D38,'27.07 Kibuye-Makindye-24h'!D38,'28.07 Kibuye-Makindye'!D38)</f>
        <v>15</v>
      </c>
      <c r="E38" s="49">
        <f>AVERAGE('22.07 Kibuye-Makindye'!E38,'23.07 Kibuye-Makindye'!E38,'24.07 Kibuye-Makindye'!E38,'25.07 Kibuye-Makindye'!E38,'26.07 Kibuye-Makindye-24h'!E38,'27.07 Kibuye-Makindye-24h'!E38,'28.07 Kibuye-Makindye'!E38)</f>
        <v>6.8571428571428568</v>
      </c>
      <c r="F38" s="49">
        <f>AVERAGE('22.07 Kibuye-Makindye'!F38,'23.07 Kibuye-Makindye'!F38,'24.07 Kibuye-Makindye'!F38,'25.07 Kibuye-Makindye'!F38,'26.07 Kibuye-Makindye-24h'!F38,'27.07 Kibuye-Makindye-24h'!F38,'28.07 Kibuye-Makindye'!F38)</f>
        <v>20.285714285714285</v>
      </c>
      <c r="G38" s="49">
        <f>AVERAGE('22.07 Kibuye-Makindye'!G38,'23.07 Kibuye-Makindye'!G38,'24.07 Kibuye-Makindye'!G38,'25.07 Kibuye-Makindye'!G38,'26.07 Kibuye-Makindye-24h'!G38,'27.07 Kibuye-Makindye-24h'!G38,'28.07 Kibuye-Makindye'!G38)</f>
        <v>0</v>
      </c>
      <c r="H38" s="49">
        <f>AVERAGE('22.07 Kibuye-Makindye'!H38,'23.07 Kibuye-Makindye'!H38,'24.07 Kibuye-Makindye'!H38,'25.07 Kibuye-Makindye'!H38,'26.07 Kibuye-Makindye-24h'!H38,'27.07 Kibuye-Makindye-24h'!H38,'28.07 Kibuye-Makindye'!H38)</f>
        <v>0</v>
      </c>
      <c r="I38" s="49">
        <f>AVERAGE('22.07 Kibuye-Makindye'!I38,'23.07 Kibuye-Makindye'!I38,'24.07 Kibuye-Makindye'!I38,'25.07 Kibuye-Makindye'!I38,'26.07 Kibuye-Makindye-24h'!I38,'27.07 Kibuye-Makindye-24h'!I38,'28.07 Kibuye-Makindye'!I38)</f>
        <v>4</v>
      </c>
      <c r="J38" s="49">
        <f>AVERAGE('22.07 Kibuye-Makindye'!J38,'23.07 Kibuye-Makindye'!J38,'24.07 Kibuye-Makindye'!J38,'25.07 Kibuye-Makindye'!J38,'26.07 Kibuye-Makindye-24h'!J38,'27.07 Kibuye-Makindye-24h'!J38,'28.07 Kibuye-Makindye'!J38)</f>
        <v>1.7142857142857142</v>
      </c>
      <c r="K38" s="49">
        <f>AVERAGE('22.07 Kibuye-Makindye'!K38,'23.07 Kibuye-Makindye'!K38,'24.07 Kibuye-Makindye'!K38,'25.07 Kibuye-Makindye'!K38,'26.07 Kibuye-Makindye-24h'!K38,'27.07 Kibuye-Makindye-24h'!K38,'28.07 Kibuye-Makindye'!K38)</f>
        <v>0.14285714285714285</v>
      </c>
      <c r="L38" s="49">
        <f>AVERAGE('22.07 Kibuye-Makindye'!L38,'23.07 Kibuye-Makindye'!L38,'24.07 Kibuye-Makindye'!L38,'25.07 Kibuye-Makindye'!L38,'26.07 Kibuye-Makindye-24h'!L38,'27.07 Kibuye-Makindye-24h'!L38,'28.07 Kibuye-Makindye'!L38)</f>
        <v>0.14285714285714285</v>
      </c>
      <c r="M38" s="49">
        <f>AVERAGE('22.07 Kibuye-Makindye'!M38,'23.07 Kibuye-Makindye'!M38,'24.07 Kibuye-Makindye'!M38,'25.07 Kibuye-Makindye'!M38,'26.07 Kibuye-Makindye-24h'!M38,'27.07 Kibuye-Makindye-24h'!M38,'28.07 Kibuye-Makindye'!M38)</f>
        <v>176.71428571428572</v>
      </c>
      <c r="N38" s="49">
        <f>AVERAGE('22.07 Kibuye-Makindye'!N38,'23.07 Kibuye-Makindye'!N38,'24.07 Kibuye-Makindye'!N38,'25.07 Kibuye-Makindye'!N38,'26.07 Kibuye-Makindye-24h'!N38,'27.07 Kibuye-Makindye-24h'!N38,'28.07 Kibuye-Makindye'!N38)</f>
        <v>0</v>
      </c>
      <c r="O38" s="15">
        <f t="shared" si="0"/>
        <v>97.714285714285708</v>
      </c>
      <c r="P38" s="15">
        <f t="shared" si="1"/>
        <v>274.42857142857144</v>
      </c>
      <c r="R38" s="28" t="s">
        <v>86</v>
      </c>
      <c r="S38" s="16">
        <f t="shared" ref="S38:AF38" si="30">SUM(S13:S18)</f>
        <v>1167.9999999999998</v>
      </c>
      <c r="T38" s="16">
        <f t="shared" si="30"/>
        <v>371</v>
      </c>
      <c r="U38" s="16">
        <f t="shared" si="30"/>
        <v>165.14285714285717</v>
      </c>
      <c r="V38" s="16">
        <f t="shared" si="30"/>
        <v>530.42857142857144</v>
      </c>
      <c r="W38" s="16">
        <f t="shared" si="30"/>
        <v>3.9999999999999991</v>
      </c>
      <c r="X38" s="16">
        <f t="shared" si="30"/>
        <v>1.1428571428571428</v>
      </c>
      <c r="Y38" s="16">
        <f t="shared" si="30"/>
        <v>63.571428571428569</v>
      </c>
      <c r="Z38" s="16">
        <f t="shared" si="30"/>
        <v>50.571428571428569</v>
      </c>
      <c r="AA38" s="16">
        <f t="shared" si="30"/>
        <v>15.571428571428569</v>
      </c>
      <c r="AB38" s="16">
        <f t="shared" si="30"/>
        <v>3.714285714285714</v>
      </c>
      <c r="AC38" s="16">
        <f t="shared" si="30"/>
        <v>4257.8571428571422</v>
      </c>
      <c r="AD38" s="16">
        <f t="shared" si="30"/>
        <v>0.42857142857142855</v>
      </c>
      <c r="AE38" s="32">
        <f t="shared" si="30"/>
        <v>2373.5714285714284</v>
      </c>
      <c r="AF38" s="32">
        <f t="shared" si="30"/>
        <v>6631.4285714285716</v>
      </c>
    </row>
    <row r="39" spans="2:32" ht="23.1" customHeight="1" x14ac:dyDescent="0.25">
      <c r="B39" s="24" t="s">
        <v>66</v>
      </c>
      <c r="C39" s="49">
        <f>AVERAGE('22.07 Kibuye-Makindye'!C39,'23.07 Kibuye-Makindye'!C39,'24.07 Kibuye-Makindye'!C39,'25.07 Kibuye-Makindye'!C39,'26.07 Kibuye-Makindye-24h'!C39,'27.07 Kibuye-Makindye-24h'!C39,'28.07 Kibuye-Makindye'!C39)</f>
        <v>45.571428571428569</v>
      </c>
      <c r="D39" s="49">
        <f>AVERAGE('22.07 Kibuye-Makindye'!D39,'23.07 Kibuye-Makindye'!D39,'24.07 Kibuye-Makindye'!D39,'25.07 Kibuye-Makindye'!D39,'26.07 Kibuye-Makindye-24h'!D39,'27.07 Kibuye-Makindye-24h'!D39,'28.07 Kibuye-Makindye'!D39)</f>
        <v>15.285714285714286</v>
      </c>
      <c r="E39" s="49">
        <f>AVERAGE('22.07 Kibuye-Makindye'!E39,'23.07 Kibuye-Makindye'!E39,'24.07 Kibuye-Makindye'!E39,'25.07 Kibuye-Makindye'!E39,'26.07 Kibuye-Makindye-24h'!E39,'27.07 Kibuye-Makindye-24h'!E39,'28.07 Kibuye-Makindye'!E39)</f>
        <v>5.2857142857142856</v>
      </c>
      <c r="F39" s="49">
        <f>AVERAGE('22.07 Kibuye-Makindye'!F39,'23.07 Kibuye-Makindye'!F39,'24.07 Kibuye-Makindye'!F39,'25.07 Kibuye-Makindye'!F39,'26.07 Kibuye-Makindye-24h'!F39,'27.07 Kibuye-Makindye-24h'!F39,'28.07 Kibuye-Makindye'!F39)</f>
        <v>22.285714285714285</v>
      </c>
      <c r="G39" s="49">
        <f>AVERAGE('22.07 Kibuye-Makindye'!G39,'23.07 Kibuye-Makindye'!G39,'24.07 Kibuye-Makindye'!G39,'25.07 Kibuye-Makindye'!G39,'26.07 Kibuye-Makindye-24h'!G39,'27.07 Kibuye-Makindye-24h'!G39,'28.07 Kibuye-Makindye'!G39)</f>
        <v>0.14285714285714285</v>
      </c>
      <c r="H39" s="49">
        <f>AVERAGE('22.07 Kibuye-Makindye'!H39,'23.07 Kibuye-Makindye'!H39,'24.07 Kibuye-Makindye'!H39,'25.07 Kibuye-Makindye'!H39,'26.07 Kibuye-Makindye-24h'!H39,'27.07 Kibuye-Makindye-24h'!H39,'28.07 Kibuye-Makindye'!H39)</f>
        <v>0.2857142857142857</v>
      </c>
      <c r="I39" s="49">
        <f>AVERAGE('22.07 Kibuye-Makindye'!I39,'23.07 Kibuye-Makindye'!I39,'24.07 Kibuye-Makindye'!I39,'25.07 Kibuye-Makindye'!I39,'26.07 Kibuye-Makindye-24h'!I39,'27.07 Kibuye-Makindye-24h'!I39,'28.07 Kibuye-Makindye'!I39)</f>
        <v>2.5714285714285716</v>
      </c>
      <c r="J39" s="49">
        <f>AVERAGE('22.07 Kibuye-Makindye'!J39,'23.07 Kibuye-Makindye'!J39,'24.07 Kibuye-Makindye'!J39,'25.07 Kibuye-Makindye'!J39,'26.07 Kibuye-Makindye-24h'!J39,'27.07 Kibuye-Makindye-24h'!J39,'28.07 Kibuye-Makindye'!J39)</f>
        <v>2</v>
      </c>
      <c r="K39" s="49">
        <f>AVERAGE('22.07 Kibuye-Makindye'!K39,'23.07 Kibuye-Makindye'!K39,'24.07 Kibuye-Makindye'!K39,'25.07 Kibuye-Makindye'!K39,'26.07 Kibuye-Makindye-24h'!K39,'27.07 Kibuye-Makindye-24h'!K39,'28.07 Kibuye-Makindye'!K39)</f>
        <v>0.14285714285714285</v>
      </c>
      <c r="L39" s="49">
        <f>AVERAGE('22.07 Kibuye-Makindye'!L39,'23.07 Kibuye-Makindye'!L39,'24.07 Kibuye-Makindye'!L39,'25.07 Kibuye-Makindye'!L39,'26.07 Kibuye-Makindye-24h'!L39,'27.07 Kibuye-Makindye-24h'!L39,'28.07 Kibuye-Makindye'!L39)</f>
        <v>0.14285714285714285</v>
      </c>
      <c r="M39" s="49">
        <f>AVERAGE('22.07 Kibuye-Makindye'!M39,'23.07 Kibuye-Makindye'!M39,'24.07 Kibuye-Makindye'!M39,'25.07 Kibuye-Makindye'!M39,'26.07 Kibuye-Makindye-24h'!M39,'27.07 Kibuye-Makindye-24h'!M39,'28.07 Kibuye-Makindye'!M39)</f>
        <v>172.28571428571428</v>
      </c>
      <c r="N39" s="49">
        <f>AVERAGE('22.07 Kibuye-Makindye'!N39,'23.07 Kibuye-Makindye'!N39,'24.07 Kibuye-Makindye'!N39,'25.07 Kibuye-Makindye'!N39,'26.07 Kibuye-Makindye-24h'!N39,'27.07 Kibuye-Makindye-24h'!N39,'28.07 Kibuye-Makindye'!N39)</f>
        <v>0</v>
      </c>
      <c r="O39" s="15">
        <f t="shared" si="0"/>
        <v>93.714285714285694</v>
      </c>
      <c r="P39" s="15">
        <f t="shared" si="1"/>
        <v>266</v>
      </c>
      <c r="R39" s="29" t="s">
        <v>87</v>
      </c>
      <c r="S39" s="16">
        <f t="shared" ref="S39:AF39" si="31">SUM(S19:S21)</f>
        <v>779.71428571428567</v>
      </c>
      <c r="T39" s="16">
        <f t="shared" si="31"/>
        <v>215.42857142857144</v>
      </c>
      <c r="U39" s="16">
        <f t="shared" si="31"/>
        <v>89.714285714285722</v>
      </c>
      <c r="V39" s="16">
        <f t="shared" si="31"/>
        <v>209.71428571428572</v>
      </c>
      <c r="W39" s="16">
        <f t="shared" si="31"/>
        <v>8.1428571428571423</v>
      </c>
      <c r="X39" s="16">
        <f t="shared" si="31"/>
        <v>1.7142857142857142</v>
      </c>
      <c r="Y39" s="16">
        <f t="shared" si="31"/>
        <v>25.428571428571431</v>
      </c>
      <c r="Z39" s="16">
        <f t="shared" si="31"/>
        <v>17.285714285714285</v>
      </c>
      <c r="AA39" s="16">
        <f t="shared" si="31"/>
        <v>5.5714285714285712</v>
      </c>
      <c r="AB39" s="16">
        <f t="shared" si="31"/>
        <v>35.999999999999993</v>
      </c>
      <c r="AC39" s="16">
        <f t="shared" si="31"/>
        <v>2160.4285714285716</v>
      </c>
      <c r="AD39" s="16">
        <f t="shared" si="31"/>
        <v>0</v>
      </c>
      <c r="AE39" s="32">
        <f t="shared" si="31"/>
        <v>1388.7142857142858</v>
      </c>
      <c r="AF39" s="32">
        <f t="shared" si="31"/>
        <v>3549.1428571428569</v>
      </c>
    </row>
    <row r="40" spans="2:32" ht="23.1" customHeight="1" x14ac:dyDescent="0.25">
      <c r="B40" s="24" t="s">
        <v>67</v>
      </c>
      <c r="C40" s="49">
        <f>AVERAGE('22.07 Kibuye-Makindye'!C40,'23.07 Kibuye-Makindye'!C40,'24.07 Kibuye-Makindye'!C40,'25.07 Kibuye-Makindye'!C40,'26.07 Kibuye-Makindye-24h'!C40,'27.07 Kibuye-Makindye-24h'!C40,'28.07 Kibuye-Makindye'!C40)</f>
        <v>50</v>
      </c>
      <c r="D40" s="49">
        <f>AVERAGE('22.07 Kibuye-Makindye'!D40,'23.07 Kibuye-Makindye'!D40,'24.07 Kibuye-Makindye'!D40,'25.07 Kibuye-Makindye'!D40,'26.07 Kibuye-Makindye-24h'!D40,'27.07 Kibuye-Makindye-24h'!D40,'28.07 Kibuye-Makindye'!D40)</f>
        <v>17.857142857142858</v>
      </c>
      <c r="E40" s="49">
        <f>AVERAGE('22.07 Kibuye-Makindye'!E40,'23.07 Kibuye-Makindye'!E40,'24.07 Kibuye-Makindye'!E40,'25.07 Kibuye-Makindye'!E40,'26.07 Kibuye-Makindye-24h'!E40,'27.07 Kibuye-Makindye-24h'!E40,'28.07 Kibuye-Makindye'!E40)</f>
        <v>6.4285714285714288</v>
      </c>
      <c r="F40" s="49">
        <f>AVERAGE('22.07 Kibuye-Makindye'!F40,'23.07 Kibuye-Makindye'!F40,'24.07 Kibuye-Makindye'!F40,'25.07 Kibuye-Makindye'!F40,'26.07 Kibuye-Makindye-24h'!F40,'27.07 Kibuye-Makindye-24h'!F40,'28.07 Kibuye-Makindye'!F40)</f>
        <v>21.714285714285715</v>
      </c>
      <c r="G40" s="49">
        <f>AVERAGE('22.07 Kibuye-Makindye'!G40,'23.07 Kibuye-Makindye'!G40,'24.07 Kibuye-Makindye'!G40,'25.07 Kibuye-Makindye'!G40,'26.07 Kibuye-Makindye-24h'!G40,'27.07 Kibuye-Makindye-24h'!G40,'28.07 Kibuye-Makindye'!G40)</f>
        <v>0.14285714285714285</v>
      </c>
      <c r="H40" s="49">
        <f>AVERAGE('22.07 Kibuye-Makindye'!H40,'23.07 Kibuye-Makindye'!H40,'24.07 Kibuye-Makindye'!H40,'25.07 Kibuye-Makindye'!H40,'26.07 Kibuye-Makindye-24h'!H40,'27.07 Kibuye-Makindye-24h'!H40,'28.07 Kibuye-Makindye'!H40)</f>
        <v>0</v>
      </c>
      <c r="I40" s="49">
        <f>AVERAGE('22.07 Kibuye-Makindye'!I40,'23.07 Kibuye-Makindye'!I40,'24.07 Kibuye-Makindye'!I40,'25.07 Kibuye-Makindye'!I40,'26.07 Kibuye-Makindye-24h'!I40,'27.07 Kibuye-Makindye-24h'!I40,'28.07 Kibuye-Makindye'!I40)</f>
        <v>2.1428571428571428</v>
      </c>
      <c r="J40" s="49">
        <f>AVERAGE('22.07 Kibuye-Makindye'!J40,'23.07 Kibuye-Makindye'!J40,'24.07 Kibuye-Makindye'!J40,'25.07 Kibuye-Makindye'!J40,'26.07 Kibuye-Makindye-24h'!J40,'27.07 Kibuye-Makindye-24h'!J40,'28.07 Kibuye-Makindye'!J40)</f>
        <v>1.4285714285714286</v>
      </c>
      <c r="K40" s="49">
        <f>AVERAGE('22.07 Kibuye-Makindye'!K40,'23.07 Kibuye-Makindye'!K40,'24.07 Kibuye-Makindye'!K40,'25.07 Kibuye-Makindye'!K40,'26.07 Kibuye-Makindye-24h'!K40,'27.07 Kibuye-Makindye-24h'!K40,'28.07 Kibuye-Makindye'!K40)</f>
        <v>0.7142857142857143</v>
      </c>
      <c r="L40" s="49">
        <f>AVERAGE('22.07 Kibuye-Makindye'!L40,'23.07 Kibuye-Makindye'!L40,'24.07 Kibuye-Makindye'!L40,'25.07 Kibuye-Makindye'!L40,'26.07 Kibuye-Makindye-24h'!L40,'27.07 Kibuye-Makindye-24h'!L40,'28.07 Kibuye-Makindye'!L40)</f>
        <v>0.2857142857142857</v>
      </c>
      <c r="M40" s="49">
        <f>AVERAGE('22.07 Kibuye-Makindye'!M40,'23.07 Kibuye-Makindye'!M40,'24.07 Kibuye-Makindye'!M40,'25.07 Kibuye-Makindye'!M40,'26.07 Kibuye-Makindye-24h'!M40,'27.07 Kibuye-Makindye-24h'!M40,'28.07 Kibuye-Makindye'!M40)</f>
        <v>141.85714285714286</v>
      </c>
      <c r="N40" s="49">
        <f>AVERAGE('22.07 Kibuye-Makindye'!N40,'23.07 Kibuye-Makindye'!N40,'24.07 Kibuye-Makindye'!N40,'25.07 Kibuye-Makindye'!N40,'26.07 Kibuye-Makindye-24h'!N40,'27.07 Kibuye-Makindye-24h'!N40,'28.07 Kibuye-Makindye'!N40)</f>
        <v>0</v>
      </c>
      <c r="O40" s="15">
        <f t="shared" si="0"/>
        <v>100.71428571428571</v>
      </c>
      <c r="P40" s="15">
        <f t="shared" si="1"/>
        <v>242.57142857142856</v>
      </c>
      <c r="R40" s="5" t="s">
        <v>17</v>
      </c>
      <c r="S40" s="16">
        <f t="shared" ref="S40:AF40" si="32">SUM(S10:S21)</f>
        <v>2346.1428571428573</v>
      </c>
      <c r="T40" s="16">
        <f t="shared" si="32"/>
        <v>706.85714285714289</v>
      </c>
      <c r="U40" s="16">
        <f t="shared" si="32"/>
        <v>302.28571428571433</v>
      </c>
      <c r="V40" s="16">
        <f t="shared" si="32"/>
        <v>1105.5714285714287</v>
      </c>
      <c r="W40" s="16">
        <f t="shared" si="32"/>
        <v>17.857142857142858</v>
      </c>
      <c r="X40" s="16">
        <f t="shared" si="32"/>
        <v>3.8571428571428568</v>
      </c>
      <c r="Y40" s="16">
        <f t="shared" si="32"/>
        <v>112.14285714285715</v>
      </c>
      <c r="Z40" s="16">
        <f t="shared" si="32"/>
        <v>88.285714285714278</v>
      </c>
      <c r="AA40" s="16">
        <f t="shared" si="32"/>
        <v>26.285714285714281</v>
      </c>
      <c r="AB40" s="16">
        <f t="shared" si="32"/>
        <v>40.142857142857139</v>
      </c>
      <c r="AC40" s="16">
        <f t="shared" si="32"/>
        <v>8603.4285714285706</v>
      </c>
      <c r="AD40" s="16">
        <f t="shared" si="32"/>
        <v>0.42857142857142855</v>
      </c>
      <c r="AE40" s="32">
        <f t="shared" si="32"/>
        <v>4749.8571428571431</v>
      </c>
      <c r="AF40" s="32">
        <f t="shared" si="32"/>
        <v>13353.285714285716</v>
      </c>
    </row>
    <row r="41" spans="2:32" ht="23.1" customHeight="1" x14ac:dyDescent="0.25">
      <c r="B41" s="23" t="s">
        <v>68</v>
      </c>
      <c r="C41" s="49">
        <f>AVERAGE('22.07 Kibuye-Makindye'!C41,'23.07 Kibuye-Makindye'!C41,'24.07 Kibuye-Makindye'!C41,'25.07 Kibuye-Makindye'!C41,'26.07 Kibuye-Makindye-24h'!C41,'27.07 Kibuye-Makindye-24h'!C41,'28.07 Kibuye-Makindye'!C41)</f>
        <v>53.142857142857146</v>
      </c>
      <c r="D41" s="49">
        <f>AVERAGE('22.07 Kibuye-Makindye'!D41,'23.07 Kibuye-Makindye'!D41,'24.07 Kibuye-Makindye'!D41,'25.07 Kibuye-Makindye'!D41,'26.07 Kibuye-Makindye-24h'!D41,'27.07 Kibuye-Makindye-24h'!D41,'28.07 Kibuye-Makindye'!D41)</f>
        <v>18.428571428571427</v>
      </c>
      <c r="E41" s="49">
        <f>AVERAGE('22.07 Kibuye-Makindye'!E41,'23.07 Kibuye-Makindye'!E41,'24.07 Kibuye-Makindye'!E41,'25.07 Kibuye-Makindye'!E41,'26.07 Kibuye-Makindye-24h'!E41,'27.07 Kibuye-Makindye-24h'!E41,'28.07 Kibuye-Makindye'!E41)</f>
        <v>4</v>
      </c>
      <c r="F41" s="49">
        <f>AVERAGE('22.07 Kibuye-Makindye'!F41,'23.07 Kibuye-Makindye'!F41,'24.07 Kibuye-Makindye'!F41,'25.07 Kibuye-Makindye'!F41,'26.07 Kibuye-Makindye-24h'!F41,'27.07 Kibuye-Makindye-24h'!F41,'28.07 Kibuye-Makindye'!F41)</f>
        <v>18.142857142857142</v>
      </c>
      <c r="G41" s="49">
        <f>AVERAGE('22.07 Kibuye-Makindye'!G41,'23.07 Kibuye-Makindye'!G41,'24.07 Kibuye-Makindye'!G41,'25.07 Kibuye-Makindye'!G41,'26.07 Kibuye-Makindye-24h'!G41,'27.07 Kibuye-Makindye-24h'!G41,'28.07 Kibuye-Makindye'!G41)</f>
        <v>0</v>
      </c>
      <c r="H41" s="49">
        <f>AVERAGE('22.07 Kibuye-Makindye'!H41,'23.07 Kibuye-Makindye'!H41,'24.07 Kibuye-Makindye'!H41,'25.07 Kibuye-Makindye'!H41,'26.07 Kibuye-Makindye-24h'!H41,'27.07 Kibuye-Makindye-24h'!H41,'28.07 Kibuye-Makindye'!H41)</f>
        <v>0.14285714285714285</v>
      </c>
      <c r="I41" s="49">
        <f>AVERAGE('22.07 Kibuye-Makindye'!I41,'23.07 Kibuye-Makindye'!I41,'24.07 Kibuye-Makindye'!I41,'25.07 Kibuye-Makindye'!I41,'26.07 Kibuye-Makindye-24h'!I41,'27.07 Kibuye-Makindye-24h'!I41,'28.07 Kibuye-Makindye'!I41)</f>
        <v>1.7142857142857142</v>
      </c>
      <c r="J41" s="49">
        <f>AVERAGE('22.07 Kibuye-Makindye'!J41,'23.07 Kibuye-Makindye'!J41,'24.07 Kibuye-Makindye'!J41,'25.07 Kibuye-Makindye'!J41,'26.07 Kibuye-Makindye-24h'!J41,'27.07 Kibuye-Makindye-24h'!J41,'28.07 Kibuye-Makindye'!J41)</f>
        <v>0.8571428571428571</v>
      </c>
      <c r="K41" s="49">
        <f>AVERAGE('22.07 Kibuye-Makindye'!K41,'23.07 Kibuye-Makindye'!K41,'24.07 Kibuye-Makindye'!K41,'25.07 Kibuye-Makindye'!K41,'26.07 Kibuye-Makindye-24h'!K41,'27.07 Kibuye-Makindye-24h'!K41,'28.07 Kibuye-Makindye'!K41)</f>
        <v>0.42857142857142855</v>
      </c>
      <c r="L41" s="49">
        <f>AVERAGE('22.07 Kibuye-Makindye'!L41,'23.07 Kibuye-Makindye'!L41,'24.07 Kibuye-Makindye'!L41,'25.07 Kibuye-Makindye'!L41,'26.07 Kibuye-Makindye-24h'!L41,'27.07 Kibuye-Makindye-24h'!L41,'28.07 Kibuye-Makindye'!L41)</f>
        <v>0.14285714285714285</v>
      </c>
      <c r="M41" s="49">
        <f>AVERAGE('22.07 Kibuye-Makindye'!M41,'23.07 Kibuye-Makindye'!M41,'24.07 Kibuye-Makindye'!M41,'25.07 Kibuye-Makindye'!M41,'26.07 Kibuye-Makindye-24h'!M41,'27.07 Kibuye-Makindye-24h'!M41,'28.07 Kibuye-Makindye'!M41)</f>
        <v>176.85714285714286</v>
      </c>
      <c r="N41" s="49">
        <f>AVERAGE('22.07 Kibuye-Makindye'!N41,'23.07 Kibuye-Makindye'!N41,'24.07 Kibuye-Makindye'!N41,'25.07 Kibuye-Makindye'!N41,'26.07 Kibuye-Makindye-24h'!N41,'27.07 Kibuye-Makindye-24h'!N41,'28.07 Kibuye-Makindye'!N41)</f>
        <v>0</v>
      </c>
      <c r="O41" s="15">
        <f t="shared" si="0"/>
        <v>96.999999999999986</v>
      </c>
      <c r="P41" s="15">
        <f t="shared" si="1"/>
        <v>273.85714285714283</v>
      </c>
      <c r="R41" s="5" t="s">
        <v>176</v>
      </c>
      <c r="S41" s="51">
        <f>SUM(S10:S33)</f>
        <v>3576.3928571428573</v>
      </c>
      <c r="T41" s="51">
        <f t="shared" ref="T41:AD41" si="33">SUM(T10:T33)</f>
        <v>1038.3571428571429</v>
      </c>
      <c r="U41" s="51">
        <f t="shared" si="33"/>
        <v>431.78571428571433</v>
      </c>
      <c r="V41" s="51">
        <f t="shared" si="33"/>
        <v>1333.8214285714287</v>
      </c>
      <c r="W41" s="51">
        <f t="shared" si="33"/>
        <v>19.107142857142858</v>
      </c>
      <c r="X41" s="51">
        <f t="shared" si="33"/>
        <v>11.357142857142858</v>
      </c>
      <c r="Y41" s="51">
        <f t="shared" si="33"/>
        <v>197.14285714285717</v>
      </c>
      <c r="Z41" s="51">
        <f t="shared" si="33"/>
        <v>103.53571428571428</v>
      </c>
      <c r="AA41" s="51">
        <f t="shared" si="33"/>
        <v>32.535714285714278</v>
      </c>
      <c r="AB41" s="51">
        <f t="shared" si="33"/>
        <v>42.642857142857139</v>
      </c>
      <c r="AC41" s="51">
        <f t="shared" si="33"/>
        <v>11053.178571428571</v>
      </c>
      <c r="AD41" s="51">
        <f t="shared" si="33"/>
        <v>0.42857142857142855</v>
      </c>
      <c r="AE41" s="52">
        <f>SUM(AE10:AE33)</f>
        <v>6787.1071428571431</v>
      </c>
      <c r="AF41" s="52">
        <f>SUM(AF10:AF33)</f>
        <v>17840.285714285717</v>
      </c>
    </row>
    <row r="42" spans="2:32" ht="23.1" customHeight="1" x14ac:dyDescent="0.25">
      <c r="B42" s="24" t="s">
        <v>69</v>
      </c>
      <c r="C42" s="49">
        <f>AVERAGE('22.07 Kibuye-Makindye'!C42,'23.07 Kibuye-Makindye'!C42,'24.07 Kibuye-Makindye'!C42,'25.07 Kibuye-Makindye'!C42,'26.07 Kibuye-Makindye-24h'!C42,'27.07 Kibuye-Makindye-24h'!C42,'28.07 Kibuye-Makindye'!C42)</f>
        <v>50.857142857142854</v>
      </c>
      <c r="D42" s="49">
        <f>AVERAGE('22.07 Kibuye-Makindye'!D42,'23.07 Kibuye-Makindye'!D42,'24.07 Kibuye-Makindye'!D42,'25.07 Kibuye-Makindye'!D42,'26.07 Kibuye-Makindye-24h'!D42,'27.07 Kibuye-Makindye-24h'!D42,'28.07 Kibuye-Makindye'!D42)</f>
        <v>17.714285714285715</v>
      </c>
      <c r="E42" s="49">
        <f>AVERAGE('22.07 Kibuye-Makindye'!E42,'23.07 Kibuye-Makindye'!E42,'24.07 Kibuye-Makindye'!E42,'25.07 Kibuye-Makindye'!E42,'26.07 Kibuye-Makindye-24h'!E42,'27.07 Kibuye-Makindye-24h'!E42,'28.07 Kibuye-Makindye'!E42)</f>
        <v>9.8571428571428577</v>
      </c>
      <c r="F42" s="49">
        <f>AVERAGE('22.07 Kibuye-Makindye'!F42,'23.07 Kibuye-Makindye'!F42,'24.07 Kibuye-Makindye'!F42,'25.07 Kibuye-Makindye'!F42,'26.07 Kibuye-Makindye-24h'!F42,'27.07 Kibuye-Makindye-24h'!F42,'28.07 Kibuye-Makindye'!F42)</f>
        <v>23.428571428571427</v>
      </c>
      <c r="G42" s="49">
        <f>AVERAGE('22.07 Kibuye-Makindye'!G42,'23.07 Kibuye-Makindye'!G42,'24.07 Kibuye-Makindye'!G42,'25.07 Kibuye-Makindye'!G42,'26.07 Kibuye-Makindye-24h'!G42,'27.07 Kibuye-Makindye-24h'!G42,'28.07 Kibuye-Makindye'!G42)</f>
        <v>0</v>
      </c>
      <c r="H42" s="49">
        <f>AVERAGE('22.07 Kibuye-Makindye'!H42,'23.07 Kibuye-Makindye'!H42,'24.07 Kibuye-Makindye'!H42,'25.07 Kibuye-Makindye'!H42,'26.07 Kibuye-Makindye-24h'!H42,'27.07 Kibuye-Makindye-24h'!H42,'28.07 Kibuye-Makindye'!H42)</f>
        <v>0</v>
      </c>
      <c r="I42" s="49">
        <f>AVERAGE('22.07 Kibuye-Makindye'!I42,'23.07 Kibuye-Makindye'!I42,'24.07 Kibuye-Makindye'!I42,'25.07 Kibuye-Makindye'!I42,'26.07 Kibuye-Makindye-24h'!I42,'27.07 Kibuye-Makindye-24h'!I42,'28.07 Kibuye-Makindye'!I42)</f>
        <v>3.1428571428571428</v>
      </c>
      <c r="J42" s="49">
        <f>AVERAGE('22.07 Kibuye-Makindye'!J42,'23.07 Kibuye-Makindye'!J42,'24.07 Kibuye-Makindye'!J42,'25.07 Kibuye-Makindye'!J42,'26.07 Kibuye-Makindye-24h'!J42,'27.07 Kibuye-Makindye-24h'!J42,'28.07 Kibuye-Makindye'!J42)</f>
        <v>2</v>
      </c>
      <c r="K42" s="49">
        <f>AVERAGE('22.07 Kibuye-Makindye'!K42,'23.07 Kibuye-Makindye'!K42,'24.07 Kibuye-Makindye'!K42,'25.07 Kibuye-Makindye'!K42,'26.07 Kibuye-Makindye-24h'!K42,'27.07 Kibuye-Makindye-24h'!K42,'28.07 Kibuye-Makindye'!K42)</f>
        <v>0.2857142857142857</v>
      </c>
      <c r="L42" s="49">
        <f>AVERAGE('22.07 Kibuye-Makindye'!L42,'23.07 Kibuye-Makindye'!L42,'24.07 Kibuye-Makindye'!L42,'25.07 Kibuye-Makindye'!L42,'26.07 Kibuye-Makindye-24h'!L42,'27.07 Kibuye-Makindye-24h'!L42,'28.07 Kibuye-Makindye'!L42)</f>
        <v>0</v>
      </c>
      <c r="M42" s="49">
        <f>AVERAGE('22.07 Kibuye-Makindye'!M42,'23.07 Kibuye-Makindye'!M42,'24.07 Kibuye-Makindye'!M42,'25.07 Kibuye-Makindye'!M42,'26.07 Kibuye-Makindye-24h'!M42,'27.07 Kibuye-Makindye-24h'!M42,'28.07 Kibuye-Makindye'!M42)</f>
        <v>182.42857142857142</v>
      </c>
      <c r="N42" s="49">
        <f>AVERAGE('22.07 Kibuye-Makindye'!N42,'23.07 Kibuye-Makindye'!N42,'24.07 Kibuye-Makindye'!N42,'25.07 Kibuye-Makindye'!N42,'26.07 Kibuye-Makindye-24h'!N42,'27.07 Kibuye-Makindye-24h'!N42,'28.07 Kibuye-Makindye'!N42)</f>
        <v>0.2857142857142857</v>
      </c>
      <c r="O42" s="15">
        <f t="shared" si="0"/>
        <v>107.57142857142858</v>
      </c>
      <c r="P42" s="15">
        <f t="shared" si="1"/>
        <v>290</v>
      </c>
      <c r="R42" s="5" t="s">
        <v>161</v>
      </c>
      <c r="S42" s="48">
        <f>S41/S40</f>
        <v>1.5243713085307191</v>
      </c>
      <c r="T42" s="48">
        <f t="shared" ref="T42:AF42" si="34">T41/T40</f>
        <v>1.4689773645917543</v>
      </c>
      <c r="U42" s="48">
        <f t="shared" si="34"/>
        <v>1.4284026465028354</v>
      </c>
      <c r="V42" s="48">
        <f t="shared" si="34"/>
        <v>1.2064543222638584</v>
      </c>
      <c r="W42" s="48">
        <f t="shared" si="34"/>
        <v>1.07</v>
      </c>
      <c r="X42" s="48">
        <f t="shared" si="34"/>
        <v>2.9444444444444451</v>
      </c>
      <c r="Y42" s="48">
        <f t="shared" si="34"/>
        <v>1.7579617834394905</v>
      </c>
      <c r="Z42" s="48">
        <f t="shared" si="34"/>
        <v>1.1727346278317152</v>
      </c>
      <c r="AA42" s="48">
        <f t="shared" si="34"/>
        <v>1.2377717391304346</v>
      </c>
      <c r="AB42" s="48">
        <f t="shared" si="34"/>
        <v>1.0622775800711743</v>
      </c>
      <c r="AC42" s="48">
        <f t="shared" si="34"/>
        <v>1.2847411331030818</v>
      </c>
      <c r="AD42" s="48">
        <f t="shared" si="34"/>
        <v>1</v>
      </c>
      <c r="AE42" s="53">
        <f t="shared" si="34"/>
        <v>1.4289076363198894</v>
      </c>
      <c r="AF42" s="53">
        <f t="shared" si="34"/>
        <v>1.3360221668289241</v>
      </c>
    </row>
    <row r="43" spans="2:32" ht="23.1" customHeight="1" x14ac:dyDescent="0.25">
      <c r="B43" s="23" t="s">
        <v>70</v>
      </c>
      <c r="C43" s="49">
        <f>AVERAGE('22.07 Kibuye-Makindye'!C43,'23.07 Kibuye-Makindye'!C43,'24.07 Kibuye-Makindye'!C43,'25.07 Kibuye-Makindye'!C43,'26.07 Kibuye-Makindye-24h'!C43,'27.07 Kibuye-Makindye-24h'!C43,'28.07 Kibuye-Makindye'!C43)</f>
        <v>52.428571428571431</v>
      </c>
      <c r="D43" s="49">
        <f>AVERAGE('22.07 Kibuye-Makindye'!D43,'23.07 Kibuye-Makindye'!D43,'24.07 Kibuye-Makindye'!D43,'25.07 Kibuye-Makindye'!D43,'26.07 Kibuye-Makindye-24h'!D43,'27.07 Kibuye-Makindye-24h'!D43,'28.07 Kibuye-Makindye'!D43)</f>
        <v>17</v>
      </c>
      <c r="E43" s="49">
        <f>AVERAGE('22.07 Kibuye-Makindye'!E43,'23.07 Kibuye-Makindye'!E43,'24.07 Kibuye-Makindye'!E43,'25.07 Kibuye-Makindye'!E43,'26.07 Kibuye-Makindye-24h'!E43,'27.07 Kibuye-Makindye-24h'!E43,'28.07 Kibuye-Makindye'!E43)</f>
        <v>8</v>
      </c>
      <c r="F43" s="49">
        <f>AVERAGE('22.07 Kibuye-Makindye'!F43,'23.07 Kibuye-Makindye'!F43,'24.07 Kibuye-Makindye'!F43,'25.07 Kibuye-Makindye'!F43,'26.07 Kibuye-Makindye-24h'!F43,'27.07 Kibuye-Makindye-24h'!F43,'28.07 Kibuye-Makindye'!F43)</f>
        <v>21.714285714285715</v>
      </c>
      <c r="G43" s="49">
        <f>AVERAGE('22.07 Kibuye-Makindye'!G43,'23.07 Kibuye-Makindye'!G43,'24.07 Kibuye-Makindye'!G43,'25.07 Kibuye-Makindye'!G43,'26.07 Kibuye-Makindye-24h'!G43,'27.07 Kibuye-Makindye-24h'!G43,'28.07 Kibuye-Makindye'!G43)</f>
        <v>0</v>
      </c>
      <c r="H43" s="49">
        <f>AVERAGE('22.07 Kibuye-Makindye'!H43,'23.07 Kibuye-Makindye'!H43,'24.07 Kibuye-Makindye'!H43,'25.07 Kibuye-Makindye'!H43,'26.07 Kibuye-Makindye-24h'!H43,'27.07 Kibuye-Makindye-24h'!H43,'28.07 Kibuye-Makindye'!H43)</f>
        <v>0</v>
      </c>
      <c r="I43" s="49">
        <f>AVERAGE('22.07 Kibuye-Makindye'!I43,'23.07 Kibuye-Makindye'!I43,'24.07 Kibuye-Makindye'!I43,'25.07 Kibuye-Makindye'!I43,'26.07 Kibuye-Makindye-24h'!I43,'27.07 Kibuye-Makindye-24h'!I43,'28.07 Kibuye-Makindye'!I43)</f>
        <v>3.5714285714285716</v>
      </c>
      <c r="J43" s="49">
        <f>AVERAGE('22.07 Kibuye-Makindye'!J43,'23.07 Kibuye-Makindye'!J43,'24.07 Kibuye-Makindye'!J43,'25.07 Kibuye-Makindye'!J43,'26.07 Kibuye-Makindye-24h'!J43,'27.07 Kibuye-Makindye-24h'!J43,'28.07 Kibuye-Makindye'!J43)</f>
        <v>3</v>
      </c>
      <c r="K43" s="49">
        <f>AVERAGE('22.07 Kibuye-Makindye'!K43,'23.07 Kibuye-Makindye'!K43,'24.07 Kibuye-Makindye'!K43,'25.07 Kibuye-Makindye'!K43,'26.07 Kibuye-Makindye-24h'!K43,'27.07 Kibuye-Makindye-24h'!K43,'28.07 Kibuye-Makindye'!K43)</f>
        <v>0.42857142857142855</v>
      </c>
      <c r="L43" s="49">
        <f>AVERAGE('22.07 Kibuye-Makindye'!L43,'23.07 Kibuye-Makindye'!L43,'24.07 Kibuye-Makindye'!L43,'25.07 Kibuye-Makindye'!L43,'26.07 Kibuye-Makindye-24h'!L43,'27.07 Kibuye-Makindye-24h'!L43,'28.07 Kibuye-Makindye'!L43)</f>
        <v>0.2857142857142857</v>
      </c>
      <c r="M43" s="49">
        <f>AVERAGE('22.07 Kibuye-Makindye'!M43,'23.07 Kibuye-Makindye'!M43,'24.07 Kibuye-Makindye'!M43,'25.07 Kibuye-Makindye'!M43,'26.07 Kibuye-Makindye-24h'!M43,'27.07 Kibuye-Makindye-24h'!M43,'28.07 Kibuye-Makindye'!M43)</f>
        <v>171.28571428571428</v>
      </c>
      <c r="N43" s="49">
        <f>AVERAGE('22.07 Kibuye-Makindye'!N43,'23.07 Kibuye-Makindye'!N43,'24.07 Kibuye-Makindye'!N43,'25.07 Kibuye-Makindye'!N43,'26.07 Kibuye-Makindye-24h'!N43,'27.07 Kibuye-Makindye-24h'!N43,'28.07 Kibuye-Makindye'!N43)</f>
        <v>0</v>
      </c>
      <c r="O43" s="15">
        <f t="shared" si="0"/>
        <v>106.42857142857143</v>
      </c>
      <c r="P43" s="15">
        <f t="shared" si="1"/>
        <v>277.71428571428572</v>
      </c>
    </row>
    <row r="44" spans="2:32" ht="23.1" customHeight="1" x14ac:dyDescent="0.25">
      <c r="B44" s="25" t="s">
        <v>71</v>
      </c>
      <c r="C44" s="49">
        <f>AVERAGE('22.07 Kibuye-Makindye'!C44,'23.07 Kibuye-Makindye'!C44,'24.07 Kibuye-Makindye'!C44,'25.07 Kibuye-Makindye'!C44,'26.07 Kibuye-Makindye-24h'!C44,'27.07 Kibuye-Makindye-24h'!C44,'28.07 Kibuye-Makindye'!C44)</f>
        <v>51</v>
      </c>
      <c r="D44" s="49">
        <f>AVERAGE('22.07 Kibuye-Makindye'!D44,'23.07 Kibuye-Makindye'!D44,'24.07 Kibuye-Makindye'!D44,'25.07 Kibuye-Makindye'!D44,'26.07 Kibuye-Makindye-24h'!D44,'27.07 Kibuye-Makindye-24h'!D44,'28.07 Kibuye-Makindye'!D44)</f>
        <v>17.714285714285715</v>
      </c>
      <c r="E44" s="49">
        <f>AVERAGE('22.07 Kibuye-Makindye'!E44,'23.07 Kibuye-Makindye'!E44,'24.07 Kibuye-Makindye'!E44,'25.07 Kibuye-Makindye'!E44,'26.07 Kibuye-Makindye-24h'!E44,'27.07 Kibuye-Makindye-24h'!E44,'28.07 Kibuye-Makindye'!E44)</f>
        <v>5.7142857142857144</v>
      </c>
      <c r="F44" s="49">
        <f>AVERAGE('22.07 Kibuye-Makindye'!F44,'23.07 Kibuye-Makindye'!F44,'24.07 Kibuye-Makindye'!F44,'25.07 Kibuye-Makindye'!F44,'26.07 Kibuye-Makindye-24h'!F44,'27.07 Kibuye-Makindye-24h'!F44,'28.07 Kibuye-Makindye'!F44)</f>
        <v>17.571428571428573</v>
      </c>
      <c r="G44" s="49">
        <f>AVERAGE('22.07 Kibuye-Makindye'!G44,'23.07 Kibuye-Makindye'!G44,'24.07 Kibuye-Makindye'!G44,'25.07 Kibuye-Makindye'!G44,'26.07 Kibuye-Makindye-24h'!G44,'27.07 Kibuye-Makindye-24h'!G44,'28.07 Kibuye-Makindye'!G44)</f>
        <v>0.14285714285714285</v>
      </c>
      <c r="H44" s="49">
        <f>AVERAGE('22.07 Kibuye-Makindye'!H44,'23.07 Kibuye-Makindye'!H44,'24.07 Kibuye-Makindye'!H44,'25.07 Kibuye-Makindye'!H44,'26.07 Kibuye-Makindye-24h'!H44,'27.07 Kibuye-Makindye-24h'!H44,'28.07 Kibuye-Makindye'!H44)</f>
        <v>0</v>
      </c>
      <c r="I44" s="49">
        <f>AVERAGE('22.07 Kibuye-Makindye'!I44,'23.07 Kibuye-Makindye'!I44,'24.07 Kibuye-Makindye'!I44,'25.07 Kibuye-Makindye'!I44,'26.07 Kibuye-Makindye-24h'!I44,'27.07 Kibuye-Makindye-24h'!I44,'28.07 Kibuye-Makindye'!I44)</f>
        <v>4</v>
      </c>
      <c r="J44" s="49">
        <f>AVERAGE('22.07 Kibuye-Makindye'!J44,'23.07 Kibuye-Makindye'!J44,'24.07 Kibuye-Makindye'!J44,'25.07 Kibuye-Makindye'!J44,'26.07 Kibuye-Makindye-24h'!J44,'27.07 Kibuye-Makindye-24h'!J44,'28.07 Kibuye-Makindye'!J44)</f>
        <v>2.1428571428571428</v>
      </c>
      <c r="K44" s="49">
        <f>AVERAGE('22.07 Kibuye-Makindye'!K44,'23.07 Kibuye-Makindye'!K44,'24.07 Kibuye-Makindye'!K44,'25.07 Kibuye-Makindye'!K44,'26.07 Kibuye-Makindye-24h'!K44,'27.07 Kibuye-Makindye-24h'!K44,'28.07 Kibuye-Makindye'!K44)</f>
        <v>0.8571428571428571</v>
      </c>
      <c r="L44" s="49">
        <f>AVERAGE('22.07 Kibuye-Makindye'!L44,'23.07 Kibuye-Makindye'!L44,'24.07 Kibuye-Makindye'!L44,'25.07 Kibuye-Makindye'!L44,'26.07 Kibuye-Makindye-24h'!L44,'27.07 Kibuye-Makindye-24h'!L44,'28.07 Kibuye-Makindye'!L44)</f>
        <v>0.42857142857142855</v>
      </c>
      <c r="M44" s="49">
        <f>AVERAGE('22.07 Kibuye-Makindye'!M44,'23.07 Kibuye-Makindye'!M44,'24.07 Kibuye-Makindye'!M44,'25.07 Kibuye-Makindye'!M44,'26.07 Kibuye-Makindye-24h'!M44,'27.07 Kibuye-Makindye-24h'!M44,'28.07 Kibuye-Makindye'!M44)</f>
        <v>167.28571428571428</v>
      </c>
      <c r="N44" s="49">
        <f>AVERAGE('22.07 Kibuye-Makindye'!N44,'23.07 Kibuye-Makindye'!N44,'24.07 Kibuye-Makindye'!N44,'25.07 Kibuye-Makindye'!N44,'26.07 Kibuye-Makindye-24h'!N44,'27.07 Kibuye-Makindye-24h'!N44,'28.07 Kibuye-Makindye'!N44)</f>
        <v>0</v>
      </c>
      <c r="O44" s="15">
        <f t="shared" si="0"/>
        <v>99.571428571428569</v>
      </c>
      <c r="P44" s="15">
        <f t="shared" si="1"/>
        <v>266.85714285714283</v>
      </c>
    </row>
    <row r="45" spans="2:32" ht="23.1" customHeight="1" x14ac:dyDescent="0.25">
      <c r="B45" s="23" t="s">
        <v>72</v>
      </c>
      <c r="C45" s="49">
        <f>AVERAGE('22.07 Kibuye-Makindye'!C45,'23.07 Kibuye-Makindye'!C45,'24.07 Kibuye-Makindye'!C45,'25.07 Kibuye-Makindye'!C45,'26.07 Kibuye-Makindye-24h'!C45,'27.07 Kibuye-Makindye-24h'!C45,'28.07 Kibuye-Makindye'!C45)</f>
        <v>60.142857142857146</v>
      </c>
      <c r="D45" s="49">
        <f>AVERAGE('22.07 Kibuye-Makindye'!D45,'23.07 Kibuye-Makindye'!D45,'24.07 Kibuye-Makindye'!D45,'25.07 Kibuye-Makindye'!D45,'26.07 Kibuye-Makindye-24h'!D45,'27.07 Kibuye-Makindye-24h'!D45,'28.07 Kibuye-Makindye'!D45)</f>
        <v>22.571428571428573</v>
      </c>
      <c r="E45" s="49">
        <f>AVERAGE('22.07 Kibuye-Makindye'!E45,'23.07 Kibuye-Makindye'!E45,'24.07 Kibuye-Makindye'!E45,'25.07 Kibuye-Makindye'!E45,'26.07 Kibuye-Makindye-24h'!E45,'27.07 Kibuye-Makindye-24h'!E45,'28.07 Kibuye-Makindye'!E45)</f>
        <v>5.8571428571428568</v>
      </c>
      <c r="F45" s="49">
        <f>AVERAGE('22.07 Kibuye-Makindye'!F45,'23.07 Kibuye-Makindye'!F45,'24.07 Kibuye-Makindye'!F45,'25.07 Kibuye-Makindye'!F45,'26.07 Kibuye-Makindye-24h'!F45,'27.07 Kibuye-Makindye-24h'!F45,'28.07 Kibuye-Makindye'!F45)</f>
        <v>22.285714285714285</v>
      </c>
      <c r="G45" s="49">
        <f>AVERAGE('22.07 Kibuye-Makindye'!G45,'23.07 Kibuye-Makindye'!G45,'24.07 Kibuye-Makindye'!G45,'25.07 Kibuye-Makindye'!G45,'26.07 Kibuye-Makindye-24h'!G45,'27.07 Kibuye-Makindye-24h'!G45,'28.07 Kibuye-Makindye'!G45)</f>
        <v>0.2857142857142857</v>
      </c>
      <c r="H45" s="49">
        <f>AVERAGE('22.07 Kibuye-Makindye'!H45,'23.07 Kibuye-Makindye'!H45,'24.07 Kibuye-Makindye'!H45,'25.07 Kibuye-Makindye'!H45,'26.07 Kibuye-Makindye-24h'!H45,'27.07 Kibuye-Makindye-24h'!H45,'28.07 Kibuye-Makindye'!H45)</f>
        <v>0</v>
      </c>
      <c r="I45" s="49">
        <f>AVERAGE('22.07 Kibuye-Makindye'!I45,'23.07 Kibuye-Makindye'!I45,'24.07 Kibuye-Makindye'!I45,'25.07 Kibuye-Makindye'!I45,'26.07 Kibuye-Makindye-24h'!I45,'27.07 Kibuye-Makindye-24h'!I45,'28.07 Kibuye-Makindye'!I45)</f>
        <v>1.7142857142857142</v>
      </c>
      <c r="J45" s="49">
        <f>AVERAGE('22.07 Kibuye-Makindye'!J45,'23.07 Kibuye-Makindye'!J45,'24.07 Kibuye-Makindye'!J45,'25.07 Kibuye-Makindye'!J45,'26.07 Kibuye-Makindye-24h'!J45,'27.07 Kibuye-Makindye-24h'!J45,'28.07 Kibuye-Makindye'!J45)</f>
        <v>1.7142857142857142</v>
      </c>
      <c r="K45" s="49">
        <f>AVERAGE('22.07 Kibuye-Makindye'!K45,'23.07 Kibuye-Makindye'!K45,'24.07 Kibuye-Makindye'!K45,'25.07 Kibuye-Makindye'!K45,'26.07 Kibuye-Makindye-24h'!K45,'27.07 Kibuye-Makindye-24h'!K45,'28.07 Kibuye-Makindye'!K45)</f>
        <v>0.7142857142857143</v>
      </c>
      <c r="L45" s="49">
        <f>AVERAGE('22.07 Kibuye-Makindye'!L45,'23.07 Kibuye-Makindye'!L45,'24.07 Kibuye-Makindye'!L45,'25.07 Kibuye-Makindye'!L45,'26.07 Kibuye-Makindye-24h'!L45,'27.07 Kibuye-Makindye-24h'!L45,'28.07 Kibuye-Makindye'!L45)</f>
        <v>0.42857142857142855</v>
      </c>
      <c r="M45" s="49">
        <f>AVERAGE('22.07 Kibuye-Makindye'!M45,'23.07 Kibuye-Makindye'!M45,'24.07 Kibuye-Makindye'!M45,'25.07 Kibuye-Makindye'!M45,'26.07 Kibuye-Makindye-24h'!M45,'27.07 Kibuye-Makindye-24h'!M45,'28.07 Kibuye-Makindye'!M45)</f>
        <v>151.28571428571428</v>
      </c>
      <c r="N45" s="49">
        <f>AVERAGE('22.07 Kibuye-Makindye'!N45,'23.07 Kibuye-Makindye'!N45,'24.07 Kibuye-Makindye'!N45,'25.07 Kibuye-Makindye'!N45,'26.07 Kibuye-Makindye-24h'!N45,'27.07 Kibuye-Makindye-24h'!N45,'28.07 Kibuye-Makindye'!N45)</f>
        <v>0</v>
      </c>
      <c r="O45" s="15">
        <f t="shared" si="0"/>
        <v>115.71428571428571</v>
      </c>
      <c r="P45" s="15">
        <f t="shared" si="1"/>
        <v>267</v>
      </c>
    </row>
    <row r="46" spans="2:32" ht="23.1" customHeight="1" x14ac:dyDescent="0.25">
      <c r="B46" s="24" t="s">
        <v>73</v>
      </c>
      <c r="C46" s="49">
        <f>AVERAGE('22.07 Kibuye-Makindye'!C46,'23.07 Kibuye-Makindye'!C46,'24.07 Kibuye-Makindye'!C46,'25.07 Kibuye-Makindye'!C46,'26.07 Kibuye-Makindye-24h'!C46,'27.07 Kibuye-Makindye-24h'!C46,'28.07 Kibuye-Makindye'!C46)</f>
        <v>55.142857142857146</v>
      </c>
      <c r="D46" s="49">
        <f>AVERAGE('22.07 Kibuye-Makindye'!D46,'23.07 Kibuye-Makindye'!D46,'24.07 Kibuye-Makindye'!D46,'25.07 Kibuye-Makindye'!D46,'26.07 Kibuye-Makindye-24h'!D46,'27.07 Kibuye-Makindye-24h'!D46,'28.07 Kibuye-Makindye'!D46)</f>
        <v>17.714285714285715</v>
      </c>
      <c r="E46" s="49">
        <f>AVERAGE('22.07 Kibuye-Makindye'!E46,'23.07 Kibuye-Makindye'!E46,'24.07 Kibuye-Makindye'!E46,'25.07 Kibuye-Makindye'!E46,'26.07 Kibuye-Makindye-24h'!E46,'27.07 Kibuye-Makindye-24h'!E46,'28.07 Kibuye-Makindye'!E46)</f>
        <v>8.7142857142857135</v>
      </c>
      <c r="F46" s="49">
        <f>AVERAGE('22.07 Kibuye-Makindye'!F46,'23.07 Kibuye-Makindye'!F46,'24.07 Kibuye-Makindye'!F46,'25.07 Kibuye-Makindye'!F46,'26.07 Kibuye-Makindye-24h'!F46,'27.07 Kibuye-Makindye-24h'!F46,'28.07 Kibuye-Makindye'!F46)</f>
        <v>15.857142857142858</v>
      </c>
      <c r="G46" s="49">
        <f>AVERAGE('22.07 Kibuye-Makindye'!G46,'23.07 Kibuye-Makindye'!G46,'24.07 Kibuye-Makindye'!G46,'25.07 Kibuye-Makindye'!G46,'26.07 Kibuye-Makindye-24h'!G46,'27.07 Kibuye-Makindye-24h'!G46,'28.07 Kibuye-Makindye'!G46)</f>
        <v>0.14285714285714285</v>
      </c>
      <c r="H46" s="49">
        <f>AVERAGE('22.07 Kibuye-Makindye'!H46,'23.07 Kibuye-Makindye'!H46,'24.07 Kibuye-Makindye'!H46,'25.07 Kibuye-Makindye'!H46,'26.07 Kibuye-Makindye-24h'!H46,'27.07 Kibuye-Makindye-24h'!H46,'28.07 Kibuye-Makindye'!H46)</f>
        <v>0</v>
      </c>
      <c r="I46" s="49">
        <f>AVERAGE('22.07 Kibuye-Makindye'!I46,'23.07 Kibuye-Makindye'!I46,'24.07 Kibuye-Makindye'!I46,'25.07 Kibuye-Makindye'!I46,'26.07 Kibuye-Makindye-24h'!I46,'27.07 Kibuye-Makindye-24h'!I46,'28.07 Kibuye-Makindye'!I46)</f>
        <v>2.1428571428571428</v>
      </c>
      <c r="J46" s="49">
        <f>AVERAGE('22.07 Kibuye-Makindye'!J46,'23.07 Kibuye-Makindye'!J46,'24.07 Kibuye-Makindye'!J46,'25.07 Kibuye-Makindye'!J46,'26.07 Kibuye-Makindye-24h'!J46,'27.07 Kibuye-Makindye-24h'!J46,'28.07 Kibuye-Makindye'!J46)</f>
        <v>2.7142857142857144</v>
      </c>
      <c r="K46" s="49">
        <f>AVERAGE('22.07 Kibuye-Makindye'!K46,'23.07 Kibuye-Makindye'!K46,'24.07 Kibuye-Makindye'!K46,'25.07 Kibuye-Makindye'!K46,'26.07 Kibuye-Makindye-24h'!K46,'27.07 Kibuye-Makindye-24h'!K46,'28.07 Kibuye-Makindye'!K46)</f>
        <v>0.42857142857142855</v>
      </c>
      <c r="L46" s="49">
        <f>AVERAGE('22.07 Kibuye-Makindye'!L46,'23.07 Kibuye-Makindye'!L46,'24.07 Kibuye-Makindye'!L46,'25.07 Kibuye-Makindye'!L46,'26.07 Kibuye-Makindye-24h'!L46,'27.07 Kibuye-Makindye-24h'!L46,'28.07 Kibuye-Makindye'!L46)</f>
        <v>0</v>
      </c>
      <c r="M46" s="49">
        <f>AVERAGE('22.07 Kibuye-Makindye'!M46,'23.07 Kibuye-Makindye'!M46,'24.07 Kibuye-Makindye'!M46,'25.07 Kibuye-Makindye'!M46,'26.07 Kibuye-Makindye-24h'!M46,'27.07 Kibuye-Makindye-24h'!M46,'28.07 Kibuye-Makindye'!M46)</f>
        <v>194.14285714285714</v>
      </c>
      <c r="N46" s="49">
        <f>AVERAGE('22.07 Kibuye-Makindye'!N46,'23.07 Kibuye-Makindye'!N46,'24.07 Kibuye-Makindye'!N46,'25.07 Kibuye-Makindye'!N46,'26.07 Kibuye-Makindye-24h'!N46,'27.07 Kibuye-Makindye-24h'!N46,'28.07 Kibuye-Makindye'!N46)</f>
        <v>0</v>
      </c>
      <c r="O46" s="15">
        <f t="shared" si="0"/>
        <v>102.85714285714285</v>
      </c>
      <c r="P46" s="15">
        <f t="shared" si="1"/>
        <v>297</v>
      </c>
      <c r="R46" s="8"/>
      <c r="T46"/>
    </row>
    <row r="47" spans="2:32" ht="23.1" customHeight="1" x14ac:dyDescent="0.25">
      <c r="B47" s="24" t="s">
        <v>74</v>
      </c>
      <c r="C47" s="49">
        <f>AVERAGE('22.07 Kibuye-Makindye'!C47,'23.07 Kibuye-Makindye'!C47,'24.07 Kibuye-Makindye'!C47,'25.07 Kibuye-Makindye'!C47,'26.07 Kibuye-Makindye-24h'!C47,'27.07 Kibuye-Makindye-24h'!C47,'28.07 Kibuye-Makindye'!C47)</f>
        <v>67.857142857142861</v>
      </c>
      <c r="D47" s="49">
        <f>AVERAGE('22.07 Kibuye-Makindye'!D47,'23.07 Kibuye-Makindye'!D47,'24.07 Kibuye-Makindye'!D47,'25.07 Kibuye-Makindye'!D47,'26.07 Kibuye-Makindye-24h'!D47,'27.07 Kibuye-Makindye-24h'!D47,'28.07 Kibuye-Makindye'!D47)</f>
        <v>21.714285714285715</v>
      </c>
      <c r="E47" s="49">
        <f>AVERAGE('22.07 Kibuye-Makindye'!E47,'23.07 Kibuye-Makindye'!E47,'24.07 Kibuye-Makindye'!E47,'25.07 Kibuye-Makindye'!E47,'26.07 Kibuye-Makindye-24h'!E47,'27.07 Kibuye-Makindye-24h'!E47,'28.07 Kibuye-Makindye'!E47)</f>
        <v>9.1428571428571423</v>
      </c>
      <c r="F47" s="49">
        <f>AVERAGE('22.07 Kibuye-Makindye'!F47,'23.07 Kibuye-Makindye'!F47,'24.07 Kibuye-Makindye'!F47,'25.07 Kibuye-Makindye'!F47,'26.07 Kibuye-Makindye-24h'!F47,'27.07 Kibuye-Makindye-24h'!F47,'28.07 Kibuye-Makindye'!F47)</f>
        <v>18.285714285714285</v>
      </c>
      <c r="G47" s="49">
        <f>AVERAGE('22.07 Kibuye-Makindye'!G47,'23.07 Kibuye-Makindye'!G47,'24.07 Kibuye-Makindye'!G47,'25.07 Kibuye-Makindye'!G47,'26.07 Kibuye-Makindye-24h'!G47,'27.07 Kibuye-Makindye-24h'!G47,'28.07 Kibuye-Makindye'!G47)</f>
        <v>0.2857142857142857</v>
      </c>
      <c r="H47" s="49">
        <f>AVERAGE('22.07 Kibuye-Makindye'!H47,'23.07 Kibuye-Makindye'!H47,'24.07 Kibuye-Makindye'!H47,'25.07 Kibuye-Makindye'!H47,'26.07 Kibuye-Makindye-24h'!H47,'27.07 Kibuye-Makindye-24h'!H47,'28.07 Kibuye-Makindye'!H47)</f>
        <v>0</v>
      </c>
      <c r="I47" s="49">
        <f>AVERAGE('22.07 Kibuye-Makindye'!I47,'23.07 Kibuye-Makindye'!I47,'24.07 Kibuye-Makindye'!I47,'25.07 Kibuye-Makindye'!I47,'26.07 Kibuye-Makindye-24h'!I47,'27.07 Kibuye-Makindye-24h'!I47,'28.07 Kibuye-Makindye'!I47)</f>
        <v>2.8571428571428572</v>
      </c>
      <c r="J47" s="49">
        <f>AVERAGE('22.07 Kibuye-Makindye'!J47,'23.07 Kibuye-Makindye'!J47,'24.07 Kibuye-Makindye'!J47,'25.07 Kibuye-Makindye'!J47,'26.07 Kibuye-Makindye-24h'!J47,'27.07 Kibuye-Makindye-24h'!J47,'28.07 Kibuye-Makindye'!J47)</f>
        <v>1.5714285714285714</v>
      </c>
      <c r="K47" s="49">
        <f>AVERAGE('22.07 Kibuye-Makindye'!K47,'23.07 Kibuye-Makindye'!K47,'24.07 Kibuye-Makindye'!K47,'25.07 Kibuye-Makindye'!K47,'26.07 Kibuye-Makindye-24h'!K47,'27.07 Kibuye-Makindye-24h'!K47,'28.07 Kibuye-Makindye'!K47)</f>
        <v>0.42857142857142855</v>
      </c>
      <c r="L47" s="49">
        <f>AVERAGE('22.07 Kibuye-Makindye'!L47,'23.07 Kibuye-Makindye'!L47,'24.07 Kibuye-Makindye'!L47,'25.07 Kibuye-Makindye'!L47,'26.07 Kibuye-Makindye-24h'!L47,'27.07 Kibuye-Makindye-24h'!L47,'28.07 Kibuye-Makindye'!L47)</f>
        <v>0</v>
      </c>
      <c r="M47" s="49">
        <f>AVERAGE('22.07 Kibuye-Makindye'!M47,'23.07 Kibuye-Makindye'!M47,'24.07 Kibuye-Makindye'!M47,'25.07 Kibuye-Makindye'!M47,'26.07 Kibuye-Makindye-24h'!M47,'27.07 Kibuye-Makindye-24h'!M47,'28.07 Kibuye-Makindye'!M47)</f>
        <v>185.14285714285714</v>
      </c>
      <c r="N47" s="49">
        <f>AVERAGE('22.07 Kibuye-Makindye'!N47,'23.07 Kibuye-Makindye'!N47,'24.07 Kibuye-Makindye'!N47,'25.07 Kibuye-Makindye'!N47,'26.07 Kibuye-Makindye-24h'!N47,'27.07 Kibuye-Makindye-24h'!N47,'28.07 Kibuye-Makindye'!N47)</f>
        <v>0</v>
      </c>
      <c r="O47" s="15">
        <f t="shared" si="0"/>
        <v>122.14285714285715</v>
      </c>
      <c r="P47" s="15">
        <f t="shared" si="1"/>
        <v>307.28571428571428</v>
      </c>
      <c r="R47" s="8"/>
      <c r="T47"/>
    </row>
    <row r="48" spans="2:32" ht="23.1" customHeight="1" x14ac:dyDescent="0.25">
      <c r="B48" s="24" t="s">
        <v>75</v>
      </c>
      <c r="C48" s="49">
        <f>AVERAGE('22.07 Kibuye-Makindye'!C48,'23.07 Kibuye-Makindye'!C48,'24.07 Kibuye-Makindye'!C48,'25.07 Kibuye-Makindye'!C48,'26.07 Kibuye-Makindye-24h'!C48,'27.07 Kibuye-Makindye-24h'!C48,'28.07 Kibuye-Makindye'!C48)</f>
        <v>61.285714285714285</v>
      </c>
      <c r="D48" s="49">
        <f>AVERAGE('22.07 Kibuye-Makindye'!D48,'23.07 Kibuye-Makindye'!D48,'24.07 Kibuye-Makindye'!D48,'25.07 Kibuye-Makindye'!D48,'26.07 Kibuye-Makindye-24h'!D48,'27.07 Kibuye-Makindye-24h'!D48,'28.07 Kibuye-Makindye'!D48)</f>
        <v>17.857142857142858</v>
      </c>
      <c r="E48" s="49">
        <f>AVERAGE('22.07 Kibuye-Makindye'!E48,'23.07 Kibuye-Makindye'!E48,'24.07 Kibuye-Makindye'!E48,'25.07 Kibuye-Makindye'!E48,'26.07 Kibuye-Makindye-24h'!E48,'27.07 Kibuye-Makindye-24h'!E48,'28.07 Kibuye-Makindye'!E48)</f>
        <v>6.4285714285714288</v>
      </c>
      <c r="F48" s="49">
        <f>AVERAGE('22.07 Kibuye-Makindye'!F48,'23.07 Kibuye-Makindye'!F48,'24.07 Kibuye-Makindye'!F48,'25.07 Kibuye-Makindye'!F48,'26.07 Kibuye-Makindye-24h'!F48,'27.07 Kibuye-Makindye-24h'!F48,'28.07 Kibuye-Makindye'!F48)</f>
        <v>21.428571428571427</v>
      </c>
      <c r="G48" s="49">
        <f>AVERAGE('22.07 Kibuye-Makindye'!G48,'23.07 Kibuye-Makindye'!G48,'24.07 Kibuye-Makindye'!G48,'25.07 Kibuye-Makindye'!G48,'26.07 Kibuye-Makindye-24h'!G48,'27.07 Kibuye-Makindye-24h'!G48,'28.07 Kibuye-Makindye'!G48)</f>
        <v>0.42857142857142855</v>
      </c>
      <c r="H48" s="49">
        <f>AVERAGE('22.07 Kibuye-Makindye'!H48,'23.07 Kibuye-Makindye'!H48,'24.07 Kibuye-Makindye'!H48,'25.07 Kibuye-Makindye'!H48,'26.07 Kibuye-Makindye-24h'!H48,'27.07 Kibuye-Makindye-24h'!H48,'28.07 Kibuye-Makindye'!H48)</f>
        <v>0</v>
      </c>
      <c r="I48" s="49">
        <f>AVERAGE('22.07 Kibuye-Makindye'!I48,'23.07 Kibuye-Makindye'!I48,'24.07 Kibuye-Makindye'!I48,'25.07 Kibuye-Makindye'!I48,'26.07 Kibuye-Makindye-24h'!I48,'27.07 Kibuye-Makindye-24h'!I48,'28.07 Kibuye-Makindye'!I48)</f>
        <v>2.2857142857142856</v>
      </c>
      <c r="J48" s="49">
        <f>AVERAGE('22.07 Kibuye-Makindye'!J48,'23.07 Kibuye-Makindye'!J48,'24.07 Kibuye-Makindye'!J48,'25.07 Kibuye-Makindye'!J48,'26.07 Kibuye-Makindye-24h'!J48,'27.07 Kibuye-Makindye-24h'!J48,'28.07 Kibuye-Makindye'!J48)</f>
        <v>1.1428571428571428</v>
      </c>
      <c r="K48" s="49">
        <f>AVERAGE('22.07 Kibuye-Makindye'!K48,'23.07 Kibuye-Makindye'!K48,'24.07 Kibuye-Makindye'!K48,'25.07 Kibuye-Makindye'!K48,'26.07 Kibuye-Makindye-24h'!K48,'27.07 Kibuye-Makindye-24h'!K48,'28.07 Kibuye-Makindye'!K48)</f>
        <v>0.14285714285714285</v>
      </c>
      <c r="L48" s="49">
        <f>AVERAGE('22.07 Kibuye-Makindye'!L48,'23.07 Kibuye-Makindye'!L48,'24.07 Kibuye-Makindye'!L48,'25.07 Kibuye-Makindye'!L48,'26.07 Kibuye-Makindye-24h'!L48,'27.07 Kibuye-Makindye-24h'!L48,'28.07 Kibuye-Makindye'!L48)</f>
        <v>0</v>
      </c>
      <c r="M48" s="49">
        <f>AVERAGE('22.07 Kibuye-Makindye'!M48,'23.07 Kibuye-Makindye'!M48,'24.07 Kibuye-Makindye'!M48,'25.07 Kibuye-Makindye'!M48,'26.07 Kibuye-Makindye-24h'!M48,'27.07 Kibuye-Makindye-24h'!M48,'28.07 Kibuye-Makindye'!M48)</f>
        <v>192.42857142857142</v>
      </c>
      <c r="N48" s="49">
        <f>AVERAGE('22.07 Kibuye-Makindye'!N48,'23.07 Kibuye-Makindye'!N48,'24.07 Kibuye-Makindye'!N48,'25.07 Kibuye-Makindye'!N48,'26.07 Kibuye-Makindye-24h'!N48,'27.07 Kibuye-Makindye-24h'!N48,'28.07 Kibuye-Makindye'!N48)</f>
        <v>0</v>
      </c>
      <c r="O48" s="15">
        <f t="shared" si="0"/>
        <v>111</v>
      </c>
      <c r="P48" s="15">
        <f t="shared" si="1"/>
        <v>303.42857142857144</v>
      </c>
      <c r="R48" s="8"/>
      <c r="T48"/>
    </row>
    <row r="49" spans="2:20" ht="23.1" customHeight="1" x14ac:dyDescent="0.25">
      <c r="B49" s="23" t="s">
        <v>76</v>
      </c>
      <c r="C49" s="49">
        <f>AVERAGE('22.07 Kibuye-Makindye'!C49,'23.07 Kibuye-Makindye'!C49,'24.07 Kibuye-Makindye'!C49,'25.07 Kibuye-Makindye'!C49,'26.07 Kibuye-Makindye-24h'!C49,'27.07 Kibuye-Makindye-24h'!C49,'28.07 Kibuye-Makindye'!C49)</f>
        <v>67.714285714285708</v>
      </c>
      <c r="D49" s="49">
        <f>AVERAGE('22.07 Kibuye-Makindye'!D49,'23.07 Kibuye-Makindye'!D49,'24.07 Kibuye-Makindye'!D49,'25.07 Kibuye-Makindye'!D49,'26.07 Kibuye-Makindye-24h'!D49,'27.07 Kibuye-Makindye-24h'!D49,'28.07 Kibuye-Makindye'!D49)</f>
        <v>20.285714285714285</v>
      </c>
      <c r="E49" s="49">
        <f>AVERAGE('22.07 Kibuye-Makindye'!E49,'23.07 Kibuye-Makindye'!E49,'24.07 Kibuye-Makindye'!E49,'25.07 Kibuye-Makindye'!E49,'26.07 Kibuye-Makindye-24h'!E49,'27.07 Kibuye-Makindye-24h'!E49,'28.07 Kibuye-Makindye'!E49)</f>
        <v>5</v>
      </c>
      <c r="F49" s="49">
        <f>AVERAGE('22.07 Kibuye-Makindye'!F49,'23.07 Kibuye-Makindye'!F49,'24.07 Kibuye-Makindye'!F49,'25.07 Kibuye-Makindye'!F49,'26.07 Kibuye-Makindye-24h'!F49,'27.07 Kibuye-Makindye-24h'!F49,'28.07 Kibuye-Makindye'!F49)</f>
        <v>13.428571428571429</v>
      </c>
      <c r="G49" s="49">
        <f>AVERAGE('22.07 Kibuye-Makindye'!G49,'23.07 Kibuye-Makindye'!G49,'24.07 Kibuye-Makindye'!G49,'25.07 Kibuye-Makindye'!G49,'26.07 Kibuye-Makindye-24h'!G49,'27.07 Kibuye-Makindye-24h'!G49,'28.07 Kibuye-Makindye'!G49)</f>
        <v>0.5714285714285714</v>
      </c>
      <c r="H49" s="49">
        <f>AVERAGE('22.07 Kibuye-Makindye'!H49,'23.07 Kibuye-Makindye'!H49,'24.07 Kibuye-Makindye'!H49,'25.07 Kibuye-Makindye'!H49,'26.07 Kibuye-Makindye-24h'!H49,'27.07 Kibuye-Makindye-24h'!H49,'28.07 Kibuye-Makindye'!H49)</f>
        <v>0</v>
      </c>
      <c r="I49" s="49">
        <f>AVERAGE('22.07 Kibuye-Makindye'!I49,'23.07 Kibuye-Makindye'!I49,'24.07 Kibuye-Makindye'!I49,'25.07 Kibuye-Makindye'!I49,'26.07 Kibuye-Makindye-24h'!I49,'27.07 Kibuye-Makindye-24h'!I49,'28.07 Kibuye-Makindye'!I49)</f>
        <v>1.8571428571428572</v>
      </c>
      <c r="J49" s="49">
        <f>AVERAGE('22.07 Kibuye-Makindye'!J49,'23.07 Kibuye-Makindye'!J49,'24.07 Kibuye-Makindye'!J49,'25.07 Kibuye-Makindye'!J49,'26.07 Kibuye-Makindye-24h'!J49,'27.07 Kibuye-Makindye-24h'!J49,'28.07 Kibuye-Makindye'!J49)</f>
        <v>1.1428571428571428</v>
      </c>
      <c r="K49" s="49">
        <f>AVERAGE('22.07 Kibuye-Makindye'!K49,'23.07 Kibuye-Makindye'!K49,'24.07 Kibuye-Makindye'!K49,'25.07 Kibuye-Makindye'!K49,'26.07 Kibuye-Makindye-24h'!K49,'27.07 Kibuye-Makindye-24h'!K49,'28.07 Kibuye-Makindye'!K49)</f>
        <v>0.2857142857142857</v>
      </c>
      <c r="L49" s="49">
        <f>AVERAGE('22.07 Kibuye-Makindye'!L49,'23.07 Kibuye-Makindye'!L49,'24.07 Kibuye-Makindye'!L49,'25.07 Kibuye-Makindye'!L49,'26.07 Kibuye-Makindye-24h'!L49,'27.07 Kibuye-Makindye-24h'!L49,'28.07 Kibuye-Makindye'!L49)</f>
        <v>0</v>
      </c>
      <c r="M49" s="49">
        <f>AVERAGE('22.07 Kibuye-Makindye'!M49,'23.07 Kibuye-Makindye'!M49,'24.07 Kibuye-Makindye'!M49,'25.07 Kibuye-Makindye'!M49,'26.07 Kibuye-Makindye-24h'!M49,'27.07 Kibuye-Makindye-24h'!M49,'28.07 Kibuye-Makindye'!M49)</f>
        <v>184.28571428571428</v>
      </c>
      <c r="N49" s="49">
        <f>AVERAGE('22.07 Kibuye-Makindye'!N49,'23.07 Kibuye-Makindye'!N49,'24.07 Kibuye-Makindye'!N49,'25.07 Kibuye-Makindye'!N49,'26.07 Kibuye-Makindye-24h'!N49,'27.07 Kibuye-Makindye-24h'!N49,'28.07 Kibuye-Makindye'!N49)</f>
        <v>0</v>
      </c>
      <c r="O49" s="15">
        <f t="shared" si="0"/>
        <v>110.28571428571429</v>
      </c>
      <c r="P49" s="15">
        <f t="shared" si="1"/>
        <v>294.57142857142856</v>
      </c>
      <c r="R49" s="8"/>
      <c r="T49"/>
    </row>
    <row r="50" spans="2:20" ht="23.1" customHeight="1" x14ac:dyDescent="0.25">
      <c r="B50" s="24" t="s">
        <v>77</v>
      </c>
      <c r="C50" s="49">
        <f>AVERAGE('22.07 Kibuye-Makindye'!C50,'23.07 Kibuye-Makindye'!C50,'24.07 Kibuye-Makindye'!C50,'25.07 Kibuye-Makindye'!C50,'26.07 Kibuye-Makindye-24h'!C50,'27.07 Kibuye-Makindye-24h'!C50,'28.07 Kibuye-Makindye'!C50)</f>
        <v>69.142857142857139</v>
      </c>
      <c r="D50" s="49">
        <f>AVERAGE('22.07 Kibuye-Makindye'!D50,'23.07 Kibuye-Makindye'!D50,'24.07 Kibuye-Makindye'!D50,'25.07 Kibuye-Makindye'!D50,'26.07 Kibuye-Makindye-24h'!D50,'27.07 Kibuye-Makindye-24h'!D50,'28.07 Kibuye-Makindye'!D50)</f>
        <v>18.142857142857142</v>
      </c>
      <c r="E50" s="49">
        <f>AVERAGE('22.07 Kibuye-Makindye'!E50,'23.07 Kibuye-Makindye'!E50,'24.07 Kibuye-Makindye'!E50,'25.07 Kibuye-Makindye'!E50,'26.07 Kibuye-Makindye-24h'!E50,'27.07 Kibuye-Makindye-24h'!E50,'28.07 Kibuye-Makindye'!E50)</f>
        <v>8</v>
      </c>
      <c r="F50" s="49">
        <f>AVERAGE('22.07 Kibuye-Makindye'!F50,'23.07 Kibuye-Makindye'!F50,'24.07 Kibuye-Makindye'!F50,'25.07 Kibuye-Makindye'!F50,'26.07 Kibuye-Makindye-24h'!F50,'27.07 Kibuye-Makindye-24h'!F50,'28.07 Kibuye-Makindye'!F50)</f>
        <v>22.571428571428573</v>
      </c>
      <c r="G50" s="49">
        <f>AVERAGE('22.07 Kibuye-Makindye'!G50,'23.07 Kibuye-Makindye'!G50,'24.07 Kibuye-Makindye'!G50,'25.07 Kibuye-Makindye'!G50,'26.07 Kibuye-Makindye-24h'!G50,'27.07 Kibuye-Makindye-24h'!G50,'28.07 Kibuye-Makindye'!G50)</f>
        <v>0.5714285714285714</v>
      </c>
      <c r="H50" s="49">
        <f>AVERAGE('22.07 Kibuye-Makindye'!H50,'23.07 Kibuye-Makindye'!H50,'24.07 Kibuye-Makindye'!H50,'25.07 Kibuye-Makindye'!H50,'26.07 Kibuye-Makindye-24h'!H50,'27.07 Kibuye-Makindye-24h'!H50,'28.07 Kibuye-Makindye'!H50)</f>
        <v>0</v>
      </c>
      <c r="I50" s="49">
        <f>AVERAGE('22.07 Kibuye-Makindye'!I50,'23.07 Kibuye-Makindye'!I50,'24.07 Kibuye-Makindye'!I50,'25.07 Kibuye-Makindye'!I50,'26.07 Kibuye-Makindye-24h'!I50,'27.07 Kibuye-Makindye-24h'!I50,'28.07 Kibuye-Makindye'!I50)</f>
        <v>2.1428571428571428</v>
      </c>
      <c r="J50" s="49">
        <f>AVERAGE('22.07 Kibuye-Makindye'!J50,'23.07 Kibuye-Makindye'!J50,'24.07 Kibuye-Makindye'!J50,'25.07 Kibuye-Makindye'!J50,'26.07 Kibuye-Makindye-24h'!J50,'27.07 Kibuye-Makindye-24h'!J50,'28.07 Kibuye-Makindye'!J50)</f>
        <v>2</v>
      </c>
      <c r="K50" s="49">
        <f>AVERAGE('22.07 Kibuye-Makindye'!K50,'23.07 Kibuye-Makindye'!K50,'24.07 Kibuye-Makindye'!K50,'25.07 Kibuye-Makindye'!K50,'26.07 Kibuye-Makindye-24h'!K50,'27.07 Kibuye-Makindye-24h'!K50,'28.07 Kibuye-Makindye'!K50)</f>
        <v>0.2857142857142857</v>
      </c>
      <c r="L50" s="49">
        <f>AVERAGE('22.07 Kibuye-Makindye'!L50,'23.07 Kibuye-Makindye'!L50,'24.07 Kibuye-Makindye'!L50,'25.07 Kibuye-Makindye'!L50,'26.07 Kibuye-Makindye-24h'!L50,'27.07 Kibuye-Makindye-24h'!L50,'28.07 Kibuye-Makindye'!L50)</f>
        <v>0.14285714285714285</v>
      </c>
      <c r="M50" s="49">
        <f>AVERAGE('22.07 Kibuye-Makindye'!M50,'23.07 Kibuye-Makindye'!M50,'24.07 Kibuye-Makindye'!M50,'25.07 Kibuye-Makindye'!M50,'26.07 Kibuye-Makindye-24h'!M50,'27.07 Kibuye-Makindye-24h'!M50,'28.07 Kibuye-Makindye'!M50)</f>
        <v>177.28571428571428</v>
      </c>
      <c r="N50" s="49">
        <f>AVERAGE('22.07 Kibuye-Makindye'!N50,'23.07 Kibuye-Makindye'!N50,'24.07 Kibuye-Makindye'!N50,'25.07 Kibuye-Makindye'!N50,'26.07 Kibuye-Makindye-24h'!N50,'27.07 Kibuye-Makindye-24h'!N50,'28.07 Kibuye-Makindye'!N50)</f>
        <v>0</v>
      </c>
      <c r="O50" s="15">
        <f t="shared" si="0"/>
        <v>122.99999999999999</v>
      </c>
      <c r="P50" s="15">
        <f t="shared" si="1"/>
        <v>300.28571428571428</v>
      </c>
      <c r="R50" s="8"/>
      <c r="T50"/>
    </row>
    <row r="51" spans="2:20" ht="23.1" customHeight="1" x14ac:dyDescent="0.25">
      <c r="B51" s="24" t="s">
        <v>78</v>
      </c>
      <c r="C51" s="49">
        <f>AVERAGE('22.07 Kibuye-Makindye'!C51,'23.07 Kibuye-Makindye'!C51,'24.07 Kibuye-Makindye'!C51,'25.07 Kibuye-Makindye'!C51,'26.07 Kibuye-Makindye-24h'!C51,'27.07 Kibuye-Makindye-24h'!C51,'28.07 Kibuye-Makindye'!C51)</f>
        <v>64.571428571428569</v>
      </c>
      <c r="D51" s="49">
        <f>AVERAGE('22.07 Kibuye-Makindye'!D51,'23.07 Kibuye-Makindye'!D51,'24.07 Kibuye-Makindye'!D51,'25.07 Kibuye-Makindye'!D51,'26.07 Kibuye-Makindye-24h'!D51,'27.07 Kibuye-Makindye-24h'!D51,'28.07 Kibuye-Makindye'!D51)</f>
        <v>23.714285714285715</v>
      </c>
      <c r="E51" s="49">
        <f>AVERAGE('22.07 Kibuye-Makindye'!E51,'23.07 Kibuye-Makindye'!E51,'24.07 Kibuye-Makindye'!E51,'25.07 Kibuye-Makindye'!E51,'26.07 Kibuye-Makindye-24h'!E51,'27.07 Kibuye-Makindye-24h'!E51,'28.07 Kibuye-Makindye'!E51)</f>
        <v>8.7142857142857135</v>
      </c>
      <c r="F51" s="49">
        <f>AVERAGE('22.07 Kibuye-Makindye'!F51,'23.07 Kibuye-Makindye'!F51,'24.07 Kibuye-Makindye'!F51,'25.07 Kibuye-Makindye'!F51,'26.07 Kibuye-Makindye-24h'!F51,'27.07 Kibuye-Makindye-24h'!F51,'28.07 Kibuye-Makindye'!F51)</f>
        <v>19.285714285714285</v>
      </c>
      <c r="G51" s="49">
        <f>AVERAGE('22.07 Kibuye-Makindye'!G51,'23.07 Kibuye-Makindye'!G51,'24.07 Kibuye-Makindye'!G51,'25.07 Kibuye-Makindye'!G51,'26.07 Kibuye-Makindye-24h'!G51,'27.07 Kibuye-Makindye-24h'!G51,'28.07 Kibuye-Makindye'!G51)</f>
        <v>0.7142857142857143</v>
      </c>
      <c r="H51" s="49">
        <f>AVERAGE('22.07 Kibuye-Makindye'!H51,'23.07 Kibuye-Makindye'!H51,'24.07 Kibuye-Makindye'!H51,'25.07 Kibuye-Makindye'!H51,'26.07 Kibuye-Makindye-24h'!H51,'27.07 Kibuye-Makindye-24h'!H51,'28.07 Kibuye-Makindye'!H51)</f>
        <v>0.14285714285714285</v>
      </c>
      <c r="I51" s="49">
        <f>AVERAGE('22.07 Kibuye-Makindye'!I51,'23.07 Kibuye-Makindye'!I51,'24.07 Kibuye-Makindye'!I51,'25.07 Kibuye-Makindye'!I51,'26.07 Kibuye-Makindye-24h'!I51,'27.07 Kibuye-Makindye-24h'!I51,'28.07 Kibuye-Makindye'!I51)</f>
        <v>1.2857142857142858</v>
      </c>
      <c r="J51" s="49">
        <f>AVERAGE('22.07 Kibuye-Makindye'!J51,'23.07 Kibuye-Makindye'!J51,'24.07 Kibuye-Makindye'!J51,'25.07 Kibuye-Makindye'!J51,'26.07 Kibuye-Makindye-24h'!J51,'27.07 Kibuye-Makindye-24h'!J51,'28.07 Kibuye-Makindye'!J51)</f>
        <v>1.2857142857142858</v>
      </c>
      <c r="K51" s="49">
        <f>AVERAGE('22.07 Kibuye-Makindye'!K51,'23.07 Kibuye-Makindye'!K51,'24.07 Kibuye-Makindye'!K51,'25.07 Kibuye-Makindye'!K51,'26.07 Kibuye-Makindye-24h'!K51,'27.07 Kibuye-Makindye-24h'!K51,'28.07 Kibuye-Makindye'!K51)</f>
        <v>0.5714285714285714</v>
      </c>
      <c r="L51" s="49">
        <f>AVERAGE('22.07 Kibuye-Makindye'!L51,'23.07 Kibuye-Makindye'!L51,'24.07 Kibuye-Makindye'!L51,'25.07 Kibuye-Makindye'!L51,'26.07 Kibuye-Makindye-24h'!L51,'27.07 Kibuye-Makindye-24h'!L51,'28.07 Kibuye-Makindye'!L51)</f>
        <v>0</v>
      </c>
      <c r="M51" s="49">
        <f>AVERAGE('22.07 Kibuye-Makindye'!M51,'23.07 Kibuye-Makindye'!M51,'24.07 Kibuye-Makindye'!M51,'25.07 Kibuye-Makindye'!M51,'26.07 Kibuye-Makindye-24h'!M51,'27.07 Kibuye-Makindye-24h'!M51,'28.07 Kibuye-Makindye'!M51)</f>
        <v>197.14285714285714</v>
      </c>
      <c r="N51" s="49">
        <f>AVERAGE('22.07 Kibuye-Makindye'!N51,'23.07 Kibuye-Makindye'!N51,'24.07 Kibuye-Makindye'!N51,'25.07 Kibuye-Makindye'!N51,'26.07 Kibuye-Makindye-24h'!N51,'27.07 Kibuye-Makindye-24h'!N51,'28.07 Kibuye-Makindye'!N51)</f>
        <v>0</v>
      </c>
      <c r="O51" s="15">
        <f t="shared" si="0"/>
        <v>120.28571428571428</v>
      </c>
      <c r="P51" s="15">
        <f t="shared" si="1"/>
        <v>317.42857142857144</v>
      </c>
      <c r="R51" s="8"/>
      <c r="T51"/>
    </row>
    <row r="52" spans="2:20" ht="23.1" customHeight="1" x14ac:dyDescent="0.25">
      <c r="B52" s="24" t="s">
        <v>79</v>
      </c>
      <c r="C52" s="49">
        <f>AVERAGE('22.07 Kibuye-Makindye'!C52,'23.07 Kibuye-Makindye'!C52,'24.07 Kibuye-Makindye'!C52,'25.07 Kibuye-Makindye'!C52,'26.07 Kibuye-Makindye-24h'!C52,'27.07 Kibuye-Makindye-24h'!C52,'28.07 Kibuye-Makindye'!C52)</f>
        <v>65.714285714285708</v>
      </c>
      <c r="D52" s="49">
        <f>AVERAGE('22.07 Kibuye-Makindye'!D52,'23.07 Kibuye-Makindye'!D52,'24.07 Kibuye-Makindye'!D52,'25.07 Kibuye-Makindye'!D52,'26.07 Kibuye-Makindye-24h'!D52,'27.07 Kibuye-Makindye-24h'!D52,'28.07 Kibuye-Makindye'!D52)</f>
        <v>19</v>
      </c>
      <c r="E52" s="49">
        <f>AVERAGE('22.07 Kibuye-Makindye'!E52,'23.07 Kibuye-Makindye'!E52,'24.07 Kibuye-Makindye'!E52,'25.07 Kibuye-Makindye'!E52,'26.07 Kibuye-Makindye-24h'!E52,'27.07 Kibuye-Makindye-24h'!E52,'28.07 Kibuye-Makindye'!E52)</f>
        <v>8.5714285714285712</v>
      </c>
      <c r="F52" s="49">
        <f>AVERAGE('22.07 Kibuye-Makindye'!F52,'23.07 Kibuye-Makindye'!F52,'24.07 Kibuye-Makindye'!F52,'25.07 Kibuye-Makindye'!F52,'26.07 Kibuye-Makindye-24h'!F52,'27.07 Kibuye-Makindye-24h'!F52,'28.07 Kibuye-Makindye'!F52)</f>
        <v>18.142857142857142</v>
      </c>
      <c r="G52" s="49">
        <f>AVERAGE('22.07 Kibuye-Makindye'!G52,'23.07 Kibuye-Makindye'!G52,'24.07 Kibuye-Makindye'!G52,'25.07 Kibuye-Makindye'!G52,'26.07 Kibuye-Makindye-24h'!G52,'27.07 Kibuye-Makindye-24h'!G52,'28.07 Kibuye-Makindye'!G52)</f>
        <v>0.5714285714285714</v>
      </c>
      <c r="H52" s="49">
        <f>AVERAGE('22.07 Kibuye-Makindye'!H52,'23.07 Kibuye-Makindye'!H52,'24.07 Kibuye-Makindye'!H52,'25.07 Kibuye-Makindye'!H52,'26.07 Kibuye-Makindye-24h'!H52,'27.07 Kibuye-Makindye-24h'!H52,'28.07 Kibuye-Makindye'!H52)</f>
        <v>0.14285714285714285</v>
      </c>
      <c r="I52" s="49">
        <f>AVERAGE('22.07 Kibuye-Makindye'!I52,'23.07 Kibuye-Makindye'!I52,'24.07 Kibuye-Makindye'!I52,'25.07 Kibuye-Makindye'!I52,'26.07 Kibuye-Makindye-24h'!I52,'27.07 Kibuye-Makindye-24h'!I52,'28.07 Kibuye-Makindye'!I52)</f>
        <v>2.4285714285714284</v>
      </c>
      <c r="J52" s="49">
        <f>AVERAGE('22.07 Kibuye-Makindye'!J52,'23.07 Kibuye-Makindye'!J52,'24.07 Kibuye-Makindye'!J52,'25.07 Kibuye-Makindye'!J52,'26.07 Kibuye-Makindye-24h'!J52,'27.07 Kibuye-Makindye-24h'!J52,'28.07 Kibuye-Makindye'!J52)</f>
        <v>1.7142857142857142</v>
      </c>
      <c r="K52" s="49">
        <f>AVERAGE('22.07 Kibuye-Makindye'!K52,'23.07 Kibuye-Makindye'!K52,'24.07 Kibuye-Makindye'!K52,'25.07 Kibuye-Makindye'!K52,'26.07 Kibuye-Makindye-24h'!K52,'27.07 Kibuye-Makindye-24h'!K52,'28.07 Kibuye-Makindye'!K52)</f>
        <v>1</v>
      </c>
      <c r="L52" s="49">
        <f>AVERAGE('22.07 Kibuye-Makindye'!L52,'23.07 Kibuye-Makindye'!L52,'24.07 Kibuye-Makindye'!L52,'25.07 Kibuye-Makindye'!L52,'26.07 Kibuye-Makindye-24h'!L52,'27.07 Kibuye-Makindye-24h'!L52,'28.07 Kibuye-Makindye'!L52)</f>
        <v>0.2857142857142857</v>
      </c>
      <c r="M52" s="49">
        <f>AVERAGE('22.07 Kibuye-Makindye'!M52,'23.07 Kibuye-Makindye'!M52,'24.07 Kibuye-Makindye'!M52,'25.07 Kibuye-Makindye'!M52,'26.07 Kibuye-Makindye-24h'!M52,'27.07 Kibuye-Makindye-24h'!M52,'28.07 Kibuye-Makindye'!M52)</f>
        <v>189.28571428571428</v>
      </c>
      <c r="N52" s="49">
        <f>AVERAGE('22.07 Kibuye-Makindye'!N52,'23.07 Kibuye-Makindye'!N52,'24.07 Kibuye-Makindye'!N52,'25.07 Kibuye-Makindye'!N52,'26.07 Kibuye-Makindye-24h'!N52,'27.07 Kibuye-Makindye-24h'!N52,'28.07 Kibuye-Makindye'!N52)</f>
        <v>0</v>
      </c>
      <c r="O52" s="15">
        <f t="shared" si="0"/>
        <v>117.57142857142856</v>
      </c>
      <c r="P52" s="15">
        <f t="shared" si="1"/>
        <v>306.85714285714283</v>
      </c>
      <c r="R52" s="8"/>
      <c r="T52"/>
    </row>
    <row r="53" spans="2:20" ht="23.1" customHeight="1" x14ac:dyDescent="0.25">
      <c r="B53" s="23" t="s">
        <v>80</v>
      </c>
      <c r="C53" s="49">
        <f>AVERAGE('22.07 Kibuye-Makindye'!C53,'23.07 Kibuye-Makindye'!C53,'24.07 Kibuye-Makindye'!C53,'25.07 Kibuye-Makindye'!C53,'26.07 Kibuye-Makindye-24h'!C53,'27.07 Kibuye-Makindye-24h'!C53,'28.07 Kibuye-Makindye'!C53)</f>
        <v>66.571428571428569</v>
      </c>
      <c r="D53" s="49">
        <f>AVERAGE('22.07 Kibuye-Makindye'!D53,'23.07 Kibuye-Makindye'!D53,'24.07 Kibuye-Makindye'!D53,'25.07 Kibuye-Makindye'!D53,'26.07 Kibuye-Makindye-24h'!D53,'27.07 Kibuye-Makindye-24h'!D53,'28.07 Kibuye-Makindye'!D53)</f>
        <v>18</v>
      </c>
      <c r="E53" s="49">
        <f>AVERAGE('22.07 Kibuye-Makindye'!E53,'23.07 Kibuye-Makindye'!E53,'24.07 Kibuye-Makindye'!E53,'25.07 Kibuye-Makindye'!E53,'26.07 Kibuye-Makindye-24h'!E53,'27.07 Kibuye-Makindye-24h'!E53,'28.07 Kibuye-Makindye'!E53)</f>
        <v>7</v>
      </c>
      <c r="F53" s="49">
        <f>AVERAGE('22.07 Kibuye-Makindye'!F53,'23.07 Kibuye-Makindye'!F53,'24.07 Kibuye-Makindye'!F53,'25.07 Kibuye-Makindye'!F53,'26.07 Kibuye-Makindye-24h'!F53,'27.07 Kibuye-Makindye-24h'!F53,'28.07 Kibuye-Makindye'!F53)</f>
        <v>21</v>
      </c>
      <c r="G53" s="49">
        <f>AVERAGE('22.07 Kibuye-Makindye'!G53,'23.07 Kibuye-Makindye'!G53,'24.07 Kibuye-Makindye'!G53,'25.07 Kibuye-Makindye'!G53,'26.07 Kibuye-Makindye-24h'!G53,'27.07 Kibuye-Makindye-24h'!G53,'28.07 Kibuye-Makindye'!G53)</f>
        <v>1</v>
      </c>
      <c r="H53" s="49">
        <f>AVERAGE('22.07 Kibuye-Makindye'!H53,'23.07 Kibuye-Makindye'!H53,'24.07 Kibuye-Makindye'!H53,'25.07 Kibuye-Makindye'!H53,'26.07 Kibuye-Makindye-24h'!H53,'27.07 Kibuye-Makindye-24h'!H53,'28.07 Kibuye-Makindye'!H53)</f>
        <v>0.42857142857142855</v>
      </c>
      <c r="I53" s="49">
        <f>AVERAGE('22.07 Kibuye-Makindye'!I53,'23.07 Kibuye-Makindye'!I53,'24.07 Kibuye-Makindye'!I53,'25.07 Kibuye-Makindye'!I53,'26.07 Kibuye-Makindye-24h'!I53,'27.07 Kibuye-Makindye-24h'!I53,'28.07 Kibuye-Makindye'!I53)</f>
        <v>2.8571428571428572</v>
      </c>
      <c r="J53" s="49">
        <f>AVERAGE('22.07 Kibuye-Makindye'!J53,'23.07 Kibuye-Makindye'!J53,'24.07 Kibuye-Makindye'!J53,'25.07 Kibuye-Makindye'!J53,'26.07 Kibuye-Makindye-24h'!J53,'27.07 Kibuye-Makindye-24h'!J53,'28.07 Kibuye-Makindye'!J53)</f>
        <v>1.1428571428571428</v>
      </c>
      <c r="K53" s="49">
        <f>AVERAGE('22.07 Kibuye-Makindye'!K53,'23.07 Kibuye-Makindye'!K53,'24.07 Kibuye-Makindye'!K53,'25.07 Kibuye-Makindye'!K53,'26.07 Kibuye-Makindye-24h'!K53,'27.07 Kibuye-Makindye-24h'!K53,'28.07 Kibuye-Makindye'!K53)</f>
        <v>0.42857142857142855</v>
      </c>
      <c r="L53" s="49">
        <f>AVERAGE('22.07 Kibuye-Makindye'!L53,'23.07 Kibuye-Makindye'!L53,'24.07 Kibuye-Makindye'!L53,'25.07 Kibuye-Makindye'!L53,'26.07 Kibuye-Makindye-24h'!L53,'27.07 Kibuye-Makindye-24h'!L53,'28.07 Kibuye-Makindye'!L53)</f>
        <v>0.42857142857142855</v>
      </c>
      <c r="M53" s="49">
        <f>AVERAGE('22.07 Kibuye-Makindye'!M53,'23.07 Kibuye-Makindye'!M53,'24.07 Kibuye-Makindye'!M53,'25.07 Kibuye-Makindye'!M53,'26.07 Kibuye-Makindye-24h'!M53,'27.07 Kibuye-Makindye-24h'!M53,'28.07 Kibuye-Makindye'!M53)</f>
        <v>189.42857142857142</v>
      </c>
      <c r="N53" s="49">
        <f>AVERAGE('22.07 Kibuye-Makindye'!N53,'23.07 Kibuye-Makindye'!N53,'24.07 Kibuye-Makindye'!N53,'25.07 Kibuye-Makindye'!N53,'26.07 Kibuye-Makindye-24h'!N53,'27.07 Kibuye-Makindye-24h'!N53,'28.07 Kibuye-Makindye'!N53)</f>
        <v>0</v>
      </c>
      <c r="O53" s="15">
        <f t="shared" si="0"/>
        <v>118.85714285714286</v>
      </c>
      <c r="P53" s="15">
        <f t="shared" si="1"/>
        <v>308.28571428571428</v>
      </c>
      <c r="R53" s="8"/>
      <c r="T53"/>
    </row>
    <row r="54" spans="2:20" ht="23.1" customHeight="1" x14ac:dyDescent="0.25">
      <c r="B54" s="23" t="s">
        <v>81</v>
      </c>
      <c r="C54" s="49">
        <f>AVERAGE('22.07 Kibuye-Makindye'!C54,'23.07 Kibuye-Makindye'!C54,'24.07 Kibuye-Makindye'!C54,'25.07 Kibuye-Makindye'!C54,'26.07 Kibuye-Makindye-24h'!C54,'27.07 Kibuye-Makindye-24h'!C54,'28.07 Kibuye-Makindye'!C54)</f>
        <v>68.714285714285708</v>
      </c>
      <c r="D54" s="49">
        <f>AVERAGE('22.07 Kibuye-Makindye'!D54,'23.07 Kibuye-Makindye'!D54,'24.07 Kibuye-Makindye'!D54,'25.07 Kibuye-Makindye'!D54,'26.07 Kibuye-Makindye-24h'!D54,'27.07 Kibuye-Makindye-24h'!D54,'28.07 Kibuye-Makindye'!D54)</f>
        <v>18.714285714285715</v>
      </c>
      <c r="E54" s="49">
        <f>AVERAGE('22.07 Kibuye-Makindye'!E54,'23.07 Kibuye-Makindye'!E54,'24.07 Kibuye-Makindye'!E54,'25.07 Kibuye-Makindye'!E54,'26.07 Kibuye-Makindye-24h'!E54,'27.07 Kibuye-Makindye-24h'!E54,'28.07 Kibuye-Makindye'!E54)</f>
        <v>10</v>
      </c>
      <c r="F54" s="49">
        <f>AVERAGE('22.07 Kibuye-Makindye'!F54,'23.07 Kibuye-Makindye'!F54,'24.07 Kibuye-Makindye'!F54,'25.07 Kibuye-Makindye'!F54,'26.07 Kibuye-Makindye-24h'!F54,'27.07 Kibuye-Makindye-24h'!F54,'28.07 Kibuye-Makindye'!F54)</f>
        <v>16</v>
      </c>
      <c r="G54" s="49">
        <f>AVERAGE('22.07 Kibuye-Makindye'!G54,'23.07 Kibuye-Makindye'!G54,'24.07 Kibuye-Makindye'!G54,'25.07 Kibuye-Makindye'!G54,'26.07 Kibuye-Makindye-24h'!G54,'27.07 Kibuye-Makindye-24h'!G54,'28.07 Kibuye-Makindye'!G54)</f>
        <v>0.5714285714285714</v>
      </c>
      <c r="H54" s="49">
        <f>AVERAGE('22.07 Kibuye-Makindye'!H54,'23.07 Kibuye-Makindye'!H54,'24.07 Kibuye-Makindye'!H54,'25.07 Kibuye-Makindye'!H54,'26.07 Kibuye-Makindye-24h'!H54,'27.07 Kibuye-Makindye-24h'!H54,'28.07 Kibuye-Makindye'!H54)</f>
        <v>0.14285714285714285</v>
      </c>
      <c r="I54" s="49">
        <f>AVERAGE('22.07 Kibuye-Makindye'!I54,'23.07 Kibuye-Makindye'!I54,'24.07 Kibuye-Makindye'!I54,'25.07 Kibuye-Makindye'!I54,'26.07 Kibuye-Makindye-24h'!I54,'27.07 Kibuye-Makindye-24h'!I54,'28.07 Kibuye-Makindye'!I54)</f>
        <v>3</v>
      </c>
      <c r="J54" s="49">
        <f>AVERAGE('22.07 Kibuye-Makindye'!J54,'23.07 Kibuye-Makindye'!J54,'24.07 Kibuye-Makindye'!J54,'25.07 Kibuye-Makindye'!J54,'26.07 Kibuye-Makindye-24h'!J54,'27.07 Kibuye-Makindye-24h'!J54,'28.07 Kibuye-Makindye'!J54)</f>
        <v>1.2857142857142858</v>
      </c>
      <c r="K54" s="49">
        <f>AVERAGE('22.07 Kibuye-Makindye'!K54,'23.07 Kibuye-Makindye'!K54,'24.07 Kibuye-Makindye'!K54,'25.07 Kibuye-Makindye'!K54,'26.07 Kibuye-Makindye-24h'!K54,'27.07 Kibuye-Makindye-24h'!K54,'28.07 Kibuye-Makindye'!K54)</f>
        <v>0.5714285714285714</v>
      </c>
      <c r="L54" s="49">
        <f>AVERAGE('22.07 Kibuye-Makindye'!L54,'23.07 Kibuye-Makindye'!L54,'24.07 Kibuye-Makindye'!L54,'25.07 Kibuye-Makindye'!L54,'26.07 Kibuye-Makindye-24h'!L54,'27.07 Kibuye-Makindye-24h'!L54,'28.07 Kibuye-Makindye'!L54)</f>
        <v>0.14285714285714285</v>
      </c>
      <c r="M54" s="49">
        <f>AVERAGE('22.07 Kibuye-Makindye'!M54,'23.07 Kibuye-Makindye'!M54,'24.07 Kibuye-Makindye'!M54,'25.07 Kibuye-Makindye'!M54,'26.07 Kibuye-Makindye-24h'!M54,'27.07 Kibuye-Makindye-24h'!M54,'28.07 Kibuye-Makindye'!M54)</f>
        <v>166.42857142857142</v>
      </c>
      <c r="N54" s="49">
        <f>AVERAGE('22.07 Kibuye-Makindye'!N54,'23.07 Kibuye-Makindye'!N54,'24.07 Kibuye-Makindye'!N54,'25.07 Kibuye-Makindye'!N54,'26.07 Kibuye-Makindye-24h'!N54,'27.07 Kibuye-Makindye-24h'!N54,'28.07 Kibuye-Makindye'!N54)</f>
        <v>0</v>
      </c>
      <c r="O54" s="15">
        <f t="shared" si="0"/>
        <v>119.14285714285712</v>
      </c>
      <c r="P54" s="15">
        <f t="shared" si="1"/>
        <v>285.57142857142856</v>
      </c>
      <c r="R54" s="8"/>
      <c r="T54"/>
    </row>
    <row r="55" spans="2:20" ht="23.1" customHeight="1" x14ac:dyDescent="0.25">
      <c r="B55" s="23" t="s">
        <v>82</v>
      </c>
      <c r="C55" s="49">
        <f>AVERAGE('22.07 Kibuye-Makindye'!C55,'23.07 Kibuye-Makindye'!C55,'24.07 Kibuye-Makindye'!C55,'25.07 Kibuye-Makindye'!C55,'26.07 Kibuye-Makindye-24h'!C55,'27.07 Kibuye-Makindye-24h'!C55,'28.07 Kibuye-Makindye'!C55)</f>
        <v>64.857142857142861</v>
      </c>
      <c r="D55" s="49">
        <f>AVERAGE('22.07 Kibuye-Makindye'!D55,'23.07 Kibuye-Makindye'!D55,'24.07 Kibuye-Makindye'!D55,'25.07 Kibuye-Makindye'!D55,'26.07 Kibuye-Makindye-24h'!D55,'27.07 Kibuye-Makindye-24h'!D55,'28.07 Kibuye-Makindye'!D55)</f>
        <v>14</v>
      </c>
      <c r="E55" s="49">
        <f>AVERAGE('22.07 Kibuye-Makindye'!E55,'23.07 Kibuye-Makindye'!E55,'24.07 Kibuye-Makindye'!E55,'25.07 Kibuye-Makindye'!E55,'26.07 Kibuye-Makindye-24h'!E55,'27.07 Kibuye-Makindye-24h'!E55,'28.07 Kibuye-Makindye'!E55)</f>
        <v>5.8571428571428568</v>
      </c>
      <c r="F55" s="49">
        <f>AVERAGE('22.07 Kibuye-Makindye'!F55,'23.07 Kibuye-Makindye'!F55,'24.07 Kibuye-Makindye'!F55,'25.07 Kibuye-Makindye'!F55,'26.07 Kibuye-Makindye-24h'!F55,'27.07 Kibuye-Makindye-24h'!F55,'28.07 Kibuye-Makindye'!F55)</f>
        <v>14.428571428571429</v>
      </c>
      <c r="G55" s="49">
        <f>AVERAGE('22.07 Kibuye-Makindye'!G55,'23.07 Kibuye-Makindye'!G55,'24.07 Kibuye-Makindye'!G55,'25.07 Kibuye-Makindye'!G55,'26.07 Kibuye-Makindye-24h'!G55,'27.07 Kibuye-Makindye-24h'!G55,'28.07 Kibuye-Makindye'!G55)</f>
        <v>0.8571428571428571</v>
      </c>
      <c r="H55" s="49">
        <f>AVERAGE('22.07 Kibuye-Makindye'!H55,'23.07 Kibuye-Makindye'!H55,'24.07 Kibuye-Makindye'!H55,'25.07 Kibuye-Makindye'!H55,'26.07 Kibuye-Makindye-24h'!H55,'27.07 Kibuye-Makindye-24h'!H55,'28.07 Kibuye-Makindye'!H55)</f>
        <v>0.2857142857142857</v>
      </c>
      <c r="I55" s="49">
        <f>AVERAGE('22.07 Kibuye-Makindye'!I55,'23.07 Kibuye-Makindye'!I55,'24.07 Kibuye-Makindye'!I55,'25.07 Kibuye-Makindye'!I55,'26.07 Kibuye-Makindye-24h'!I55,'27.07 Kibuye-Makindye-24h'!I55,'28.07 Kibuye-Makindye'!I55)</f>
        <v>2.7142857142857144</v>
      </c>
      <c r="J55" s="49">
        <f>AVERAGE('22.07 Kibuye-Makindye'!J55,'23.07 Kibuye-Makindye'!J55,'24.07 Kibuye-Makindye'!J55,'25.07 Kibuye-Makindye'!J55,'26.07 Kibuye-Makindye-24h'!J55,'27.07 Kibuye-Makindye-24h'!J55,'28.07 Kibuye-Makindye'!J55)</f>
        <v>1.8571428571428572</v>
      </c>
      <c r="K55" s="49">
        <f>AVERAGE('22.07 Kibuye-Makindye'!K55,'23.07 Kibuye-Makindye'!K55,'24.07 Kibuye-Makindye'!K55,'25.07 Kibuye-Makindye'!K55,'26.07 Kibuye-Makindye-24h'!K55,'27.07 Kibuye-Makindye-24h'!K55,'28.07 Kibuye-Makindye'!K55)</f>
        <v>0.2857142857142857</v>
      </c>
      <c r="L55" s="49">
        <f>AVERAGE('22.07 Kibuye-Makindye'!L55,'23.07 Kibuye-Makindye'!L55,'24.07 Kibuye-Makindye'!L55,'25.07 Kibuye-Makindye'!L55,'26.07 Kibuye-Makindye-24h'!L55,'27.07 Kibuye-Makindye-24h'!L55,'28.07 Kibuye-Makindye'!L55)</f>
        <v>0.2857142857142857</v>
      </c>
      <c r="M55" s="49">
        <f>AVERAGE('22.07 Kibuye-Makindye'!M55,'23.07 Kibuye-Makindye'!M55,'24.07 Kibuye-Makindye'!M55,'25.07 Kibuye-Makindye'!M55,'26.07 Kibuye-Makindye-24h'!M55,'27.07 Kibuye-Makindye-24h'!M55,'28.07 Kibuye-Makindye'!M55)</f>
        <v>165.85714285714286</v>
      </c>
      <c r="N55" s="49">
        <f>AVERAGE('22.07 Kibuye-Makindye'!N55,'23.07 Kibuye-Makindye'!N55,'24.07 Kibuye-Makindye'!N55,'25.07 Kibuye-Makindye'!N55,'26.07 Kibuye-Makindye-24h'!N55,'27.07 Kibuye-Makindye-24h'!N55,'28.07 Kibuye-Makindye'!N55)</f>
        <v>0</v>
      </c>
      <c r="O55" s="15">
        <f t="shared" si="0"/>
        <v>105.42857142857146</v>
      </c>
      <c r="P55" s="15">
        <f t="shared" si="1"/>
        <v>271.28571428571433</v>
      </c>
      <c r="R55" s="8"/>
      <c r="T55"/>
    </row>
    <row r="56" spans="2:20" ht="23.1" customHeight="1" x14ac:dyDescent="0.25">
      <c r="B56" s="23" t="s">
        <v>83</v>
      </c>
      <c r="C56" s="49">
        <f>AVERAGE('22.07 Kibuye-Makindye'!C56,'23.07 Kibuye-Makindye'!C56,'24.07 Kibuye-Makindye'!C56,'25.07 Kibuye-Makindye'!C56,'26.07 Kibuye-Makindye-24h'!C56,'27.07 Kibuye-Makindye-24h'!C56,'28.07 Kibuye-Makindye'!C56)</f>
        <v>64.142857142857139</v>
      </c>
      <c r="D56" s="49">
        <f>AVERAGE('22.07 Kibuye-Makindye'!D56,'23.07 Kibuye-Makindye'!D56,'24.07 Kibuye-Makindye'!D56,'25.07 Kibuye-Makindye'!D56,'26.07 Kibuye-Makindye-24h'!D56,'27.07 Kibuye-Makindye-24h'!D56,'28.07 Kibuye-Makindye'!D56)</f>
        <v>13.857142857142858</v>
      </c>
      <c r="E56" s="49">
        <f>AVERAGE('22.07 Kibuye-Makindye'!E56,'23.07 Kibuye-Makindye'!E56,'24.07 Kibuye-Makindye'!E56,'25.07 Kibuye-Makindye'!E56,'26.07 Kibuye-Makindye-24h'!E56,'27.07 Kibuye-Makindye-24h'!E56,'28.07 Kibuye-Makindye'!E56)</f>
        <v>5.7142857142857144</v>
      </c>
      <c r="F56" s="49">
        <f>AVERAGE('22.07 Kibuye-Makindye'!F56,'23.07 Kibuye-Makindye'!F56,'24.07 Kibuye-Makindye'!F56,'25.07 Kibuye-Makindye'!F56,'26.07 Kibuye-Makindye-24h'!F56,'27.07 Kibuye-Makindye-24h'!F56,'28.07 Kibuye-Makindye'!F56)</f>
        <v>14.142857142857142</v>
      </c>
      <c r="G56" s="49">
        <f>AVERAGE('22.07 Kibuye-Makindye'!G56,'23.07 Kibuye-Makindye'!G56,'24.07 Kibuye-Makindye'!G56,'25.07 Kibuye-Makindye'!G56,'26.07 Kibuye-Makindye-24h'!G56,'27.07 Kibuye-Makindye-24h'!G56,'28.07 Kibuye-Makindye'!G56)</f>
        <v>1.5714285714285714</v>
      </c>
      <c r="H56" s="49">
        <f>AVERAGE('22.07 Kibuye-Makindye'!H56,'23.07 Kibuye-Makindye'!H56,'24.07 Kibuye-Makindye'!H56,'25.07 Kibuye-Makindye'!H56,'26.07 Kibuye-Makindye-24h'!H56,'27.07 Kibuye-Makindye-24h'!H56,'28.07 Kibuye-Makindye'!H56)</f>
        <v>0.14285714285714285</v>
      </c>
      <c r="I56" s="49">
        <f>AVERAGE('22.07 Kibuye-Makindye'!I56,'23.07 Kibuye-Makindye'!I56,'24.07 Kibuye-Makindye'!I56,'25.07 Kibuye-Makindye'!I56,'26.07 Kibuye-Makindye-24h'!I56,'27.07 Kibuye-Makindye-24h'!I56,'28.07 Kibuye-Makindye'!I56)</f>
        <v>1.2857142857142858</v>
      </c>
      <c r="J56" s="49">
        <f>AVERAGE('22.07 Kibuye-Makindye'!J56,'23.07 Kibuye-Makindye'!J56,'24.07 Kibuye-Makindye'!J56,'25.07 Kibuye-Makindye'!J56,'26.07 Kibuye-Makindye-24h'!J56,'27.07 Kibuye-Makindye-24h'!J56,'28.07 Kibuye-Makindye'!J56)</f>
        <v>0.5714285714285714</v>
      </c>
      <c r="K56" s="49">
        <f>AVERAGE('22.07 Kibuye-Makindye'!K56,'23.07 Kibuye-Makindye'!K56,'24.07 Kibuye-Makindye'!K56,'25.07 Kibuye-Makindye'!K56,'26.07 Kibuye-Makindye-24h'!K56,'27.07 Kibuye-Makindye-24h'!K56,'28.07 Kibuye-Makindye'!K56)</f>
        <v>0.42857142857142855</v>
      </c>
      <c r="L56" s="49">
        <f>AVERAGE('22.07 Kibuye-Makindye'!L56,'23.07 Kibuye-Makindye'!L56,'24.07 Kibuye-Makindye'!L56,'25.07 Kibuye-Makindye'!L56,'26.07 Kibuye-Makindye-24h'!L56,'27.07 Kibuye-Makindye-24h'!L56,'28.07 Kibuye-Makindye'!L56)</f>
        <v>0.42857142857142855</v>
      </c>
      <c r="M56" s="49">
        <f>AVERAGE('22.07 Kibuye-Makindye'!M56,'23.07 Kibuye-Makindye'!M56,'24.07 Kibuye-Makindye'!M56,'25.07 Kibuye-Makindye'!M56,'26.07 Kibuye-Makindye-24h'!M56,'27.07 Kibuye-Makindye-24h'!M56,'28.07 Kibuye-Makindye'!M56)</f>
        <v>181.85714285714286</v>
      </c>
      <c r="N56" s="49">
        <f>AVERAGE('22.07 Kibuye-Makindye'!N56,'23.07 Kibuye-Makindye'!N56,'24.07 Kibuye-Makindye'!N56,'25.07 Kibuye-Makindye'!N56,'26.07 Kibuye-Makindye-24h'!N56,'27.07 Kibuye-Makindye-24h'!N56,'28.07 Kibuye-Makindye'!N56)</f>
        <v>0</v>
      </c>
      <c r="O56" s="15">
        <f t="shared" si="0"/>
        <v>102.28571428571428</v>
      </c>
      <c r="P56" s="15">
        <f t="shared" si="1"/>
        <v>284.14285714285711</v>
      </c>
      <c r="R56" s="8"/>
      <c r="T56"/>
    </row>
    <row r="57" spans="2:20" ht="23.1" customHeight="1" x14ac:dyDescent="0.25">
      <c r="B57" s="23" t="s">
        <v>84</v>
      </c>
      <c r="C57" s="49">
        <f>AVERAGE('22.07 Kibuye-Makindye'!C57,'23.07 Kibuye-Makindye'!C57,'24.07 Kibuye-Makindye'!C57,'25.07 Kibuye-Makindye'!C57,'26.07 Kibuye-Makindye-24h'!C57,'27.07 Kibuye-Makindye-24h'!C57,'28.07 Kibuye-Makindye'!C57)</f>
        <v>64</v>
      </c>
      <c r="D57" s="49">
        <f>AVERAGE('22.07 Kibuye-Makindye'!D57,'23.07 Kibuye-Makindye'!D57,'24.07 Kibuye-Makindye'!D57,'25.07 Kibuye-Makindye'!D57,'26.07 Kibuye-Makindye-24h'!D57,'27.07 Kibuye-Makindye-24h'!D57,'28.07 Kibuye-Makindye'!D57)</f>
        <v>12.428571428571429</v>
      </c>
      <c r="E57" s="49">
        <f>AVERAGE('22.07 Kibuye-Makindye'!E57,'23.07 Kibuye-Makindye'!E57,'24.07 Kibuye-Makindye'!E57,'25.07 Kibuye-Makindye'!E57,'26.07 Kibuye-Makindye-24h'!E57,'27.07 Kibuye-Makindye-24h'!E57,'28.07 Kibuye-Makindye'!E57)</f>
        <v>6.5714285714285712</v>
      </c>
      <c r="F57" s="49">
        <f>AVERAGE('22.07 Kibuye-Makindye'!F57,'23.07 Kibuye-Makindye'!F57,'24.07 Kibuye-Makindye'!F57,'25.07 Kibuye-Makindye'!F57,'26.07 Kibuye-Makindye-24h'!F57,'27.07 Kibuye-Makindye-24h'!F57,'28.07 Kibuye-Makindye'!F57)</f>
        <v>15.142857142857142</v>
      </c>
      <c r="G57" s="49">
        <f>AVERAGE('22.07 Kibuye-Makindye'!G57,'23.07 Kibuye-Makindye'!G57,'24.07 Kibuye-Makindye'!G57,'25.07 Kibuye-Makindye'!G57,'26.07 Kibuye-Makindye-24h'!G57,'27.07 Kibuye-Makindye-24h'!G57,'28.07 Kibuye-Makindye'!G57)</f>
        <v>0.8571428571428571</v>
      </c>
      <c r="H57" s="49">
        <f>AVERAGE('22.07 Kibuye-Makindye'!H57,'23.07 Kibuye-Makindye'!H57,'24.07 Kibuye-Makindye'!H57,'25.07 Kibuye-Makindye'!H57,'26.07 Kibuye-Makindye-24h'!H57,'27.07 Kibuye-Makindye-24h'!H57,'28.07 Kibuye-Makindye'!H57)</f>
        <v>0.42857142857142855</v>
      </c>
      <c r="I57" s="49">
        <f>AVERAGE('22.07 Kibuye-Makindye'!I57,'23.07 Kibuye-Makindye'!I57,'24.07 Kibuye-Makindye'!I57,'25.07 Kibuye-Makindye'!I57,'26.07 Kibuye-Makindye-24h'!I57,'27.07 Kibuye-Makindye-24h'!I57,'28.07 Kibuye-Makindye'!I57)</f>
        <v>0.5714285714285714</v>
      </c>
      <c r="J57" s="49">
        <f>AVERAGE('22.07 Kibuye-Makindye'!J57,'23.07 Kibuye-Makindye'!J57,'24.07 Kibuye-Makindye'!J57,'25.07 Kibuye-Makindye'!J57,'26.07 Kibuye-Makindye-24h'!J57,'27.07 Kibuye-Makindye-24h'!J57,'28.07 Kibuye-Makindye'!J57)</f>
        <v>0.8571428571428571</v>
      </c>
      <c r="K57" s="49">
        <f>AVERAGE('22.07 Kibuye-Makindye'!K57,'23.07 Kibuye-Makindye'!K57,'24.07 Kibuye-Makindye'!K57,'25.07 Kibuye-Makindye'!K57,'26.07 Kibuye-Makindye-24h'!K57,'27.07 Kibuye-Makindye-24h'!K57,'28.07 Kibuye-Makindye'!K57)</f>
        <v>0.7142857142857143</v>
      </c>
      <c r="L57" s="49">
        <f>AVERAGE('22.07 Kibuye-Makindye'!L57,'23.07 Kibuye-Makindye'!L57,'24.07 Kibuye-Makindye'!L57,'25.07 Kibuye-Makindye'!L57,'26.07 Kibuye-Makindye-24h'!L57,'27.07 Kibuye-Makindye-24h'!L57,'28.07 Kibuye-Makindye'!L57)</f>
        <v>34.285714285714285</v>
      </c>
      <c r="M57" s="49">
        <f>AVERAGE('22.07 Kibuye-Makindye'!M57,'23.07 Kibuye-Makindye'!M57,'24.07 Kibuye-Makindye'!M57,'25.07 Kibuye-Makindye'!M57,'26.07 Kibuye-Makindye-24h'!M57,'27.07 Kibuye-Makindye-24h'!M57,'28.07 Kibuye-Makindye'!M57)</f>
        <v>137.14285714285714</v>
      </c>
      <c r="N57" s="49">
        <f>AVERAGE('22.07 Kibuye-Makindye'!N57,'23.07 Kibuye-Makindye'!N57,'24.07 Kibuye-Makindye'!N57,'25.07 Kibuye-Makindye'!N57,'26.07 Kibuye-Makindye-24h'!N57,'27.07 Kibuye-Makindye-24h'!N57,'28.07 Kibuye-Makindye'!N57)</f>
        <v>0</v>
      </c>
      <c r="O57" s="15">
        <f t="shared" si="0"/>
        <v>135.85714285714286</v>
      </c>
      <c r="P57" s="15">
        <f t="shared" si="1"/>
        <v>273</v>
      </c>
      <c r="R57" s="8"/>
      <c r="T57"/>
    </row>
    <row r="58" spans="2:20" ht="23.1" customHeight="1" x14ac:dyDescent="0.25">
      <c r="B58" s="23" t="s">
        <v>100</v>
      </c>
      <c r="C58" s="49">
        <f>AVERAGE('26.07 Kibuye-Makindye-24h'!C58,'27.07 Kibuye-Makindye-24h'!C58)</f>
        <v>54.25</v>
      </c>
      <c r="D58" s="49">
        <f>AVERAGE('26.07 Kibuye-Makindye-24h'!D58,'27.07 Kibuye-Makindye-24h'!D58)</f>
        <v>19.5</v>
      </c>
      <c r="E58" s="49">
        <f>AVERAGE('26.07 Kibuye-Makindye-24h'!E58,'27.07 Kibuye-Makindye-24h'!E58)</f>
        <v>6</v>
      </c>
      <c r="F58" s="49">
        <f>AVERAGE('26.07 Kibuye-Makindye-24h'!F58,'27.07 Kibuye-Makindye-24h'!F58)</f>
        <v>10.25</v>
      </c>
      <c r="G58" s="49">
        <f>AVERAGE('26.07 Kibuye-Makindye-24h'!G58,'27.07 Kibuye-Makindye-24h'!G58)</f>
        <v>0.25</v>
      </c>
      <c r="H58" s="49">
        <f>AVERAGE('26.07 Kibuye-Makindye-24h'!H58,'27.07 Kibuye-Makindye-24h'!H58)</f>
        <v>0.5</v>
      </c>
      <c r="I58" s="49">
        <f>AVERAGE('26.07 Kibuye-Makindye-24h'!I58,'27.07 Kibuye-Makindye-24h'!I58)</f>
        <v>2</v>
      </c>
      <c r="J58" s="49">
        <f>AVERAGE('26.07 Kibuye-Makindye-24h'!J58,'27.07 Kibuye-Makindye-24h'!J58)</f>
        <v>0.75</v>
      </c>
      <c r="K58" s="49">
        <f>AVERAGE('26.07 Kibuye-Makindye-24h'!K58,'27.07 Kibuye-Makindye-24h'!K58)</f>
        <v>0.75</v>
      </c>
      <c r="L58" s="49">
        <f>AVERAGE('26.07 Kibuye-Makindye-24h'!L58,'27.07 Kibuye-Makindye-24h'!L58)</f>
        <v>0</v>
      </c>
      <c r="M58" s="49">
        <f>AVERAGE('26.07 Kibuye-Makindye-24h'!M58,'27.07 Kibuye-Makindye-24h'!M58)</f>
        <v>118.25</v>
      </c>
      <c r="N58" s="49">
        <f>AVERAGE('26.07 Kibuye-Makindye-24h'!N58,'27.07 Kibuye-Makindye-24h'!N58)</f>
        <v>0</v>
      </c>
      <c r="O58" s="15">
        <f t="shared" ref="O58:O105" si="35">SUM(C58:L58,N58)</f>
        <v>94.25</v>
      </c>
      <c r="P58" s="15">
        <f t="shared" ref="P58:P105" si="36">SUM(C58:N58)</f>
        <v>212.5</v>
      </c>
      <c r="R58" s="8"/>
      <c r="T58"/>
    </row>
    <row r="59" spans="2:20" ht="23.1" customHeight="1" x14ac:dyDescent="0.25">
      <c r="B59" s="23" t="s">
        <v>101</v>
      </c>
      <c r="C59" s="49">
        <f>AVERAGE('26.07 Kibuye-Makindye-24h'!C59,'27.07 Kibuye-Makindye-24h'!C59)</f>
        <v>52.5</v>
      </c>
      <c r="D59" s="49">
        <f>AVERAGE('26.07 Kibuye-Makindye-24h'!D59,'27.07 Kibuye-Makindye-24h'!D59)</f>
        <v>15.5</v>
      </c>
      <c r="E59" s="49">
        <f>AVERAGE('26.07 Kibuye-Makindye-24h'!E59,'27.07 Kibuye-Makindye-24h'!E59)</f>
        <v>5.5</v>
      </c>
      <c r="F59" s="49">
        <f>AVERAGE('26.07 Kibuye-Makindye-24h'!F59,'27.07 Kibuye-Makindye-24h'!F59)</f>
        <v>12.5</v>
      </c>
      <c r="G59" s="49">
        <f>AVERAGE('26.07 Kibuye-Makindye-24h'!G59,'27.07 Kibuye-Makindye-24h'!G59)</f>
        <v>0</v>
      </c>
      <c r="H59" s="49">
        <f>AVERAGE('26.07 Kibuye-Makindye-24h'!H59,'27.07 Kibuye-Makindye-24h'!H59)</f>
        <v>0</v>
      </c>
      <c r="I59" s="49">
        <f>AVERAGE('26.07 Kibuye-Makindye-24h'!I59,'27.07 Kibuye-Makindye-24h'!I59)</f>
        <v>3.5</v>
      </c>
      <c r="J59" s="49">
        <f>AVERAGE('26.07 Kibuye-Makindye-24h'!J59,'27.07 Kibuye-Makindye-24h'!J59)</f>
        <v>1</v>
      </c>
      <c r="K59" s="49">
        <f>AVERAGE('26.07 Kibuye-Makindye-24h'!K59,'27.07 Kibuye-Makindye-24h'!K59)</f>
        <v>0</v>
      </c>
      <c r="L59" s="49">
        <f>AVERAGE('26.07 Kibuye-Makindye-24h'!L59,'27.07 Kibuye-Makindye-24h'!L59)</f>
        <v>0</v>
      </c>
      <c r="M59" s="49">
        <f>AVERAGE('26.07 Kibuye-Makindye-24h'!M59,'27.07 Kibuye-Makindye-24h'!M59)</f>
        <v>102.5</v>
      </c>
      <c r="N59" s="49">
        <f>AVERAGE('26.07 Kibuye-Makindye-24h'!N59,'27.07 Kibuye-Makindye-24h'!N59)</f>
        <v>0</v>
      </c>
      <c r="O59" s="15">
        <f t="shared" si="35"/>
        <v>90.5</v>
      </c>
      <c r="P59" s="15">
        <f t="shared" si="36"/>
        <v>193</v>
      </c>
      <c r="R59" s="8"/>
      <c r="T59"/>
    </row>
    <row r="60" spans="2:20" ht="23.1" customHeight="1" x14ac:dyDescent="0.25">
      <c r="B60" s="23" t="s">
        <v>102</v>
      </c>
      <c r="C60" s="49">
        <f>AVERAGE('26.07 Kibuye-Makindye-24h'!C60,'27.07 Kibuye-Makindye-24h'!C60)</f>
        <v>56.5</v>
      </c>
      <c r="D60" s="49">
        <f>AVERAGE('26.07 Kibuye-Makindye-24h'!D60,'27.07 Kibuye-Makindye-24h'!D60)</f>
        <v>14</v>
      </c>
      <c r="E60" s="49">
        <f>AVERAGE('26.07 Kibuye-Makindye-24h'!E60,'27.07 Kibuye-Makindye-24h'!E60)</f>
        <v>4</v>
      </c>
      <c r="F60" s="49">
        <f>AVERAGE('26.07 Kibuye-Makindye-24h'!F60,'27.07 Kibuye-Makindye-24h'!F60)</f>
        <v>9</v>
      </c>
      <c r="G60" s="49">
        <f>AVERAGE('26.07 Kibuye-Makindye-24h'!G60,'27.07 Kibuye-Makindye-24h'!G60)</f>
        <v>0</v>
      </c>
      <c r="H60" s="49">
        <f>AVERAGE('26.07 Kibuye-Makindye-24h'!H60,'27.07 Kibuye-Makindye-24h'!H60)</f>
        <v>1</v>
      </c>
      <c r="I60" s="49">
        <f>AVERAGE('26.07 Kibuye-Makindye-24h'!I60,'27.07 Kibuye-Makindye-24h'!I60)</f>
        <v>3</v>
      </c>
      <c r="J60" s="49">
        <f>AVERAGE('26.07 Kibuye-Makindye-24h'!J60,'27.07 Kibuye-Makindye-24h'!J60)</f>
        <v>2.5</v>
      </c>
      <c r="K60" s="49">
        <f>AVERAGE('26.07 Kibuye-Makindye-24h'!K60,'27.07 Kibuye-Makindye-24h'!K60)</f>
        <v>2</v>
      </c>
      <c r="L60" s="49">
        <f>AVERAGE('26.07 Kibuye-Makindye-24h'!L60,'27.07 Kibuye-Makindye-24h'!L60)</f>
        <v>0</v>
      </c>
      <c r="M60" s="49">
        <f>AVERAGE('26.07 Kibuye-Makindye-24h'!M60,'27.07 Kibuye-Makindye-24h'!M60)</f>
        <v>118.5</v>
      </c>
      <c r="N60" s="49">
        <f>AVERAGE('26.07 Kibuye-Makindye-24h'!N60,'27.07 Kibuye-Makindye-24h'!N60)</f>
        <v>0</v>
      </c>
      <c r="O60" s="15">
        <f t="shared" si="35"/>
        <v>92</v>
      </c>
      <c r="P60" s="15">
        <f t="shared" si="36"/>
        <v>210.5</v>
      </c>
      <c r="R60" s="8"/>
      <c r="T60"/>
    </row>
    <row r="61" spans="2:20" ht="23.1" customHeight="1" x14ac:dyDescent="0.25">
      <c r="B61" s="23" t="s">
        <v>103</v>
      </c>
      <c r="C61" s="49">
        <f>AVERAGE('26.07 Kibuye-Makindye-24h'!C61,'27.07 Kibuye-Makindye-24h'!C61)</f>
        <v>74</v>
      </c>
      <c r="D61" s="49">
        <f>AVERAGE('26.07 Kibuye-Makindye-24h'!D61,'27.07 Kibuye-Makindye-24h'!D61)</f>
        <v>7</v>
      </c>
      <c r="E61" s="49">
        <f>AVERAGE('26.07 Kibuye-Makindye-24h'!E61,'27.07 Kibuye-Makindye-24h'!E61)</f>
        <v>4.5</v>
      </c>
      <c r="F61" s="49">
        <f>AVERAGE('26.07 Kibuye-Makindye-24h'!F61,'27.07 Kibuye-Makindye-24h'!F61)</f>
        <v>17.5</v>
      </c>
      <c r="G61" s="49">
        <f>AVERAGE('26.07 Kibuye-Makindye-24h'!G61,'27.07 Kibuye-Makindye-24h'!G61)</f>
        <v>0</v>
      </c>
      <c r="H61" s="49">
        <f>AVERAGE('26.07 Kibuye-Makindye-24h'!H61,'27.07 Kibuye-Makindye-24h'!H61)</f>
        <v>0</v>
      </c>
      <c r="I61" s="49">
        <f>AVERAGE('26.07 Kibuye-Makindye-24h'!I61,'27.07 Kibuye-Makindye-24h'!I61)</f>
        <v>4</v>
      </c>
      <c r="J61" s="49">
        <f>AVERAGE('26.07 Kibuye-Makindye-24h'!J61,'27.07 Kibuye-Makindye-24h'!J61)</f>
        <v>0.5</v>
      </c>
      <c r="K61" s="49">
        <f>AVERAGE('26.07 Kibuye-Makindye-24h'!K61,'27.07 Kibuye-Makindye-24h'!K61)</f>
        <v>0</v>
      </c>
      <c r="L61" s="49">
        <f>AVERAGE('26.07 Kibuye-Makindye-24h'!L61,'27.07 Kibuye-Makindye-24h'!L61)</f>
        <v>0</v>
      </c>
      <c r="M61" s="49">
        <f>AVERAGE('26.07 Kibuye-Makindye-24h'!M61,'27.07 Kibuye-Makindye-24h'!M61)</f>
        <v>108.5</v>
      </c>
      <c r="N61" s="49">
        <f>AVERAGE('26.07 Kibuye-Makindye-24h'!N61,'27.07 Kibuye-Makindye-24h'!N61)</f>
        <v>0</v>
      </c>
      <c r="O61" s="15">
        <f t="shared" si="35"/>
        <v>107.5</v>
      </c>
      <c r="P61" s="15">
        <f t="shared" si="36"/>
        <v>216</v>
      </c>
      <c r="R61" s="8"/>
      <c r="T61"/>
    </row>
    <row r="62" spans="2:20" ht="23.1" customHeight="1" x14ac:dyDescent="0.25">
      <c r="B62" s="23" t="s">
        <v>108</v>
      </c>
      <c r="C62" s="49">
        <f>AVERAGE('26.07 Kibuye-Makindye-24h'!C62,'27.07 Kibuye-Makindye-24h'!C62)</f>
        <v>37.5</v>
      </c>
      <c r="D62" s="49">
        <f>AVERAGE('26.07 Kibuye-Makindye-24h'!D62,'27.07 Kibuye-Makindye-24h'!D62)</f>
        <v>13.5</v>
      </c>
      <c r="E62" s="49">
        <f>AVERAGE('26.07 Kibuye-Makindye-24h'!E62,'27.07 Kibuye-Makindye-24h'!E62)</f>
        <v>4</v>
      </c>
      <c r="F62" s="49">
        <f>AVERAGE('26.07 Kibuye-Makindye-24h'!F62,'27.07 Kibuye-Makindye-24h'!F62)</f>
        <v>13.5</v>
      </c>
      <c r="G62" s="49">
        <f>AVERAGE('26.07 Kibuye-Makindye-24h'!G62,'27.07 Kibuye-Makindye-24h'!G62)</f>
        <v>0</v>
      </c>
      <c r="H62" s="49">
        <f>AVERAGE('26.07 Kibuye-Makindye-24h'!H62,'27.07 Kibuye-Makindye-24h'!H62)</f>
        <v>1</v>
      </c>
      <c r="I62" s="49">
        <f>AVERAGE('26.07 Kibuye-Makindye-24h'!I62,'27.07 Kibuye-Makindye-24h'!I62)</f>
        <v>2.5</v>
      </c>
      <c r="J62" s="49">
        <f>AVERAGE('26.07 Kibuye-Makindye-24h'!J62,'27.07 Kibuye-Makindye-24h'!J62)</f>
        <v>0.5</v>
      </c>
      <c r="K62" s="49">
        <f>AVERAGE('26.07 Kibuye-Makindye-24h'!K62,'27.07 Kibuye-Makindye-24h'!K62)</f>
        <v>0</v>
      </c>
      <c r="L62" s="49">
        <f>AVERAGE('26.07 Kibuye-Makindye-24h'!L62,'27.07 Kibuye-Makindye-24h'!L62)</f>
        <v>0</v>
      </c>
      <c r="M62" s="49">
        <f>AVERAGE('26.07 Kibuye-Makindye-24h'!M62,'27.07 Kibuye-Makindye-24h'!M62)</f>
        <v>107.5</v>
      </c>
      <c r="N62" s="49">
        <f>AVERAGE('26.07 Kibuye-Makindye-24h'!N62,'27.07 Kibuye-Makindye-24h'!N62)</f>
        <v>0</v>
      </c>
      <c r="O62" s="15">
        <f t="shared" si="35"/>
        <v>72.5</v>
      </c>
      <c r="P62" s="15">
        <f t="shared" si="36"/>
        <v>180</v>
      </c>
      <c r="R62" s="8"/>
      <c r="T62"/>
    </row>
    <row r="63" spans="2:20" ht="23.1" customHeight="1" x14ac:dyDescent="0.25">
      <c r="B63" s="23" t="s">
        <v>109</v>
      </c>
      <c r="C63" s="49">
        <f>AVERAGE('26.07 Kibuye-Makindye-24h'!C63,'27.07 Kibuye-Makindye-24h'!C63)</f>
        <v>42.5</v>
      </c>
      <c r="D63" s="49">
        <f>AVERAGE('26.07 Kibuye-Makindye-24h'!D63,'27.07 Kibuye-Makindye-24h'!D63)</f>
        <v>8.5</v>
      </c>
      <c r="E63" s="49">
        <f>AVERAGE('26.07 Kibuye-Makindye-24h'!E63,'27.07 Kibuye-Makindye-24h'!E63)</f>
        <v>7</v>
      </c>
      <c r="F63" s="49">
        <f>AVERAGE('26.07 Kibuye-Makindye-24h'!F63,'27.07 Kibuye-Makindye-24h'!F63)</f>
        <v>12.5</v>
      </c>
      <c r="G63" s="49">
        <f>AVERAGE('26.07 Kibuye-Makindye-24h'!G63,'27.07 Kibuye-Makindye-24h'!G63)</f>
        <v>0</v>
      </c>
      <c r="H63" s="49">
        <f>AVERAGE('26.07 Kibuye-Makindye-24h'!H63,'27.07 Kibuye-Makindye-24h'!H63)</f>
        <v>0</v>
      </c>
      <c r="I63" s="49">
        <f>AVERAGE('26.07 Kibuye-Makindye-24h'!I63,'27.07 Kibuye-Makindye-24h'!I63)</f>
        <v>1</v>
      </c>
      <c r="J63" s="49">
        <f>AVERAGE('26.07 Kibuye-Makindye-24h'!J63,'27.07 Kibuye-Makindye-24h'!J63)</f>
        <v>0</v>
      </c>
      <c r="K63" s="49">
        <f>AVERAGE('26.07 Kibuye-Makindye-24h'!K63,'27.07 Kibuye-Makindye-24h'!K63)</f>
        <v>0</v>
      </c>
      <c r="L63" s="49">
        <f>AVERAGE('26.07 Kibuye-Makindye-24h'!L63,'27.07 Kibuye-Makindye-24h'!L63)</f>
        <v>0</v>
      </c>
      <c r="M63" s="49">
        <f>AVERAGE('26.07 Kibuye-Makindye-24h'!M63,'27.07 Kibuye-Makindye-24h'!M63)</f>
        <v>111.5</v>
      </c>
      <c r="N63" s="49">
        <f>AVERAGE('26.07 Kibuye-Makindye-24h'!N63,'27.07 Kibuye-Makindye-24h'!N63)</f>
        <v>0</v>
      </c>
      <c r="O63" s="15">
        <f t="shared" si="35"/>
        <v>71.5</v>
      </c>
      <c r="P63" s="15">
        <f t="shared" si="36"/>
        <v>183</v>
      </c>
      <c r="R63" s="8"/>
      <c r="T63"/>
    </row>
    <row r="64" spans="2:20" ht="23.1" customHeight="1" x14ac:dyDescent="0.25">
      <c r="B64" s="23" t="s">
        <v>110</v>
      </c>
      <c r="C64" s="49">
        <f>AVERAGE('26.07 Kibuye-Makindye-24h'!C64,'27.07 Kibuye-Makindye-24h'!C64)</f>
        <v>58</v>
      </c>
      <c r="D64" s="49">
        <f>AVERAGE('26.07 Kibuye-Makindye-24h'!D64,'27.07 Kibuye-Makindye-24h'!D64)</f>
        <v>10.5</v>
      </c>
      <c r="E64" s="49">
        <f>AVERAGE('26.07 Kibuye-Makindye-24h'!E64,'27.07 Kibuye-Makindye-24h'!E64)</f>
        <v>9</v>
      </c>
      <c r="F64" s="49">
        <f>AVERAGE('26.07 Kibuye-Makindye-24h'!F64,'27.07 Kibuye-Makindye-24h'!F64)</f>
        <v>15</v>
      </c>
      <c r="G64" s="49">
        <f>AVERAGE('26.07 Kibuye-Makindye-24h'!G64,'27.07 Kibuye-Makindye-24h'!G64)</f>
        <v>0.5</v>
      </c>
      <c r="H64" s="49">
        <f>AVERAGE('26.07 Kibuye-Makindye-24h'!H64,'27.07 Kibuye-Makindye-24h'!H64)</f>
        <v>0.5</v>
      </c>
      <c r="I64" s="49">
        <f>AVERAGE('26.07 Kibuye-Makindye-24h'!I64,'27.07 Kibuye-Makindye-24h'!I64)</f>
        <v>4</v>
      </c>
      <c r="J64" s="49">
        <f>AVERAGE('26.07 Kibuye-Makindye-24h'!J64,'27.07 Kibuye-Makindye-24h'!J64)</f>
        <v>0</v>
      </c>
      <c r="K64" s="49">
        <f>AVERAGE('26.07 Kibuye-Makindye-24h'!K64,'27.07 Kibuye-Makindye-24h'!K64)</f>
        <v>0</v>
      </c>
      <c r="L64" s="49">
        <f>AVERAGE('26.07 Kibuye-Makindye-24h'!L64,'27.07 Kibuye-Makindye-24h'!L64)</f>
        <v>0</v>
      </c>
      <c r="M64" s="49">
        <f>AVERAGE('26.07 Kibuye-Makindye-24h'!M64,'27.07 Kibuye-Makindye-24h'!M64)</f>
        <v>126.5</v>
      </c>
      <c r="N64" s="49">
        <f>AVERAGE('26.07 Kibuye-Makindye-24h'!N64,'27.07 Kibuye-Makindye-24h'!N64)</f>
        <v>0</v>
      </c>
      <c r="O64" s="15">
        <f t="shared" si="35"/>
        <v>97.5</v>
      </c>
      <c r="P64" s="15">
        <f t="shared" si="36"/>
        <v>224</v>
      </c>
      <c r="R64" s="8"/>
      <c r="T64"/>
    </row>
    <row r="65" spans="2:20" ht="23.1" customHeight="1" x14ac:dyDescent="0.25">
      <c r="B65" s="23" t="s">
        <v>159</v>
      </c>
      <c r="C65" s="49">
        <f>AVERAGE('26.07 Kibuye-Makindye-24h'!C65,'27.07 Kibuye-Makindye-24h'!C65)</f>
        <v>50</v>
      </c>
      <c r="D65" s="49">
        <f>AVERAGE('26.07 Kibuye-Makindye-24h'!D65,'27.07 Kibuye-Makindye-24h'!D65)</f>
        <v>10</v>
      </c>
      <c r="E65" s="49">
        <f>AVERAGE('26.07 Kibuye-Makindye-24h'!E65,'27.07 Kibuye-Makindye-24h'!E65)</f>
        <v>4</v>
      </c>
      <c r="F65" s="49">
        <f>AVERAGE('26.07 Kibuye-Makindye-24h'!F65,'27.07 Kibuye-Makindye-24h'!F65)</f>
        <v>25</v>
      </c>
      <c r="G65" s="49">
        <f>AVERAGE('26.07 Kibuye-Makindye-24h'!G65,'27.07 Kibuye-Makindye-24h'!G65)</f>
        <v>0</v>
      </c>
      <c r="H65" s="49">
        <f>AVERAGE('26.07 Kibuye-Makindye-24h'!H65,'27.07 Kibuye-Makindye-24h'!H65)</f>
        <v>0.5</v>
      </c>
      <c r="I65" s="49">
        <f>AVERAGE('26.07 Kibuye-Makindye-24h'!I65,'27.07 Kibuye-Makindye-24h'!I65)</f>
        <v>4.5</v>
      </c>
      <c r="J65" s="49">
        <f>AVERAGE('26.07 Kibuye-Makindye-24h'!J65,'27.07 Kibuye-Makindye-24h'!J65)</f>
        <v>2</v>
      </c>
      <c r="K65" s="49">
        <f>AVERAGE('26.07 Kibuye-Makindye-24h'!K65,'27.07 Kibuye-Makindye-24h'!K65)</f>
        <v>0</v>
      </c>
      <c r="L65" s="49">
        <f>AVERAGE('26.07 Kibuye-Makindye-24h'!L65,'27.07 Kibuye-Makindye-24h'!L65)</f>
        <v>0</v>
      </c>
      <c r="M65" s="49">
        <f>AVERAGE('26.07 Kibuye-Makindye-24h'!M65,'27.07 Kibuye-Makindye-24h'!M65)</f>
        <v>91</v>
      </c>
      <c r="N65" s="49">
        <f>AVERAGE('26.07 Kibuye-Makindye-24h'!N65,'27.07 Kibuye-Makindye-24h'!N65)</f>
        <v>0</v>
      </c>
      <c r="O65" s="15">
        <f t="shared" si="35"/>
        <v>96</v>
      </c>
      <c r="P65" s="15">
        <f t="shared" si="36"/>
        <v>187</v>
      </c>
      <c r="R65" s="8"/>
      <c r="T65"/>
    </row>
    <row r="66" spans="2:20" ht="23.1" customHeight="1" x14ac:dyDescent="0.25">
      <c r="B66" s="23" t="s">
        <v>104</v>
      </c>
      <c r="C66" s="49">
        <f>AVERAGE('26.07 Kibuye-Makindye-24h'!C66,'27.07 Kibuye-Makindye-24h'!C66)</f>
        <v>45.5</v>
      </c>
      <c r="D66" s="49">
        <f>AVERAGE('26.07 Kibuye-Makindye-24h'!D66,'27.07 Kibuye-Makindye-24h'!D66)</f>
        <v>18</v>
      </c>
      <c r="E66" s="49">
        <f>AVERAGE('26.07 Kibuye-Makindye-24h'!E66,'27.07 Kibuye-Makindye-24h'!E66)</f>
        <v>6</v>
      </c>
      <c r="F66" s="49">
        <f>AVERAGE('26.07 Kibuye-Makindye-24h'!F66,'27.07 Kibuye-Makindye-24h'!F66)</f>
        <v>9.5</v>
      </c>
      <c r="G66" s="49">
        <f>AVERAGE('26.07 Kibuye-Makindye-24h'!G66,'27.07 Kibuye-Makindye-24h'!G66)</f>
        <v>0</v>
      </c>
      <c r="H66" s="49">
        <f>AVERAGE('26.07 Kibuye-Makindye-24h'!H66,'27.07 Kibuye-Makindye-24h'!H66)</f>
        <v>0</v>
      </c>
      <c r="I66" s="49">
        <f>AVERAGE('26.07 Kibuye-Makindye-24h'!I66,'27.07 Kibuye-Makindye-24h'!I66)</f>
        <v>8</v>
      </c>
      <c r="J66" s="49">
        <f>AVERAGE('26.07 Kibuye-Makindye-24h'!J66,'27.07 Kibuye-Makindye-24h'!J66)</f>
        <v>0.5</v>
      </c>
      <c r="K66" s="49">
        <f>AVERAGE('26.07 Kibuye-Makindye-24h'!K66,'27.07 Kibuye-Makindye-24h'!K66)</f>
        <v>0</v>
      </c>
      <c r="L66" s="49">
        <f>AVERAGE('26.07 Kibuye-Makindye-24h'!L66,'27.07 Kibuye-Makindye-24h'!L66)</f>
        <v>0</v>
      </c>
      <c r="M66" s="49">
        <f>AVERAGE('26.07 Kibuye-Makindye-24h'!M66,'27.07 Kibuye-Makindye-24h'!M66)</f>
        <v>97.5</v>
      </c>
      <c r="N66" s="49">
        <f>AVERAGE('26.07 Kibuye-Makindye-24h'!N66,'27.07 Kibuye-Makindye-24h'!N66)</f>
        <v>0</v>
      </c>
      <c r="O66" s="15">
        <f t="shared" si="35"/>
        <v>87.5</v>
      </c>
      <c r="P66" s="15">
        <f t="shared" si="36"/>
        <v>185</v>
      </c>
      <c r="R66" s="8"/>
      <c r="T66"/>
    </row>
    <row r="67" spans="2:20" ht="23.1" customHeight="1" x14ac:dyDescent="0.25">
      <c r="B67" s="23" t="s">
        <v>105</v>
      </c>
      <c r="C67" s="49">
        <f>AVERAGE('26.07 Kibuye-Makindye-24h'!C67,'27.07 Kibuye-Makindye-24h'!C67)</f>
        <v>46</v>
      </c>
      <c r="D67" s="49">
        <f>AVERAGE('26.07 Kibuye-Makindye-24h'!D67,'27.07 Kibuye-Makindye-24h'!D67)</f>
        <v>10</v>
      </c>
      <c r="E67" s="49">
        <f>AVERAGE('26.07 Kibuye-Makindye-24h'!E67,'27.07 Kibuye-Makindye-24h'!E67)</f>
        <v>6.5</v>
      </c>
      <c r="F67" s="49">
        <f>AVERAGE('26.07 Kibuye-Makindye-24h'!F67,'27.07 Kibuye-Makindye-24h'!F67)</f>
        <v>7.5</v>
      </c>
      <c r="G67" s="49">
        <f>AVERAGE('26.07 Kibuye-Makindye-24h'!G67,'27.07 Kibuye-Makindye-24h'!G67)</f>
        <v>0</v>
      </c>
      <c r="H67" s="49">
        <f>AVERAGE('26.07 Kibuye-Makindye-24h'!H67,'27.07 Kibuye-Makindye-24h'!H67)</f>
        <v>0</v>
      </c>
      <c r="I67" s="49">
        <f>AVERAGE('26.07 Kibuye-Makindye-24h'!I67,'27.07 Kibuye-Makindye-24h'!I67)</f>
        <v>9</v>
      </c>
      <c r="J67" s="49">
        <f>AVERAGE('26.07 Kibuye-Makindye-24h'!J67,'27.07 Kibuye-Makindye-24h'!J67)</f>
        <v>1</v>
      </c>
      <c r="K67" s="49">
        <f>AVERAGE('26.07 Kibuye-Makindye-24h'!K67,'27.07 Kibuye-Makindye-24h'!K67)</f>
        <v>0</v>
      </c>
      <c r="L67" s="49">
        <f>AVERAGE('26.07 Kibuye-Makindye-24h'!L67,'27.07 Kibuye-Makindye-24h'!L67)</f>
        <v>0</v>
      </c>
      <c r="M67" s="49">
        <f>AVERAGE('26.07 Kibuye-Makindye-24h'!M67,'27.07 Kibuye-Makindye-24h'!M67)</f>
        <v>91.5</v>
      </c>
      <c r="N67" s="49">
        <f>AVERAGE('26.07 Kibuye-Makindye-24h'!N67,'27.07 Kibuye-Makindye-24h'!N67)</f>
        <v>0</v>
      </c>
      <c r="O67" s="15">
        <f t="shared" si="35"/>
        <v>80</v>
      </c>
      <c r="P67" s="15">
        <f t="shared" si="36"/>
        <v>171.5</v>
      </c>
      <c r="R67" s="8"/>
      <c r="T67"/>
    </row>
    <row r="68" spans="2:20" ht="23.1" customHeight="1" x14ac:dyDescent="0.25">
      <c r="B68" s="23" t="s">
        <v>106</v>
      </c>
      <c r="C68" s="49">
        <f>AVERAGE('26.07 Kibuye-Makindye-24h'!C68,'27.07 Kibuye-Makindye-24h'!C68)</f>
        <v>66.5</v>
      </c>
      <c r="D68" s="49">
        <f>AVERAGE('26.07 Kibuye-Makindye-24h'!D68,'27.07 Kibuye-Makindye-24h'!D68)</f>
        <v>11.5</v>
      </c>
      <c r="E68" s="49">
        <f>AVERAGE('26.07 Kibuye-Makindye-24h'!E68,'27.07 Kibuye-Makindye-24h'!E68)</f>
        <v>4</v>
      </c>
      <c r="F68" s="49">
        <f>AVERAGE('26.07 Kibuye-Makindye-24h'!F68,'27.07 Kibuye-Makindye-24h'!F68)</f>
        <v>8</v>
      </c>
      <c r="G68" s="49">
        <f>AVERAGE('26.07 Kibuye-Makindye-24h'!G68,'27.07 Kibuye-Makindye-24h'!G68)</f>
        <v>0</v>
      </c>
      <c r="H68" s="49">
        <f>AVERAGE('26.07 Kibuye-Makindye-24h'!H68,'27.07 Kibuye-Makindye-24h'!H68)</f>
        <v>0.5</v>
      </c>
      <c r="I68" s="49">
        <f>AVERAGE('26.07 Kibuye-Makindye-24h'!I68,'27.07 Kibuye-Makindye-24h'!I68)</f>
        <v>2.5</v>
      </c>
      <c r="J68" s="49">
        <f>AVERAGE('26.07 Kibuye-Makindye-24h'!J68,'27.07 Kibuye-Makindye-24h'!J68)</f>
        <v>1</v>
      </c>
      <c r="K68" s="49">
        <f>AVERAGE('26.07 Kibuye-Makindye-24h'!K68,'27.07 Kibuye-Makindye-24h'!K68)</f>
        <v>0</v>
      </c>
      <c r="L68" s="49">
        <f>AVERAGE('26.07 Kibuye-Makindye-24h'!L68,'27.07 Kibuye-Makindye-24h'!L68)</f>
        <v>0</v>
      </c>
      <c r="M68" s="49">
        <f>AVERAGE('26.07 Kibuye-Makindye-24h'!M68,'27.07 Kibuye-Makindye-24h'!M68)</f>
        <v>85</v>
      </c>
      <c r="N68" s="49">
        <f>AVERAGE('26.07 Kibuye-Makindye-24h'!N68,'27.07 Kibuye-Makindye-24h'!N68)</f>
        <v>0</v>
      </c>
      <c r="O68" s="15">
        <f t="shared" si="35"/>
        <v>94</v>
      </c>
      <c r="P68" s="15">
        <f t="shared" si="36"/>
        <v>179</v>
      </c>
      <c r="R68" s="8"/>
      <c r="T68"/>
    </row>
    <row r="69" spans="2:20" ht="23.1" customHeight="1" x14ac:dyDescent="0.25">
      <c r="B69" s="23" t="s">
        <v>107</v>
      </c>
      <c r="C69" s="49">
        <f>AVERAGE('26.07 Kibuye-Makindye-24h'!C69,'27.07 Kibuye-Makindye-24h'!C69)</f>
        <v>49.5</v>
      </c>
      <c r="D69" s="49">
        <f>AVERAGE('26.07 Kibuye-Makindye-24h'!D69,'27.07 Kibuye-Makindye-24h'!D69)</f>
        <v>15</v>
      </c>
      <c r="E69" s="49">
        <f>AVERAGE('26.07 Kibuye-Makindye-24h'!E69,'27.07 Kibuye-Makindye-24h'!E69)</f>
        <v>6.5</v>
      </c>
      <c r="F69" s="49">
        <f>AVERAGE('26.07 Kibuye-Makindye-24h'!F69,'27.07 Kibuye-Makindye-24h'!F69)</f>
        <v>12.5</v>
      </c>
      <c r="G69" s="49">
        <f>AVERAGE('26.07 Kibuye-Makindye-24h'!G69,'27.07 Kibuye-Makindye-24h'!G69)</f>
        <v>0</v>
      </c>
      <c r="H69" s="49">
        <f>AVERAGE('26.07 Kibuye-Makindye-24h'!H69,'27.07 Kibuye-Makindye-24h'!H69)</f>
        <v>0</v>
      </c>
      <c r="I69" s="49">
        <f>AVERAGE('26.07 Kibuye-Makindye-24h'!I69,'27.07 Kibuye-Makindye-24h'!I69)</f>
        <v>2</v>
      </c>
      <c r="J69" s="49">
        <f>AVERAGE('26.07 Kibuye-Makindye-24h'!J69,'27.07 Kibuye-Makindye-24h'!J69)</f>
        <v>0</v>
      </c>
      <c r="K69" s="49">
        <f>AVERAGE('26.07 Kibuye-Makindye-24h'!K69,'27.07 Kibuye-Makindye-24h'!K69)</f>
        <v>0</v>
      </c>
      <c r="L69" s="49">
        <f>AVERAGE('26.07 Kibuye-Makindye-24h'!L69,'27.07 Kibuye-Makindye-24h'!L69)</f>
        <v>0</v>
      </c>
      <c r="M69" s="49">
        <f>AVERAGE('26.07 Kibuye-Makindye-24h'!M69,'27.07 Kibuye-Makindye-24h'!M69)</f>
        <v>77</v>
      </c>
      <c r="N69" s="49">
        <f>AVERAGE('26.07 Kibuye-Makindye-24h'!N69,'27.07 Kibuye-Makindye-24h'!N69)</f>
        <v>0</v>
      </c>
      <c r="O69" s="15">
        <f t="shared" si="35"/>
        <v>85.5</v>
      </c>
      <c r="P69" s="15">
        <f t="shared" si="36"/>
        <v>162.5</v>
      </c>
      <c r="R69" s="8"/>
      <c r="T69"/>
    </row>
    <row r="70" spans="2:20" ht="23.1" customHeight="1" x14ac:dyDescent="0.25">
      <c r="B70" s="23" t="s">
        <v>111</v>
      </c>
      <c r="C70" s="49">
        <f>AVERAGE('26.07 Kibuye-Makindye-24h'!C70,'27.07 Kibuye-Makindye-24h'!C70)</f>
        <v>33</v>
      </c>
      <c r="D70" s="49">
        <f>AVERAGE('26.07 Kibuye-Makindye-24h'!D70,'27.07 Kibuye-Makindye-24h'!D70)</f>
        <v>8</v>
      </c>
      <c r="E70" s="49">
        <f>AVERAGE('26.07 Kibuye-Makindye-24h'!E70,'27.07 Kibuye-Makindye-24h'!E70)</f>
        <v>2</v>
      </c>
      <c r="F70" s="49">
        <f>AVERAGE('26.07 Kibuye-Makindye-24h'!F70,'27.07 Kibuye-Makindye-24h'!F70)</f>
        <v>4.5</v>
      </c>
      <c r="G70" s="49">
        <f>AVERAGE('26.07 Kibuye-Makindye-24h'!G70,'27.07 Kibuye-Makindye-24h'!G70)</f>
        <v>0.5</v>
      </c>
      <c r="H70" s="49">
        <f>AVERAGE('26.07 Kibuye-Makindye-24h'!H70,'27.07 Kibuye-Makindye-24h'!H70)</f>
        <v>0.5</v>
      </c>
      <c r="I70" s="49">
        <f>AVERAGE('26.07 Kibuye-Makindye-24h'!I70,'27.07 Kibuye-Makindye-24h'!I70)</f>
        <v>2</v>
      </c>
      <c r="J70" s="49">
        <f>AVERAGE('26.07 Kibuye-Makindye-24h'!J70,'27.07 Kibuye-Makindye-24h'!J70)</f>
        <v>1</v>
      </c>
      <c r="K70" s="49">
        <f>AVERAGE('26.07 Kibuye-Makindye-24h'!K70,'27.07 Kibuye-Makindye-24h'!K70)</f>
        <v>0</v>
      </c>
      <c r="L70" s="49">
        <f>AVERAGE('26.07 Kibuye-Makindye-24h'!L70,'27.07 Kibuye-Makindye-24h'!L70)</f>
        <v>0</v>
      </c>
      <c r="M70" s="49">
        <f>AVERAGE('26.07 Kibuye-Makindye-24h'!M70,'27.07 Kibuye-Makindye-24h'!M70)</f>
        <v>63</v>
      </c>
      <c r="N70" s="49">
        <f>AVERAGE('26.07 Kibuye-Makindye-24h'!N70,'27.07 Kibuye-Makindye-24h'!N70)</f>
        <v>0</v>
      </c>
      <c r="O70" s="15">
        <f t="shared" si="35"/>
        <v>51.5</v>
      </c>
      <c r="P70" s="15">
        <f t="shared" si="36"/>
        <v>114.5</v>
      </c>
      <c r="R70" s="8"/>
      <c r="T70"/>
    </row>
    <row r="71" spans="2:20" ht="23.1" customHeight="1" x14ac:dyDescent="0.25">
      <c r="B71" s="23" t="s">
        <v>112</v>
      </c>
      <c r="C71" s="49">
        <f>AVERAGE('26.07 Kibuye-Makindye-24h'!C71,'27.07 Kibuye-Makindye-24h'!C71)</f>
        <v>28.5</v>
      </c>
      <c r="D71" s="49">
        <f>AVERAGE('26.07 Kibuye-Makindye-24h'!D71,'27.07 Kibuye-Makindye-24h'!D71)</f>
        <v>14.5</v>
      </c>
      <c r="E71" s="49">
        <f>AVERAGE('26.07 Kibuye-Makindye-24h'!E71,'27.07 Kibuye-Makindye-24h'!E71)</f>
        <v>9</v>
      </c>
      <c r="F71" s="49">
        <f>AVERAGE('26.07 Kibuye-Makindye-24h'!F71,'27.07 Kibuye-Makindye-24h'!F71)</f>
        <v>6.5</v>
      </c>
      <c r="G71" s="49">
        <f>AVERAGE('26.07 Kibuye-Makindye-24h'!G71,'27.07 Kibuye-Makindye-24h'!G71)</f>
        <v>0</v>
      </c>
      <c r="H71" s="49">
        <f>AVERAGE('26.07 Kibuye-Makindye-24h'!H71,'27.07 Kibuye-Makindye-24h'!H71)</f>
        <v>1</v>
      </c>
      <c r="I71" s="49">
        <f>AVERAGE('26.07 Kibuye-Makindye-24h'!I71,'27.07 Kibuye-Makindye-24h'!I71)</f>
        <v>1.5</v>
      </c>
      <c r="J71" s="49">
        <f>AVERAGE('26.07 Kibuye-Makindye-24h'!J71,'27.07 Kibuye-Makindye-24h'!J71)</f>
        <v>0</v>
      </c>
      <c r="K71" s="49">
        <f>AVERAGE('26.07 Kibuye-Makindye-24h'!K71,'27.07 Kibuye-Makindye-24h'!K71)</f>
        <v>0</v>
      </c>
      <c r="L71" s="49">
        <f>AVERAGE('26.07 Kibuye-Makindye-24h'!L71,'27.07 Kibuye-Makindye-24h'!L71)</f>
        <v>0</v>
      </c>
      <c r="M71" s="49">
        <f>AVERAGE('26.07 Kibuye-Makindye-24h'!M71,'27.07 Kibuye-Makindye-24h'!M71)</f>
        <v>87.5</v>
      </c>
      <c r="N71" s="49">
        <f>AVERAGE('26.07 Kibuye-Makindye-24h'!N71,'27.07 Kibuye-Makindye-24h'!N71)</f>
        <v>0</v>
      </c>
      <c r="O71" s="15">
        <f t="shared" si="35"/>
        <v>61</v>
      </c>
      <c r="P71" s="15">
        <f t="shared" si="36"/>
        <v>148.5</v>
      </c>
      <c r="R71" s="8"/>
      <c r="T71"/>
    </row>
    <row r="72" spans="2:20" ht="23.1" customHeight="1" x14ac:dyDescent="0.25">
      <c r="B72" s="23" t="s">
        <v>113</v>
      </c>
      <c r="C72" s="49">
        <f>AVERAGE('26.07 Kibuye-Makindye-24h'!C72,'27.07 Kibuye-Makindye-24h'!C72)</f>
        <v>38</v>
      </c>
      <c r="D72" s="49">
        <f>AVERAGE('26.07 Kibuye-Makindye-24h'!D72,'27.07 Kibuye-Makindye-24h'!D72)</f>
        <v>6</v>
      </c>
      <c r="E72" s="49">
        <f>AVERAGE('26.07 Kibuye-Makindye-24h'!E72,'27.07 Kibuye-Makindye-24h'!E72)</f>
        <v>2</v>
      </c>
      <c r="F72" s="49">
        <f>AVERAGE('26.07 Kibuye-Makindye-24h'!F72,'27.07 Kibuye-Makindye-24h'!F72)</f>
        <v>3.5</v>
      </c>
      <c r="G72" s="49">
        <f>AVERAGE('26.07 Kibuye-Makindye-24h'!G72,'27.07 Kibuye-Makindye-24h'!G72)</f>
        <v>0</v>
      </c>
      <c r="H72" s="49">
        <f>AVERAGE('26.07 Kibuye-Makindye-24h'!H72,'27.07 Kibuye-Makindye-24h'!H72)</f>
        <v>0</v>
      </c>
      <c r="I72" s="49">
        <f>AVERAGE('26.07 Kibuye-Makindye-24h'!I72,'27.07 Kibuye-Makindye-24h'!I72)</f>
        <v>2</v>
      </c>
      <c r="J72" s="49">
        <f>AVERAGE('26.07 Kibuye-Makindye-24h'!J72,'27.07 Kibuye-Makindye-24h'!J72)</f>
        <v>0</v>
      </c>
      <c r="K72" s="49">
        <f>AVERAGE('26.07 Kibuye-Makindye-24h'!K72,'27.07 Kibuye-Makindye-24h'!K72)</f>
        <v>0</v>
      </c>
      <c r="L72" s="49">
        <f>AVERAGE('26.07 Kibuye-Makindye-24h'!L72,'27.07 Kibuye-Makindye-24h'!L72)</f>
        <v>0</v>
      </c>
      <c r="M72" s="49">
        <f>AVERAGE('26.07 Kibuye-Makindye-24h'!M72,'27.07 Kibuye-Makindye-24h'!M72)</f>
        <v>68.5</v>
      </c>
      <c r="N72" s="49">
        <f>AVERAGE('26.07 Kibuye-Makindye-24h'!N72,'27.07 Kibuye-Makindye-24h'!N72)</f>
        <v>0</v>
      </c>
      <c r="O72" s="15">
        <f t="shared" si="35"/>
        <v>51.5</v>
      </c>
      <c r="P72" s="15">
        <f t="shared" si="36"/>
        <v>120</v>
      </c>
      <c r="R72" s="8"/>
      <c r="T72"/>
    </row>
    <row r="73" spans="2:20" ht="23.1" customHeight="1" x14ac:dyDescent="0.25">
      <c r="B73" s="23" t="s">
        <v>114</v>
      </c>
      <c r="C73" s="49">
        <f>AVERAGE('26.07 Kibuye-Makindye-24h'!C73,'27.07 Kibuye-Makindye-24h'!C73)</f>
        <v>31</v>
      </c>
      <c r="D73" s="49">
        <f>AVERAGE('26.07 Kibuye-Makindye-24h'!D73,'27.07 Kibuye-Makindye-24h'!D73)</f>
        <v>10.5</v>
      </c>
      <c r="E73" s="49">
        <f>AVERAGE('26.07 Kibuye-Makindye-24h'!E73,'27.07 Kibuye-Makindye-24h'!E73)</f>
        <v>7.5</v>
      </c>
      <c r="F73" s="49">
        <f>AVERAGE('26.07 Kibuye-Makindye-24h'!F73,'27.07 Kibuye-Makindye-24h'!F73)</f>
        <v>3</v>
      </c>
      <c r="G73" s="49">
        <f>AVERAGE('26.07 Kibuye-Makindye-24h'!G73,'27.07 Kibuye-Makindye-24h'!G73)</f>
        <v>0</v>
      </c>
      <c r="H73" s="49">
        <f>AVERAGE('26.07 Kibuye-Makindye-24h'!H73,'27.07 Kibuye-Makindye-24h'!H73)</f>
        <v>0</v>
      </c>
      <c r="I73" s="49">
        <f>AVERAGE('26.07 Kibuye-Makindye-24h'!I73,'27.07 Kibuye-Makindye-24h'!I73)</f>
        <v>3</v>
      </c>
      <c r="J73" s="49">
        <f>AVERAGE('26.07 Kibuye-Makindye-24h'!J73,'27.07 Kibuye-Makindye-24h'!J73)</f>
        <v>0</v>
      </c>
      <c r="K73" s="49">
        <f>AVERAGE('26.07 Kibuye-Makindye-24h'!K73,'27.07 Kibuye-Makindye-24h'!K73)</f>
        <v>0</v>
      </c>
      <c r="L73" s="49">
        <f>AVERAGE('26.07 Kibuye-Makindye-24h'!L73,'27.07 Kibuye-Makindye-24h'!L73)</f>
        <v>0</v>
      </c>
      <c r="M73" s="49">
        <f>AVERAGE('26.07 Kibuye-Makindye-24h'!M73,'27.07 Kibuye-Makindye-24h'!M73)</f>
        <v>50</v>
      </c>
      <c r="N73" s="49">
        <f>AVERAGE('26.07 Kibuye-Makindye-24h'!N73,'27.07 Kibuye-Makindye-24h'!N73)</f>
        <v>0</v>
      </c>
      <c r="O73" s="15">
        <f t="shared" si="35"/>
        <v>55</v>
      </c>
      <c r="P73" s="15">
        <f t="shared" si="36"/>
        <v>105</v>
      </c>
      <c r="R73" s="8"/>
      <c r="T73"/>
    </row>
    <row r="74" spans="2:20" ht="23.1" customHeight="1" x14ac:dyDescent="0.25">
      <c r="B74" s="23" t="s">
        <v>115</v>
      </c>
      <c r="C74" s="49">
        <f>AVERAGE('26.07 Kibuye-Makindye-24h'!C74,'27.07 Kibuye-Makindye-24h'!C74)</f>
        <v>32</v>
      </c>
      <c r="D74" s="49">
        <f>AVERAGE('26.07 Kibuye-Makindye-24h'!D74,'27.07 Kibuye-Makindye-24h'!D74)</f>
        <v>8.5</v>
      </c>
      <c r="E74" s="49">
        <f>AVERAGE('26.07 Kibuye-Makindye-24h'!E74,'27.07 Kibuye-Makindye-24h'!E74)</f>
        <v>7</v>
      </c>
      <c r="F74" s="49">
        <f>AVERAGE('26.07 Kibuye-Makindye-24h'!F74,'27.07 Kibuye-Makindye-24h'!F74)</f>
        <v>1.5</v>
      </c>
      <c r="G74" s="49">
        <f>AVERAGE('26.07 Kibuye-Makindye-24h'!G74,'27.07 Kibuye-Makindye-24h'!G74)</f>
        <v>0</v>
      </c>
      <c r="H74" s="49">
        <f>AVERAGE('26.07 Kibuye-Makindye-24h'!H74,'27.07 Kibuye-Makindye-24h'!H74)</f>
        <v>0</v>
      </c>
      <c r="I74" s="49">
        <f>AVERAGE('26.07 Kibuye-Makindye-24h'!I74,'27.07 Kibuye-Makindye-24h'!I74)</f>
        <v>2</v>
      </c>
      <c r="J74" s="49">
        <f>AVERAGE('26.07 Kibuye-Makindye-24h'!J74,'27.07 Kibuye-Makindye-24h'!J74)</f>
        <v>0</v>
      </c>
      <c r="K74" s="49">
        <f>AVERAGE('26.07 Kibuye-Makindye-24h'!K74,'27.07 Kibuye-Makindye-24h'!K74)</f>
        <v>0</v>
      </c>
      <c r="L74" s="49">
        <f>AVERAGE('26.07 Kibuye-Makindye-24h'!L74,'27.07 Kibuye-Makindye-24h'!L74)</f>
        <v>0</v>
      </c>
      <c r="M74" s="49">
        <f>AVERAGE('26.07 Kibuye-Makindye-24h'!M74,'27.07 Kibuye-Makindye-24h'!M74)</f>
        <v>58</v>
      </c>
      <c r="N74" s="49">
        <f>AVERAGE('26.07 Kibuye-Makindye-24h'!N74,'27.07 Kibuye-Makindye-24h'!N74)</f>
        <v>0</v>
      </c>
      <c r="O74" s="15">
        <f t="shared" si="35"/>
        <v>51</v>
      </c>
      <c r="P74" s="15">
        <f t="shared" si="36"/>
        <v>109</v>
      </c>
      <c r="R74" s="8"/>
      <c r="T74"/>
    </row>
    <row r="75" spans="2:20" ht="23.1" customHeight="1" x14ac:dyDescent="0.25">
      <c r="B75" s="23" t="s">
        <v>116</v>
      </c>
      <c r="C75" s="49">
        <f>AVERAGE('26.07 Kibuye-Makindye-24h'!C75,'27.07 Kibuye-Makindye-24h'!C75)</f>
        <v>35</v>
      </c>
      <c r="D75" s="49">
        <f>AVERAGE('26.07 Kibuye-Makindye-24h'!D75,'27.07 Kibuye-Makindye-24h'!D75)</f>
        <v>20.5</v>
      </c>
      <c r="E75" s="49">
        <f>AVERAGE('26.07 Kibuye-Makindye-24h'!E75,'27.07 Kibuye-Makindye-24h'!E75)</f>
        <v>3</v>
      </c>
      <c r="F75" s="49">
        <f>AVERAGE('26.07 Kibuye-Makindye-24h'!F75,'27.07 Kibuye-Makindye-24h'!F75)</f>
        <v>4.5</v>
      </c>
      <c r="G75" s="49">
        <f>AVERAGE('26.07 Kibuye-Makindye-24h'!G75,'27.07 Kibuye-Makindye-24h'!G75)</f>
        <v>0</v>
      </c>
      <c r="H75" s="49">
        <f>AVERAGE('26.07 Kibuye-Makindye-24h'!H75,'27.07 Kibuye-Makindye-24h'!H75)</f>
        <v>0</v>
      </c>
      <c r="I75" s="49">
        <f>AVERAGE('26.07 Kibuye-Makindye-24h'!I75,'27.07 Kibuye-Makindye-24h'!I75)</f>
        <v>1</v>
      </c>
      <c r="J75" s="49">
        <f>AVERAGE('26.07 Kibuye-Makindye-24h'!J75,'27.07 Kibuye-Makindye-24h'!J75)</f>
        <v>1</v>
      </c>
      <c r="K75" s="49">
        <f>AVERAGE('26.07 Kibuye-Makindye-24h'!K75,'27.07 Kibuye-Makindye-24h'!K75)</f>
        <v>0</v>
      </c>
      <c r="L75" s="49">
        <f>AVERAGE('26.07 Kibuye-Makindye-24h'!L75,'27.07 Kibuye-Makindye-24h'!L75)</f>
        <v>0</v>
      </c>
      <c r="M75" s="49">
        <f>AVERAGE('26.07 Kibuye-Makindye-24h'!M75,'27.07 Kibuye-Makindye-24h'!M75)</f>
        <v>53</v>
      </c>
      <c r="N75" s="49">
        <f>AVERAGE('26.07 Kibuye-Makindye-24h'!N75,'27.07 Kibuye-Makindye-24h'!N75)</f>
        <v>0</v>
      </c>
      <c r="O75" s="15">
        <f t="shared" si="35"/>
        <v>65</v>
      </c>
      <c r="P75" s="15">
        <f t="shared" si="36"/>
        <v>118</v>
      </c>
      <c r="R75" s="8"/>
      <c r="T75"/>
    </row>
    <row r="76" spans="2:20" ht="23.1" customHeight="1" x14ac:dyDescent="0.25">
      <c r="B76" s="23" t="s">
        <v>117</v>
      </c>
      <c r="C76" s="49">
        <f>AVERAGE('26.07 Kibuye-Makindye-24h'!C76,'27.07 Kibuye-Makindye-24h'!C76)</f>
        <v>34</v>
      </c>
      <c r="D76" s="49">
        <f>AVERAGE('26.07 Kibuye-Makindye-24h'!D76,'27.07 Kibuye-Makindye-24h'!D76)</f>
        <v>16</v>
      </c>
      <c r="E76" s="49">
        <f>AVERAGE('26.07 Kibuye-Makindye-24h'!E76,'27.07 Kibuye-Makindye-24h'!E76)</f>
        <v>7</v>
      </c>
      <c r="F76" s="49">
        <f>AVERAGE('26.07 Kibuye-Makindye-24h'!F76,'27.07 Kibuye-Makindye-24h'!F76)</f>
        <v>4</v>
      </c>
      <c r="G76" s="49">
        <f>AVERAGE('26.07 Kibuye-Makindye-24h'!G76,'27.07 Kibuye-Makindye-24h'!G76)</f>
        <v>0</v>
      </c>
      <c r="H76" s="49">
        <f>AVERAGE('26.07 Kibuye-Makindye-24h'!H76,'27.07 Kibuye-Makindye-24h'!H76)</f>
        <v>0</v>
      </c>
      <c r="I76" s="49">
        <f>AVERAGE('26.07 Kibuye-Makindye-24h'!I76,'27.07 Kibuye-Makindye-24h'!I76)</f>
        <v>5</v>
      </c>
      <c r="J76" s="49">
        <f>AVERAGE('26.07 Kibuye-Makindye-24h'!J76,'27.07 Kibuye-Makindye-24h'!J76)</f>
        <v>0</v>
      </c>
      <c r="K76" s="49">
        <f>AVERAGE('26.07 Kibuye-Makindye-24h'!K76,'27.07 Kibuye-Makindye-24h'!K76)</f>
        <v>0</v>
      </c>
      <c r="L76" s="49">
        <f>AVERAGE('26.07 Kibuye-Makindye-24h'!L76,'27.07 Kibuye-Makindye-24h'!L76)</f>
        <v>0</v>
      </c>
      <c r="M76" s="49">
        <f>AVERAGE('26.07 Kibuye-Makindye-24h'!M76,'27.07 Kibuye-Makindye-24h'!M76)</f>
        <v>66.5</v>
      </c>
      <c r="N76" s="49">
        <f>AVERAGE('26.07 Kibuye-Makindye-24h'!N76,'27.07 Kibuye-Makindye-24h'!N76)</f>
        <v>0</v>
      </c>
      <c r="O76" s="15">
        <f t="shared" si="35"/>
        <v>66</v>
      </c>
      <c r="P76" s="15">
        <f t="shared" si="36"/>
        <v>132.5</v>
      </c>
      <c r="R76" s="8"/>
      <c r="T76"/>
    </row>
    <row r="77" spans="2:20" ht="23.1" customHeight="1" x14ac:dyDescent="0.25">
      <c r="B77" s="23" t="s">
        <v>118</v>
      </c>
      <c r="C77" s="49">
        <f>AVERAGE('26.07 Kibuye-Makindye-24h'!C77,'27.07 Kibuye-Makindye-24h'!C77)</f>
        <v>32.5</v>
      </c>
      <c r="D77" s="49">
        <f>AVERAGE('26.07 Kibuye-Makindye-24h'!D77,'27.07 Kibuye-Makindye-24h'!D77)</f>
        <v>10.5</v>
      </c>
      <c r="E77" s="49">
        <f>AVERAGE('26.07 Kibuye-Makindye-24h'!E77,'27.07 Kibuye-Makindye-24h'!E77)</f>
        <v>1.5</v>
      </c>
      <c r="F77" s="49">
        <f>AVERAGE('26.07 Kibuye-Makindye-24h'!F77,'27.07 Kibuye-Makindye-24h'!F77)</f>
        <v>1.5</v>
      </c>
      <c r="G77" s="49">
        <f>AVERAGE('26.07 Kibuye-Makindye-24h'!G77,'27.07 Kibuye-Makindye-24h'!G77)</f>
        <v>0</v>
      </c>
      <c r="H77" s="49">
        <f>AVERAGE('26.07 Kibuye-Makindye-24h'!H77,'27.07 Kibuye-Makindye-24h'!H77)</f>
        <v>0</v>
      </c>
      <c r="I77" s="49">
        <f>AVERAGE('26.07 Kibuye-Makindye-24h'!I77,'27.07 Kibuye-Makindye-24h'!I77)</f>
        <v>0.5</v>
      </c>
      <c r="J77" s="49">
        <f>AVERAGE('26.07 Kibuye-Makindye-24h'!J77,'27.07 Kibuye-Makindye-24h'!J77)</f>
        <v>0.5</v>
      </c>
      <c r="K77" s="49">
        <f>AVERAGE('26.07 Kibuye-Makindye-24h'!K77,'27.07 Kibuye-Makindye-24h'!K77)</f>
        <v>0</v>
      </c>
      <c r="L77" s="49">
        <f>AVERAGE('26.07 Kibuye-Makindye-24h'!L77,'27.07 Kibuye-Makindye-24h'!L77)</f>
        <v>0</v>
      </c>
      <c r="M77" s="49">
        <f>AVERAGE('26.07 Kibuye-Makindye-24h'!M77,'27.07 Kibuye-Makindye-24h'!M77)</f>
        <v>45</v>
      </c>
      <c r="N77" s="49">
        <f>AVERAGE('26.07 Kibuye-Makindye-24h'!N77,'27.07 Kibuye-Makindye-24h'!N77)</f>
        <v>0</v>
      </c>
      <c r="O77" s="15">
        <f t="shared" si="35"/>
        <v>47</v>
      </c>
      <c r="P77" s="15">
        <f t="shared" si="36"/>
        <v>92</v>
      </c>
      <c r="R77" s="8"/>
      <c r="T77"/>
    </row>
    <row r="78" spans="2:20" ht="23.1" customHeight="1" x14ac:dyDescent="0.25">
      <c r="B78" s="24" t="s">
        <v>119</v>
      </c>
      <c r="C78" s="49">
        <f>AVERAGE('26.07 Kibuye-Makindye-24h'!C78,'27.07 Kibuye-Makindye-24h'!C78)</f>
        <v>19.5</v>
      </c>
      <c r="D78" s="49">
        <f>AVERAGE('26.07 Kibuye-Makindye-24h'!D78,'27.07 Kibuye-Makindye-24h'!D78)</f>
        <v>7.5</v>
      </c>
      <c r="E78" s="49">
        <f>AVERAGE('26.07 Kibuye-Makindye-24h'!E78,'27.07 Kibuye-Makindye-24h'!E78)</f>
        <v>0</v>
      </c>
      <c r="F78" s="49">
        <f>AVERAGE('26.07 Kibuye-Makindye-24h'!F78,'27.07 Kibuye-Makindye-24h'!F78)</f>
        <v>0.5</v>
      </c>
      <c r="G78" s="49">
        <f>AVERAGE('26.07 Kibuye-Makindye-24h'!G78,'27.07 Kibuye-Makindye-24h'!G78)</f>
        <v>0</v>
      </c>
      <c r="H78" s="49">
        <f>AVERAGE('26.07 Kibuye-Makindye-24h'!H78,'27.07 Kibuye-Makindye-24h'!H78)</f>
        <v>1</v>
      </c>
      <c r="I78" s="49">
        <f>AVERAGE('26.07 Kibuye-Makindye-24h'!I78,'27.07 Kibuye-Makindye-24h'!I78)</f>
        <v>1</v>
      </c>
      <c r="J78" s="49">
        <f>AVERAGE('26.07 Kibuye-Makindye-24h'!J78,'27.07 Kibuye-Makindye-24h'!J78)</f>
        <v>0</v>
      </c>
      <c r="K78" s="49">
        <f>AVERAGE('26.07 Kibuye-Makindye-24h'!K78,'27.07 Kibuye-Makindye-24h'!K78)</f>
        <v>0</v>
      </c>
      <c r="L78" s="49">
        <f>AVERAGE('26.07 Kibuye-Makindye-24h'!L78,'27.07 Kibuye-Makindye-24h'!L78)</f>
        <v>0</v>
      </c>
      <c r="M78" s="49">
        <f>AVERAGE('26.07 Kibuye-Makindye-24h'!M78,'27.07 Kibuye-Makindye-24h'!M78)</f>
        <v>48</v>
      </c>
      <c r="N78" s="49">
        <f>AVERAGE('26.07 Kibuye-Makindye-24h'!N78,'27.07 Kibuye-Makindye-24h'!N78)</f>
        <v>0</v>
      </c>
      <c r="O78" s="15">
        <f t="shared" si="35"/>
        <v>29.5</v>
      </c>
      <c r="P78" s="15">
        <f t="shared" si="36"/>
        <v>77.5</v>
      </c>
      <c r="R78" s="8"/>
      <c r="T78"/>
    </row>
    <row r="79" spans="2:20" ht="23.1" customHeight="1" x14ac:dyDescent="0.25">
      <c r="B79" s="23" t="s">
        <v>120</v>
      </c>
      <c r="C79" s="49">
        <f>AVERAGE('26.07 Kibuye-Makindye-24h'!C79,'27.07 Kibuye-Makindye-24h'!C79)</f>
        <v>20.5</v>
      </c>
      <c r="D79" s="49">
        <f>AVERAGE('26.07 Kibuye-Makindye-24h'!D79,'27.07 Kibuye-Makindye-24h'!D79)</f>
        <v>7.5</v>
      </c>
      <c r="E79" s="49">
        <f>AVERAGE('26.07 Kibuye-Makindye-24h'!E79,'27.07 Kibuye-Makindye-24h'!E79)</f>
        <v>2.5</v>
      </c>
      <c r="F79" s="49">
        <f>AVERAGE('26.07 Kibuye-Makindye-24h'!F79,'27.07 Kibuye-Makindye-24h'!F79)</f>
        <v>2.5</v>
      </c>
      <c r="G79" s="49">
        <f>AVERAGE('26.07 Kibuye-Makindye-24h'!G79,'27.07 Kibuye-Makindye-24h'!G79)</f>
        <v>0</v>
      </c>
      <c r="H79" s="49">
        <f>AVERAGE('26.07 Kibuye-Makindye-24h'!H79,'27.07 Kibuye-Makindye-24h'!H79)</f>
        <v>0.5</v>
      </c>
      <c r="I79" s="49">
        <f>AVERAGE('26.07 Kibuye-Makindye-24h'!I79,'27.07 Kibuye-Makindye-24h'!I79)</f>
        <v>2</v>
      </c>
      <c r="J79" s="49">
        <f>AVERAGE('26.07 Kibuye-Makindye-24h'!J79,'27.07 Kibuye-Makindye-24h'!J79)</f>
        <v>0</v>
      </c>
      <c r="K79" s="49">
        <f>AVERAGE('26.07 Kibuye-Makindye-24h'!K79,'27.07 Kibuye-Makindye-24h'!K79)</f>
        <v>0</v>
      </c>
      <c r="L79" s="49">
        <f>AVERAGE('26.07 Kibuye-Makindye-24h'!L79,'27.07 Kibuye-Makindye-24h'!L79)</f>
        <v>0</v>
      </c>
      <c r="M79" s="49">
        <f>AVERAGE('26.07 Kibuye-Makindye-24h'!M79,'27.07 Kibuye-Makindye-24h'!M79)</f>
        <v>49.5</v>
      </c>
      <c r="N79" s="49">
        <f>AVERAGE('26.07 Kibuye-Makindye-24h'!N79,'27.07 Kibuye-Makindye-24h'!N79)</f>
        <v>0</v>
      </c>
      <c r="O79" s="15">
        <f t="shared" si="35"/>
        <v>35.5</v>
      </c>
      <c r="P79" s="15">
        <f t="shared" si="36"/>
        <v>85</v>
      </c>
      <c r="R79" s="8"/>
      <c r="T79"/>
    </row>
    <row r="80" spans="2:20" ht="23.1" customHeight="1" x14ac:dyDescent="0.25">
      <c r="B80" s="25" t="s">
        <v>121</v>
      </c>
      <c r="C80" s="49">
        <f>AVERAGE('26.07 Kibuye-Makindye-24h'!C80,'27.07 Kibuye-Makindye-24h'!C80)</f>
        <v>23.5</v>
      </c>
      <c r="D80" s="49">
        <f>AVERAGE('26.07 Kibuye-Makindye-24h'!D80,'27.07 Kibuye-Makindye-24h'!D80)</f>
        <v>7.5</v>
      </c>
      <c r="E80" s="49">
        <f>AVERAGE('26.07 Kibuye-Makindye-24h'!E80,'27.07 Kibuye-Makindye-24h'!E80)</f>
        <v>2</v>
      </c>
      <c r="F80" s="49">
        <f>AVERAGE('26.07 Kibuye-Makindye-24h'!F80,'27.07 Kibuye-Makindye-24h'!F80)</f>
        <v>4.5</v>
      </c>
      <c r="G80" s="49">
        <f>AVERAGE('26.07 Kibuye-Makindye-24h'!G80,'27.07 Kibuye-Makindye-24h'!G80)</f>
        <v>0</v>
      </c>
      <c r="H80" s="49">
        <f>AVERAGE('26.07 Kibuye-Makindye-24h'!H80,'27.07 Kibuye-Makindye-24h'!H80)</f>
        <v>0.5</v>
      </c>
      <c r="I80" s="49">
        <f>AVERAGE('26.07 Kibuye-Makindye-24h'!I80,'27.07 Kibuye-Makindye-24h'!I80)</f>
        <v>1</v>
      </c>
      <c r="J80" s="49">
        <f>AVERAGE('26.07 Kibuye-Makindye-24h'!J80,'27.07 Kibuye-Makindye-24h'!J80)</f>
        <v>0</v>
      </c>
      <c r="K80" s="49">
        <f>AVERAGE('26.07 Kibuye-Makindye-24h'!K80,'27.07 Kibuye-Makindye-24h'!K80)</f>
        <v>0</v>
      </c>
      <c r="L80" s="49">
        <f>AVERAGE('26.07 Kibuye-Makindye-24h'!L80,'27.07 Kibuye-Makindye-24h'!L80)</f>
        <v>0</v>
      </c>
      <c r="M80" s="49">
        <f>AVERAGE('26.07 Kibuye-Makindye-24h'!M80,'27.07 Kibuye-Makindye-24h'!M80)</f>
        <v>34</v>
      </c>
      <c r="N80" s="49">
        <f>AVERAGE('26.07 Kibuye-Makindye-24h'!N80,'27.07 Kibuye-Makindye-24h'!N80)</f>
        <v>0</v>
      </c>
      <c r="O80" s="15">
        <f t="shared" si="35"/>
        <v>39</v>
      </c>
      <c r="P80" s="15">
        <f t="shared" si="36"/>
        <v>73</v>
      </c>
      <c r="R80" s="8"/>
      <c r="T80"/>
    </row>
    <row r="81" spans="2:20" ht="23.1" customHeight="1" x14ac:dyDescent="0.25">
      <c r="B81" s="23" t="s">
        <v>122</v>
      </c>
      <c r="C81" s="49">
        <f>AVERAGE('26.07 Kibuye-Makindye-24h'!C81,'27.07 Kibuye-Makindye-24h'!C81)</f>
        <v>17.5</v>
      </c>
      <c r="D81" s="49">
        <f>AVERAGE('26.07 Kibuye-Makindye-24h'!D81,'27.07 Kibuye-Makindye-24h'!D81)</f>
        <v>3</v>
      </c>
      <c r="E81" s="49">
        <f>AVERAGE('26.07 Kibuye-Makindye-24h'!E81,'27.07 Kibuye-Makindye-24h'!E81)</f>
        <v>1</v>
      </c>
      <c r="F81" s="49">
        <f>AVERAGE('26.07 Kibuye-Makindye-24h'!F81,'27.07 Kibuye-Makindye-24h'!F81)</f>
        <v>1.5</v>
      </c>
      <c r="G81" s="49">
        <f>AVERAGE('26.07 Kibuye-Makindye-24h'!G81,'27.07 Kibuye-Makindye-24h'!G81)</f>
        <v>0</v>
      </c>
      <c r="H81" s="49">
        <f>AVERAGE('26.07 Kibuye-Makindye-24h'!H81,'27.07 Kibuye-Makindye-24h'!H81)</f>
        <v>0</v>
      </c>
      <c r="I81" s="49">
        <f>AVERAGE('26.07 Kibuye-Makindye-24h'!I81,'27.07 Kibuye-Makindye-24h'!I81)</f>
        <v>0.5</v>
      </c>
      <c r="J81" s="49">
        <f>AVERAGE('26.07 Kibuye-Makindye-24h'!J81,'27.07 Kibuye-Makindye-24h'!J81)</f>
        <v>0</v>
      </c>
      <c r="K81" s="49">
        <f>AVERAGE('26.07 Kibuye-Makindye-24h'!K81,'27.07 Kibuye-Makindye-24h'!K81)</f>
        <v>0</v>
      </c>
      <c r="L81" s="49">
        <f>AVERAGE('26.07 Kibuye-Makindye-24h'!L81,'27.07 Kibuye-Makindye-24h'!L81)</f>
        <v>0</v>
      </c>
      <c r="M81" s="49">
        <f>AVERAGE('26.07 Kibuye-Makindye-24h'!M81,'27.07 Kibuye-Makindye-24h'!M81)</f>
        <v>39</v>
      </c>
      <c r="N81" s="49">
        <f>AVERAGE('26.07 Kibuye-Makindye-24h'!N81,'27.07 Kibuye-Makindye-24h'!N81)</f>
        <v>0</v>
      </c>
      <c r="O81" s="15">
        <f t="shared" si="35"/>
        <v>23.5</v>
      </c>
      <c r="P81" s="15">
        <f t="shared" si="36"/>
        <v>62.5</v>
      </c>
      <c r="R81" s="8"/>
      <c r="T81"/>
    </row>
    <row r="82" spans="2:20" ht="23.1" customHeight="1" x14ac:dyDescent="0.25">
      <c r="B82" s="24" t="s">
        <v>123</v>
      </c>
      <c r="C82" s="49">
        <f>AVERAGE('26.07 Kibuye-Makindye-24h'!C82,'27.07 Kibuye-Makindye-24h'!C82)</f>
        <v>20</v>
      </c>
      <c r="D82" s="49">
        <f>AVERAGE('26.07 Kibuye-Makindye-24h'!D82,'27.07 Kibuye-Makindye-24h'!D82)</f>
        <v>6.5</v>
      </c>
      <c r="E82" s="49">
        <f>AVERAGE('26.07 Kibuye-Makindye-24h'!E82,'27.07 Kibuye-Makindye-24h'!E82)</f>
        <v>0.5</v>
      </c>
      <c r="F82" s="49">
        <f>AVERAGE('26.07 Kibuye-Makindye-24h'!F82,'27.07 Kibuye-Makindye-24h'!F82)</f>
        <v>1</v>
      </c>
      <c r="G82" s="49">
        <f>AVERAGE('26.07 Kibuye-Makindye-24h'!G82,'27.07 Kibuye-Makindye-24h'!G82)</f>
        <v>0</v>
      </c>
      <c r="H82" s="49">
        <f>AVERAGE('26.07 Kibuye-Makindye-24h'!H82,'27.07 Kibuye-Makindye-24h'!H82)</f>
        <v>0</v>
      </c>
      <c r="I82" s="49">
        <f>AVERAGE('26.07 Kibuye-Makindye-24h'!I82,'27.07 Kibuye-Makindye-24h'!I82)</f>
        <v>2</v>
      </c>
      <c r="J82" s="49">
        <f>AVERAGE('26.07 Kibuye-Makindye-24h'!J82,'27.07 Kibuye-Makindye-24h'!J82)</f>
        <v>0.5</v>
      </c>
      <c r="K82" s="49">
        <f>AVERAGE('26.07 Kibuye-Makindye-24h'!K82,'27.07 Kibuye-Makindye-24h'!K82)</f>
        <v>0</v>
      </c>
      <c r="L82" s="49">
        <f>AVERAGE('26.07 Kibuye-Makindye-24h'!L82,'27.07 Kibuye-Makindye-24h'!L82)</f>
        <v>0</v>
      </c>
      <c r="M82" s="49">
        <f>AVERAGE('26.07 Kibuye-Makindye-24h'!M82,'27.07 Kibuye-Makindye-24h'!M82)</f>
        <v>30.5</v>
      </c>
      <c r="N82" s="49">
        <f>AVERAGE('26.07 Kibuye-Makindye-24h'!N82,'27.07 Kibuye-Makindye-24h'!N82)</f>
        <v>0</v>
      </c>
      <c r="O82" s="15">
        <f t="shared" si="35"/>
        <v>30.5</v>
      </c>
      <c r="P82" s="15">
        <f t="shared" si="36"/>
        <v>61</v>
      </c>
      <c r="R82" s="8"/>
      <c r="T82"/>
    </row>
    <row r="83" spans="2:20" ht="23.1" customHeight="1" x14ac:dyDescent="0.25">
      <c r="B83" s="23" t="s">
        <v>124</v>
      </c>
      <c r="C83" s="49">
        <f>AVERAGE('26.07 Kibuye-Makindye-24h'!C83,'27.07 Kibuye-Makindye-24h'!C83)</f>
        <v>22.5</v>
      </c>
      <c r="D83" s="49">
        <f>AVERAGE('26.07 Kibuye-Makindye-24h'!D83,'27.07 Kibuye-Makindye-24h'!D83)</f>
        <v>3.5</v>
      </c>
      <c r="E83" s="49">
        <f>AVERAGE('26.07 Kibuye-Makindye-24h'!E83,'27.07 Kibuye-Makindye-24h'!E83)</f>
        <v>0.5</v>
      </c>
      <c r="F83" s="49">
        <f>AVERAGE('26.07 Kibuye-Makindye-24h'!F83,'27.07 Kibuye-Makindye-24h'!F83)</f>
        <v>1</v>
      </c>
      <c r="G83" s="49">
        <f>AVERAGE('26.07 Kibuye-Makindye-24h'!G83,'27.07 Kibuye-Makindye-24h'!G83)</f>
        <v>0</v>
      </c>
      <c r="H83" s="49">
        <f>AVERAGE('26.07 Kibuye-Makindye-24h'!H83,'27.07 Kibuye-Makindye-24h'!H83)</f>
        <v>0</v>
      </c>
      <c r="I83" s="49">
        <f>AVERAGE('26.07 Kibuye-Makindye-24h'!I83,'27.07 Kibuye-Makindye-24h'!I83)</f>
        <v>0</v>
      </c>
      <c r="J83" s="49">
        <f>AVERAGE('26.07 Kibuye-Makindye-24h'!J83,'27.07 Kibuye-Makindye-24h'!J83)</f>
        <v>0</v>
      </c>
      <c r="K83" s="49">
        <f>AVERAGE('26.07 Kibuye-Makindye-24h'!K83,'27.07 Kibuye-Makindye-24h'!K83)</f>
        <v>0</v>
      </c>
      <c r="L83" s="49">
        <f>AVERAGE('26.07 Kibuye-Makindye-24h'!L83,'27.07 Kibuye-Makindye-24h'!L83)</f>
        <v>0.5</v>
      </c>
      <c r="M83" s="49">
        <f>AVERAGE('26.07 Kibuye-Makindye-24h'!M83,'27.07 Kibuye-Makindye-24h'!M83)</f>
        <v>36</v>
      </c>
      <c r="N83" s="49">
        <f>AVERAGE('26.07 Kibuye-Makindye-24h'!N83,'27.07 Kibuye-Makindye-24h'!N83)</f>
        <v>0</v>
      </c>
      <c r="O83" s="15">
        <f t="shared" si="35"/>
        <v>28</v>
      </c>
      <c r="P83" s="15">
        <f t="shared" si="36"/>
        <v>64</v>
      </c>
      <c r="R83" s="8"/>
      <c r="T83"/>
    </row>
    <row r="84" spans="2:20" ht="23.1" customHeight="1" x14ac:dyDescent="0.25">
      <c r="B84" s="25" t="s">
        <v>125</v>
      </c>
      <c r="C84" s="49">
        <f>AVERAGE('26.07 Kibuye-Makindye-24h'!C84,'27.07 Kibuye-Makindye-24h'!C84)</f>
        <v>12</v>
      </c>
      <c r="D84" s="49">
        <f>AVERAGE('26.07 Kibuye-Makindye-24h'!D84,'27.07 Kibuye-Makindye-24h'!D84)</f>
        <v>0.5</v>
      </c>
      <c r="E84" s="49">
        <f>AVERAGE('26.07 Kibuye-Makindye-24h'!E84,'27.07 Kibuye-Makindye-24h'!E84)</f>
        <v>0</v>
      </c>
      <c r="F84" s="49">
        <f>AVERAGE('26.07 Kibuye-Makindye-24h'!F84,'27.07 Kibuye-Makindye-24h'!F84)</f>
        <v>0.5</v>
      </c>
      <c r="G84" s="49">
        <f>AVERAGE('26.07 Kibuye-Makindye-24h'!G84,'27.07 Kibuye-Makindye-24h'!G84)</f>
        <v>0</v>
      </c>
      <c r="H84" s="49">
        <f>AVERAGE('26.07 Kibuye-Makindye-24h'!H84,'27.07 Kibuye-Makindye-24h'!H84)</f>
        <v>0</v>
      </c>
      <c r="I84" s="49">
        <f>AVERAGE('26.07 Kibuye-Makindye-24h'!I84,'27.07 Kibuye-Makindye-24h'!I84)</f>
        <v>1</v>
      </c>
      <c r="J84" s="49">
        <f>AVERAGE('26.07 Kibuye-Makindye-24h'!J84,'27.07 Kibuye-Makindye-24h'!J84)</f>
        <v>0</v>
      </c>
      <c r="K84" s="49">
        <f>AVERAGE('26.07 Kibuye-Makindye-24h'!K84,'27.07 Kibuye-Makindye-24h'!K84)</f>
        <v>0</v>
      </c>
      <c r="L84" s="49">
        <f>AVERAGE('26.07 Kibuye-Makindye-24h'!L84,'27.07 Kibuye-Makindye-24h'!L84)</f>
        <v>0</v>
      </c>
      <c r="M84" s="49">
        <f>AVERAGE('26.07 Kibuye-Makindye-24h'!M84,'27.07 Kibuye-Makindye-24h'!M84)</f>
        <v>29.5</v>
      </c>
      <c r="N84" s="49">
        <f>AVERAGE('26.07 Kibuye-Makindye-24h'!N84,'27.07 Kibuye-Makindye-24h'!N84)</f>
        <v>0</v>
      </c>
      <c r="O84" s="15">
        <f t="shared" si="35"/>
        <v>14</v>
      </c>
      <c r="P84" s="15">
        <f t="shared" si="36"/>
        <v>43.5</v>
      </c>
      <c r="R84" s="8"/>
      <c r="T84"/>
    </row>
    <row r="85" spans="2:20" ht="23.1" customHeight="1" x14ac:dyDescent="0.25">
      <c r="B85" s="23" t="s">
        <v>126</v>
      </c>
      <c r="C85" s="49">
        <f>AVERAGE('26.07 Kibuye-Makindye-24h'!C85,'27.07 Kibuye-Makindye-24h'!C85)</f>
        <v>12.5</v>
      </c>
      <c r="D85" s="49">
        <f>AVERAGE('26.07 Kibuye-Makindye-24h'!D85,'27.07 Kibuye-Makindye-24h'!D85)</f>
        <v>1.5</v>
      </c>
      <c r="E85" s="49">
        <f>AVERAGE('26.07 Kibuye-Makindye-24h'!E85,'27.07 Kibuye-Makindye-24h'!E85)</f>
        <v>0</v>
      </c>
      <c r="F85" s="49">
        <f>AVERAGE('26.07 Kibuye-Makindye-24h'!F85,'27.07 Kibuye-Makindye-24h'!F85)</f>
        <v>1</v>
      </c>
      <c r="G85" s="49">
        <f>AVERAGE('26.07 Kibuye-Makindye-24h'!G85,'27.07 Kibuye-Makindye-24h'!G85)</f>
        <v>0</v>
      </c>
      <c r="H85" s="49">
        <f>AVERAGE('26.07 Kibuye-Makindye-24h'!H85,'27.07 Kibuye-Makindye-24h'!H85)</f>
        <v>0</v>
      </c>
      <c r="I85" s="49">
        <f>AVERAGE('26.07 Kibuye-Makindye-24h'!I85,'27.07 Kibuye-Makindye-24h'!I85)</f>
        <v>0</v>
      </c>
      <c r="J85" s="49">
        <f>AVERAGE('26.07 Kibuye-Makindye-24h'!J85,'27.07 Kibuye-Makindye-24h'!J85)</f>
        <v>0</v>
      </c>
      <c r="K85" s="49">
        <f>AVERAGE('26.07 Kibuye-Makindye-24h'!K85,'27.07 Kibuye-Makindye-24h'!K85)</f>
        <v>0.5</v>
      </c>
      <c r="L85" s="49">
        <f>AVERAGE('26.07 Kibuye-Makindye-24h'!L85,'27.07 Kibuye-Makindye-24h'!L85)</f>
        <v>0</v>
      </c>
      <c r="M85" s="49">
        <f>AVERAGE('26.07 Kibuye-Makindye-24h'!M85,'27.07 Kibuye-Makindye-24h'!M85)</f>
        <v>39</v>
      </c>
      <c r="N85" s="49">
        <f>AVERAGE('26.07 Kibuye-Makindye-24h'!N85,'27.07 Kibuye-Makindye-24h'!N85)</f>
        <v>0</v>
      </c>
      <c r="O85" s="15">
        <f t="shared" si="35"/>
        <v>15.5</v>
      </c>
      <c r="P85" s="15">
        <f t="shared" si="36"/>
        <v>54.5</v>
      </c>
      <c r="R85" s="8"/>
      <c r="T85"/>
    </row>
    <row r="86" spans="2:20" ht="23.1" customHeight="1" x14ac:dyDescent="0.25">
      <c r="B86" s="24" t="s">
        <v>127</v>
      </c>
      <c r="C86" s="49">
        <f>AVERAGE('26.07 Kibuye-Makindye-24h'!C86,'27.07 Kibuye-Makindye-24h'!C86)</f>
        <v>16</v>
      </c>
      <c r="D86" s="49">
        <f>AVERAGE('26.07 Kibuye-Makindye-24h'!D86,'27.07 Kibuye-Makindye-24h'!D86)</f>
        <v>2.5</v>
      </c>
      <c r="E86" s="49">
        <f>AVERAGE('26.07 Kibuye-Makindye-24h'!E86,'27.07 Kibuye-Makindye-24h'!E86)</f>
        <v>0.5</v>
      </c>
      <c r="F86" s="49">
        <f>AVERAGE('26.07 Kibuye-Makindye-24h'!F86,'27.07 Kibuye-Makindye-24h'!F86)</f>
        <v>0.5</v>
      </c>
      <c r="G86" s="49">
        <f>AVERAGE('26.07 Kibuye-Makindye-24h'!G86,'27.07 Kibuye-Makindye-24h'!G86)</f>
        <v>0</v>
      </c>
      <c r="H86" s="49">
        <f>AVERAGE('26.07 Kibuye-Makindye-24h'!H86,'27.07 Kibuye-Makindye-24h'!H86)</f>
        <v>0</v>
      </c>
      <c r="I86" s="49">
        <f>AVERAGE('26.07 Kibuye-Makindye-24h'!I86,'27.07 Kibuye-Makindye-24h'!I86)</f>
        <v>0</v>
      </c>
      <c r="J86" s="49">
        <f>AVERAGE('26.07 Kibuye-Makindye-24h'!J86,'27.07 Kibuye-Makindye-24h'!J86)</f>
        <v>0</v>
      </c>
      <c r="K86" s="49">
        <f>AVERAGE('26.07 Kibuye-Makindye-24h'!K86,'27.07 Kibuye-Makindye-24h'!K86)</f>
        <v>0</v>
      </c>
      <c r="L86" s="49">
        <f>AVERAGE('26.07 Kibuye-Makindye-24h'!L86,'27.07 Kibuye-Makindye-24h'!L86)</f>
        <v>0</v>
      </c>
      <c r="M86" s="49">
        <f>AVERAGE('26.07 Kibuye-Makindye-24h'!M86,'27.07 Kibuye-Makindye-24h'!M86)</f>
        <v>44</v>
      </c>
      <c r="N86" s="49">
        <f>AVERAGE('26.07 Kibuye-Makindye-24h'!N86,'27.07 Kibuye-Makindye-24h'!N86)</f>
        <v>0</v>
      </c>
      <c r="O86" s="15">
        <f t="shared" si="35"/>
        <v>19.5</v>
      </c>
      <c r="P86" s="15">
        <f t="shared" si="36"/>
        <v>63.5</v>
      </c>
      <c r="R86" s="8"/>
      <c r="T86"/>
    </row>
    <row r="87" spans="2:20" ht="23.1" customHeight="1" x14ac:dyDescent="0.25">
      <c r="B87" s="23" t="s">
        <v>128</v>
      </c>
      <c r="C87" s="49">
        <f>AVERAGE('26.07 Kibuye-Makindye-24h'!C87,'27.07 Kibuye-Makindye-24h'!C87)</f>
        <v>18.5</v>
      </c>
      <c r="D87" s="49">
        <f>AVERAGE('26.07 Kibuye-Makindye-24h'!D87,'27.07 Kibuye-Makindye-24h'!D87)</f>
        <v>1.5</v>
      </c>
      <c r="E87" s="49">
        <f>AVERAGE('26.07 Kibuye-Makindye-24h'!E87,'27.07 Kibuye-Makindye-24h'!E87)</f>
        <v>1</v>
      </c>
      <c r="F87" s="49">
        <f>AVERAGE('26.07 Kibuye-Makindye-24h'!F87,'27.07 Kibuye-Makindye-24h'!F87)</f>
        <v>0.5</v>
      </c>
      <c r="G87" s="49">
        <f>AVERAGE('26.07 Kibuye-Makindye-24h'!G87,'27.07 Kibuye-Makindye-24h'!G87)</f>
        <v>0</v>
      </c>
      <c r="H87" s="49">
        <f>AVERAGE('26.07 Kibuye-Makindye-24h'!H87,'27.07 Kibuye-Makindye-24h'!H87)</f>
        <v>0</v>
      </c>
      <c r="I87" s="49">
        <f>AVERAGE('26.07 Kibuye-Makindye-24h'!I87,'27.07 Kibuye-Makindye-24h'!I87)</f>
        <v>0.5</v>
      </c>
      <c r="J87" s="49">
        <f>AVERAGE('26.07 Kibuye-Makindye-24h'!J87,'27.07 Kibuye-Makindye-24h'!J87)</f>
        <v>0</v>
      </c>
      <c r="K87" s="49">
        <f>AVERAGE('26.07 Kibuye-Makindye-24h'!K87,'27.07 Kibuye-Makindye-24h'!K87)</f>
        <v>0</v>
      </c>
      <c r="L87" s="49">
        <f>AVERAGE('26.07 Kibuye-Makindye-24h'!L87,'27.07 Kibuye-Makindye-24h'!L87)</f>
        <v>0</v>
      </c>
      <c r="M87" s="49">
        <f>AVERAGE('26.07 Kibuye-Makindye-24h'!M87,'27.07 Kibuye-Makindye-24h'!M87)</f>
        <v>35</v>
      </c>
      <c r="N87" s="49">
        <f>AVERAGE('26.07 Kibuye-Makindye-24h'!N87,'27.07 Kibuye-Makindye-24h'!N87)</f>
        <v>0</v>
      </c>
      <c r="O87" s="15">
        <f t="shared" si="35"/>
        <v>22</v>
      </c>
      <c r="P87" s="15">
        <f t="shared" si="36"/>
        <v>57</v>
      </c>
      <c r="R87" s="8"/>
      <c r="T87"/>
    </row>
    <row r="88" spans="2:20" ht="23.1" customHeight="1" x14ac:dyDescent="0.25">
      <c r="B88" s="25" t="s">
        <v>129</v>
      </c>
      <c r="C88" s="49">
        <f>AVERAGE('26.07 Kibuye-Makindye-24h'!C88,'27.07 Kibuye-Makindye-24h'!C88)</f>
        <v>23</v>
      </c>
      <c r="D88" s="49">
        <f>AVERAGE('26.07 Kibuye-Makindye-24h'!D88,'27.07 Kibuye-Makindye-24h'!D88)</f>
        <v>4</v>
      </c>
      <c r="E88" s="49">
        <f>AVERAGE('26.07 Kibuye-Makindye-24h'!E88,'27.07 Kibuye-Makindye-24h'!E88)</f>
        <v>4</v>
      </c>
      <c r="F88" s="49">
        <f>AVERAGE('26.07 Kibuye-Makindye-24h'!F88,'27.07 Kibuye-Makindye-24h'!F88)</f>
        <v>2</v>
      </c>
      <c r="G88" s="49">
        <f>AVERAGE('26.07 Kibuye-Makindye-24h'!G88,'27.07 Kibuye-Makindye-24h'!G88)</f>
        <v>0</v>
      </c>
      <c r="H88" s="49">
        <f>AVERAGE('26.07 Kibuye-Makindye-24h'!H88,'27.07 Kibuye-Makindye-24h'!H88)</f>
        <v>0</v>
      </c>
      <c r="I88" s="49">
        <f>AVERAGE('26.07 Kibuye-Makindye-24h'!I88,'27.07 Kibuye-Makindye-24h'!I88)</f>
        <v>0</v>
      </c>
      <c r="J88" s="49">
        <f>AVERAGE('26.07 Kibuye-Makindye-24h'!J88,'27.07 Kibuye-Makindye-24h'!J88)</f>
        <v>0</v>
      </c>
      <c r="K88" s="49">
        <f>AVERAGE('26.07 Kibuye-Makindye-24h'!K88,'27.07 Kibuye-Makindye-24h'!K88)</f>
        <v>0.5</v>
      </c>
      <c r="L88" s="49">
        <f>AVERAGE('26.07 Kibuye-Makindye-24h'!L88,'27.07 Kibuye-Makindye-24h'!L88)</f>
        <v>0</v>
      </c>
      <c r="M88" s="49">
        <f>AVERAGE('26.07 Kibuye-Makindye-24h'!M88,'27.07 Kibuye-Makindye-24h'!M88)</f>
        <v>30.5</v>
      </c>
      <c r="N88" s="49">
        <f>AVERAGE('26.07 Kibuye-Makindye-24h'!N88,'27.07 Kibuye-Makindye-24h'!N88)</f>
        <v>0</v>
      </c>
      <c r="O88" s="15">
        <f t="shared" si="35"/>
        <v>33.5</v>
      </c>
      <c r="P88" s="15">
        <f t="shared" si="36"/>
        <v>64</v>
      </c>
      <c r="R88" s="8"/>
      <c r="T88"/>
    </row>
    <row r="89" spans="2:20" ht="23.1" customHeight="1" x14ac:dyDescent="0.25">
      <c r="B89" s="23" t="s">
        <v>130</v>
      </c>
      <c r="C89" s="49">
        <f>AVERAGE('26.07 Kibuye-Makindye-24h'!C89,'27.07 Kibuye-Makindye-24h'!C89)</f>
        <v>13</v>
      </c>
      <c r="D89" s="49">
        <f>AVERAGE('26.07 Kibuye-Makindye-24h'!D89,'27.07 Kibuye-Makindye-24h'!D89)</f>
        <v>1.5</v>
      </c>
      <c r="E89" s="49">
        <f>AVERAGE('26.07 Kibuye-Makindye-24h'!E89,'27.07 Kibuye-Makindye-24h'!E89)</f>
        <v>0</v>
      </c>
      <c r="F89" s="49">
        <f>AVERAGE('26.07 Kibuye-Makindye-24h'!F89,'27.07 Kibuye-Makindye-24h'!F89)</f>
        <v>1.5</v>
      </c>
      <c r="G89" s="49">
        <f>AVERAGE('26.07 Kibuye-Makindye-24h'!G89,'27.07 Kibuye-Makindye-24h'!G89)</f>
        <v>0</v>
      </c>
      <c r="H89" s="49">
        <f>AVERAGE('26.07 Kibuye-Makindye-24h'!H89,'27.07 Kibuye-Makindye-24h'!H89)</f>
        <v>0</v>
      </c>
      <c r="I89" s="49">
        <f>AVERAGE('26.07 Kibuye-Makindye-24h'!I89,'27.07 Kibuye-Makindye-24h'!I89)</f>
        <v>0.5</v>
      </c>
      <c r="J89" s="49">
        <f>AVERAGE('26.07 Kibuye-Makindye-24h'!J89,'27.07 Kibuye-Makindye-24h'!J89)</f>
        <v>1.5</v>
      </c>
      <c r="K89" s="49">
        <f>AVERAGE('26.07 Kibuye-Makindye-24h'!K89,'27.07 Kibuye-Makindye-24h'!K89)</f>
        <v>0.5</v>
      </c>
      <c r="L89" s="49">
        <f>AVERAGE('26.07 Kibuye-Makindye-24h'!L89,'27.07 Kibuye-Makindye-24h'!L89)</f>
        <v>0</v>
      </c>
      <c r="M89" s="49">
        <f>AVERAGE('26.07 Kibuye-Makindye-24h'!M89,'27.07 Kibuye-Makindye-24h'!M89)</f>
        <v>20</v>
      </c>
      <c r="N89" s="49">
        <f>AVERAGE('26.07 Kibuye-Makindye-24h'!N89,'27.07 Kibuye-Makindye-24h'!N89)</f>
        <v>0</v>
      </c>
      <c r="O89" s="15">
        <f t="shared" si="35"/>
        <v>18.5</v>
      </c>
      <c r="P89" s="15">
        <f t="shared" si="36"/>
        <v>38.5</v>
      </c>
      <c r="R89" s="8"/>
      <c r="T89"/>
    </row>
    <row r="90" spans="2:20" ht="23.1" customHeight="1" x14ac:dyDescent="0.25">
      <c r="B90" s="24" t="s">
        <v>131</v>
      </c>
      <c r="C90" s="49">
        <f>AVERAGE('26.07 Kibuye-Makindye-24h'!C90,'27.07 Kibuye-Makindye-24h'!C90)</f>
        <v>15</v>
      </c>
      <c r="D90" s="49">
        <f>AVERAGE('26.07 Kibuye-Makindye-24h'!D90,'27.07 Kibuye-Makindye-24h'!D90)</f>
        <v>4</v>
      </c>
      <c r="E90" s="49">
        <f>AVERAGE('26.07 Kibuye-Makindye-24h'!E90,'27.07 Kibuye-Makindye-24h'!E90)</f>
        <v>1</v>
      </c>
      <c r="F90" s="49">
        <f>AVERAGE('26.07 Kibuye-Makindye-24h'!F90,'27.07 Kibuye-Makindye-24h'!F90)</f>
        <v>1.5</v>
      </c>
      <c r="G90" s="49">
        <f>AVERAGE('26.07 Kibuye-Makindye-24h'!G90,'27.07 Kibuye-Makindye-24h'!G90)</f>
        <v>0</v>
      </c>
      <c r="H90" s="49">
        <f>AVERAGE('26.07 Kibuye-Makindye-24h'!H90,'27.07 Kibuye-Makindye-24h'!H90)</f>
        <v>0</v>
      </c>
      <c r="I90" s="49">
        <f>AVERAGE('26.07 Kibuye-Makindye-24h'!I90,'27.07 Kibuye-Makindye-24h'!I90)</f>
        <v>2.5</v>
      </c>
      <c r="J90" s="49">
        <f>AVERAGE('26.07 Kibuye-Makindye-24h'!J90,'27.07 Kibuye-Makindye-24h'!J90)</f>
        <v>0</v>
      </c>
      <c r="K90" s="49">
        <f>AVERAGE('26.07 Kibuye-Makindye-24h'!K90,'27.07 Kibuye-Makindye-24h'!K90)</f>
        <v>0</v>
      </c>
      <c r="L90" s="49">
        <f>AVERAGE('26.07 Kibuye-Makindye-24h'!L90,'27.07 Kibuye-Makindye-24h'!L90)</f>
        <v>0</v>
      </c>
      <c r="M90" s="49">
        <f>AVERAGE('26.07 Kibuye-Makindye-24h'!M90,'27.07 Kibuye-Makindye-24h'!M90)</f>
        <v>16</v>
      </c>
      <c r="N90" s="49">
        <f>AVERAGE('26.07 Kibuye-Makindye-24h'!N90,'27.07 Kibuye-Makindye-24h'!N90)</f>
        <v>0</v>
      </c>
      <c r="O90" s="15">
        <f t="shared" si="35"/>
        <v>24</v>
      </c>
      <c r="P90" s="15">
        <f t="shared" si="36"/>
        <v>40</v>
      </c>
      <c r="R90" s="8"/>
      <c r="T90"/>
    </row>
    <row r="91" spans="2:20" ht="23.1" customHeight="1" x14ac:dyDescent="0.25">
      <c r="B91" s="23" t="s">
        <v>132</v>
      </c>
      <c r="C91" s="49">
        <f>AVERAGE('26.07 Kibuye-Makindye-24h'!C91,'27.07 Kibuye-Makindye-24h'!C91)</f>
        <v>10.5</v>
      </c>
      <c r="D91" s="49">
        <f>AVERAGE('26.07 Kibuye-Makindye-24h'!D91,'27.07 Kibuye-Makindye-24h'!D91)</f>
        <v>0.5</v>
      </c>
      <c r="E91" s="49">
        <f>AVERAGE('26.07 Kibuye-Makindye-24h'!E91,'27.07 Kibuye-Makindye-24h'!E91)</f>
        <v>0.5</v>
      </c>
      <c r="F91" s="49">
        <f>AVERAGE('26.07 Kibuye-Makindye-24h'!F91,'27.07 Kibuye-Makindye-24h'!F91)</f>
        <v>0.5</v>
      </c>
      <c r="G91" s="49">
        <f>AVERAGE('26.07 Kibuye-Makindye-24h'!G91,'27.07 Kibuye-Makindye-24h'!G91)</f>
        <v>0</v>
      </c>
      <c r="H91" s="49">
        <f>AVERAGE('26.07 Kibuye-Makindye-24h'!H91,'27.07 Kibuye-Makindye-24h'!H91)</f>
        <v>0</v>
      </c>
      <c r="I91" s="49">
        <f>AVERAGE('26.07 Kibuye-Makindye-24h'!I91,'27.07 Kibuye-Makindye-24h'!I91)</f>
        <v>0</v>
      </c>
      <c r="J91" s="49">
        <f>AVERAGE('26.07 Kibuye-Makindye-24h'!J91,'27.07 Kibuye-Makindye-24h'!J91)</f>
        <v>0</v>
      </c>
      <c r="K91" s="49">
        <f>AVERAGE('26.07 Kibuye-Makindye-24h'!K91,'27.07 Kibuye-Makindye-24h'!K91)</f>
        <v>0</v>
      </c>
      <c r="L91" s="49">
        <f>AVERAGE('26.07 Kibuye-Makindye-24h'!L91,'27.07 Kibuye-Makindye-24h'!L91)</f>
        <v>0</v>
      </c>
      <c r="M91" s="49">
        <f>AVERAGE('26.07 Kibuye-Makindye-24h'!M91,'27.07 Kibuye-Makindye-24h'!M91)</f>
        <v>17</v>
      </c>
      <c r="N91" s="49">
        <f>AVERAGE('26.07 Kibuye-Makindye-24h'!N91,'27.07 Kibuye-Makindye-24h'!N91)</f>
        <v>0</v>
      </c>
      <c r="O91" s="15">
        <f t="shared" si="35"/>
        <v>12</v>
      </c>
      <c r="P91" s="15">
        <f t="shared" si="36"/>
        <v>29</v>
      </c>
      <c r="R91" s="8"/>
      <c r="T91"/>
    </row>
    <row r="92" spans="2:20" ht="23.1" customHeight="1" x14ac:dyDescent="0.25">
      <c r="B92" s="25" t="s">
        <v>133</v>
      </c>
      <c r="C92" s="49">
        <f>AVERAGE('26.07 Kibuye-Makindye-24h'!C92,'27.07 Kibuye-Makindye-24h'!C92)</f>
        <v>9</v>
      </c>
      <c r="D92" s="49">
        <f>AVERAGE('26.07 Kibuye-Makindye-24h'!D92,'27.07 Kibuye-Makindye-24h'!D92)</f>
        <v>2</v>
      </c>
      <c r="E92" s="49">
        <f>AVERAGE('26.07 Kibuye-Makindye-24h'!E92,'27.07 Kibuye-Makindye-24h'!E92)</f>
        <v>0</v>
      </c>
      <c r="F92" s="49">
        <f>AVERAGE('26.07 Kibuye-Makindye-24h'!F92,'27.07 Kibuye-Makindye-24h'!F92)</f>
        <v>0.5</v>
      </c>
      <c r="G92" s="49">
        <f>AVERAGE('26.07 Kibuye-Makindye-24h'!G92,'27.07 Kibuye-Makindye-24h'!G92)</f>
        <v>0</v>
      </c>
      <c r="H92" s="49">
        <f>AVERAGE('26.07 Kibuye-Makindye-24h'!H92,'27.07 Kibuye-Makindye-24h'!H92)</f>
        <v>0</v>
      </c>
      <c r="I92" s="49">
        <f>AVERAGE('26.07 Kibuye-Makindye-24h'!I92,'27.07 Kibuye-Makindye-24h'!I92)</f>
        <v>0</v>
      </c>
      <c r="J92" s="49">
        <f>AVERAGE('26.07 Kibuye-Makindye-24h'!J92,'27.07 Kibuye-Makindye-24h'!J92)</f>
        <v>0</v>
      </c>
      <c r="K92" s="49">
        <f>AVERAGE('26.07 Kibuye-Makindye-24h'!K92,'27.07 Kibuye-Makindye-24h'!K92)</f>
        <v>0</v>
      </c>
      <c r="L92" s="49">
        <f>AVERAGE('26.07 Kibuye-Makindye-24h'!L92,'27.07 Kibuye-Makindye-24h'!L92)</f>
        <v>0</v>
      </c>
      <c r="M92" s="49">
        <f>AVERAGE('26.07 Kibuye-Makindye-24h'!M92,'27.07 Kibuye-Makindye-24h'!M92)</f>
        <v>8</v>
      </c>
      <c r="N92" s="49">
        <f>AVERAGE('26.07 Kibuye-Makindye-24h'!N92,'27.07 Kibuye-Makindye-24h'!N92)</f>
        <v>0</v>
      </c>
      <c r="O92" s="15">
        <f t="shared" si="35"/>
        <v>11.5</v>
      </c>
      <c r="P92" s="15">
        <f t="shared" si="36"/>
        <v>19.5</v>
      </c>
      <c r="R92" s="8"/>
      <c r="T92"/>
    </row>
    <row r="93" spans="2:20" ht="23.1" customHeight="1" x14ac:dyDescent="0.25">
      <c r="B93" s="23" t="s">
        <v>134</v>
      </c>
      <c r="C93" s="49">
        <f>AVERAGE('26.07 Kibuye-Makindye-24h'!C93,'27.07 Kibuye-Makindye-24h'!C93)</f>
        <v>4.5</v>
      </c>
      <c r="D93" s="49">
        <f>AVERAGE('26.07 Kibuye-Makindye-24h'!D93,'27.07 Kibuye-Makindye-24h'!D93)</f>
        <v>3.5</v>
      </c>
      <c r="E93" s="49">
        <f>AVERAGE('26.07 Kibuye-Makindye-24h'!E93,'27.07 Kibuye-Makindye-24h'!E93)</f>
        <v>0.5</v>
      </c>
      <c r="F93" s="49">
        <f>AVERAGE('26.07 Kibuye-Makindye-24h'!F93,'27.07 Kibuye-Makindye-24h'!F93)</f>
        <v>1</v>
      </c>
      <c r="G93" s="49">
        <f>AVERAGE('26.07 Kibuye-Makindye-24h'!G93,'27.07 Kibuye-Makindye-24h'!G93)</f>
        <v>0</v>
      </c>
      <c r="H93" s="49">
        <f>AVERAGE('26.07 Kibuye-Makindye-24h'!H93,'27.07 Kibuye-Makindye-24h'!H93)</f>
        <v>0</v>
      </c>
      <c r="I93" s="49">
        <f>AVERAGE('26.07 Kibuye-Makindye-24h'!I93,'27.07 Kibuye-Makindye-24h'!I93)</f>
        <v>2</v>
      </c>
      <c r="J93" s="49">
        <f>AVERAGE('26.07 Kibuye-Makindye-24h'!J93,'27.07 Kibuye-Makindye-24h'!J93)</f>
        <v>0</v>
      </c>
      <c r="K93" s="49">
        <f>AVERAGE('26.07 Kibuye-Makindye-24h'!K93,'27.07 Kibuye-Makindye-24h'!K93)</f>
        <v>0</v>
      </c>
      <c r="L93" s="49">
        <f>AVERAGE('26.07 Kibuye-Makindye-24h'!L93,'27.07 Kibuye-Makindye-24h'!L93)</f>
        <v>0</v>
      </c>
      <c r="M93" s="49">
        <f>AVERAGE('26.07 Kibuye-Makindye-24h'!M93,'27.07 Kibuye-Makindye-24h'!M93)</f>
        <v>26.5</v>
      </c>
      <c r="N93" s="49">
        <f>AVERAGE('26.07 Kibuye-Makindye-24h'!N93,'27.07 Kibuye-Makindye-24h'!N93)</f>
        <v>0</v>
      </c>
      <c r="O93" s="15">
        <f t="shared" si="35"/>
        <v>11.5</v>
      </c>
      <c r="P93" s="15">
        <f t="shared" si="36"/>
        <v>38</v>
      </c>
      <c r="R93" s="8"/>
      <c r="T93"/>
    </row>
    <row r="94" spans="2:20" ht="23.1" customHeight="1" x14ac:dyDescent="0.25">
      <c r="B94" s="24" t="s">
        <v>135</v>
      </c>
      <c r="C94" s="49">
        <f>AVERAGE('26.07 Kibuye-Makindye-24h'!C94,'27.07 Kibuye-Makindye-24h'!C94)</f>
        <v>12.5</v>
      </c>
      <c r="D94" s="49">
        <f>AVERAGE('26.07 Kibuye-Makindye-24h'!D94,'27.07 Kibuye-Makindye-24h'!D94)</f>
        <v>8.5</v>
      </c>
      <c r="E94" s="49">
        <f>AVERAGE('26.07 Kibuye-Makindye-24h'!E94,'27.07 Kibuye-Makindye-24h'!E94)</f>
        <v>0.5</v>
      </c>
      <c r="F94" s="49">
        <f>AVERAGE('26.07 Kibuye-Makindye-24h'!F94,'27.07 Kibuye-Makindye-24h'!F94)</f>
        <v>1.5</v>
      </c>
      <c r="G94" s="49">
        <f>AVERAGE('26.07 Kibuye-Makindye-24h'!G94,'27.07 Kibuye-Makindye-24h'!G94)</f>
        <v>0</v>
      </c>
      <c r="H94" s="49">
        <f>AVERAGE('26.07 Kibuye-Makindye-24h'!H94,'27.07 Kibuye-Makindye-24h'!H94)</f>
        <v>0</v>
      </c>
      <c r="I94" s="49">
        <f>AVERAGE('26.07 Kibuye-Makindye-24h'!I94,'27.07 Kibuye-Makindye-24h'!I94)</f>
        <v>1.5</v>
      </c>
      <c r="J94" s="49">
        <f>AVERAGE('26.07 Kibuye-Makindye-24h'!J94,'27.07 Kibuye-Makindye-24h'!J94)</f>
        <v>0</v>
      </c>
      <c r="K94" s="49">
        <f>AVERAGE('26.07 Kibuye-Makindye-24h'!K94,'27.07 Kibuye-Makindye-24h'!K94)</f>
        <v>0</v>
      </c>
      <c r="L94" s="49">
        <f>AVERAGE('26.07 Kibuye-Makindye-24h'!L94,'27.07 Kibuye-Makindye-24h'!L94)</f>
        <v>0</v>
      </c>
      <c r="M94" s="49">
        <f>AVERAGE('26.07 Kibuye-Makindye-24h'!M94,'27.07 Kibuye-Makindye-24h'!M94)</f>
        <v>25</v>
      </c>
      <c r="N94" s="49">
        <f>AVERAGE('26.07 Kibuye-Makindye-24h'!N94,'27.07 Kibuye-Makindye-24h'!N94)</f>
        <v>0</v>
      </c>
      <c r="O94" s="15">
        <f t="shared" si="35"/>
        <v>24.5</v>
      </c>
      <c r="P94" s="15">
        <f t="shared" si="36"/>
        <v>49.5</v>
      </c>
      <c r="R94" s="8"/>
      <c r="T94"/>
    </row>
    <row r="95" spans="2:20" ht="23.1" customHeight="1" x14ac:dyDescent="0.25">
      <c r="B95" s="23" t="s">
        <v>136</v>
      </c>
      <c r="C95" s="49">
        <f>AVERAGE('26.07 Kibuye-Makindye-24h'!C95,'27.07 Kibuye-Makindye-24h'!C95)</f>
        <v>7.5</v>
      </c>
      <c r="D95" s="49">
        <f>AVERAGE('26.07 Kibuye-Makindye-24h'!D95,'27.07 Kibuye-Makindye-24h'!D95)</f>
        <v>1.5</v>
      </c>
      <c r="E95" s="49">
        <f>AVERAGE('26.07 Kibuye-Makindye-24h'!E95,'27.07 Kibuye-Makindye-24h'!E95)</f>
        <v>0.5</v>
      </c>
      <c r="F95" s="49">
        <f>AVERAGE('26.07 Kibuye-Makindye-24h'!F95,'27.07 Kibuye-Makindye-24h'!F95)</f>
        <v>0</v>
      </c>
      <c r="G95" s="49">
        <f>AVERAGE('26.07 Kibuye-Makindye-24h'!G95,'27.07 Kibuye-Makindye-24h'!G95)</f>
        <v>0</v>
      </c>
      <c r="H95" s="49">
        <f>AVERAGE('26.07 Kibuye-Makindye-24h'!H95,'27.07 Kibuye-Makindye-24h'!H95)</f>
        <v>0</v>
      </c>
      <c r="I95" s="49">
        <f>AVERAGE('26.07 Kibuye-Makindye-24h'!I95,'27.07 Kibuye-Makindye-24h'!I95)</f>
        <v>1</v>
      </c>
      <c r="J95" s="49">
        <f>AVERAGE('26.07 Kibuye-Makindye-24h'!J95,'27.07 Kibuye-Makindye-24h'!J95)</f>
        <v>0.5</v>
      </c>
      <c r="K95" s="49">
        <f>AVERAGE('26.07 Kibuye-Makindye-24h'!K95,'27.07 Kibuye-Makindye-24h'!K95)</f>
        <v>0</v>
      </c>
      <c r="L95" s="49">
        <f>AVERAGE('26.07 Kibuye-Makindye-24h'!L95,'27.07 Kibuye-Makindye-24h'!L95)</f>
        <v>0</v>
      </c>
      <c r="M95" s="49">
        <f>AVERAGE('26.07 Kibuye-Makindye-24h'!M95,'27.07 Kibuye-Makindye-24h'!M95)</f>
        <v>19.5</v>
      </c>
      <c r="N95" s="49">
        <f>AVERAGE('26.07 Kibuye-Makindye-24h'!N95,'27.07 Kibuye-Makindye-24h'!N95)</f>
        <v>0</v>
      </c>
      <c r="O95" s="15">
        <f t="shared" si="35"/>
        <v>11</v>
      </c>
      <c r="P95" s="15">
        <f t="shared" si="36"/>
        <v>30.5</v>
      </c>
      <c r="R95" s="8"/>
      <c r="T95"/>
    </row>
    <row r="96" spans="2:20" ht="23.1" customHeight="1" x14ac:dyDescent="0.25">
      <c r="B96" s="25" t="s">
        <v>137</v>
      </c>
      <c r="C96" s="49">
        <f>AVERAGE('26.07 Kibuye-Makindye-24h'!C96,'27.07 Kibuye-Makindye-24h'!C96)</f>
        <v>6.5</v>
      </c>
      <c r="D96" s="49">
        <f>AVERAGE('26.07 Kibuye-Makindye-24h'!D96,'27.07 Kibuye-Makindye-24h'!D96)</f>
        <v>1</v>
      </c>
      <c r="E96" s="49">
        <f>AVERAGE('26.07 Kibuye-Makindye-24h'!E96,'27.07 Kibuye-Makindye-24h'!E96)</f>
        <v>1.5</v>
      </c>
      <c r="F96" s="49">
        <f>AVERAGE('26.07 Kibuye-Makindye-24h'!F96,'27.07 Kibuye-Makindye-24h'!F96)</f>
        <v>0</v>
      </c>
      <c r="G96" s="49">
        <f>AVERAGE('26.07 Kibuye-Makindye-24h'!G96,'27.07 Kibuye-Makindye-24h'!G96)</f>
        <v>0</v>
      </c>
      <c r="H96" s="49">
        <f>AVERAGE('26.07 Kibuye-Makindye-24h'!H96,'27.07 Kibuye-Makindye-24h'!H96)</f>
        <v>0</v>
      </c>
      <c r="I96" s="49">
        <f>AVERAGE('26.07 Kibuye-Makindye-24h'!I96,'27.07 Kibuye-Makindye-24h'!I96)</f>
        <v>0.5</v>
      </c>
      <c r="J96" s="49">
        <f>AVERAGE('26.07 Kibuye-Makindye-24h'!J96,'27.07 Kibuye-Makindye-24h'!J96)</f>
        <v>0</v>
      </c>
      <c r="K96" s="49">
        <f>AVERAGE('26.07 Kibuye-Makindye-24h'!K96,'27.07 Kibuye-Makindye-24h'!K96)</f>
        <v>0</v>
      </c>
      <c r="L96" s="49">
        <f>AVERAGE('26.07 Kibuye-Makindye-24h'!L96,'27.07 Kibuye-Makindye-24h'!L96)</f>
        <v>0</v>
      </c>
      <c r="M96" s="49">
        <f>AVERAGE('26.07 Kibuye-Makindye-24h'!M96,'27.07 Kibuye-Makindye-24h'!M96)</f>
        <v>10.5</v>
      </c>
      <c r="N96" s="49">
        <f>AVERAGE('26.07 Kibuye-Makindye-24h'!N96,'27.07 Kibuye-Makindye-24h'!N96)</f>
        <v>0</v>
      </c>
      <c r="O96" s="15">
        <f t="shared" si="35"/>
        <v>9.5</v>
      </c>
      <c r="P96" s="15">
        <f t="shared" si="36"/>
        <v>20</v>
      </c>
      <c r="R96" s="8"/>
      <c r="T96"/>
    </row>
    <row r="97" spans="2:20" ht="23.1" customHeight="1" x14ac:dyDescent="0.25">
      <c r="B97" s="23" t="s">
        <v>138</v>
      </c>
      <c r="C97" s="49">
        <f>AVERAGE('26.07 Kibuye-Makindye-24h'!C97,'27.07 Kibuye-Makindye-24h'!C97)</f>
        <v>8.5</v>
      </c>
      <c r="D97" s="49">
        <f>AVERAGE('26.07 Kibuye-Makindye-24h'!D97,'27.07 Kibuye-Makindye-24h'!D97)</f>
        <v>0.5</v>
      </c>
      <c r="E97" s="49">
        <f>AVERAGE('26.07 Kibuye-Makindye-24h'!E97,'27.07 Kibuye-Makindye-24h'!E97)</f>
        <v>0.5</v>
      </c>
      <c r="F97" s="49">
        <f>AVERAGE('26.07 Kibuye-Makindye-24h'!F97,'27.07 Kibuye-Makindye-24h'!F97)</f>
        <v>0</v>
      </c>
      <c r="G97" s="49">
        <f>AVERAGE('26.07 Kibuye-Makindye-24h'!G97,'27.07 Kibuye-Makindye-24h'!G97)</f>
        <v>0</v>
      </c>
      <c r="H97" s="49">
        <f>AVERAGE('26.07 Kibuye-Makindye-24h'!H97,'27.07 Kibuye-Makindye-24h'!H97)</f>
        <v>0</v>
      </c>
      <c r="I97" s="49">
        <f>AVERAGE('26.07 Kibuye-Makindye-24h'!I97,'27.07 Kibuye-Makindye-24h'!I97)</f>
        <v>1.5</v>
      </c>
      <c r="J97" s="49">
        <f>AVERAGE('26.07 Kibuye-Makindye-24h'!J97,'27.07 Kibuye-Makindye-24h'!J97)</f>
        <v>0</v>
      </c>
      <c r="K97" s="49">
        <f>AVERAGE('26.07 Kibuye-Makindye-24h'!K97,'27.07 Kibuye-Makindye-24h'!K97)</f>
        <v>0</v>
      </c>
      <c r="L97" s="49">
        <f>AVERAGE('26.07 Kibuye-Makindye-24h'!L97,'27.07 Kibuye-Makindye-24h'!L97)</f>
        <v>0</v>
      </c>
      <c r="M97" s="49">
        <f>AVERAGE('26.07 Kibuye-Makindye-24h'!M97,'27.07 Kibuye-Makindye-24h'!M97)</f>
        <v>9</v>
      </c>
      <c r="N97" s="49">
        <f>AVERAGE('26.07 Kibuye-Makindye-24h'!N97,'27.07 Kibuye-Makindye-24h'!N97)</f>
        <v>0</v>
      </c>
      <c r="O97" s="15">
        <f t="shared" si="35"/>
        <v>11</v>
      </c>
      <c r="P97" s="15">
        <f t="shared" si="36"/>
        <v>20</v>
      </c>
      <c r="R97" s="8"/>
      <c r="T97"/>
    </row>
    <row r="98" spans="2:20" ht="23.1" customHeight="1" x14ac:dyDescent="0.25">
      <c r="B98" s="24" t="s">
        <v>139</v>
      </c>
      <c r="C98" s="49">
        <f>AVERAGE('26.07 Kibuye-Makindye-24h'!C98,'27.07 Kibuye-Makindye-24h'!C98)</f>
        <v>2.5</v>
      </c>
      <c r="D98" s="49">
        <f>AVERAGE('26.07 Kibuye-Makindye-24h'!D98,'27.07 Kibuye-Makindye-24h'!D98)</f>
        <v>3.5</v>
      </c>
      <c r="E98" s="49">
        <f>AVERAGE('26.07 Kibuye-Makindye-24h'!E98,'27.07 Kibuye-Makindye-24h'!E98)</f>
        <v>0.5</v>
      </c>
      <c r="F98" s="49">
        <f>AVERAGE('26.07 Kibuye-Makindye-24h'!F98,'27.07 Kibuye-Makindye-24h'!F98)</f>
        <v>2</v>
      </c>
      <c r="G98" s="49">
        <f>AVERAGE('26.07 Kibuye-Makindye-24h'!G98,'27.07 Kibuye-Makindye-24h'!G98)</f>
        <v>0</v>
      </c>
      <c r="H98" s="49">
        <f>AVERAGE('26.07 Kibuye-Makindye-24h'!H98,'27.07 Kibuye-Makindye-24h'!H98)</f>
        <v>0</v>
      </c>
      <c r="I98" s="49">
        <f>AVERAGE('26.07 Kibuye-Makindye-24h'!I98,'27.07 Kibuye-Makindye-24h'!I98)</f>
        <v>0.5</v>
      </c>
      <c r="J98" s="49">
        <f>AVERAGE('26.07 Kibuye-Makindye-24h'!J98,'27.07 Kibuye-Makindye-24h'!J98)</f>
        <v>0</v>
      </c>
      <c r="K98" s="49">
        <f>AVERAGE('26.07 Kibuye-Makindye-24h'!K98,'27.07 Kibuye-Makindye-24h'!K98)</f>
        <v>0</v>
      </c>
      <c r="L98" s="49">
        <f>AVERAGE('26.07 Kibuye-Makindye-24h'!L98,'27.07 Kibuye-Makindye-24h'!L98)</f>
        <v>0</v>
      </c>
      <c r="M98" s="49">
        <f>AVERAGE('26.07 Kibuye-Makindye-24h'!M98,'27.07 Kibuye-Makindye-24h'!M98)</f>
        <v>12</v>
      </c>
      <c r="N98" s="49">
        <f>AVERAGE('26.07 Kibuye-Makindye-24h'!N98,'27.07 Kibuye-Makindye-24h'!N98)</f>
        <v>0</v>
      </c>
      <c r="O98" s="15">
        <f t="shared" si="35"/>
        <v>9</v>
      </c>
      <c r="P98" s="15">
        <f t="shared" si="36"/>
        <v>21</v>
      </c>
      <c r="R98" s="8"/>
      <c r="T98"/>
    </row>
    <row r="99" spans="2:20" ht="23.1" customHeight="1" x14ac:dyDescent="0.25">
      <c r="B99" s="23" t="s">
        <v>140</v>
      </c>
      <c r="C99" s="49">
        <f>AVERAGE('26.07 Kibuye-Makindye-24h'!C99,'27.07 Kibuye-Makindye-24h'!C99)</f>
        <v>7.5</v>
      </c>
      <c r="D99" s="49">
        <f>AVERAGE('26.07 Kibuye-Makindye-24h'!D99,'27.07 Kibuye-Makindye-24h'!D99)</f>
        <v>1.5</v>
      </c>
      <c r="E99" s="49">
        <f>AVERAGE('26.07 Kibuye-Makindye-24h'!E99,'27.07 Kibuye-Makindye-24h'!E99)</f>
        <v>0.5</v>
      </c>
      <c r="F99" s="49">
        <f>AVERAGE('26.07 Kibuye-Makindye-24h'!F99,'27.07 Kibuye-Makindye-24h'!F99)</f>
        <v>2.5</v>
      </c>
      <c r="G99" s="49">
        <f>AVERAGE('26.07 Kibuye-Makindye-24h'!G99,'27.07 Kibuye-Makindye-24h'!G99)</f>
        <v>0</v>
      </c>
      <c r="H99" s="49">
        <f>AVERAGE('26.07 Kibuye-Makindye-24h'!H99,'27.07 Kibuye-Makindye-24h'!H99)</f>
        <v>0</v>
      </c>
      <c r="I99" s="49">
        <f>AVERAGE('26.07 Kibuye-Makindye-24h'!I99,'27.07 Kibuye-Makindye-24h'!I99)</f>
        <v>0</v>
      </c>
      <c r="J99" s="49">
        <f>AVERAGE('26.07 Kibuye-Makindye-24h'!J99,'27.07 Kibuye-Makindye-24h'!J99)</f>
        <v>0</v>
      </c>
      <c r="K99" s="49">
        <f>AVERAGE('26.07 Kibuye-Makindye-24h'!K99,'27.07 Kibuye-Makindye-24h'!K99)</f>
        <v>0</v>
      </c>
      <c r="L99" s="49">
        <f>AVERAGE('26.07 Kibuye-Makindye-24h'!L99,'27.07 Kibuye-Makindye-24h'!L99)</f>
        <v>0.5</v>
      </c>
      <c r="M99" s="49">
        <f>AVERAGE('26.07 Kibuye-Makindye-24h'!M99,'27.07 Kibuye-Makindye-24h'!M99)</f>
        <v>17</v>
      </c>
      <c r="N99" s="49">
        <f>AVERAGE('26.07 Kibuye-Makindye-24h'!N99,'27.07 Kibuye-Makindye-24h'!N99)</f>
        <v>0</v>
      </c>
      <c r="O99" s="15">
        <f t="shared" si="35"/>
        <v>12.5</v>
      </c>
      <c r="P99" s="15">
        <f t="shared" si="36"/>
        <v>29.5</v>
      </c>
      <c r="R99" s="8"/>
      <c r="T99"/>
    </row>
    <row r="100" spans="2:20" ht="23.1" customHeight="1" x14ac:dyDescent="0.25">
      <c r="B100" s="25" t="s">
        <v>141</v>
      </c>
      <c r="C100" s="49">
        <f>AVERAGE('26.07 Kibuye-Makindye-24h'!C100,'27.07 Kibuye-Makindye-24h'!C100)</f>
        <v>8.5</v>
      </c>
      <c r="D100" s="49">
        <f>AVERAGE('26.07 Kibuye-Makindye-24h'!D100,'27.07 Kibuye-Makindye-24h'!D100)</f>
        <v>3.5</v>
      </c>
      <c r="E100" s="49">
        <f>AVERAGE('26.07 Kibuye-Makindye-24h'!E100,'27.07 Kibuye-Makindye-24h'!E100)</f>
        <v>0</v>
      </c>
      <c r="F100" s="49">
        <f>AVERAGE('26.07 Kibuye-Makindye-24h'!F100,'27.07 Kibuye-Makindye-24h'!F100)</f>
        <v>1.5</v>
      </c>
      <c r="G100" s="49">
        <f>AVERAGE('26.07 Kibuye-Makindye-24h'!G100,'27.07 Kibuye-Makindye-24h'!G100)</f>
        <v>0</v>
      </c>
      <c r="H100" s="49">
        <f>AVERAGE('26.07 Kibuye-Makindye-24h'!H100,'27.07 Kibuye-Makindye-24h'!H100)</f>
        <v>0</v>
      </c>
      <c r="I100" s="49">
        <f>AVERAGE('26.07 Kibuye-Makindye-24h'!I100,'27.07 Kibuye-Makindye-24h'!I100)</f>
        <v>0</v>
      </c>
      <c r="J100" s="49">
        <f>AVERAGE('26.07 Kibuye-Makindye-24h'!J100,'27.07 Kibuye-Makindye-24h'!J100)</f>
        <v>0</v>
      </c>
      <c r="K100" s="49">
        <f>AVERAGE('26.07 Kibuye-Makindye-24h'!K100,'27.07 Kibuye-Makindye-24h'!K100)</f>
        <v>0</v>
      </c>
      <c r="L100" s="49">
        <f>AVERAGE('26.07 Kibuye-Makindye-24h'!L100,'27.07 Kibuye-Makindye-24h'!L100)</f>
        <v>0</v>
      </c>
      <c r="M100" s="49">
        <f>AVERAGE('26.07 Kibuye-Makindye-24h'!M100,'27.07 Kibuye-Makindye-24h'!M100)</f>
        <v>24.5</v>
      </c>
      <c r="N100" s="49">
        <f>AVERAGE('26.07 Kibuye-Makindye-24h'!N100,'27.07 Kibuye-Makindye-24h'!N100)</f>
        <v>0</v>
      </c>
      <c r="O100" s="15">
        <f t="shared" si="35"/>
        <v>13.5</v>
      </c>
      <c r="P100" s="15">
        <f t="shared" si="36"/>
        <v>38</v>
      </c>
      <c r="R100" s="8"/>
      <c r="T100"/>
    </row>
    <row r="101" spans="2:20" ht="23.1" customHeight="1" x14ac:dyDescent="0.25">
      <c r="B101" s="23" t="s">
        <v>142</v>
      </c>
      <c r="C101" s="49">
        <f>AVERAGE('26.07 Kibuye-Makindye-24h'!C101,'27.07 Kibuye-Makindye-24h'!C101)</f>
        <v>5</v>
      </c>
      <c r="D101" s="49">
        <f>AVERAGE('26.07 Kibuye-Makindye-24h'!D101,'27.07 Kibuye-Makindye-24h'!D101)</f>
        <v>3</v>
      </c>
      <c r="E101" s="49">
        <f>AVERAGE('26.07 Kibuye-Makindye-24h'!E101,'27.07 Kibuye-Makindye-24h'!E101)</f>
        <v>0</v>
      </c>
      <c r="F101" s="49">
        <f>AVERAGE('26.07 Kibuye-Makindye-24h'!F101,'27.07 Kibuye-Makindye-24h'!F101)</f>
        <v>3</v>
      </c>
      <c r="G101" s="49">
        <f>AVERAGE('26.07 Kibuye-Makindye-24h'!G101,'27.07 Kibuye-Makindye-24h'!G101)</f>
        <v>0</v>
      </c>
      <c r="H101" s="49">
        <f>AVERAGE('26.07 Kibuye-Makindye-24h'!H101,'27.07 Kibuye-Makindye-24h'!H101)</f>
        <v>0</v>
      </c>
      <c r="I101" s="49">
        <f>AVERAGE('26.07 Kibuye-Makindye-24h'!I101,'27.07 Kibuye-Makindye-24h'!I101)</f>
        <v>0.5</v>
      </c>
      <c r="J101" s="49">
        <f>AVERAGE('26.07 Kibuye-Makindye-24h'!J101,'27.07 Kibuye-Makindye-24h'!J101)</f>
        <v>0</v>
      </c>
      <c r="K101" s="49">
        <f>AVERAGE('26.07 Kibuye-Makindye-24h'!K101,'27.07 Kibuye-Makindye-24h'!K101)</f>
        <v>0</v>
      </c>
      <c r="L101" s="49">
        <f>AVERAGE('26.07 Kibuye-Makindye-24h'!L101,'27.07 Kibuye-Makindye-24h'!L101)</f>
        <v>0</v>
      </c>
      <c r="M101" s="49">
        <f>AVERAGE('26.07 Kibuye-Makindye-24h'!M101,'27.07 Kibuye-Makindye-24h'!M101)</f>
        <v>29</v>
      </c>
      <c r="N101" s="49">
        <f>AVERAGE('26.07 Kibuye-Makindye-24h'!N101,'27.07 Kibuye-Makindye-24h'!N101)</f>
        <v>0</v>
      </c>
      <c r="O101" s="15">
        <f t="shared" si="35"/>
        <v>11.5</v>
      </c>
      <c r="P101" s="15">
        <f t="shared" si="36"/>
        <v>40.5</v>
      </c>
      <c r="R101" s="8"/>
      <c r="T101"/>
    </row>
    <row r="102" spans="2:20" ht="23.1" customHeight="1" x14ac:dyDescent="0.25">
      <c r="B102" s="24" t="s">
        <v>143</v>
      </c>
      <c r="C102" s="49">
        <f>AVERAGE('26.07 Kibuye-Makindye-24h'!C102,'27.07 Kibuye-Makindye-24h'!C102)</f>
        <v>5</v>
      </c>
      <c r="D102" s="49">
        <f>AVERAGE('26.07 Kibuye-Makindye-24h'!D102,'27.07 Kibuye-Makindye-24h'!D102)</f>
        <v>0.5</v>
      </c>
      <c r="E102" s="49">
        <f>AVERAGE('26.07 Kibuye-Makindye-24h'!E102,'27.07 Kibuye-Makindye-24h'!E102)</f>
        <v>2</v>
      </c>
      <c r="F102" s="49">
        <f>AVERAGE('26.07 Kibuye-Makindye-24h'!F102,'27.07 Kibuye-Makindye-24h'!F102)</f>
        <v>4</v>
      </c>
      <c r="G102" s="49">
        <f>AVERAGE('26.07 Kibuye-Makindye-24h'!G102,'27.07 Kibuye-Makindye-24h'!G102)</f>
        <v>0</v>
      </c>
      <c r="H102" s="49">
        <f>AVERAGE('26.07 Kibuye-Makindye-24h'!H102,'27.07 Kibuye-Makindye-24h'!H102)</f>
        <v>0</v>
      </c>
      <c r="I102" s="49">
        <f>AVERAGE('26.07 Kibuye-Makindye-24h'!I102,'27.07 Kibuye-Makindye-24h'!I102)</f>
        <v>1</v>
      </c>
      <c r="J102" s="49">
        <f>AVERAGE('26.07 Kibuye-Makindye-24h'!J102,'27.07 Kibuye-Makindye-24h'!J102)</f>
        <v>0</v>
      </c>
      <c r="K102" s="49">
        <f>AVERAGE('26.07 Kibuye-Makindye-24h'!K102,'27.07 Kibuye-Makindye-24h'!K102)</f>
        <v>0.5</v>
      </c>
      <c r="L102" s="49">
        <f>AVERAGE('26.07 Kibuye-Makindye-24h'!L102,'27.07 Kibuye-Makindye-24h'!L102)</f>
        <v>0</v>
      </c>
      <c r="M102" s="49">
        <f>AVERAGE('26.07 Kibuye-Makindye-24h'!M102,'27.07 Kibuye-Makindye-24h'!M102)</f>
        <v>23.5</v>
      </c>
      <c r="N102" s="49">
        <f>AVERAGE('26.07 Kibuye-Makindye-24h'!N102,'27.07 Kibuye-Makindye-24h'!N102)</f>
        <v>0</v>
      </c>
      <c r="O102" s="15">
        <f t="shared" si="35"/>
        <v>13</v>
      </c>
      <c r="P102" s="15">
        <f t="shared" si="36"/>
        <v>36.5</v>
      </c>
      <c r="R102" s="8"/>
      <c r="T102"/>
    </row>
    <row r="103" spans="2:20" ht="23.1" customHeight="1" x14ac:dyDescent="0.25">
      <c r="B103" s="23" t="s">
        <v>144</v>
      </c>
      <c r="C103" s="49">
        <f>AVERAGE('26.07 Kibuye-Makindye-24h'!C103,'27.07 Kibuye-Makindye-24h'!C103)</f>
        <v>5.5</v>
      </c>
      <c r="D103" s="49">
        <f>AVERAGE('26.07 Kibuye-Makindye-24h'!D103,'27.07 Kibuye-Makindye-24h'!D103)</f>
        <v>1.5</v>
      </c>
      <c r="E103" s="49">
        <f>AVERAGE('26.07 Kibuye-Makindye-24h'!E103,'27.07 Kibuye-Makindye-24h'!E103)</f>
        <v>1.5</v>
      </c>
      <c r="F103" s="49">
        <f>AVERAGE('26.07 Kibuye-Makindye-24h'!F103,'27.07 Kibuye-Makindye-24h'!F103)</f>
        <v>5</v>
      </c>
      <c r="G103" s="49">
        <f>AVERAGE('26.07 Kibuye-Makindye-24h'!G103,'27.07 Kibuye-Makindye-24h'!G103)</f>
        <v>0</v>
      </c>
      <c r="H103" s="49">
        <f>AVERAGE('26.07 Kibuye-Makindye-24h'!H103,'27.07 Kibuye-Makindye-24h'!H103)</f>
        <v>0</v>
      </c>
      <c r="I103" s="49">
        <f>AVERAGE('26.07 Kibuye-Makindye-24h'!I103,'27.07 Kibuye-Makindye-24h'!I103)</f>
        <v>1.5</v>
      </c>
      <c r="J103" s="49">
        <f>AVERAGE('26.07 Kibuye-Makindye-24h'!J103,'27.07 Kibuye-Makindye-24h'!J103)</f>
        <v>0</v>
      </c>
      <c r="K103" s="49">
        <f>AVERAGE('26.07 Kibuye-Makindye-24h'!K103,'27.07 Kibuye-Makindye-24h'!K103)</f>
        <v>0.5</v>
      </c>
      <c r="L103" s="49">
        <f>AVERAGE('26.07 Kibuye-Makindye-24h'!L103,'27.07 Kibuye-Makindye-24h'!L103)</f>
        <v>0.5</v>
      </c>
      <c r="M103" s="49">
        <f>AVERAGE('26.07 Kibuye-Makindye-24h'!M103,'27.07 Kibuye-Makindye-24h'!M103)</f>
        <v>22</v>
      </c>
      <c r="N103" s="49">
        <f>AVERAGE('26.07 Kibuye-Makindye-24h'!N103,'27.07 Kibuye-Makindye-24h'!N103)</f>
        <v>0</v>
      </c>
      <c r="O103" s="15">
        <f t="shared" si="35"/>
        <v>16</v>
      </c>
      <c r="P103" s="15">
        <f t="shared" si="36"/>
        <v>38</v>
      </c>
      <c r="R103" s="8"/>
      <c r="T103"/>
    </row>
    <row r="104" spans="2:20" ht="23.1" customHeight="1" x14ac:dyDescent="0.25">
      <c r="B104" s="25" t="s">
        <v>145</v>
      </c>
      <c r="C104" s="49">
        <f>AVERAGE('26.07 Kibuye-Makindye-24h'!C104,'27.07 Kibuye-Makindye-24h'!C104)</f>
        <v>4</v>
      </c>
      <c r="D104" s="49">
        <f>AVERAGE('26.07 Kibuye-Makindye-24h'!D104,'27.07 Kibuye-Makindye-24h'!D104)</f>
        <v>1</v>
      </c>
      <c r="E104" s="49">
        <f>AVERAGE('26.07 Kibuye-Makindye-24h'!E104,'27.07 Kibuye-Makindye-24h'!E104)</f>
        <v>0.5</v>
      </c>
      <c r="F104" s="49">
        <f>AVERAGE('26.07 Kibuye-Makindye-24h'!F104,'27.07 Kibuye-Makindye-24h'!F104)</f>
        <v>1.5</v>
      </c>
      <c r="G104" s="49">
        <f>AVERAGE('26.07 Kibuye-Makindye-24h'!G104,'27.07 Kibuye-Makindye-24h'!G104)</f>
        <v>0</v>
      </c>
      <c r="H104" s="49">
        <f>AVERAGE('26.07 Kibuye-Makindye-24h'!H104,'27.07 Kibuye-Makindye-24h'!H104)</f>
        <v>0</v>
      </c>
      <c r="I104" s="49">
        <f>AVERAGE('26.07 Kibuye-Makindye-24h'!I104,'27.07 Kibuye-Makindye-24h'!I104)</f>
        <v>0</v>
      </c>
      <c r="J104" s="49">
        <f>AVERAGE('26.07 Kibuye-Makindye-24h'!J104,'27.07 Kibuye-Makindye-24h'!J104)</f>
        <v>0</v>
      </c>
      <c r="K104" s="49">
        <f>AVERAGE('26.07 Kibuye-Makindye-24h'!K104,'27.07 Kibuye-Makindye-24h'!K104)</f>
        <v>0.5</v>
      </c>
      <c r="L104" s="49">
        <f>AVERAGE('26.07 Kibuye-Makindye-24h'!L104,'27.07 Kibuye-Makindye-24h'!L104)</f>
        <v>1</v>
      </c>
      <c r="M104" s="49">
        <f>AVERAGE('26.07 Kibuye-Makindye-24h'!M104,'27.07 Kibuye-Makindye-24h'!M104)</f>
        <v>18</v>
      </c>
      <c r="N104" s="49">
        <f>AVERAGE('26.07 Kibuye-Makindye-24h'!N104,'27.07 Kibuye-Makindye-24h'!N104)</f>
        <v>0</v>
      </c>
      <c r="O104" s="15">
        <f t="shared" si="35"/>
        <v>8.5</v>
      </c>
      <c r="P104" s="15">
        <f t="shared" si="36"/>
        <v>26.5</v>
      </c>
      <c r="R104" s="8"/>
      <c r="T104"/>
    </row>
    <row r="105" spans="2:20" ht="23.1" customHeight="1" x14ac:dyDescent="0.25">
      <c r="B105" s="23" t="s">
        <v>146</v>
      </c>
      <c r="C105" s="49">
        <f>AVERAGE('26.07 Kibuye-Makindye-24h'!C105,'27.07 Kibuye-Makindye-24h'!C105)</f>
        <v>3</v>
      </c>
      <c r="D105" s="49">
        <f>AVERAGE('26.07 Kibuye-Makindye-24h'!D105,'27.07 Kibuye-Makindye-24h'!D105)</f>
        <v>1</v>
      </c>
      <c r="E105" s="49">
        <f>AVERAGE('26.07 Kibuye-Makindye-24h'!E105,'27.07 Kibuye-Makindye-24h'!E105)</f>
        <v>1.5</v>
      </c>
      <c r="F105" s="49">
        <f>AVERAGE('26.07 Kibuye-Makindye-24h'!F105,'27.07 Kibuye-Makindye-24h'!F105)</f>
        <v>5</v>
      </c>
      <c r="G105" s="49">
        <f>AVERAGE('26.07 Kibuye-Makindye-24h'!G105,'27.07 Kibuye-Makindye-24h'!G105)</f>
        <v>0</v>
      </c>
      <c r="H105" s="49">
        <f>AVERAGE('26.07 Kibuye-Makindye-24h'!H105,'27.07 Kibuye-Makindye-24h'!H105)</f>
        <v>0</v>
      </c>
      <c r="I105" s="49">
        <f>AVERAGE('26.07 Kibuye-Makindye-24h'!I105,'27.07 Kibuye-Makindye-24h'!I105)</f>
        <v>1</v>
      </c>
      <c r="J105" s="49">
        <f>AVERAGE('26.07 Kibuye-Makindye-24h'!J105,'27.07 Kibuye-Makindye-24h'!J105)</f>
        <v>0.5</v>
      </c>
      <c r="K105" s="49">
        <f>AVERAGE('26.07 Kibuye-Makindye-24h'!K105,'27.07 Kibuye-Makindye-24h'!K105)</f>
        <v>0.5</v>
      </c>
      <c r="L105" s="49">
        <f>AVERAGE('26.07 Kibuye-Makindye-24h'!L105,'27.07 Kibuye-Makindye-24h'!L105)</f>
        <v>0</v>
      </c>
      <c r="M105" s="49">
        <f>AVERAGE('26.07 Kibuye-Makindye-24h'!M105,'27.07 Kibuye-Makindye-24h'!M105)</f>
        <v>10.5</v>
      </c>
      <c r="N105" s="49">
        <f>AVERAGE('26.07 Kibuye-Makindye-24h'!N105,'27.07 Kibuye-Makindye-24h'!N105)</f>
        <v>0</v>
      </c>
      <c r="O105" s="15">
        <f t="shared" si="35"/>
        <v>12.5</v>
      </c>
      <c r="P105" s="15">
        <f t="shared" si="36"/>
        <v>23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SUM(C10:C105)</f>
        <v>3576.3928571428578</v>
      </c>
      <c r="D106" s="16">
        <f t="shared" si="37"/>
        <v>1038.3571428571429</v>
      </c>
      <c r="E106" s="16">
        <f t="shared" si="37"/>
        <v>431.78571428571422</v>
      </c>
      <c r="F106" s="16">
        <f t="shared" si="37"/>
        <v>1333.8214285714287</v>
      </c>
      <c r="G106" s="16">
        <f t="shared" si="37"/>
        <v>19.107142857142858</v>
      </c>
      <c r="H106" s="16">
        <f t="shared" si="37"/>
        <v>11.357142857142856</v>
      </c>
      <c r="I106" s="16">
        <f t="shared" si="37"/>
        <v>197.14285714285711</v>
      </c>
      <c r="J106" s="16">
        <f t="shared" si="37"/>
        <v>103.53571428571426</v>
      </c>
      <c r="K106" s="16">
        <f t="shared" si="37"/>
        <v>32.535714285714278</v>
      </c>
      <c r="L106" s="16">
        <f t="shared" si="37"/>
        <v>42.642857142857139</v>
      </c>
      <c r="M106" s="16">
        <f t="shared" si="37"/>
        <v>11053.178571428574</v>
      </c>
      <c r="N106" s="16">
        <f t="shared" si="37"/>
        <v>0.42857142857142855</v>
      </c>
      <c r="O106" s="16">
        <f t="shared" si="37"/>
        <v>6787.107142857144</v>
      </c>
      <c r="P106" s="16">
        <f t="shared" si="37"/>
        <v>17840.285714285714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0.2004672410755754</v>
      </c>
      <c r="D107" s="43">
        <f t="shared" si="38"/>
        <v>5.8202943578738335E-2</v>
      </c>
      <c r="E107" s="43">
        <f t="shared" si="38"/>
        <v>2.4202847488028697E-2</v>
      </c>
      <c r="F107" s="43">
        <f t="shared" si="38"/>
        <v>7.476457776140677E-2</v>
      </c>
      <c r="G107" s="43">
        <f t="shared" si="38"/>
        <v>1.0710110344164892E-3</v>
      </c>
      <c r="H107" s="43">
        <f t="shared" si="38"/>
        <v>6.3660095129802524E-4</v>
      </c>
      <c r="I107" s="43">
        <f t="shared" si="38"/>
        <v>1.1050431607437419E-2</v>
      </c>
      <c r="J107" s="43">
        <f t="shared" si="38"/>
        <v>5.8034784836886013E-3</v>
      </c>
      <c r="K107" s="43">
        <f t="shared" si="38"/>
        <v>1.8237215931839652E-3</v>
      </c>
      <c r="L107" s="43">
        <f t="shared" si="38"/>
        <v>2.390256402043529E-3</v>
      </c>
      <c r="M107" s="43">
        <f t="shared" si="38"/>
        <v>0.61956286734677557</v>
      </c>
      <c r="N107" s="43">
        <f t="shared" si="38"/>
        <v>2.4022677407472653E-5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0.52693920721536103</v>
      </c>
      <c r="D108" s="44">
        <f t="shared" ref="D108:N108" si="39">D106/$O$106</f>
        <v>0.15298964949299879</v>
      </c>
      <c r="E108" s="44">
        <f t="shared" si="39"/>
        <v>6.3618520408968662E-2</v>
      </c>
      <c r="F108" s="44">
        <f t="shared" si="39"/>
        <v>0.19652281900031043</v>
      </c>
      <c r="G108" s="44">
        <f t="shared" si="39"/>
        <v>2.8152116144580844E-3</v>
      </c>
      <c r="H108" s="44">
        <f t="shared" si="39"/>
        <v>1.673340735322749E-3</v>
      </c>
      <c r="I108" s="44">
        <f t="shared" si="39"/>
        <v>2.9046669367866585E-2</v>
      </c>
      <c r="J108" s="44">
        <f t="shared" si="39"/>
        <v>1.5254763495913991E-2</v>
      </c>
      <c r="K108" s="44">
        <f t="shared" si="39"/>
        <v>4.7937528612547933E-3</v>
      </c>
      <c r="L108" s="44">
        <f t="shared" si="39"/>
        <v>6.2829208741363596E-3</v>
      </c>
      <c r="M108" s="44"/>
      <c r="N108" s="44">
        <f t="shared" si="39"/>
        <v>6.3144933408405625E-5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H55" zoomScale="60" workbookViewId="0">
      <selection activeCell="Y77" sqref="Y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'28.07 Makindye-Kibuye'!C3:G3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170</v>
      </c>
      <c r="E5" s="66"/>
      <c r="F5" s="41" t="s">
        <v>1</v>
      </c>
      <c r="G5" s="63" t="str">
        <f>'28.07 Makindye-Kibuye'!G5:H5</f>
        <v>FUELEX MAKINDYE</v>
      </c>
      <c r="H5" s="64"/>
      <c r="I5" s="14"/>
      <c r="J5" s="2" t="s">
        <v>5</v>
      </c>
      <c r="K5" s="63" t="str">
        <f>'28.07 Makindye-Kibuye'!K5:L5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'28.07 Makindye-Kibuye'!D6:E6</f>
        <v>MAKINDYE</v>
      </c>
      <c r="E6" s="64"/>
      <c r="F6" s="2" t="s">
        <v>2</v>
      </c>
      <c r="G6" s="63" t="str">
        <f>'28.07 Makindye-Kibuye'!G6:H6</f>
        <v>KIBUYE</v>
      </c>
      <c r="H6" s="64"/>
      <c r="J6" s="2" t="s">
        <v>21</v>
      </c>
      <c r="K6" s="63" t="str">
        <f>'28.07 Makindye-Kibuye'!K6:L6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Makindye-Kibuye'!C10,'23.07 Makindye-Kibuye'!C10,'24.07 Makindye-Kibuye'!C10,'25.07 Makindye-Kibuye'!C10,'26.07 Makindye-Kibuye-24h'!C10,'27.07 Makindye-Kibuye-24h'!C10,'28.07 Makindye-Kibuye'!C10)</f>
        <v>28.857142857142858</v>
      </c>
      <c r="D10" s="49">
        <f>AVERAGE('22.07 Makindye-Kibuye'!D10,'23.07 Makindye-Kibuye'!D10,'24.07 Makindye-Kibuye'!D10,'25.07 Makindye-Kibuye'!D10,'26.07 Makindye-Kibuye-24h'!D10,'27.07 Makindye-Kibuye-24h'!D10,'28.07 Makindye-Kibuye'!D10)</f>
        <v>2.1428571428571428</v>
      </c>
      <c r="E10" s="49">
        <f>AVERAGE('22.07 Makindye-Kibuye'!E10,'23.07 Makindye-Kibuye'!E10,'24.07 Makindye-Kibuye'!E10,'25.07 Makindye-Kibuye'!E10,'26.07 Makindye-Kibuye-24h'!E10,'27.07 Makindye-Kibuye-24h'!E10,'28.07 Makindye-Kibuye'!E10)</f>
        <v>2.7142857142857144</v>
      </c>
      <c r="F10" s="49">
        <f>AVERAGE('22.07 Makindye-Kibuye'!F10,'23.07 Makindye-Kibuye'!F10,'24.07 Makindye-Kibuye'!F10,'25.07 Makindye-Kibuye'!F10,'26.07 Makindye-Kibuye-24h'!F10,'27.07 Makindye-Kibuye-24h'!F10,'28.07 Makindye-Kibuye'!F10)</f>
        <v>12.428571428571429</v>
      </c>
      <c r="G10" s="49">
        <f>AVERAGE('22.07 Makindye-Kibuye'!G10,'23.07 Makindye-Kibuye'!G10,'24.07 Makindye-Kibuye'!G10,'25.07 Makindye-Kibuye'!G10,'26.07 Makindye-Kibuye-24h'!G10,'27.07 Makindye-Kibuye-24h'!G10,'28.07 Makindye-Kibuye'!G10)</f>
        <v>0</v>
      </c>
      <c r="H10" s="49">
        <f>AVERAGE('22.07 Makindye-Kibuye'!H10,'23.07 Makindye-Kibuye'!H10,'24.07 Makindye-Kibuye'!H10,'25.07 Makindye-Kibuye'!H10,'26.07 Makindye-Kibuye-24h'!H10,'27.07 Makindye-Kibuye-24h'!H10,'28.07 Makindye-Kibuye'!H10)</f>
        <v>0</v>
      </c>
      <c r="I10" s="49">
        <f>AVERAGE('22.07 Makindye-Kibuye'!I10,'23.07 Makindye-Kibuye'!I10,'24.07 Makindye-Kibuye'!I10,'25.07 Makindye-Kibuye'!I10,'26.07 Makindye-Kibuye-24h'!I10,'27.07 Makindye-Kibuye-24h'!I10,'28.07 Makindye-Kibuye'!I10)</f>
        <v>1.4285714285714286</v>
      </c>
      <c r="J10" s="49">
        <f>AVERAGE('22.07 Makindye-Kibuye'!J10,'23.07 Makindye-Kibuye'!J10,'24.07 Makindye-Kibuye'!J10,'25.07 Makindye-Kibuye'!J10,'26.07 Makindye-Kibuye-24h'!J10,'27.07 Makindye-Kibuye-24h'!J10,'28.07 Makindye-Kibuye'!J10)</f>
        <v>0.5714285714285714</v>
      </c>
      <c r="K10" s="49">
        <f>AVERAGE('22.07 Makindye-Kibuye'!K10,'23.07 Makindye-Kibuye'!K10,'24.07 Makindye-Kibuye'!K10,'25.07 Makindye-Kibuye'!K10,'26.07 Makindye-Kibuye-24h'!K10,'27.07 Makindye-Kibuye-24h'!K10,'28.07 Makindye-Kibuye'!K10)</f>
        <v>0</v>
      </c>
      <c r="L10" s="49">
        <f>AVERAGE('22.07 Makindye-Kibuye'!L10,'23.07 Makindye-Kibuye'!L10,'24.07 Makindye-Kibuye'!L10,'25.07 Makindye-Kibuye'!L10,'26.07 Makindye-Kibuye-24h'!L10,'27.07 Makindye-Kibuye-24h'!L10,'28.07 Makindye-Kibuye'!L10)</f>
        <v>0</v>
      </c>
      <c r="M10" s="49">
        <f>AVERAGE('22.07 Makindye-Kibuye'!M10,'23.07 Makindye-Kibuye'!M10,'24.07 Makindye-Kibuye'!M10,'25.07 Makindye-Kibuye'!M10,'26.07 Makindye-Kibuye-24h'!M10,'27.07 Makindye-Kibuye-24h'!M10,'28.07 Makindye-Kibuye'!M10)</f>
        <v>142.28571428571428</v>
      </c>
      <c r="N10" s="49">
        <f>AVERAGE('22.07 Makindye-Kibuye'!N10,'23.07 Makindye-Kibuye'!N10,'24.07 Makindye-Kibuye'!N10,'25.07 Makindye-Kibuye'!N10,'26.07 Makindye-Kibuye-24h'!N10,'27.07 Makindye-Kibuye-24h'!N10,'28.07 Makindye-Kibuye'!N10)</f>
        <v>0</v>
      </c>
      <c r="O10" s="15">
        <f t="shared" ref="O10:O57" si="0">SUM(C10:L10,N10)</f>
        <v>48.142857142857146</v>
      </c>
      <c r="P10" s="15">
        <f t="shared" ref="P10:P57" si="1">SUM(C10:N10)</f>
        <v>190.42857142857142</v>
      </c>
      <c r="R10" s="1" t="s">
        <v>6</v>
      </c>
      <c r="S10" s="17">
        <f t="shared" ref="S10:AF10" si="2">SUM(C10:C13)</f>
        <v>151</v>
      </c>
      <c r="T10" s="17">
        <f t="shared" si="2"/>
        <v>18.428571428571431</v>
      </c>
      <c r="U10" s="17">
        <f t="shared" si="2"/>
        <v>14</v>
      </c>
      <c r="V10" s="17">
        <f t="shared" si="2"/>
        <v>64.428571428571431</v>
      </c>
      <c r="W10" s="17">
        <f t="shared" si="2"/>
        <v>0.5714285714285714</v>
      </c>
      <c r="X10" s="17">
        <f t="shared" si="2"/>
        <v>0</v>
      </c>
      <c r="Y10" s="17">
        <f t="shared" si="2"/>
        <v>9</v>
      </c>
      <c r="Z10" s="17">
        <f t="shared" si="2"/>
        <v>4.7142857142857135</v>
      </c>
      <c r="AA10" s="17">
        <f t="shared" si="2"/>
        <v>0.42857142857142855</v>
      </c>
      <c r="AB10" s="17">
        <f t="shared" si="2"/>
        <v>0</v>
      </c>
      <c r="AC10" s="17">
        <f t="shared" si="2"/>
        <v>746.57142857142867</v>
      </c>
      <c r="AD10" s="17">
        <f t="shared" si="2"/>
        <v>0</v>
      </c>
      <c r="AE10" s="31">
        <f t="shared" si="2"/>
        <v>262.57142857142856</v>
      </c>
      <c r="AF10" s="31">
        <f t="shared" si="2"/>
        <v>1009.1428571428572</v>
      </c>
    </row>
    <row r="11" spans="2:32" s="6" customFormat="1" ht="23.1" customHeight="1" x14ac:dyDescent="0.25">
      <c r="B11" s="23" t="s">
        <v>38</v>
      </c>
      <c r="C11" s="49">
        <f>AVERAGE('22.07 Makindye-Kibuye'!C11,'23.07 Makindye-Kibuye'!C11,'24.07 Makindye-Kibuye'!C11,'25.07 Makindye-Kibuye'!C11,'26.07 Makindye-Kibuye-24h'!C11,'27.07 Makindye-Kibuye-24h'!C11,'28.07 Makindye-Kibuye'!C11)</f>
        <v>33.285714285714285</v>
      </c>
      <c r="D11" s="49">
        <f>AVERAGE('22.07 Makindye-Kibuye'!D11,'23.07 Makindye-Kibuye'!D11,'24.07 Makindye-Kibuye'!D11,'25.07 Makindye-Kibuye'!D11,'26.07 Makindye-Kibuye-24h'!D11,'27.07 Makindye-Kibuye-24h'!D11,'28.07 Makindye-Kibuye'!D11)</f>
        <v>5.1428571428571432</v>
      </c>
      <c r="E11" s="49">
        <f>AVERAGE('22.07 Makindye-Kibuye'!E11,'23.07 Makindye-Kibuye'!E11,'24.07 Makindye-Kibuye'!E11,'25.07 Makindye-Kibuye'!E11,'26.07 Makindye-Kibuye-24h'!E11,'27.07 Makindye-Kibuye-24h'!E11,'28.07 Makindye-Kibuye'!E11)</f>
        <v>3.8571428571428572</v>
      </c>
      <c r="F11" s="49">
        <f>AVERAGE('22.07 Makindye-Kibuye'!F11,'23.07 Makindye-Kibuye'!F11,'24.07 Makindye-Kibuye'!F11,'25.07 Makindye-Kibuye'!F11,'26.07 Makindye-Kibuye-24h'!F11,'27.07 Makindye-Kibuye-24h'!F11,'28.07 Makindye-Kibuye'!F11)</f>
        <v>13</v>
      </c>
      <c r="G11" s="49">
        <f>AVERAGE('22.07 Makindye-Kibuye'!G11,'23.07 Makindye-Kibuye'!G11,'24.07 Makindye-Kibuye'!G11,'25.07 Makindye-Kibuye'!G11,'26.07 Makindye-Kibuye-24h'!G11,'27.07 Makindye-Kibuye-24h'!G11,'28.07 Makindye-Kibuye'!G11)</f>
        <v>0.2857142857142857</v>
      </c>
      <c r="H11" s="49">
        <f>AVERAGE('22.07 Makindye-Kibuye'!H11,'23.07 Makindye-Kibuye'!H11,'24.07 Makindye-Kibuye'!H11,'25.07 Makindye-Kibuye'!H11,'26.07 Makindye-Kibuye-24h'!H11,'27.07 Makindye-Kibuye-24h'!H11,'28.07 Makindye-Kibuye'!H11)</f>
        <v>0</v>
      </c>
      <c r="I11" s="49">
        <f>AVERAGE('22.07 Makindye-Kibuye'!I11,'23.07 Makindye-Kibuye'!I11,'24.07 Makindye-Kibuye'!I11,'25.07 Makindye-Kibuye'!I11,'26.07 Makindye-Kibuye-24h'!I11,'27.07 Makindye-Kibuye-24h'!I11,'28.07 Makindye-Kibuye'!I11)</f>
        <v>1.8571428571428572</v>
      </c>
      <c r="J11" s="49">
        <f>AVERAGE('22.07 Makindye-Kibuye'!J11,'23.07 Makindye-Kibuye'!J11,'24.07 Makindye-Kibuye'!J11,'25.07 Makindye-Kibuye'!J11,'26.07 Makindye-Kibuye-24h'!J11,'27.07 Makindye-Kibuye-24h'!J11,'28.07 Makindye-Kibuye'!J11)</f>
        <v>1.5714285714285714</v>
      </c>
      <c r="K11" s="49">
        <f>AVERAGE('22.07 Makindye-Kibuye'!K11,'23.07 Makindye-Kibuye'!K11,'24.07 Makindye-Kibuye'!K11,'25.07 Makindye-Kibuye'!K11,'26.07 Makindye-Kibuye-24h'!K11,'27.07 Makindye-Kibuye-24h'!K11,'28.07 Makindye-Kibuye'!K11)</f>
        <v>0</v>
      </c>
      <c r="L11" s="49">
        <f>AVERAGE('22.07 Makindye-Kibuye'!L11,'23.07 Makindye-Kibuye'!L11,'24.07 Makindye-Kibuye'!L11,'25.07 Makindye-Kibuye'!L11,'26.07 Makindye-Kibuye-24h'!L11,'27.07 Makindye-Kibuye-24h'!L11,'28.07 Makindye-Kibuye'!L11)</f>
        <v>0</v>
      </c>
      <c r="M11" s="49">
        <f>AVERAGE('22.07 Makindye-Kibuye'!M11,'23.07 Makindye-Kibuye'!M11,'24.07 Makindye-Kibuye'!M11,'25.07 Makindye-Kibuye'!M11,'26.07 Makindye-Kibuye-24h'!M11,'27.07 Makindye-Kibuye-24h'!M11,'28.07 Makindye-Kibuye'!M11)</f>
        <v>192.85714285714286</v>
      </c>
      <c r="N11" s="49">
        <f>AVERAGE('22.07 Makindye-Kibuye'!N11,'23.07 Makindye-Kibuye'!N11,'24.07 Makindye-Kibuye'!N11,'25.07 Makindye-Kibuye'!N11,'26.07 Makindye-Kibuye-24h'!N11,'27.07 Makindye-Kibuye-24h'!N11,'28.07 Makindye-Kibuye'!N11)</f>
        <v>0</v>
      </c>
      <c r="O11" s="15">
        <f t="shared" si="0"/>
        <v>58.999999999999993</v>
      </c>
      <c r="P11" s="15">
        <f t="shared" si="1"/>
        <v>251.85714285714286</v>
      </c>
      <c r="R11" s="1" t="s">
        <v>7</v>
      </c>
      <c r="S11" s="17">
        <f t="shared" ref="S11:AF11" si="3">SUM(C14:C17)</f>
        <v>171.28571428571431</v>
      </c>
      <c r="T11" s="17">
        <f t="shared" si="3"/>
        <v>25.714285714285715</v>
      </c>
      <c r="U11" s="17">
        <f t="shared" si="3"/>
        <v>17.571428571428569</v>
      </c>
      <c r="V11" s="17">
        <f t="shared" si="3"/>
        <v>92.857142857142847</v>
      </c>
      <c r="W11" s="17">
        <f t="shared" si="3"/>
        <v>0.2857142857142857</v>
      </c>
      <c r="X11" s="17">
        <f t="shared" si="3"/>
        <v>0.14285714285714285</v>
      </c>
      <c r="Y11" s="17">
        <f t="shared" si="3"/>
        <v>8.4285714285714288</v>
      </c>
      <c r="Z11" s="17">
        <f t="shared" si="3"/>
        <v>5.2857142857142856</v>
      </c>
      <c r="AA11" s="17">
        <f t="shared" si="3"/>
        <v>0.99999999999999978</v>
      </c>
      <c r="AB11" s="17">
        <f t="shared" si="3"/>
        <v>0</v>
      </c>
      <c r="AC11" s="17">
        <f t="shared" si="3"/>
        <v>829.28571428571422</v>
      </c>
      <c r="AD11" s="17">
        <f t="shared" si="3"/>
        <v>0</v>
      </c>
      <c r="AE11" s="31">
        <f t="shared" si="3"/>
        <v>322.57142857142856</v>
      </c>
      <c r="AF11" s="31">
        <f t="shared" si="3"/>
        <v>1151.8571428571427</v>
      </c>
    </row>
    <row r="12" spans="2:32" ht="23.1" customHeight="1" x14ac:dyDescent="0.25">
      <c r="B12" s="23" t="s">
        <v>39</v>
      </c>
      <c r="C12" s="49">
        <f>AVERAGE('22.07 Makindye-Kibuye'!C12,'23.07 Makindye-Kibuye'!C12,'24.07 Makindye-Kibuye'!C12,'25.07 Makindye-Kibuye'!C12,'26.07 Makindye-Kibuye-24h'!C12,'27.07 Makindye-Kibuye-24h'!C12,'28.07 Makindye-Kibuye'!C12)</f>
        <v>43.142857142857146</v>
      </c>
      <c r="D12" s="49">
        <f>AVERAGE('22.07 Makindye-Kibuye'!D12,'23.07 Makindye-Kibuye'!D12,'24.07 Makindye-Kibuye'!D12,'25.07 Makindye-Kibuye'!D12,'26.07 Makindye-Kibuye-24h'!D12,'27.07 Makindye-Kibuye-24h'!D12,'28.07 Makindye-Kibuye'!D12)</f>
        <v>4.1428571428571432</v>
      </c>
      <c r="E12" s="49">
        <f>AVERAGE('22.07 Makindye-Kibuye'!E12,'23.07 Makindye-Kibuye'!E12,'24.07 Makindye-Kibuye'!E12,'25.07 Makindye-Kibuye'!E12,'26.07 Makindye-Kibuye-24h'!E12,'27.07 Makindye-Kibuye-24h'!E12,'28.07 Makindye-Kibuye'!E12)</f>
        <v>4</v>
      </c>
      <c r="F12" s="49">
        <f>AVERAGE('22.07 Makindye-Kibuye'!F12,'23.07 Makindye-Kibuye'!F12,'24.07 Makindye-Kibuye'!F12,'25.07 Makindye-Kibuye'!F12,'26.07 Makindye-Kibuye-24h'!F12,'27.07 Makindye-Kibuye-24h'!F12,'28.07 Makindye-Kibuye'!F12)</f>
        <v>22</v>
      </c>
      <c r="G12" s="49">
        <f>AVERAGE('22.07 Makindye-Kibuye'!G12,'23.07 Makindye-Kibuye'!G12,'24.07 Makindye-Kibuye'!G12,'25.07 Makindye-Kibuye'!G12,'26.07 Makindye-Kibuye-24h'!G12,'27.07 Makindye-Kibuye-24h'!G12,'28.07 Makindye-Kibuye'!G12)</f>
        <v>0.2857142857142857</v>
      </c>
      <c r="H12" s="49">
        <f>AVERAGE('22.07 Makindye-Kibuye'!H12,'23.07 Makindye-Kibuye'!H12,'24.07 Makindye-Kibuye'!H12,'25.07 Makindye-Kibuye'!H12,'26.07 Makindye-Kibuye-24h'!H12,'27.07 Makindye-Kibuye-24h'!H12,'28.07 Makindye-Kibuye'!H12)</f>
        <v>0</v>
      </c>
      <c r="I12" s="49">
        <f>AVERAGE('22.07 Makindye-Kibuye'!I12,'23.07 Makindye-Kibuye'!I12,'24.07 Makindye-Kibuye'!I12,'25.07 Makindye-Kibuye'!I12,'26.07 Makindye-Kibuye-24h'!I12,'27.07 Makindye-Kibuye-24h'!I12,'28.07 Makindye-Kibuye'!I12)</f>
        <v>2</v>
      </c>
      <c r="J12" s="49">
        <f>AVERAGE('22.07 Makindye-Kibuye'!J12,'23.07 Makindye-Kibuye'!J12,'24.07 Makindye-Kibuye'!J12,'25.07 Makindye-Kibuye'!J12,'26.07 Makindye-Kibuye-24h'!J12,'27.07 Makindye-Kibuye-24h'!J12,'28.07 Makindye-Kibuye'!J12)</f>
        <v>2</v>
      </c>
      <c r="K12" s="49">
        <f>AVERAGE('22.07 Makindye-Kibuye'!K12,'23.07 Makindye-Kibuye'!K12,'24.07 Makindye-Kibuye'!K12,'25.07 Makindye-Kibuye'!K12,'26.07 Makindye-Kibuye-24h'!K12,'27.07 Makindye-Kibuye-24h'!K12,'28.07 Makindye-Kibuye'!K12)</f>
        <v>0.14285714285714285</v>
      </c>
      <c r="L12" s="49">
        <f>AVERAGE('22.07 Makindye-Kibuye'!L12,'23.07 Makindye-Kibuye'!L12,'24.07 Makindye-Kibuye'!L12,'25.07 Makindye-Kibuye'!L12,'26.07 Makindye-Kibuye-24h'!L12,'27.07 Makindye-Kibuye-24h'!L12,'28.07 Makindye-Kibuye'!L12)</f>
        <v>0</v>
      </c>
      <c r="M12" s="49">
        <f>AVERAGE('22.07 Makindye-Kibuye'!M12,'23.07 Makindye-Kibuye'!M12,'24.07 Makindye-Kibuye'!M12,'25.07 Makindye-Kibuye'!M12,'26.07 Makindye-Kibuye-24h'!M12,'27.07 Makindye-Kibuye-24h'!M12,'28.07 Makindye-Kibuye'!M12)</f>
        <v>205.71428571428572</v>
      </c>
      <c r="N12" s="49">
        <f>AVERAGE('22.07 Makindye-Kibuye'!N12,'23.07 Makindye-Kibuye'!N12,'24.07 Makindye-Kibuye'!N12,'25.07 Makindye-Kibuye'!N12,'26.07 Makindye-Kibuye-24h'!N12,'27.07 Makindye-Kibuye-24h'!N12,'28.07 Makindye-Kibuye'!N12)</f>
        <v>0</v>
      </c>
      <c r="O12" s="15">
        <f t="shared" si="0"/>
        <v>77.714285714285722</v>
      </c>
      <c r="P12" s="15">
        <f t="shared" si="1"/>
        <v>283.42857142857144</v>
      </c>
      <c r="R12" s="1" t="s">
        <v>8</v>
      </c>
      <c r="S12" s="17">
        <f t="shared" ref="S12:AF12" si="4">SUM(C18:C21)</f>
        <v>190.42857142857142</v>
      </c>
      <c r="T12" s="17">
        <f t="shared" si="4"/>
        <v>32.285714285714285</v>
      </c>
      <c r="U12" s="17">
        <f t="shared" si="4"/>
        <v>22.714285714285715</v>
      </c>
      <c r="V12" s="17">
        <f t="shared" si="4"/>
        <v>133.28571428571428</v>
      </c>
      <c r="W12" s="17">
        <f t="shared" si="4"/>
        <v>0.8571428571428571</v>
      </c>
      <c r="X12" s="17">
        <f t="shared" si="4"/>
        <v>0</v>
      </c>
      <c r="Y12" s="17">
        <f t="shared" si="4"/>
        <v>10.714285714285715</v>
      </c>
      <c r="Z12" s="17">
        <f t="shared" si="4"/>
        <v>5.4285714285714288</v>
      </c>
      <c r="AA12" s="17">
        <f t="shared" si="4"/>
        <v>0.99999999999999989</v>
      </c>
      <c r="AB12" s="17">
        <f t="shared" si="4"/>
        <v>0.14285714285714285</v>
      </c>
      <c r="AC12" s="17">
        <f t="shared" si="4"/>
        <v>811.42857142857144</v>
      </c>
      <c r="AD12" s="17">
        <f t="shared" si="4"/>
        <v>0</v>
      </c>
      <c r="AE12" s="31">
        <f t="shared" si="4"/>
        <v>396.85714285714283</v>
      </c>
      <c r="AF12" s="31">
        <f t="shared" si="4"/>
        <v>1208.2857142857142</v>
      </c>
    </row>
    <row r="13" spans="2:32" ht="23.1" customHeight="1" x14ac:dyDescent="0.25">
      <c r="B13" s="23" t="s">
        <v>40</v>
      </c>
      <c r="C13" s="49">
        <f>AVERAGE('22.07 Makindye-Kibuye'!C13,'23.07 Makindye-Kibuye'!C13,'24.07 Makindye-Kibuye'!C13,'25.07 Makindye-Kibuye'!C13,'26.07 Makindye-Kibuye-24h'!C13,'27.07 Makindye-Kibuye-24h'!C13,'28.07 Makindye-Kibuye'!C13)</f>
        <v>45.714285714285715</v>
      </c>
      <c r="D13" s="49">
        <f>AVERAGE('22.07 Makindye-Kibuye'!D13,'23.07 Makindye-Kibuye'!D13,'24.07 Makindye-Kibuye'!D13,'25.07 Makindye-Kibuye'!D13,'26.07 Makindye-Kibuye-24h'!D13,'27.07 Makindye-Kibuye-24h'!D13,'28.07 Makindye-Kibuye'!D13)</f>
        <v>7</v>
      </c>
      <c r="E13" s="49">
        <f>AVERAGE('22.07 Makindye-Kibuye'!E13,'23.07 Makindye-Kibuye'!E13,'24.07 Makindye-Kibuye'!E13,'25.07 Makindye-Kibuye'!E13,'26.07 Makindye-Kibuye-24h'!E13,'27.07 Makindye-Kibuye-24h'!E13,'28.07 Makindye-Kibuye'!E13)</f>
        <v>3.4285714285714284</v>
      </c>
      <c r="F13" s="49">
        <f>AVERAGE('22.07 Makindye-Kibuye'!F13,'23.07 Makindye-Kibuye'!F13,'24.07 Makindye-Kibuye'!F13,'25.07 Makindye-Kibuye'!F13,'26.07 Makindye-Kibuye-24h'!F13,'27.07 Makindye-Kibuye-24h'!F13,'28.07 Makindye-Kibuye'!F13)</f>
        <v>17</v>
      </c>
      <c r="G13" s="49">
        <f>AVERAGE('22.07 Makindye-Kibuye'!G13,'23.07 Makindye-Kibuye'!G13,'24.07 Makindye-Kibuye'!G13,'25.07 Makindye-Kibuye'!G13,'26.07 Makindye-Kibuye-24h'!G13,'27.07 Makindye-Kibuye-24h'!G13,'28.07 Makindye-Kibuye'!G13)</f>
        <v>0</v>
      </c>
      <c r="H13" s="49">
        <f>AVERAGE('22.07 Makindye-Kibuye'!H13,'23.07 Makindye-Kibuye'!H13,'24.07 Makindye-Kibuye'!H13,'25.07 Makindye-Kibuye'!H13,'26.07 Makindye-Kibuye-24h'!H13,'27.07 Makindye-Kibuye-24h'!H13,'28.07 Makindye-Kibuye'!H13)</f>
        <v>0</v>
      </c>
      <c r="I13" s="49">
        <f>AVERAGE('22.07 Makindye-Kibuye'!I13,'23.07 Makindye-Kibuye'!I13,'24.07 Makindye-Kibuye'!I13,'25.07 Makindye-Kibuye'!I13,'26.07 Makindye-Kibuye-24h'!I13,'27.07 Makindye-Kibuye-24h'!I13,'28.07 Makindye-Kibuye'!I13)</f>
        <v>3.7142857142857144</v>
      </c>
      <c r="J13" s="49">
        <f>AVERAGE('22.07 Makindye-Kibuye'!J13,'23.07 Makindye-Kibuye'!J13,'24.07 Makindye-Kibuye'!J13,'25.07 Makindye-Kibuye'!J13,'26.07 Makindye-Kibuye-24h'!J13,'27.07 Makindye-Kibuye-24h'!J13,'28.07 Makindye-Kibuye'!J13)</f>
        <v>0.5714285714285714</v>
      </c>
      <c r="K13" s="49">
        <f>AVERAGE('22.07 Makindye-Kibuye'!K13,'23.07 Makindye-Kibuye'!K13,'24.07 Makindye-Kibuye'!K13,'25.07 Makindye-Kibuye'!K13,'26.07 Makindye-Kibuye-24h'!K13,'27.07 Makindye-Kibuye-24h'!K13,'28.07 Makindye-Kibuye'!K13)</f>
        <v>0.2857142857142857</v>
      </c>
      <c r="L13" s="49">
        <f>AVERAGE('22.07 Makindye-Kibuye'!L13,'23.07 Makindye-Kibuye'!L13,'24.07 Makindye-Kibuye'!L13,'25.07 Makindye-Kibuye'!L13,'26.07 Makindye-Kibuye-24h'!L13,'27.07 Makindye-Kibuye-24h'!L13,'28.07 Makindye-Kibuye'!L13)</f>
        <v>0</v>
      </c>
      <c r="M13" s="49">
        <f>AVERAGE('22.07 Makindye-Kibuye'!M13,'23.07 Makindye-Kibuye'!M13,'24.07 Makindye-Kibuye'!M13,'25.07 Makindye-Kibuye'!M13,'26.07 Makindye-Kibuye-24h'!M13,'27.07 Makindye-Kibuye-24h'!M13,'28.07 Makindye-Kibuye'!M13)</f>
        <v>205.71428571428572</v>
      </c>
      <c r="N13" s="49">
        <f>AVERAGE('22.07 Makindye-Kibuye'!N13,'23.07 Makindye-Kibuye'!N13,'24.07 Makindye-Kibuye'!N13,'25.07 Makindye-Kibuye'!N13,'26.07 Makindye-Kibuye-24h'!N13,'27.07 Makindye-Kibuye-24h'!N13,'28.07 Makindye-Kibuye'!N13)</f>
        <v>0</v>
      </c>
      <c r="O13" s="15">
        <f t="shared" si="0"/>
        <v>77.714285714285708</v>
      </c>
      <c r="P13" s="15">
        <f t="shared" si="1"/>
        <v>283.42857142857144</v>
      </c>
      <c r="R13" s="1" t="s">
        <v>9</v>
      </c>
      <c r="S13" s="17">
        <f t="shared" ref="S13:AF13" si="5">SUM(C22:C25)</f>
        <v>182.28571428571428</v>
      </c>
      <c r="T13" s="17">
        <f t="shared" si="5"/>
        <v>33.142857142857139</v>
      </c>
      <c r="U13" s="17">
        <f t="shared" si="5"/>
        <v>25.428571428571431</v>
      </c>
      <c r="V13" s="17">
        <f t="shared" si="5"/>
        <v>146.42857142857144</v>
      </c>
      <c r="W13" s="17">
        <f t="shared" si="5"/>
        <v>1.714285714285714</v>
      </c>
      <c r="X13" s="17">
        <f t="shared" si="5"/>
        <v>0.14285714285714285</v>
      </c>
      <c r="Y13" s="17">
        <f t="shared" si="5"/>
        <v>9.7142857142857153</v>
      </c>
      <c r="Z13" s="17">
        <f t="shared" si="5"/>
        <v>7.8571428571428577</v>
      </c>
      <c r="AA13" s="17">
        <f t="shared" si="5"/>
        <v>0.99999999999999989</v>
      </c>
      <c r="AB13" s="17">
        <f t="shared" si="5"/>
        <v>0.2857142857142857</v>
      </c>
      <c r="AC13" s="17">
        <f t="shared" si="5"/>
        <v>875.71428571428578</v>
      </c>
      <c r="AD13" s="17">
        <f t="shared" si="5"/>
        <v>0</v>
      </c>
      <c r="AE13" s="31">
        <f t="shared" si="5"/>
        <v>407.99999999999994</v>
      </c>
      <c r="AF13" s="31">
        <f t="shared" si="5"/>
        <v>1283.7142857142856</v>
      </c>
    </row>
    <row r="14" spans="2:32" ht="23.1" customHeight="1" x14ac:dyDescent="0.25">
      <c r="B14" s="23" t="s">
        <v>41</v>
      </c>
      <c r="C14" s="49">
        <f>AVERAGE('22.07 Makindye-Kibuye'!C14,'23.07 Makindye-Kibuye'!C14,'24.07 Makindye-Kibuye'!C14,'25.07 Makindye-Kibuye'!C14,'26.07 Makindye-Kibuye-24h'!C14,'27.07 Makindye-Kibuye-24h'!C14,'28.07 Makindye-Kibuye'!C14)</f>
        <v>40.142857142857146</v>
      </c>
      <c r="D14" s="49">
        <f>AVERAGE('22.07 Makindye-Kibuye'!D14,'23.07 Makindye-Kibuye'!D14,'24.07 Makindye-Kibuye'!D14,'25.07 Makindye-Kibuye'!D14,'26.07 Makindye-Kibuye-24h'!D14,'27.07 Makindye-Kibuye-24h'!D14,'28.07 Makindye-Kibuye'!D14)</f>
        <v>5.8571428571428568</v>
      </c>
      <c r="E14" s="49">
        <f>AVERAGE('22.07 Makindye-Kibuye'!E14,'23.07 Makindye-Kibuye'!E14,'24.07 Makindye-Kibuye'!E14,'25.07 Makindye-Kibuye'!E14,'26.07 Makindye-Kibuye-24h'!E14,'27.07 Makindye-Kibuye-24h'!E14,'28.07 Makindye-Kibuye'!E14)</f>
        <v>3.1428571428571428</v>
      </c>
      <c r="F14" s="49">
        <f>AVERAGE('22.07 Makindye-Kibuye'!F14,'23.07 Makindye-Kibuye'!F14,'24.07 Makindye-Kibuye'!F14,'25.07 Makindye-Kibuye'!F14,'26.07 Makindye-Kibuye-24h'!F14,'27.07 Makindye-Kibuye-24h'!F14,'28.07 Makindye-Kibuye'!F14)</f>
        <v>18.142857142857142</v>
      </c>
      <c r="G14" s="49">
        <f>AVERAGE('22.07 Makindye-Kibuye'!G14,'23.07 Makindye-Kibuye'!G14,'24.07 Makindye-Kibuye'!G14,'25.07 Makindye-Kibuye'!G14,'26.07 Makindye-Kibuye-24h'!G14,'27.07 Makindye-Kibuye-24h'!G14,'28.07 Makindye-Kibuye'!G14)</f>
        <v>0</v>
      </c>
      <c r="H14" s="49">
        <f>AVERAGE('22.07 Makindye-Kibuye'!H14,'23.07 Makindye-Kibuye'!H14,'24.07 Makindye-Kibuye'!H14,'25.07 Makindye-Kibuye'!H14,'26.07 Makindye-Kibuye-24h'!H14,'27.07 Makindye-Kibuye-24h'!H14,'28.07 Makindye-Kibuye'!H14)</f>
        <v>0</v>
      </c>
      <c r="I14" s="49">
        <f>AVERAGE('22.07 Makindye-Kibuye'!I14,'23.07 Makindye-Kibuye'!I14,'24.07 Makindye-Kibuye'!I14,'25.07 Makindye-Kibuye'!I14,'26.07 Makindye-Kibuye-24h'!I14,'27.07 Makindye-Kibuye-24h'!I14,'28.07 Makindye-Kibuye'!I14)</f>
        <v>3</v>
      </c>
      <c r="J14" s="49">
        <f>AVERAGE('22.07 Makindye-Kibuye'!J14,'23.07 Makindye-Kibuye'!J14,'24.07 Makindye-Kibuye'!J14,'25.07 Makindye-Kibuye'!J14,'26.07 Makindye-Kibuye-24h'!J14,'27.07 Makindye-Kibuye-24h'!J14,'28.07 Makindye-Kibuye'!J14)</f>
        <v>0.7142857142857143</v>
      </c>
      <c r="K14" s="49">
        <f>AVERAGE('22.07 Makindye-Kibuye'!K14,'23.07 Makindye-Kibuye'!K14,'24.07 Makindye-Kibuye'!K14,'25.07 Makindye-Kibuye'!K14,'26.07 Makindye-Kibuye-24h'!K14,'27.07 Makindye-Kibuye-24h'!K14,'28.07 Makindye-Kibuye'!K14)</f>
        <v>0.5714285714285714</v>
      </c>
      <c r="L14" s="49">
        <f>AVERAGE('22.07 Makindye-Kibuye'!L14,'23.07 Makindye-Kibuye'!L14,'24.07 Makindye-Kibuye'!L14,'25.07 Makindye-Kibuye'!L14,'26.07 Makindye-Kibuye-24h'!L14,'27.07 Makindye-Kibuye-24h'!L14,'28.07 Makindye-Kibuye'!L14)</f>
        <v>0</v>
      </c>
      <c r="M14" s="49">
        <f>AVERAGE('22.07 Makindye-Kibuye'!M14,'23.07 Makindye-Kibuye'!M14,'24.07 Makindye-Kibuye'!M14,'25.07 Makindye-Kibuye'!M14,'26.07 Makindye-Kibuye-24h'!M14,'27.07 Makindye-Kibuye-24h'!M14,'28.07 Makindye-Kibuye'!M14)</f>
        <v>189.28571428571428</v>
      </c>
      <c r="N14" s="49">
        <f>AVERAGE('22.07 Makindye-Kibuye'!N14,'23.07 Makindye-Kibuye'!N14,'24.07 Makindye-Kibuye'!N14,'25.07 Makindye-Kibuye'!N14,'26.07 Makindye-Kibuye-24h'!N14,'27.07 Makindye-Kibuye-24h'!N14,'28.07 Makindye-Kibuye'!N14)</f>
        <v>0</v>
      </c>
      <c r="O14" s="15">
        <f t="shared" si="0"/>
        <v>71.571428571428569</v>
      </c>
      <c r="P14" s="15">
        <f t="shared" si="1"/>
        <v>260.85714285714283</v>
      </c>
      <c r="R14" s="1" t="s">
        <v>10</v>
      </c>
      <c r="S14" s="17">
        <f t="shared" ref="S14:AF14" si="6">SUM(C26:C29)</f>
        <v>177.57142857142856</v>
      </c>
      <c r="T14" s="17">
        <f t="shared" si="6"/>
        <v>32.285714285714292</v>
      </c>
      <c r="U14" s="17">
        <f t="shared" si="6"/>
        <v>21.285714285714285</v>
      </c>
      <c r="V14" s="17">
        <f t="shared" si="6"/>
        <v>133.71428571428572</v>
      </c>
      <c r="W14" s="17">
        <f t="shared" si="6"/>
        <v>0.71428571428571419</v>
      </c>
      <c r="X14" s="17">
        <f t="shared" si="6"/>
        <v>0</v>
      </c>
      <c r="Y14" s="17">
        <f t="shared" si="6"/>
        <v>10.142857142857142</v>
      </c>
      <c r="Z14" s="17">
        <f t="shared" si="6"/>
        <v>6.5714285714285712</v>
      </c>
      <c r="AA14" s="17">
        <f t="shared" si="6"/>
        <v>1.4285714285714284</v>
      </c>
      <c r="AB14" s="17">
        <f t="shared" si="6"/>
        <v>0.2857142857142857</v>
      </c>
      <c r="AC14" s="17">
        <f t="shared" si="6"/>
        <v>829.28571428571422</v>
      </c>
      <c r="AD14" s="17">
        <f t="shared" si="6"/>
        <v>0</v>
      </c>
      <c r="AE14" s="31">
        <f t="shared" si="6"/>
        <v>384</v>
      </c>
      <c r="AF14" s="31">
        <f t="shared" si="6"/>
        <v>1213.2857142857142</v>
      </c>
    </row>
    <row r="15" spans="2:32" ht="23.1" customHeight="1" x14ac:dyDescent="0.25">
      <c r="B15" s="23" t="s">
        <v>42</v>
      </c>
      <c r="C15" s="49">
        <f>AVERAGE('22.07 Makindye-Kibuye'!C15,'23.07 Makindye-Kibuye'!C15,'24.07 Makindye-Kibuye'!C15,'25.07 Makindye-Kibuye'!C15,'26.07 Makindye-Kibuye-24h'!C15,'27.07 Makindye-Kibuye-24h'!C15,'28.07 Makindye-Kibuye'!C15)</f>
        <v>44.571428571428569</v>
      </c>
      <c r="D15" s="49">
        <f>AVERAGE('22.07 Makindye-Kibuye'!D15,'23.07 Makindye-Kibuye'!D15,'24.07 Makindye-Kibuye'!D15,'25.07 Makindye-Kibuye'!D15,'26.07 Makindye-Kibuye-24h'!D15,'27.07 Makindye-Kibuye-24h'!D15,'28.07 Makindye-Kibuye'!D15)</f>
        <v>5.7142857142857144</v>
      </c>
      <c r="E15" s="49">
        <f>AVERAGE('22.07 Makindye-Kibuye'!E15,'23.07 Makindye-Kibuye'!E15,'24.07 Makindye-Kibuye'!E15,'25.07 Makindye-Kibuye'!E15,'26.07 Makindye-Kibuye-24h'!E15,'27.07 Makindye-Kibuye-24h'!E15,'28.07 Makindye-Kibuye'!E15)</f>
        <v>5</v>
      </c>
      <c r="F15" s="49">
        <f>AVERAGE('22.07 Makindye-Kibuye'!F15,'23.07 Makindye-Kibuye'!F15,'24.07 Makindye-Kibuye'!F15,'25.07 Makindye-Kibuye'!F15,'26.07 Makindye-Kibuye-24h'!F15,'27.07 Makindye-Kibuye-24h'!F15,'28.07 Makindye-Kibuye'!F15)</f>
        <v>21.428571428571427</v>
      </c>
      <c r="G15" s="49">
        <f>AVERAGE('22.07 Makindye-Kibuye'!G15,'23.07 Makindye-Kibuye'!G15,'24.07 Makindye-Kibuye'!G15,'25.07 Makindye-Kibuye'!G15,'26.07 Makindye-Kibuye-24h'!G15,'27.07 Makindye-Kibuye-24h'!G15,'28.07 Makindye-Kibuye'!G15)</f>
        <v>0</v>
      </c>
      <c r="H15" s="49">
        <f>AVERAGE('22.07 Makindye-Kibuye'!H15,'23.07 Makindye-Kibuye'!H15,'24.07 Makindye-Kibuye'!H15,'25.07 Makindye-Kibuye'!H15,'26.07 Makindye-Kibuye-24h'!H15,'27.07 Makindye-Kibuye-24h'!H15,'28.07 Makindye-Kibuye'!H15)</f>
        <v>0</v>
      </c>
      <c r="I15" s="49">
        <f>AVERAGE('22.07 Makindye-Kibuye'!I15,'23.07 Makindye-Kibuye'!I15,'24.07 Makindye-Kibuye'!I15,'25.07 Makindye-Kibuye'!I15,'26.07 Makindye-Kibuye-24h'!I15,'27.07 Makindye-Kibuye-24h'!I15,'28.07 Makindye-Kibuye'!I15)</f>
        <v>1.8571428571428572</v>
      </c>
      <c r="J15" s="49">
        <f>AVERAGE('22.07 Makindye-Kibuye'!J15,'23.07 Makindye-Kibuye'!J15,'24.07 Makindye-Kibuye'!J15,'25.07 Makindye-Kibuye'!J15,'26.07 Makindye-Kibuye-24h'!J15,'27.07 Makindye-Kibuye-24h'!J15,'28.07 Makindye-Kibuye'!J15)</f>
        <v>1.5714285714285714</v>
      </c>
      <c r="K15" s="49">
        <f>AVERAGE('22.07 Makindye-Kibuye'!K15,'23.07 Makindye-Kibuye'!K15,'24.07 Makindye-Kibuye'!K15,'25.07 Makindye-Kibuye'!K15,'26.07 Makindye-Kibuye-24h'!K15,'27.07 Makindye-Kibuye-24h'!K15,'28.07 Makindye-Kibuye'!K15)</f>
        <v>0.14285714285714285</v>
      </c>
      <c r="L15" s="49">
        <f>AVERAGE('22.07 Makindye-Kibuye'!L15,'23.07 Makindye-Kibuye'!L15,'24.07 Makindye-Kibuye'!L15,'25.07 Makindye-Kibuye'!L15,'26.07 Makindye-Kibuye-24h'!L15,'27.07 Makindye-Kibuye-24h'!L15,'28.07 Makindye-Kibuye'!L15)</f>
        <v>0</v>
      </c>
      <c r="M15" s="49">
        <f>AVERAGE('22.07 Makindye-Kibuye'!M15,'23.07 Makindye-Kibuye'!M15,'24.07 Makindye-Kibuye'!M15,'25.07 Makindye-Kibuye'!M15,'26.07 Makindye-Kibuye-24h'!M15,'27.07 Makindye-Kibuye-24h'!M15,'28.07 Makindye-Kibuye'!M15)</f>
        <v>211.42857142857142</v>
      </c>
      <c r="N15" s="49">
        <f>AVERAGE('22.07 Makindye-Kibuye'!N15,'23.07 Makindye-Kibuye'!N15,'24.07 Makindye-Kibuye'!N15,'25.07 Makindye-Kibuye'!N15,'26.07 Makindye-Kibuye-24h'!N15,'27.07 Makindye-Kibuye-24h'!N15,'28.07 Makindye-Kibuye'!N15)</f>
        <v>0</v>
      </c>
      <c r="O15" s="15">
        <f t="shared" si="0"/>
        <v>80.285714285714278</v>
      </c>
      <c r="P15" s="15">
        <f t="shared" si="1"/>
        <v>291.71428571428567</v>
      </c>
      <c r="R15" s="1" t="s">
        <v>11</v>
      </c>
      <c r="S15" s="17">
        <f t="shared" ref="S15:AF15" si="7">SUM(C30:C33)</f>
        <v>151</v>
      </c>
      <c r="T15" s="17">
        <f t="shared" si="7"/>
        <v>30.857142857142854</v>
      </c>
      <c r="U15" s="17">
        <f t="shared" si="7"/>
        <v>19.142857142857142</v>
      </c>
      <c r="V15" s="17">
        <f t="shared" si="7"/>
        <v>151.14285714285714</v>
      </c>
      <c r="W15" s="17">
        <f t="shared" si="7"/>
        <v>0.5714285714285714</v>
      </c>
      <c r="X15" s="17">
        <f t="shared" si="7"/>
        <v>0.14285714285714285</v>
      </c>
      <c r="Y15" s="17">
        <f t="shared" si="7"/>
        <v>11.714285714285715</v>
      </c>
      <c r="Z15" s="17">
        <f t="shared" si="7"/>
        <v>5.8571428571428568</v>
      </c>
      <c r="AA15" s="17">
        <f t="shared" si="7"/>
        <v>1</v>
      </c>
      <c r="AB15" s="17">
        <f t="shared" si="7"/>
        <v>0.42857142857142855</v>
      </c>
      <c r="AC15" s="17">
        <f t="shared" si="7"/>
        <v>830</v>
      </c>
      <c r="AD15" s="17">
        <f t="shared" si="7"/>
        <v>0</v>
      </c>
      <c r="AE15" s="31">
        <f t="shared" si="7"/>
        <v>371.85714285714289</v>
      </c>
      <c r="AF15" s="31">
        <f t="shared" si="7"/>
        <v>1201.8571428571429</v>
      </c>
    </row>
    <row r="16" spans="2:32" ht="23.1" customHeight="1" x14ac:dyDescent="0.25">
      <c r="B16" s="23" t="s">
        <v>43</v>
      </c>
      <c r="C16" s="49">
        <f>AVERAGE('22.07 Makindye-Kibuye'!C16,'23.07 Makindye-Kibuye'!C16,'24.07 Makindye-Kibuye'!C16,'25.07 Makindye-Kibuye'!C16,'26.07 Makindye-Kibuye-24h'!C16,'27.07 Makindye-Kibuye-24h'!C16,'28.07 Makindye-Kibuye'!C16)</f>
        <v>42.428571428571431</v>
      </c>
      <c r="D16" s="49">
        <f>AVERAGE('22.07 Makindye-Kibuye'!D16,'23.07 Makindye-Kibuye'!D16,'24.07 Makindye-Kibuye'!D16,'25.07 Makindye-Kibuye'!D16,'26.07 Makindye-Kibuye-24h'!D16,'27.07 Makindye-Kibuye-24h'!D16,'28.07 Makindye-Kibuye'!D16)</f>
        <v>6.2857142857142856</v>
      </c>
      <c r="E16" s="49">
        <f>AVERAGE('22.07 Makindye-Kibuye'!E16,'23.07 Makindye-Kibuye'!E16,'24.07 Makindye-Kibuye'!E16,'25.07 Makindye-Kibuye'!E16,'26.07 Makindye-Kibuye-24h'!E16,'27.07 Makindye-Kibuye-24h'!E16,'28.07 Makindye-Kibuye'!E16)</f>
        <v>4.8571428571428568</v>
      </c>
      <c r="F16" s="49">
        <f>AVERAGE('22.07 Makindye-Kibuye'!F16,'23.07 Makindye-Kibuye'!F16,'24.07 Makindye-Kibuye'!F16,'25.07 Makindye-Kibuye'!F16,'26.07 Makindye-Kibuye-24h'!F16,'27.07 Makindye-Kibuye-24h'!F16,'28.07 Makindye-Kibuye'!F16)</f>
        <v>24.714285714285715</v>
      </c>
      <c r="G16" s="49">
        <f>AVERAGE('22.07 Makindye-Kibuye'!G16,'23.07 Makindye-Kibuye'!G16,'24.07 Makindye-Kibuye'!G16,'25.07 Makindye-Kibuye'!G16,'26.07 Makindye-Kibuye-24h'!G16,'27.07 Makindye-Kibuye-24h'!G16,'28.07 Makindye-Kibuye'!G16)</f>
        <v>0.2857142857142857</v>
      </c>
      <c r="H16" s="49">
        <f>AVERAGE('22.07 Makindye-Kibuye'!H16,'23.07 Makindye-Kibuye'!H16,'24.07 Makindye-Kibuye'!H16,'25.07 Makindye-Kibuye'!H16,'26.07 Makindye-Kibuye-24h'!H16,'27.07 Makindye-Kibuye-24h'!H16,'28.07 Makindye-Kibuye'!H16)</f>
        <v>0</v>
      </c>
      <c r="I16" s="49">
        <f>AVERAGE('22.07 Makindye-Kibuye'!I16,'23.07 Makindye-Kibuye'!I16,'24.07 Makindye-Kibuye'!I16,'25.07 Makindye-Kibuye'!I16,'26.07 Makindye-Kibuye-24h'!I16,'27.07 Makindye-Kibuye-24h'!I16,'28.07 Makindye-Kibuye'!I16)</f>
        <v>1.2857142857142858</v>
      </c>
      <c r="J16" s="49">
        <f>AVERAGE('22.07 Makindye-Kibuye'!J16,'23.07 Makindye-Kibuye'!J16,'24.07 Makindye-Kibuye'!J16,'25.07 Makindye-Kibuye'!J16,'26.07 Makindye-Kibuye-24h'!J16,'27.07 Makindye-Kibuye-24h'!J16,'28.07 Makindye-Kibuye'!J16)</f>
        <v>1.2857142857142858</v>
      </c>
      <c r="K16" s="49">
        <f>AVERAGE('22.07 Makindye-Kibuye'!K16,'23.07 Makindye-Kibuye'!K16,'24.07 Makindye-Kibuye'!K16,'25.07 Makindye-Kibuye'!K16,'26.07 Makindye-Kibuye-24h'!K16,'27.07 Makindye-Kibuye-24h'!K16,'28.07 Makindye-Kibuye'!K16)</f>
        <v>0.14285714285714285</v>
      </c>
      <c r="L16" s="49">
        <f>AVERAGE('22.07 Makindye-Kibuye'!L16,'23.07 Makindye-Kibuye'!L16,'24.07 Makindye-Kibuye'!L16,'25.07 Makindye-Kibuye'!L16,'26.07 Makindye-Kibuye-24h'!L16,'27.07 Makindye-Kibuye-24h'!L16,'28.07 Makindye-Kibuye'!L16)</f>
        <v>0</v>
      </c>
      <c r="M16" s="49">
        <f>AVERAGE('22.07 Makindye-Kibuye'!M16,'23.07 Makindye-Kibuye'!M16,'24.07 Makindye-Kibuye'!M16,'25.07 Makindye-Kibuye'!M16,'26.07 Makindye-Kibuye-24h'!M16,'27.07 Makindye-Kibuye-24h'!M16,'28.07 Makindye-Kibuye'!M16)</f>
        <v>225</v>
      </c>
      <c r="N16" s="49">
        <f>AVERAGE('22.07 Makindye-Kibuye'!N16,'23.07 Makindye-Kibuye'!N16,'24.07 Makindye-Kibuye'!N16,'25.07 Makindye-Kibuye'!N16,'26.07 Makindye-Kibuye-24h'!N16,'27.07 Makindye-Kibuye-24h'!N16,'28.07 Makindye-Kibuye'!N16)</f>
        <v>0</v>
      </c>
      <c r="O16" s="15">
        <f t="shared" si="0"/>
        <v>81.285714285714292</v>
      </c>
      <c r="P16" s="15">
        <f t="shared" si="1"/>
        <v>306.28571428571428</v>
      </c>
      <c r="R16" s="1" t="s">
        <v>12</v>
      </c>
      <c r="S16" s="17">
        <f t="shared" ref="S16:AF16" si="8">SUM(C34:C37)</f>
        <v>141.85714285714286</v>
      </c>
      <c r="T16" s="17">
        <f t="shared" si="8"/>
        <v>26</v>
      </c>
      <c r="U16" s="17">
        <f t="shared" si="8"/>
        <v>21.142857142857142</v>
      </c>
      <c r="V16" s="17">
        <f t="shared" si="8"/>
        <v>136.42857142857144</v>
      </c>
      <c r="W16" s="17">
        <f t="shared" si="8"/>
        <v>0.2857142857142857</v>
      </c>
      <c r="X16" s="17">
        <f t="shared" si="8"/>
        <v>0</v>
      </c>
      <c r="Y16" s="17">
        <f t="shared" si="8"/>
        <v>12.571428571428571</v>
      </c>
      <c r="Z16" s="17">
        <f t="shared" si="8"/>
        <v>6.8571428571428568</v>
      </c>
      <c r="AA16" s="17">
        <f t="shared" si="8"/>
        <v>0.2857142857142857</v>
      </c>
      <c r="AB16" s="17">
        <f t="shared" si="8"/>
        <v>0.2857142857142857</v>
      </c>
      <c r="AC16" s="17">
        <f t="shared" si="8"/>
        <v>839.28571428571422</v>
      </c>
      <c r="AD16" s="17">
        <f t="shared" si="8"/>
        <v>0.2857142857142857</v>
      </c>
      <c r="AE16" s="31">
        <f t="shared" si="8"/>
        <v>346</v>
      </c>
      <c r="AF16" s="31">
        <f t="shared" si="8"/>
        <v>1185.2857142857142</v>
      </c>
    </row>
    <row r="17" spans="2:32" ht="23.1" customHeight="1" x14ac:dyDescent="0.25">
      <c r="B17" s="23" t="s">
        <v>44</v>
      </c>
      <c r="C17" s="49">
        <f>AVERAGE('22.07 Makindye-Kibuye'!C17,'23.07 Makindye-Kibuye'!C17,'24.07 Makindye-Kibuye'!C17,'25.07 Makindye-Kibuye'!C17,'26.07 Makindye-Kibuye-24h'!C17,'27.07 Makindye-Kibuye-24h'!C17,'28.07 Makindye-Kibuye'!C17)</f>
        <v>44.142857142857146</v>
      </c>
      <c r="D17" s="49">
        <f>AVERAGE('22.07 Makindye-Kibuye'!D17,'23.07 Makindye-Kibuye'!D17,'24.07 Makindye-Kibuye'!D17,'25.07 Makindye-Kibuye'!D17,'26.07 Makindye-Kibuye-24h'!D17,'27.07 Makindye-Kibuye-24h'!D17,'28.07 Makindye-Kibuye'!D17)</f>
        <v>7.8571428571428568</v>
      </c>
      <c r="E17" s="49">
        <f>AVERAGE('22.07 Makindye-Kibuye'!E17,'23.07 Makindye-Kibuye'!E17,'24.07 Makindye-Kibuye'!E17,'25.07 Makindye-Kibuye'!E17,'26.07 Makindye-Kibuye-24h'!E17,'27.07 Makindye-Kibuye-24h'!E17,'28.07 Makindye-Kibuye'!E17)</f>
        <v>4.5714285714285712</v>
      </c>
      <c r="F17" s="49">
        <f>AVERAGE('22.07 Makindye-Kibuye'!F17,'23.07 Makindye-Kibuye'!F17,'24.07 Makindye-Kibuye'!F17,'25.07 Makindye-Kibuye'!F17,'26.07 Makindye-Kibuye-24h'!F17,'27.07 Makindye-Kibuye-24h'!F17,'28.07 Makindye-Kibuye'!F17)</f>
        <v>28.571428571428573</v>
      </c>
      <c r="G17" s="49">
        <f>AVERAGE('22.07 Makindye-Kibuye'!G17,'23.07 Makindye-Kibuye'!G17,'24.07 Makindye-Kibuye'!G17,'25.07 Makindye-Kibuye'!G17,'26.07 Makindye-Kibuye-24h'!G17,'27.07 Makindye-Kibuye-24h'!G17,'28.07 Makindye-Kibuye'!G17)</f>
        <v>0</v>
      </c>
      <c r="H17" s="49">
        <f>AVERAGE('22.07 Makindye-Kibuye'!H17,'23.07 Makindye-Kibuye'!H17,'24.07 Makindye-Kibuye'!H17,'25.07 Makindye-Kibuye'!H17,'26.07 Makindye-Kibuye-24h'!H17,'27.07 Makindye-Kibuye-24h'!H17,'28.07 Makindye-Kibuye'!H17)</f>
        <v>0.14285714285714285</v>
      </c>
      <c r="I17" s="49">
        <f>AVERAGE('22.07 Makindye-Kibuye'!I17,'23.07 Makindye-Kibuye'!I17,'24.07 Makindye-Kibuye'!I17,'25.07 Makindye-Kibuye'!I17,'26.07 Makindye-Kibuye-24h'!I17,'27.07 Makindye-Kibuye-24h'!I17,'28.07 Makindye-Kibuye'!I17)</f>
        <v>2.2857142857142856</v>
      </c>
      <c r="J17" s="49">
        <f>AVERAGE('22.07 Makindye-Kibuye'!J17,'23.07 Makindye-Kibuye'!J17,'24.07 Makindye-Kibuye'!J17,'25.07 Makindye-Kibuye'!J17,'26.07 Makindye-Kibuye-24h'!J17,'27.07 Makindye-Kibuye-24h'!J17,'28.07 Makindye-Kibuye'!J17)</f>
        <v>1.7142857142857142</v>
      </c>
      <c r="K17" s="49">
        <f>AVERAGE('22.07 Makindye-Kibuye'!K17,'23.07 Makindye-Kibuye'!K17,'24.07 Makindye-Kibuye'!K17,'25.07 Makindye-Kibuye'!K17,'26.07 Makindye-Kibuye-24h'!K17,'27.07 Makindye-Kibuye-24h'!K17,'28.07 Makindye-Kibuye'!K17)</f>
        <v>0.14285714285714285</v>
      </c>
      <c r="L17" s="49">
        <f>AVERAGE('22.07 Makindye-Kibuye'!L17,'23.07 Makindye-Kibuye'!L17,'24.07 Makindye-Kibuye'!L17,'25.07 Makindye-Kibuye'!L17,'26.07 Makindye-Kibuye-24h'!L17,'27.07 Makindye-Kibuye-24h'!L17,'28.07 Makindye-Kibuye'!L17)</f>
        <v>0</v>
      </c>
      <c r="M17" s="49">
        <f>AVERAGE('22.07 Makindye-Kibuye'!M17,'23.07 Makindye-Kibuye'!M17,'24.07 Makindye-Kibuye'!M17,'25.07 Makindye-Kibuye'!M17,'26.07 Makindye-Kibuye-24h'!M17,'27.07 Makindye-Kibuye-24h'!M17,'28.07 Makindye-Kibuye'!M17)</f>
        <v>203.57142857142858</v>
      </c>
      <c r="N17" s="49">
        <f>AVERAGE('22.07 Makindye-Kibuye'!N17,'23.07 Makindye-Kibuye'!N17,'24.07 Makindye-Kibuye'!N17,'25.07 Makindye-Kibuye'!N17,'26.07 Makindye-Kibuye-24h'!N17,'27.07 Makindye-Kibuye-24h'!N17,'28.07 Makindye-Kibuye'!N17)</f>
        <v>0</v>
      </c>
      <c r="O17" s="15">
        <f t="shared" si="0"/>
        <v>89.428571428571416</v>
      </c>
      <c r="P17" s="15">
        <f t="shared" si="1"/>
        <v>293</v>
      </c>
      <c r="R17" s="1" t="s">
        <v>13</v>
      </c>
      <c r="S17" s="17">
        <f t="shared" ref="S17:AF17" si="9">SUM(C38:C41)</f>
        <v>128.42857142857144</v>
      </c>
      <c r="T17" s="17">
        <f t="shared" si="9"/>
        <v>29</v>
      </c>
      <c r="U17" s="17">
        <f t="shared" si="9"/>
        <v>16.142857142857142</v>
      </c>
      <c r="V17" s="17">
        <f t="shared" si="9"/>
        <v>125.42857142857142</v>
      </c>
      <c r="W17" s="17">
        <f t="shared" si="9"/>
        <v>0.8571428571428571</v>
      </c>
      <c r="X17" s="17">
        <f t="shared" si="9"/>
        <v>0.14285714285714285</v>
      </c>
      <c r="Y17" s="17">
        <f t="shared" si="9"/>
        <v>9.5714285714285694</v>
      </c>
      <c r="Z17" s="17">
        <f t="shared" si="9"/>
        <v>4.5714285714285712</v>
      </c>
      <c r="AA17" s="17">
        <f t="shared" si="9"/>
        <v>0.71428571428571419</v>
      </c>
      <c r="AB17" s="17">
        <f t="shared" si="9"/>
        <v>0.14285714285714285</v>
      </c>
      <c r="AC17" s="17">
        <f t="shared" si="9"/>
        <v>796.42857142857144</v>
      </c>
      <c r="AD17" s="17">
        <f t="shared" si="9"/>
        <v>0</v>
      </c>
      <c r="AE17" s="31">
        <f t="shared" si="9"/>
        <v>315</v>
      </c>
      <c r="AF17" s="31">
        <f t="shared" si="9"/>
        <v>1111.4285714285716</v>
      </c>
    </row>
    <row r="18" spans="2:32" ht="23.1" customHeight="1" x14ac:dyDescent="0.25">
      <c r="B18" s="23" t="s">
        <v>45</v>
      </c>
      <c r="C18" s="49">
        <f>AVERAGE('22.07 Makindye-Kibuye'!C18,'23.07 Makindye-Kibuye'!C18,'24.07 Makindye-Kibuye'!C18,'25.07 Makindye-Kibuye'!C18,'26.07 Makindye-Kibuye-24h'!C18,'27.07 Makindye-Kibuye-24h'!C18,'28.07 Makindye-Kibuye'!C18)</f>
        <v>51.285714285714285</v>
      </c>
      <c r="D18" s="49">
        <f>AVERAGE('22.07 Makindye-Kibuye'!D18,'23.07 Makindye-Kibuye'!D18,'24.07 Makindye-Kibuye'!D18,'25.07 Makindye-Kibuye'!D18,'26.07 Makindye-Kibuye-24h'!D18,'27.07 Makindye-Kibuye-24h'!D18,'28.07 Makindye-Kibuye'!D18)</f>
        <v>7.1428571428571432</v>
      </c>
      <c r="E18" s="49">
        <f>AVERAGE('22.07 Makindye-Kibuye'!E18,'23.07 Makindye-Kibuye'!E18,'24.07 Makindye-Kibuye'!E18,'25.07 Makindye-Kibuye'!E18,'26.07 Makindye-Kibuye-24h'!E18,'27.07 Makindye-Kibuye-24h'!E18,'28.07 Makindye-Kibuye'!E18)</f>
        <v>5.2857142857142856</v>
      </c>
      <c r="F18" s="49">
        <f>AVERAGE('22.07 Makindye-Kibuye'!F18,'23.07 Makindye-Kibuye'!F18,'24.07 Makindye-Kibuye'!F18,'25.07 Makindye-Kibuye'!F18,'26.07 Makindye-Kibuye-24h'!F18,'27.07 Makindye-Kibuye-24h'!F18,'28.07 Makindye-Kibuye'!F18)</f>
        <v>35.857142857142854</v>
      </c>
      <c r="G18" s="49">
        <f>AVERAGE('22.07 Makindye-Kibuye'!G18,'23.07 Makindye-Kibuye'!G18,'24.07 Makindye-Kibuye'!G18,'25.07 Makindye-Kibuye'!G18,'26.07 Makindye-Kibuye-24h'!G18,'27.07 Makindye-Kibuye-24h'!G18,'28.07 Makindye-Kibuye'!G18)</f>
        <v>0</v>
      </c>
      <c r="H18" s="49">
        <f>AVERAGE('22.07 Makindye-Kibuye'!H18,'23.07 Makindye-Kibuye'!H18,'24.07 Makindye-Kibuye'!H18,'25.07 Makindye-Kibuye'!H18,'26.07 Makindye-Kibuye-24h'!H18,'27.07 Makindye-Kibuye-24h'!H18,'28.07 Makindye-Kibuye'!H18)</f>
        <v>0</v>
      </c>
      <c r="I18" s="49">
        <f>AVERAGE('22.07 Makindye-Kibuye'!I18,'23.07 Makindye-Kibuye'!I18,'24.07 Makindye-Kibuye'!I18,'25.07 Makindye-Kibuye'!I18,'26.07 Makindye-Kibuye-24h'!I18,'27.07 Makindye-Kibuye-24h'!I18,'28.07 Makindye-Kibuye'!I18)</f>
        <v>1.8571428571428572</v>
      </c>
      <c r="J18" s="49">
        <f>AVERAGE('22.07 Makindye-Kibuye'!J18,'23.07 Makindye-Kibuye'!J18,'24.07 Makindye-Kibuye'!J18,'25.07 Makindye-Kibuye'!J18,'26.07 Makindye-Kibuye-24h'!J18,'27.07 Makindye-Kibuye-24h'!J18,'28.07 Makindye-Kibuye'!J18)</f>
        <v>0.7142857142857143</v>
      </c>
      <c r="K18" s="49">
        <f>AVERAGE('22.07 Makindye-Kibuye'!K18,'23.07 Makindye-Kibuye'!K18,'24.07 Makindye-Kibuye'!K18,'25.07 Makindye-Kibuye'!K18,'26.07 Makindye-Kibuye-24h'!K18,'27.07 Makindye-Kibuye-24h'!K18,'28.07 Makindye-Kibuye'!K18)</f>
        <v>0.5714285714285714</v>
      </c>
      <c r="L18" s="49">
        <f>AVERAGE('22.07 Makindye-Kibuye'!L18,'23.07 Makindye-Kibuye'!L18,'24.07 Makindye-Kibuye'!L18,'25.07 Makindye-Kibuye'!L18,'26.07 Makindye-Kibuye-24h'!L18,'27.07 Makindye-Kibuye-24h'!L18,'28.07 Makindye-Kibuye'!L18)</f>
        <v>0</v>
      </c>
      <c r="M18" s="49">
        <f>AVERAGE('22.07 Makindye-Kibuye'!M18,'23.07 Makindye-Kibuye'!M18,'24.07 Makindye-Kibuye'!M18,'25.07 Makindye-Kibuye'!M18,'26.07 Makindye-Kibuye-24h'!M18,'27.07 Makindye-Kibuye-24h'!M18,'28.07 Makindye-Kibuye'!M18)</f>
        <v>210</v>
      </c>
      <c r="N18" s="49">
        <f>AVERAGE('22.07 Makindye-Kibuye'!N18,'23.07 Makindye-Kibuye'!N18,'24.07 Makindye-Kibuye'!N18,'25.07 Makindye-Kibuye'!N18,'26.07 Makindye-Kibuye-24h'!N18,'27.07 Makindye-Kibuye-24h'!N18,'28.07 Makindye-Kibuye'!N18)</f>
        <v>0</v>
      </c>
      <c r="O18" s="15">
        <f t="shared" si="0"/>
        <v>102.71428571428571</v>
      </c>
      <c r="P18" s="15">
        <f t="shared" si="1"/>
        <v>312.71428571428572</v>
      </c>
      <c r="R18" s="1" t="s">
        <v>14</v>
      </c>
      <c r="S18" s="17">
        <f t="shared" ref="S18:AF18" si="10">SUM(C42:C45)</f>
        <v>130</v>
      </c>
      <c r="T18" s="17">
        <f t="shared" si="10"/>
        <v>25.285714285714288</v>
      </c>
      <c r="U18" s="17">
        <f t="shared" si="10"/>
        <v>16.571428571428569</v>
      </c>
      <c r="V18" s="17">
        <f t="shared" si="10"/>
        <v>120.71428571428572</v>
      </c>
      <c r="W18" s="17">
        <f t="shared" si="10"/>
        <v>0.42857142857142855</v>
      </c>
      <c r="X18" s="17">
        <f t="shared" si="10"/>
        <v>0.42857142857142855</v>
      </c>
      <c r="Y18" s="17">
        <f t="shared" si="10"/>
        <v>11</v>
      </c>
      <c r="Z18" s="17">
        <f t="shared" si="10"/>
        <v>5.4285714285714288</v>
      </c>
      <c r="AA18" s="17">
        <f t="shared" si="10"/>
        <v>0.8571428571428571</v>
      </c>
      <c r="AB18" s="17">
        <f t="shared" si="10"/>
        <v>0.42857142857142855</v>
      </c>
      <c r="AC18" s="17">
        <f t="shared" si="10"/>
        <v>800.14285714285711</v>
      </c>
      <c r="AD18" s="17">
        <f t="shared" si="10"/>
        <v>0</v>
      </c>
      <c r="AE18" s="31">
        <f t="shared" si="10"/>
        <v>311.14285714285711</v>
      </c>
      <c r="AF18" s="31">
        <f t="shared" si="10"/>
        <v>1111.2857142857142</v>
      </c>
    </row>
    <row r="19" spans="2:32" ht="23.1" customHeight="1" x14ac:dyDescent="0.25">
      <c r="B19" s="23" t="s">
        <v>46</v>
      </c>
      <c r="C19" s="49">
        <f>AVERAGE('22.07 Makindye-Kibuye'!C19,'23.07 Makindye-Kibuye'!C19,'24.07 Makindye-Kibuye'!C19,'25.07 Makindye-Kibuye'!C19,'26.07 Makindye-Kibuye-24h'!C19,'27.07 Makindye-Kibuye-24h'!C19,'28.07 Makindye-Kibuye'!C19)</f>
        <v>52.714285714285715</v>
      </c>
      <c r="D19" s="49">
        <f>AVERAGE('22.07 Makindye-Kibuye'!D19,'23.07 Makindye-Kibuye'!D19,'24.07 Makindye-Kibuye'!D19,'25.07 Makindye-Kibuye'!D19,'26.07 Makindye-Kibuye-24h'!D19,'27.07 Makindye-Kibuye-24h'!D19,'28.07 Makindye-Kibuye'!D19)</f>
        <v>9</v>
      </c>
      <c r="E19" s="49">
        <f>AVERAGE('22.07 Makindye-Kibuye'!E19,'23.07 Makindye-Kibuye'!E19,'24.07 Makindye-Kibuye'!E19,'25.07 Makindye-Kibuye'!E19,'26.07 Makindye-Kibuye-24h'!E19,'27.07 Makindye-Kibuye-24h'!E19,'28.07 Makindye-Kibuye'!E19)</f>
        <v>6.4285714285714288</v>
      </c>
      <c r="F19" s="49">
        <f>AVERAGE('22.07 Makindye-Kibuye'!F19,'23.07 Makindye-Kibuye'!F19,'24.07 Makindye-Kibuye'!F19,'25.07 Makindye-Kibuye'!F19,'26.07 Makindye-Kibuye-24h'!F19,'27.07 Makindye-Kibuye-24h'!F19,'28.07 Makindye-Kibuye'!F19)</f>
        <v>34.285714285714285</v>
      </c>
      <c r="G19" s="49">
        <f>AVERAGE('22.07 Makindye-Kibuye'!G19,'23.07 Makindye-Kibuye'!G19,'24.07 Makindye-Kibuye'!G19,'25.07 Makindye-Kibuye'!G19,'26.07 Makindye-Kibuye-24h'!G19,'27.07 Makindye-Kibuye-24h'!G19,'28.07 Makindye-Kibuye'!G19)</f>
        <v>0.42857142857142855</v>
      </c>
      <c r="H19" s="49">
        <f>AVERAGE('22.07 Makindye-Kibuye'!H19,'23.07 Makindye-Kibuye'!H19,'24.07 Makindye-Kibuye'!H19,'25.07 Makindye-Kibuye'!H19,'26.07 Makindye-Kibuye-24h'!H19,'27.07 Makindye-Kibuye-24h'!H19,'28.07 Makindye-Kibuye'!H19)</f>
        <v>0</v>
      </c>
      <c r="I19" s="49">
        <f>AVERAGE('22.07 Makindye-Kibuye'!I19,'23.07 Makindye-Kibuye'!I19,'24.07 Makindye-Kibuye'!I19,'25.07 Makindye-Kibuye'!I19,'26.07 Makindye-Kibuye-24h'!I19,'27.07 Makindye-Kibuye-24h'!I19,'28.07 Makindye-Kibuye'!I19)</f>
        <v>2.1428571428571428</v>
      </c>
      <c r="J19" s="49">
        <f>AVERAGE('22.07 Makindye-Kibuye'!J19,'23.07 Makindye-Kibuye'!J19,'24.07 Makindye-Kibuye'!J19,'25.07 Makindye-Kibuye'!J19,'26.07 Makindye-Kibuye-24h'!J19,'27.07 Makindye-Kibuye-24h'!J19,'28.07 Makindye-Kibuye'!J19)</f>
        <v>2.1428571428571428</v>
      </c>
      <c r="K19" s="49">
        <f>AVERAGE('22.07 Makindye-Kibuye'!K19,'23.07 Makindye-Kibuye'!K19,'24.07 Makindye-Kibuye'!K19,'25.07 Makindye-Kibuye'!K19,'26.07 Makindye-Kibuye-24h'!K19,'27.07 Makindye-Kibuye-24h'!K19,'28.07 Makindye-Kibuye'!K19)</f>
        <v>0.14285714285714285</v>
      </c>
      <c r="L19" s="49">
        <f>AVERAGE('22.07 Makindye-Kibuye'!L19,'23.07 Makindye-Kibuye'!L19,'24.07 Makindye-Kibuye'!L19,'25.07 Makindye-Kibuye'!L19,'26.07 Makindye-Kibuye-24h'!L19,'27.07 Makindye-Kibuye-24h'!L19,'28.07 Makindye-Kibuye'!L19)</f>
        <v>0</v>
      </c>
      <c r="M19" s="49">
        <f>AVERAGE('22.07 Makindye-Kibuye'!M19,'23.07 Makindye-Kibuye'!M19,'24.07 Makindye-Kibuye'!M19,'25.07 Makindye-Kibuye'!M19,'26.07 Makindye-Kibuye-24h'!M19,'27.07 Makindye-Kibuye-24h'!M19,'28.07 Makindye-Kibuye'!M19)</f>
        <v>198.57142857142858</v>
      </c>
      <c r="N19" s="49">
        <f>AVERAGE('22.07 Makindye-Kibuye'!N19,'23.07 Makindye-Kibuye'!N19,'24.07 Makindye-Kibuye'!N19,'25.07 Makindye-Kibuye'!N19,'26.07 Makindye-Kibuye-24h'!N19,'27.07 Makindye-Kibuye-24h'!N19,'28.07 Makindye-Kibuye'!N19)</f>
        <v>0</v>
      </c>
      <c r="O19" s="15">
        <f t="shared" si="0"/>
        <v>107.28571428571426</v>
      </c>
      <c r="P19" s="15">
        <f t="shared" si="1"/>
        <v>305.85714285714283</v>
      </c>
      <c r="R19" s="1" t="s">
        <v>15</v>
      </c>
      <c r="S19" s="17">
        <f t="shared" ref="S19:AF19" si="11">SUM(C46:C49)</f>
        <v>148.14285714285714</v>
      </c>
      <c r="T19" s="17">
        <f t="shared" si="11"/>
        <v>23.285714285714285</v>
      </c>
      <c r="U19" s="17">
        <f t="shared" si="11"/>
        <v>21.142857142857142</v>
      </c>
      <c r="V19" s="17">
        <f t="shared" si="11"/>
        <v>117.85714285714286</v>
      </c>
      <c r="W19" s="17">
        <f t="shared" si="11"/>
        <v>0.5714285714285714</v>
      </c>
      <c r="X19" s="17">
        <f t="shared" si="11"/>
        <v>0.14285714285714285</v>
      </c>
      <c r="Y19" s="17">
        <f t="shared" si="11"/>
        <v>11.857142857142856</v>
      </c>
      <c r="Z19" s="17">
        <f t="shared" si="11"/>
        <v>6.1428571428571423</v>
      </c>
      <c r="AA19" s="17">
        <f t="shared" si="11"/>
        <v>0.5714285714285714</v>
      </c>
      <c r="AB19" s="17">
        <f t="shared" si="11"/>
        <v>0.14285714285714285</v>
      </c>
      <c r="AC19" s="17">
        <f t="shared" si="11"/>
        <v>817.28571428571433</v>
      </c>
      <c r="AD19" s="17">
        <f t="shared" si="11"/>
        <v>0</v>
      </c>
      <c r="AE19" s="31">
        <f t="shared" si="11"/>
        <v>329.85714285714283</v>
      </c>
      <c r="AF19" s="31">
        <f t="shared" si="11"/>
        <v>1147.1428571428571</v>
      </c>
    </row>
    <row r="20" spans="2:32" ht="23.1" customHeight="1" x14ac:dyDescent="0.25">
      <c r="B20" s="23" t="s">
        <v>47</v>
      </c>
      <c r="C20" s="49">
        <f>AVERAGE('22.07 Makindye-Kibuye'!C20,'23.07 Makindye-Kibuye'!C20,'24.07 Makindye-Kibuye'!C20,'25.07 Makindye-Kibuye'!C20,'26.07 Makindye-Kibuye-24h'!C20,'27.07 Makindye-Kibuye-24h'!C20,'28.07 Makindye-Kibuye'!C20)</f>
        <v>42.571428571428569</v>
      </c>
      <c r="D20" s="49">
        <f>AVERAGE('22.07 Makindye-Kibuye'!D20,'23.07 Makindye-Kibuye'!D20,'24.07 Makindye-Kibuye'!D20,'25.07 Makindye-Kibuye'!D20,'26.07 Makindye-Kibuye-24h'!D20,'27.07 Makindye-Kibuye-24h'!D20,'28.07 Makindye-Kibuye'!D20)</f>
        <v>8.1428571428571423</v>
      </c>
      <c r="E20" s="49">
        <f>AVERAGE('22.07 Makindye-Kibuye'!E20,'23.07 Makindye-Kibuye'!E20,'24.07 Makindye-Kibuye'!E20,'25.07 Makindye-Kibuye'!E20,'26.07 Makindye-Kibuye-24h'!E20,'27.07 Makindye-Kibuye-24h'!E20,'28.07 Makindye-Kibuye'!E20)</f>
        <v>6</v>
      </c>
      <c r="F20" s="49">
        <f>AVERAGE('22.07 Makindye-Kibuye'!F20,'23.07 Makindye-Kibuye'!F20,'24.07 Makindye-Kibuye'!F20,'25.07 Makindye-Kibuye'!F20,'26.07 Makindye-Kibuye-24h'!F20,'27.07 Makindye-Kibuye-24h'!F20,'28.07 Makindye-Kibuye'!F20)</f>
        <v>29.428571428571427</v>
      </c>
      <c r="G20" s="49">
        <f>AVERAGE('22.07 Makindye-Kibuye'!G20,'23.07 Makindye-Kibuye'!G20,'24.07 Makindye-Kibuye'!G20,'25.07 Makindye-Kibuye'!G20,'26.07 Makindye-Kibuye-24h'!G20,'27.07 Makindye-Kibuye-24h'!G20,'28.07 Makindye-Kibuye'!G20)</f>
        <v>0</v>
      </c>
      <c r="H20" s="49">
        <f>AVERAGE('22.07 Makindye-Kibuye'!H20,'23.07 Makindye-Kibuye'!H20,'24.07 Makindye-Kibuye'!H20,'25.07 Makindye-Kibuye'!H20,'26.07 Makindye-Kibuye-24h'!H20,'27.07 Makindye-Kibuye-24h'!H20,'28.07 Makindye-Kibuye'!H20)</f>
        <v>0</v>
      </c>
      <c r="I20" s="49">
        <f>AVERAGE('22.07 Makindye-Kibuye'!I20,'23.07 Makindye-Kibuye'!I20,'24.07 Makindye-Kibuye'!I20,'25.07 Makindye-Kibuye'!I20,'26.07 Makindye-Kibuye-24h'!I20,'27.07 Makindye-Kibuye-24h'!I20,'28.07 Makindye-Kibuye'!I20)</f>
        <v>3.4285714285714284</v>
      </c>
      <c r="J20" s="49">
        <f>AVERAGE('22.07 Makindye-Kibuye'!J20,'23.07 Makindye-Kibuye'!J20,'24.07 Makindye-Kibuye'!J20,'25.07 Makindye-Kibuye'!J20,'26.07 Makindye-Kibuye-24h'!J20,'27.07 Makindye-Kibuye-24h'!J20,'28.07 Makindye-Kibuye'!J20)</f>
        <v>2</v>
      </c>
      <c r="K20" s="49">
        <f>AVERAGE('22.07 Makindye-Kibuye'!K20,'23.07 Makindye-Kibuye'!K20,'24.07 Makindye-Kibuye'!K20,'25.07 Makindye-Kibuye'!K20,'26.07 Makindye-Kibuye-24h'!K20,'27.07 Makindye-Kibuye-24h'!K20,'28.07 Makindye-Kibuye'!K20)</f>
        <v>0</v>
      </c>
      <c r="L20" s="49">
        <f>AVERAGE('22.07 Makindye-Kibuye'!L20,'23.07 Makindye-Kibuye'!L20,'24.07 Makindye-Kibuye'!L20,'25.07 Makindye-Kibuye'!L20,'26.07 Makindye-Kibuye-24h'!L20,'27.07 Makindye-Kibuye-24h'!L20,'28.07 Makindye-Kibuye'!L20)</f>
        <v>0.14285714285714285</v>
      </c>
      <c r="M20" s="49">
        <f>AVERAGE('22.07 Makindye-Kibuye'!M20,'23.07 Makindye-Kibuye'!M20,'24.07 Makindye-Kibuye'!M20,'25.07 Makindye-Kibuye'!M20,'26.07 Makindye-Kibuye-24h'!M20,'27.07 Makindye-Kibuye-24h'!M20,'28.07 Makindye-Kibuye'!M20)</f>
        <v>187.85714285714286</v>
      </c>
      <c r="N20" s="49">
        <f>AVERAGE('22.07 Makindye-Kibuye'!N20,'23.07 Makindye-Kibuye'!N20,'24.07 Makindye-Kibuye'!N20,'25.07 Makindye-Kibuye'!N20,'26.07 Makindye-Kibuye-24h'!N20,'27.07 Makindye-Kibuye-24h'!N20,'28.07 Makindye-Kibuye'!N20)</f>
        <v>0</v>
      </c>
      <c r="O20" s="15">
        <f t="shared" si="0"/>
        <v>91.714285714285708</v>
      </c>
      <c r="P20" s="15">
        <f t="shared" si="1"/>
        <v>279.57142857142856</v>
      </c>
      <c r="R20" s="1" t="s">
        <v>16</v>
      </c>
      <c r="S20" s="17">
        <f t="shared" ref="S20:AF20" si="12">SUM(C50:C53)</f>
        <v>130</v>
      </c>
      <c r="T20" s="17">
        <f t="shared" si="12"/>
        <v>18.714285714285712</v>
      </c>
      <c r="U20" s="17">
        <f t="shared" si="12"/>
        <v>16.714285714285715</v>
      </c>
      <c r="V20" s="17">
        <f t="shared" si="12"/>
        <v>108.14285714285714</v>
      </c>
      <c r="W20" s="17">
        <f t="shared" si="12"/>
        <v>0.71428571428571419</v>
      </c>
      <c r="X20" s="17">
        <f t="shared" si="12"/>
        <v>0</v>
      </c>
      <c r="Y20" s="17">
        <f t="shared" si="12"/>
        <v>7</v>
      </c>
      <c r="Z20" s="17">
        <f t="shared" si="12"/>
        <v>5.1428571428571432</v>
      </c>
      <c r="AA20" s="17">
        <f t="shared" si="12"/>
        <v>1.1428571428571428</v>
      </c>
      <c r="AB20" s="17">
        <f t="shared" si="12"/>
        <v>0.2857142857142857</v>
      </c>
      <c r="AC20" s="17">
        <f t="shared" si="12"/>
        <v>736.42857142857133</v>
      </c>
      <c r="AD20" s="17">
        <f t="shared" si="12"/>
        <v>0</v>
      </c>
      <c r="AE20" s="31">
        <f t="shared" si="12"/>
        <v>287.85714285714289</v>
      </c>
      <c r="AF20" s="31">
        <f t="shared" si="12"/>
        <v>1024.2857142857142</v>
      </c>
    </row>
    <row r="21" spans="2:32" ht="23.1" customHeight="1" x14ac:dyDescent="0.25">
      <c r="B21" s="23" t="s">
        <v>48</v>
      </c>
      <c r="C21" s="49">
        <f>AVERAGE('22.07 Makindye-Kibuye'!C21,'23.07 Makindye-Kibuye'!C21,'24.07 Makindye-Kibuye'!C21,'25.07 Makindye-Kibuye'!C21,'26.07 Makindye-Kibuye-24h'!C21,'27.07 Makindye-Kibuye-24h'!C21,'28.07 Makindye-Kibuye'!C21)</f>
        <v>43.857142857142854</v>
      </c>
      <c r="D21" s="49">
        <f>AVERAGE('22.07 Makindye-Kibuye'!D21,'23.07 Makindye-Kibuye'!D21,'24.07 Makindye-Kibuye'!D21,'25.07 Makindye-Kibuye'!D21,'26.07 Makindye-Kibuye-24h'!D21,'27.07 Makindye-Kibuye-24h'!D21,'28.07 Makindye-Kibuye'!D21)</f>
        <v>8</v>
      </c>
      <c r="E21" s="49">
        <f>AVERAGE('22.07 Makindye-Kibuye'!E21,'23.07 Makindye-Kibuye'!E21,'24.07 Makindye-Kibuye'!E21,'25.07 Makindye-Kibuye'!E21,'26.07 Makindye-Kibuye-24h'!E21,'27.07 Makindye-Kibuye-24h'!E21,'28.07 Makindye-Kibuye'!E21)</f>
        <v>5</v>
      </c>
      <c r="F21" s="49">
        <f>AVERAGE('22.07 Makindye-Kibuye'!F21,'23.07 Makindye-Kibuye'!F21,'24.07 Makindye-Kibuye'!F21,'25.07 Makindye-Kibuye'!F21,'26.07 Makindye-Kibuye-24h'!F21,'27.07 Makindye-Kibuye-24h'!F21,'28.07 Makindye-Kibuye'!F21)</f>
        <v>33.714285714285715</v>
      </c>
      <c r="G21" s="49">
        <f>AVERAGE('22.07 Makindye-Kibuye'!G21,'23.07 Makindye-Kibuye'!G21,'24.07 Makindye-Kibuye'!G21,'25.07 Makindye-Kibuye'!G21,'26.07 Makindye-Kibuye-24h'!G21,'27.07 Makindye-Kibuye-24h'!G21,'28.07 Makindye-Kibuye'!G21)</f>
        <v>0.42857142857142855</v>
      </c>
      <c r="H21" s="49">
        <f>AVERAGE('22.07 Makindye-Kibuye'!H21,'23.07 Makindye-Kibuye'!H21,'24.07 Makindye-Kibuye'!H21,'25.07 Makindye-Kibuye'!H21,'26.07 Makindye-Kibuye-24h'!H21,'27.07 Makindye-Kibuye-24h'!H21,'28.07 Makindye-Kibuye'!H21)</f>
        <v>0</v>
      </c>
      <c r="I21" s="49">
        <f>AVERAGE('22.07 Makindye-Kibuye'!I21,'23.07 Makindye-Kibuye'!I21,'24.07 Makindye-Kibuye'!I21,'25.07 Makindye-Kibuye'!I21,'26.07 Makindye-Kibuye-24h'!I21,'27.07 Makindye-Kibuye-24h'!I21,'28.07 Makindye-Kibuye'!I21)</f>
        <v>3.2857142857142856</v>
      </c>
      <c r="J21" s="49">
        <f>AVERAGE('22.07 Makindye-Kibuye'!J21,'23.07 Makindye-Kibuye'!J21,'24.07 Makindye-Kibuye'!J21,'25.07 Makindye-Kibuye'!J21,'26.07 Makindye-Kibuye-24h'!J21,'27.07 Makindye-Kibuye-24h'!J21,'28.07 Makindye-Kibuye'!J21)</f>
        <v>0.5714285714285714</v>
      </c>
      <c r="K21" s="49">
        <f>AVERAGE('22.07 Makindye-Kibuye'!K21,'23.07 Makindye-Kibuye'!K21,'24.07 Makindye-Kibuye'!K21,'25.07 Makindye-Kibuye'!K21,'26.07 Makindye-Kibuye-24h'!K21,'27.07 Makindye-Kibuye-24h'!K21,'28.07 Makindye-Kibuye'!K21)</f>
        <v>0.2857142857142857</v>
      </c>
      <c r="L21" s="49">
        <f>AVERAGE('22.07 Makindye-Kibuye'!L21,'23.07 Makindye-Kibuye'!L21,'24.07 Makindye-Kibuye'!L21,'25.07 Makindye-Kibuye'!L21,'26.07 Makindye-Kibuye-24h'!L21,'27.07 Makindye-Kibuye-24h'!L21,'28.07 Makindye-Kibuye'!L21)</f>
        <v>0</v>
      </c>
      <c r="M21" s="49">
        <f>AVERAGE('22.07 Makindye-Kibuye'!M21,'23.07 Makindye-Kibuye'!M21,'24.07 Makindye-Kibuye'!M21,'25.07 Makindye-Kibuye'!M21,'26.07 Makindye-Kibuye-24h'!M21,'27.07 Makindye-Kibuye-24h'!M21,'28.07 Makindye-Kibuye'!M21)</f>
        <v>215</v>
      </c>
      <c r="N21" s="49">
        <f>AVERAGE('22.07 Makindye-Kibuye'!N21,'23.07 Makindye-Kibuye'!N21,'24.07 Makindye-Kibuye'!N21,'25.07 Makindye-Kibuye'!N21,'26.07 Makindye-Kibuye-24h'!N21,'27.07 Makindye-Kibuye-24h'!N21,'28.07 Makindye-Kibuye'!N21)</f>
        <v>0</v>
      </c>
      <c r="O21" s="15">
        <f t="shared" si="0"/>
        <v>95.142857142857153</v>
      </c>
      <c r="P21" s="15">
        <f t="shared" si="1"/>
        <v>310.14285714285717</v>
      </c>
      <c r="R21" s="36" t="s">
        <v>20</v>
      </c>
      <c r="S21" s="34">
        <f t="shared" ref="S21:AF21" si="13">SUM(C54:C57)</f>
        <v>104.85714285714286</v>
      </c>
      <c r="T21" s="17">
        <f t="shared" si="13"/>
        <v>12.428571428571427</v>
      </c>
      <c r="U21" s="17">
        <f t="shared" si="13"/>
        <v>6.2857142857142856</v>
      </c>
      <c r="V21" s="17">
        <f t="shared" si="13"/>
        <v>107.28571428571428</v>
      </c>
      <c r="W21" s="17">
        <f t="shared" si="13"/>
        <v>0.5714285714285714</v>
      </c>
      <c r="X21" s="17">
        <f t="shared" si="13"/>
        <v>0</v>
      </c>
      <c r="Y21" s="17">
        <f t="shared" si="13"/>
        <v>6.5714285714285712</v>
      </c>
      <c r="Z21" s="17">
        <f t="shared" si="13"/>
        <v>2.8571428571428572</v>
      </c>
      <c r="AA21" s="17">
        <f t="shared" si="13"/>
        <v>1.7142857142857142</v>
      </c>
      <c r="AB21" s="17">
        <f t="shared" si="13"/>
        <v>0.2857142857142857</v>
      </c>
      <c r="AC21" s="17">
        <f t="shared" si="13"/>
        <v>718</v>
      </c>
      <c r="AD21" s="17">
        <f t="shared" si="13"/>
        <v>0</v>
      </c>
      <c r="AE21" s="31">
        <f t="shared" si="13"/>
        <v>242.85714285714286</v>
      </c>
      <c r="AF21" s="31">
        <f t="shared" si="13"/>
        <v>960.85714285714289</v>
      </c>
    </row>
    <row r="22" spans="2:32" ht="23.1" customHeight="1" x14ac:dyDescent="0.25">
      <c r="B22" s="23" t="s">
        <v>49</v>
      </c>
      <c r="C22" s="49">
        <f>AVERAGE('22.07 Makindye-Kibuye'!C22,'23.07 Makindye-Kibuye'!C22,'24.07 Makindye-Kibuye'!C22,'25.07 Makindye-Kibuye'!C22,'26.07 Makindye-Kibuye-24h'!C22,'27.07 Makindye-Kibuye-24h'!C22,'28.07 Makindye-Kibuye'!C22)</f>
        <v>50.571428571428569</v>
      </c>
      <c r="D22" s="49">
        <f>AVERAGE('22.07 Makindye-Kibuye'!D22,'23.07 Makindye-Kibuye'!D22,'24.07 Makindye-Kibuye'!D22,'25.07 Makindye-Kibuye'!D22,'26.07 Makindye-Kibuye-24h'!D22,'27.07 Makindye-Kibuye-24h'!D22,'28.07 Makindye-Kibuye'!D22)</f>
        <v>7.2857142857142856</v>
      </c>
      <c r="E22" s="49">
        <f>AVERAGE('22.07 Makindye-Kibuye'!E22,'23.07 Makindye-Kibuye'!E22,'24.07 Makindye-Kibuye'!E22,'25.07 Makindye-Kibuye'!E22,'26.07 Makindye-Kibuye-24h'!E22,'27.07 Makindye-Kibuye-24h'!E22,'28.07 Makindye-Kibuye'!E22)</f>
        <v>5.7142857142857144</v>
      </c>
      <c r="F22" s="49">
        <f>AVERAGE('22.07 Makindye-Kibuye'!F22,'23.07 Makindye-Kibuye'!F22,'24.07 Makindye-Kibuye'!F22,'25.07 Makindye-Kibuye'!F22,'26.07 Makindye-Kibuye-24h'!F22,'27.07 Makindye-Kibuye-24h'!F22,'28.07 Makindye-Kibuye'!F22)</f>
        <v>39.142857142857146</v>
      </c>
      <c r="G22" s="49">
        <f>AVERAGE('22.07 Makindye-Kibuye'!G22,'23.07 Makindye-Kibuye'!G22,'24.07 Makindye-Kibuye'!G22,'25.07 Makindye-Kibuye'!G22,'26.07 Makindye-Kibuye-24h'!G22,'27.07 Makindye-Kibuye-24h'!G22,'28.07 Makindye-Kibuye'!G22)</f>
        <v>0.14285714285714285</v>
      </c>
      <c r="H22" s="49">
        <f>AVERAGE('22.07 Makindye-Kibuye'!H22,'23.07 Makindye-Kibuye'!H22,'24.07 Makindye-Kibuye'!H22,'25.07 Makindye-Kibuye'!H22,'26.07 Makindye-Kibuye-24h'!H22,'27.07 Makindye-Kibuye-24h'!H22,'28.07 Makindye-Kibuye'!H22)</f>
        <v>0</v>
      </c>
      <c r="I22" s="49">
        <f>AVERAGE('22.07 Makindye-Kibuye'!I22,'23.07 Makindye-Kibuye'!I22,'24.07 Makindye-Kibuye'!I22,'25.07 Makindye-Kibuye'!I22,'26.07 Makindye-Kibuye-24h'!I22,'27.07 Makindye-Kibuye-24h'!I22,'28.07 Makindye-Kibuye'!I22)</f>
        <v>1.7142857142857142</v>
      </c>
      <c r="J22" s="49">
        <f>AVERAGE('22.07 Makindye-Kibuye'!J22,'23.07 Makindye-Kibuye'!J22,'24.07 Makindye-Kibuye'!J22,'25.07 Makindye-Kibuye'!J22,'26.07 Makindye-Kibuye-24h'!J22,'27.07 Makindye-Kibuye-24h'!J22,'28.07 Makindye-Kibuye'!J22)</f>
        <v>0.8571428571428571</v>
      </c>
      <c r="K22" s="49">
        <f>AVERAGE('22.07 Makindye-Kibuye'!K22,'23.07 Makindye-Kibuye'!K22,'24.07 Makindye-Kibuye'!K22,'25.07 Makindye-Kibuye'!K22,'26.07 Makindye-Kibuye-24h'!K22,'27.07 Makindye-Kibuye-24h'!K22,'28.07 Makindye-Kibuye'!K22)</f>
        <v>0.14285714285714285</v>
      </c>
      <c r="L22" s="49">
        <f>AVERAGE('22.07 Makindye-Kibuye'!L22,'23.07 Makindye-Kibuye'!L22,'24.07 Makindye-Kibuye'!L22,'25.07 Makindye-Kibuye'!L22,'26.07 Makindye-Kibuye-24h'!L22,'27.07 Makindye-Kibuye-24h'!L22,'28.07 Makindye-Kibuye'!L22)</f>
        <v>0</v>
      </c>
      <c r="M22" s="49">
        <f>AVERAGE('22.07 Makindye-Kibuye'!M22,'23.07 Makindye-Kibuye'!M22,'24.07 Makindye-Kibuye'!M22,'25.07 Makindye-Kibuye'!M22,'26.07 Makindye-Kibuye-24h'!M22,'27.07 Makindye-Kibuye-24h'!M22,'28.07 Makindye-Kibuye'!M22)</f>
        <v>230</v>
      </c>
      <c r="N22" s="49">
        <f>AVERAGE('22.07 Makindye-Kibuye'!N22,'23.07 Makindye-Kibuye'!N22,'24.07 Makindye-Kibuye'!N22,'25.07 Makindye-Kibuye'!N22,'26.07 Makindye-Kibuye-24h'!N22,'27.07 Makindye-Kibuye-24h'!N22,'28.07 Makindye-Kibuye'!N22)</f>
        <v>0</v>
      </c>
      <c r="O22" s="15">
        <f t="shared" si="0"/>
        <v>105.57142857142857</v>
      </c>
      <c r="P22" s="15">
        <f t="shared" si="1"/>
        <v>335.57142857142856</v>
      </c>
      <c r="R22" s="1" t="s">
        <v>147</v>
      </c>
      <c r="S22" s="34">
        <f>SUM(C58:C61)</f>
        <v>207</v>
      </c>
      <c r="T22" s="34">
        <f t="shared" ref="T22:AF22" si="14">SUM(D58:D61)</f>
        <v>13</v>
      </c>
      <c r="U22" s="34">
        <f t="shared" si="14"/>
        <v>3</v>
      </c>
      <c r="V22" s="34">
        <f t="shared" si="14"/>
        <v>180</v>
      </c>
      <c r="W22" s="34">
        <f t="shared" si="14"/>
        <v>1.5</v>
      </c>
      <c r="X22" s="34">
        <f t="shared" si="14"/>
        <v>0.5</v>
      </c>
      <c r="Y22" s="34">
        <f t="shared" si="14"/>
        <v>3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673.5</v>
      </c>
      <c r="AD22" s="34">
        <f t="shared" si="14"/>
        <v>0</v>
      </c>
      <c r="AE22" s="31">
        <f t="shared" si="14"/>
        <v>410</v>
      </c>
      <c r="AF22" s="31">
        <f t="shared" si="14"/>
        <v>1083.5</v>
      </c>
    </row>
    <row r="23" spans="2:32" ht="23.1" customHeight="1" x14ac:dyDescent="0.25">
      <c r="B23" s="23" t="s">
        <v>50</v>
      </c>
      <c r="C23" s="49">
        <f>AVERAGE('22.07 Makindye-Kibuye'!C23,'23.07 Makindye-Kibuye'!C23,'24.07 Makindye-Kibuye'!C23,'25.07 Makindye-Kibuye'!C23,'26.07 Makindye-Kibuye-24h'!C23,'27.07 Makindye-Kibuye-24h'!C23,'28.07 Makindye-Kibuye'!C23)</f>
        <v>47.428571428571431</v>
      </c>
      <c r="D23" s="49">
        <f>AVERAGE('22.07 Makindye-Kibuye'!D23,'23.07 Makindye-Kibuye'!D23,'24.07 Makindye-Kibuye'!D23,'25.07 Makindye-Kibuye'!D23,'26.07 Makindye-Kibuye-24h'!D23,'27.07 Makindye-Kibuye-24h'!D23,'28.07 Makindye-Kibuye'!D23)</f>
        <v>8.8571428571428577</v>
      </c>
      <c r="E23" s="49">
        <f>AVERAGE('22.07 Makindye-Kibuye'!E23,'23.07 Makindye-Kibuye'!E23,'24.07 Makindye-Kibuye'!E23,'25.07 Makindye-Kibuye'!E23,'26.07 Makindye-Kibuye-24h'!E23,'27.07 Makindye-Kibuye-24h'!E23,'28.07 Makindye-Kibuye'!E23)</f>
        <v>5.2857142857142856</v>
      </c>
      <c r="F23" s="49">
        <f>AVERAGE('22.07 Makindye-Kibuye'!F23,'23.07 Makindye-Kibuye'!F23,'24.07 Makindye-Kibuye'!F23,'25.07 Makindye-Kibuye'!F23,'26.07 Makindye-Kibuye-24h'!F23,'27.07 Makindye-Kibuye-24h'!F23,'28.07 Makindye-Kibuye'!F23)</f>
        <v>38.428571428571431</v>
      </c>
      <c r="G23" s="49">
        <f>AVERAGE('22.07 Makindye-Kibuye'!G23,'23.07 Makindye-Kibuye'!G23,'24.07 Makindye-Kibuye'!G23,'25.07 Makindye-Kibuye'!G23,'26.07 Makindye-Kibuye-24h'!G23,'27.07 Makindye-Kibuye-24h'!G23,'28.07 Makindye-Kibuye'!G23)</f>
        <v>1</v>
      </c>
      <c r="H23" s="49">
        <f>AVERAGE('22.07 Makindye-Kibuye'!H23,'23.07 Makindye-Kibuye'!H23,'24.07 Makindye-Kibuye'!H23,'25.07 Makindye-Kibuye'!H23,'26.07 Makindye-Kibuye-24h'!H23,'27.07 Makindye-Kibuye-24h'!H23,'28.07 Makindye-Kibuye'!H23)</f>
        <v>0</v>
      </c>
      <c r="I23" s="49">
        <f>AVERAGE('22.07 Makindye-Kibuye'!I23,'23.07 Makindye-Kibuye'!I23,'24.07 Makindye-Kibuye'!I23,'25.07 Makindye-Kibuye'!I23,'26.07 Makindye-Kibuye-24h'!I23,'27.07 Makindye-Kibuye-24h'!I23,'28.07 Makindye-Kibuye'!I23)</f>
        <v>1.7142857142857142</v>
      </c>
      <c r="J23" s="49">
        <f>AVERAGE('22.07 Makindye-Kibuye'!J23,'23.07 Makindye-Kibuye'!J23,'24.07 Makindye-Kibuye'!J23,'25.07 Makindye-Kibuye'!J23,'26.07 Makindye-Kibuye-24h'!J23,'27.07 Makindye-Kibuye-24h'!J23,'28.07 Makindye-Kibuye'!J23)</f>
        <v>2.1428571428571428</v>
      </c>
      <c r="K23" s="49">
        <f>AVERAGE('22.07 Makindye-Kibuye'!K23,'23.07 Makindye-Kibuye'!K23,'24.07 Makindye-Kibuye'!K23,'25.07 Makindye-Kibuye'!K23,'26.07 Makindye-Kibuye-24h'!K23,'27.07 Makindye-Kibuye-24h'!K23,'28.07 Makindye-Kibuye'!K23)</f>
        <v>0</v>
      </c>
      <c r="L23" s="49">
        <f>AVERAGE('22.07 Makindye-Kibuye'!L23,'23.07 Makindye-Kibuye'!L23,'24.07 Makindye-Kibuye'!L23,'25.07 Makindye-Kibuye'!L23,'26.07 Makindye-Kibuye-24h'!L23,'27.07 Makindye-Kibuye-24h'!L23,'28.07 Makindye-Kibuye'!L23)</f>
        <v>0.14285714285714285</v>
      </c>
      <c r="M23" s="49">
        <f>AVERAGE('22.07 Makindye-Kibuye'!M23,'23.07 Makindye-Kibuye'!M23,'24.07 Makindye-Kibuye'!M23,'25.07 Makindye-Kibuye'!M23,'26.07 Makindye-Kibuye-24h'!M23,'27.07 Makindye-Kibuye-24h'!M23,'28.07 Makindye-Kibuye'!M23)</f>
        <v>215.71428571428572</v>
      </c>
      <c r="N23" s="49">
        <f>AVERAGE('22.07 Makindye-Kibuye'!N23,'23.07 Makindye-Kibuye'!N23,'24.07 Makindye-Kibuye'!N23,'25.07 Makindye-Kibuye'!N23,'26.07 Makindye-Kibuye-24h'!N23,'27.07 Makindye-Kibuye-24h'!N23,'28.07 Makindye-Kibuye'!N23)</f>
        <v>0</v>
      </c>
      <c r="O23" s="15">
        <f t="shared" si="0"/>
        <v>104.99999999999999</v>
      </c>
      <c r="P23" s="15">
        <f t="shared" si="1"/>
        <v>320.71428571428572</v>
      </c>
      <c r="R23" s="1" t="s">
        <v>148</v>
      </c>
      <c r="S23" s="34">
        <f>SUM(C62:C65)</f>
        <v>205</v>
      </c>
      <c r="T23" s="34">
        <f t="shared" ref="T23:AF23" si="15">SUM(D62:D65)</f>
        <v>14.5</v>
      </c>
      <c r="U23" s="34">
        <f t="shared" si="15"/>
        <v>6</v>
      </c>
      <c r="V23" s="34">
        <f t="shared" si="15"/>
        <v>252.5</v>
      </c>
      <c r="W23" s="34">
        <f t="shared" si="15"/>
        <v>0</v>
      </c>
      <c r="X23" s="34">
        <f t="shared" si="15"/>
        <v>0</v>
      </c>
      <c r="Y23" s="34">
        <f t="shared" si="15"/>
        <v>8</v>
      </c>
      <c r="Z23" s="34">
        <f t="shared" si="15"/>
        <v>2</v>
      </c>
      <c r="AA23" s="34">
        <f t="shared" si="15"/>
        <v>1.5</v>
      </c>
      <c r="AB23" s="34">
        <f t="shared" si="15"/>
        <v>0</v>
      </c>
      <c r="AC23" s="34">
        <f t="shared" si="15"/>
        <v>463</v>
      </c>
      <c r="AD23" s="34">
        <f t="shared" si="15"/>
        <v>0</v>
      </c>
      <c r="AE23" s="31">
        <f t="shared" si="15"/>
        <v>489.5</v>
      </c>
      <c r="AF23" s="31">
        <f t="shared" si="15"/>
        <v>952.5</v>
      </c>
    </row>
    <row r="24" spans="2:32" ht="23.1" customHeight="1" x14ac:dyDescent="0.25">
      <c r="B24" s="23" t="s">
        <v>51</v>
      </c>
      <c r="C24" s="49">
        <f>AVERAGE('22.07 Makindye-Kibuye'!C24,'23.07 Makindye-Kibuye'!C24,'24.07 Makindye-Kibuye'!C24,'25.07 Makindye-Kibuye'!C24,'26.07 Makindye-Kibuye-24h'!C24,'27.07 Makindye-Kibuye-24h'!C24,'28.07 Makindye-Kibuye'!C24)</f>
        <v>34.142857142857146</v>
      </c>
      <c r="D24" s="49">
        <f>AVERAGE('22.07 Makindye-Kibuye'!D24,'23.07 Makindye-Kibuye'!D24,'24.07 Makindye-Kibuye'!D24,'25.07 Makindye-Kibuye'!D24,'26.07 Makindye-Kibuye-24h'!D24,'27.07 Makindye-Kibuye-24h'!D24,'28.07 Makindye-Kibuye'!D24)</f>
        <v>7.8571428571428568</v>
      </c>
      <c r="E24" s="49">
        <f>AVERAGE('22.07 Makindye-Kibuye'!E24,'23.07 Makindye-Kibuye'!E24,'24.07 Makindye-Kibuye'!E24,'25.07 Makindye-Kibuye'!E24,'26.07 Makindye-Kibuye-24h'!E24,'27.07 Makindye-Kibuye-24h'!E24,'28.07 Makindye-Kibuye'!E24)</f>
        <v>6.1428571428571432</v>
      </c>
      <c r="F24" s="49">
        <f>AVERAGE('22.07 Makindye-Kibuye'!F24,'23.07 Makindye-Kibuye'!F24,'24.07 Makindye-Kibuye'!F24,'25.07 Makindye-Kibuye'!F24,'26.07 Makindye-Kibuye-24h'!F24,'27.07 Makindye-Kibuye-24h'!F24,'28.07 Makindye-Kibuye'!F24)</f>
        <v>35.714285714285715</v>
      </c>
      <c r="G24" s="49">
        <f>AVERAGE('22.07 Makindye-Kibuye'!G24,'23.07 Makindye-Kibuye'!G24,'24.07 Makindye-Kibuye'!G24,'25.07 Makindye-Kibuye'!G24,'26.07 Makindye-Kibuye-24h'!G24,'27.07 Makindye-Kibuye-24h'!G24,'28.07 Makindye-Kibuye'!G24)</f>
        <v>0.2857142857142857</v>
      </c>
      <c r="H24" s="49">
        <f>AVERAGE('22.07 Makindye-Kibuye'!H24,'23.07 Makindye-Kibuye'!H24,'24.07 Makindye-Kibuye'!H24,'25.07 Makindye-Kibuye'!H24,'26.07 Makindye-Kibuye-24h'!H24,'27.07 Makindye-Kibuye-24h'!H24,'28.07 Makindye-Kibuye'!H24)</f>
        <v>0</v>
      </c>
      <c r="I24" s="49">
        <f>AVERAGE('22.07 Makindye-Kibuye'!I24,'23.07 Makindye-Kibuye'!I24,'24.07 Makindye-Kibuye'!I24,'25.07 Makindye-Kibuye'!I24,'26.07 Makindye-Kibuye-24h'!I24,'27.07 Makindye-Kibuye-24h'!I24,'28.07 Makindye-Kibuye'!I24)</f>
        <v>2.5714285714285716</v>
      </c>
      <c r="J24" s="49">
        <f>AVERAGE('22.07 Makindye-Kibuye'!J24,'23.07 Makindye-Kibuye'!J24,'24.07 Makindye-Kibuye'!J24,'25.07 Makindye-Kibuye'!J24,'26.07 Makindye-Kibuye-24h'!J24,'27.07 Makindye-Kibuye-24h'!J24,'28.07 Makindye-Kibuye'!J24)</f>
        <v>2.7142857142857144</v>
      </c>
      <c r="K24" s="49">
        <f>AVERAGE('22.07 Makindye-Kibuye'!K24,'23.07 Makindye-Kibuye'!K24,'24.07 Makindye-Kibuye'!K24,'25.07 Makindye-Kibuye'!K24,'26.07 Makindye-Kibuye-24h'!K24,'27.07 Makindye-Kibuye-24h'!K24,'28.07 Makindye-Kibuye'!K24)</f>
        <v>0.5714285714285714</v>
      </c>
      <c r="L24" s="49">
        <f>AVERAGE('22.07 Makindye-Kibuye'!L24,'23.07 Makindye-Kibuye'!L24,'24.07 Makindye-Kibuye'!L24,'25.07 Makindye-Kibuye'!L24,'26.07 Makindye-Kibuye-24h'!L24,'27.07 Makindye-Kibuye-24h'!L24,'28.07 Makindye-Kibuye'!L24)</f>
        <v>0.14285714285714285</v>
      </c>
      <c r="M24" s="49">
        <f>AVERAGE('22.07 Makindye-Kibuye'!M24,'23.07 Makindye-Kibuye'!M24,'24.07 Makindye-Kibuye'!M24,'25.07 Makindye-Kibuye'!M24,'26.07 Makindye-Kibuye-24h'!M24,'27.07 Makindye-Kibuye-24h'!M24,'28.07 Makindye-Kibuye'!M24)</f>
        <v>215</v>
      </c>
      <c r="N24" s="49">
        <f>AVERAGE('22.07 Makindye-Kibuye'!N24,'23.07 Makindye-Kibuye'!N24,'24.07 Makindye-Kibuye'!N24,'25.07 Makindye-Kibuye'!N24,'26.07 Makindye-Kibuye-24h'!N24,'27.07 Makindye-Kibuye-24h'!N24,'28.07 Makindye-Kibuye'!N24)</f>
        <v>0</v>
      </c>
      <c r="O24" s="15">
        <f t="shared" si="0"/>
        <v>90.142857142857139</v>
      </c>
      <c r="P24" s="15">
        <f t="shared" si="1"/>
        <v>305.14285714285711</v>
      </c>
      <c r="R24" s="1" t="s">
        <v>149</v>
      </c>
      <c r="S24" s="34">
        <f>SUM(C66:C69)</f>
        <v>144.5</v>
      </c>
      <c r="T24" s="34">
        <f t="shared" ref="T24:AF24" si="16">SUM(D66:D69)</f>
        <v>16</v>
      </c>
      <c r="U24" s="34">
        <f t="shared" si="16"/>
        <v>8.5</v>
      </c>
      <c r="V24" s="34">
        <f t="shared" si="16"/>
        <v>100</v>
      </c>
      <c r="W24" s="34">
        <f t="shared" si="16"/>
        <v>1.5</v>
      </c>
      <c r="X24" s="34">
        <f t="shared" si="16"/>
        <v>0</v>
      </c>
      <c r="Y24" s="34">
        <f t="shared" si="16"/>
        <v>1</v>
      </c>
      <c r="Z24" s="34">
        <f t="shared" si="16"/>
        <v>3.5</v>
      </c>
      <c r="AA24" s="34">
        <f t="shared" si="16"/>
        <v>0</v>
      </c>
      <c r="AB24" s="34">
        <f t="shared" si="16"/>
        <v>0</v>
      </c>
      <c r="AC24" s="34">
        <f t="shared" si="16"/>
        <v>757.5</v>
      </c>
      <c r="AD24" s="34">
        <f t="shared" si="16"/>
        <v>0</v>
      </c>
      <c r="AE24" s="31">
        <f t="shared" si="16"/>
        <v>275</v>
      </c>
      <c r="AF24" s="31">
        <f t="shared" si="16"/>
        <v>1032.5</v>
      </c>
    </row>
    <row r="25" spans="2:32" ht="23.1" customHeight="1" x14ac:dyDescent="0.25">
      <c r="B25" s="23" t="s">
        <v>52</v>
      </c>
      <c r="C25" s="49">
        <f>AVERAGE('22.07 Makindye-Kibuye'!C25,'23.07 Makindye-Kibuye'!C25,'24.07 Makindye-Kibuye'!C25,'25.07 Makindye-Kibuye'!C25,'26.07 Makindye-Kibuye-24h'!C25,'27.07 Makindye-Kibuye-24h'!C25,'28.07 Makindye-Kibuye'!C25)</f>
        <v>50.142857142857146</v>
      </c>
      <c r="D25" s="49">
        <f>AVERAGE('22.07 Makindye-Kibuye'!D25,'23.07 Makindye-Kibuye'!D25,'24.07 Makindye-Kibuye'!D25,'25.07 Makindye-Kibuye'!D25,'26.07 Makindye-Kibuye-24h'!D25,'27.07 Makindye-Kibuye-24h'!D25,'28.07 Makindye-Kibuye'!D25)</f>
        <v>9.1428571428571423</v>
      </c>
      <c r="E25" s="49">
        <f>AVERAGE('22.07 Makindye-Kibuye'!E25,'23.07 Makindye-Kibuye'!E25,'24.07 Makindye-Kibuye'!E25,'25.07 Makindye-Kibuye'!E25,'26.07 Makindye-Kibuye-24h'!E25,'27.07 Makindye-Kibuye-24h'!E25,'28.07 Makindye-Kibuye'!E25)</f>
        <v>8.2857142857142865</v>
      </c>
      <c r="F25" s="49">
        <f>AVERAGE('22.07 Makindye-Kibuye'!F25,'23.07 Makindye-Kibuye'!F25,'24.07 Makindye-Kibuye'!F25,'25.07 Makindye-Kibuye'!F25,'26.07 Makindye-Kibuye-24h'!F25,'27.07 Makindye-Kibuye-24h'!F25,'28.07 Makindye-Kibuye'!F25)</f>
        <v>33.142857142857146</v>
      </c>
      <c r="G25" s="49">
        <f>AVERAGE('22.07 Makindye-Kibuye'!G25,'23.07 Makindye-Kibuye'!G25,'24.07 Makindye-Kibuye'!G25,'25.07 Makindye-Kibuye'!G25,'26.07 Makindye-Kibuye-24h'!G25,'27.07 Makindye-Kibuye-24h'!G25,'28.07 Makindye-Kibuye'!G25)</f>
        <v>0.2857142857142857</v>
      </c>
      <c r="H25" s="49">
        <f>AVERAGE('22.07 Makindye-Kibuye'!H25,'23.07 Makindye-Kibuye'!H25,'24.07 Makindye-Kibuye'!H25,'25.07 Makindye-Kibuye'!H25,'26.07 Makindye-Kibuye-24h'!H25,'27.07 Makindye-Kibuye-24h'!H25,'28.07 Makindye-Kibuye'!H25)</f>
        <v>0.14285714285714285</v>
      </c>
      <c r="I25" s="49">
        <f>AVERAGE('22.07 Makindye-Kibuye'!I25,'23.07 Makindye-Kibuye'!I25,'24.07 Makindye-Kibuye'!I25,'25.07 Makindye-Kibuye'!I25,'26.07 Makindye-Kibuye-24h'!I25,'27.07 Makindye-Kibuye-24h'!I25,'28.07 Makindye-Kibuye'!I25)</f>
        <v>3.7142857142857144</v>
      </c>
      <c r="J25" s="49">
        <f>AVERAGE('22.07 Makindye-Kibuye'!J25,'23.07 Makindye-Kibuye'!J25,'24.07 Makindye-Kibuye'!J25,'25.07 Makindye-Kibuye'!J25,'26.07 Makindye-Kibuye-24h'!J25,'27.07 Makindye-Kibuye-24h'!J25,'28.07 Makindye-Kibuye'!J25)</f>
        <v>2.1428571428571428</v>
      </c>
      <c r="K25" s="49">
        <f>AVERAGE('22.07 Makindye-Kibuye'!K25,'23.07 Makindye-Kibuye'!K25,'24.07 Makindye-Kibuye'!K25,'25.07 Makindye-Kibuye'!K25,'26.07 Makindye-Kibuye-24h'!K25,'27.07 Makindye-Kibuye-24h'!K25,'28.07 Makindye-Kibuye'!K25)</f>
        <v>0.2857142857142857</v>
      </c>
      <c r="L25" s="49">
        <f>AVERAGE('22.07 Makindye-Kibuye'!L25,'23.07 Makindye-Kibuye'!L25,'24.07 Makindye-Kibuye'!L25,'25.07 Makindye-Kibuye'!L25,'26.07 Makindye-Kibuye-24h'!L25,'27.07 Makindye-Kibuye-24h'!L25,'28.07 Makindye-Kibuye'!L25)</f>
        <v>0</v>
      </c>
      <c r="M25" s="49">
        <f>AVERAGE('22.07 Makindye-Kibuye'!M25,'23.07 Makindye-Kibuye'!M25,'24.07 Makindye-Kibuye'!M25,'25.07 Makindye-Kibuye'!M25,'26.07 Makindye-Kibuye-24h'!M25,'27.07 Makindye-Kibuye-24h'!M25,'28.07 Makindye-Kibuye'!M25)</f>
        <v>215</v>
      </c>
      <c r="N25" s="49">
        <f>AVERAGE('22.07 Makindye-Kibuye'!N25,'23.07 Makindye-Kibuye'!N25,'24.07 Makindye-Kibuye'!N25,'25.07 Makindye-Kibuye'!N25,'26.07 Makindye-Kibuye-24h'!N25,'27.07 Makindye-Kibuye-24h'!N25,'28.07 Makindye-Kibuye'!N25)</f>
        <v>0</v>
      </c>
      <c r="O25" s="15">
        <f t="shared" si="0"/>
        <v>107.28571428571429</v>
      </c>
      <c r="P25" s="15">
        <f t="shared" si="1"/>
        <v>322.28571428571428</v>
      </c>
      <c r="R25" s="1" t="s">
        <v>150</v>
      </c>
      <c r="S25" s="34">
        <f>SUM(C70:C73)</f>
        <v>233</v>
      </c>
      <c r="T25" s="34">
        <f t="shared" ref="T25:AF25" si="17">SUM(D70:D73)</f>
        <v>8.5</v>
      </c>
      <c r="U25" s="34">
        <f t="shared" si="17"/>
        <v>3</v>
      </c>
      <c r="V25" s="34">
        <f t="shared" si="17"/>
        <v>128.5</v>
      </c>
      <c r="W25" s="34">
        <f t="shared" si="17"/>
        <v>0</v>
      </c>
      <c r="X25" s="34">
        <f t="shared" si="17"/>
        <v>0</v>
      </c>
      <c r="Y25" s="34">
        <f t="shared" si="17"/>
        <v>2.5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620</v>
      </c>
      <c r="AD25" s="34">
        <f t="shared" si="17"/>
        <v>0</v>
      </c>
      <c r="AE25" s="31">
        <f t="shared" si="17"/>
        <v>375.5</v>
      </c>
      <c r="AF25" s="31">
        <f t="shared" si="17"/>
        <v>995.5</v>
      </c>
    </row>
    <row r="26" spans="2:32" ht="23.1" customHeight="1" x14ac:dyDescent="0.25">
      <c r="B26" s="23" t="s">
        <v>53</v>
      </c>
      <c r="C26" s="49">
        <f>AVERAGE('22.07 Makindye-Kibuye'!C26,'23.07 Makindye-Kibuye'!C26,'24.07 Makindye-Kibuye'!C26,'25.07 Makindye-Kibuye'!C26,'26.07 Makindye-Kibuye-24h'!C26,'27.07 Makindye-Kibuye-24h'!C26,'28.07 Makindye-Kibuye'!C26)</f>
        <v>43.142857142857146</v>
      </c>
      <c r="D26" s="49">
        <f>AVERAGE('22.07 Makindye-Kibuye'!D26,'23.07 Makindye-Kibuye'!D26,'24.07 Makindye-Kibuye'!D26,'25.07 Makindye-Kibuye'!D26,'26.07 Makindye-Kibuye-24h'!D26,'27.07 Makindye-Kibuye-24h'!D26,'28.07 Makindye-Kibuye'!D26)</f>
        <v>8.4285714285714288</v>
      </c>
      <c r="E26" s="49">
        <f>AVERAGE('22.07 Makindye-Kibuye'!E26,'23.07 Makindye-Kibuye'!E26,'24.07 Makindye-Kibuye'!E26,'25.07 Makindye-Kibuye'!E26,'26.07 Makindye-Kibuye-24h'!E26,'27.07 Makindye-Kibuye-24h'!E26,'28.07 Makindye-Kibuye'!E26)</f>
        <v>4</v>
      </c>
      <c r="F26" s="49">
        <f>AVERAGE('22.07 Makindye-Kibuye'!F26,'23.07 Makindye-Kibuye'!F26,'24.07 Makindye-Kibuye'!F26,'25.07 Makindye-Kibuye'!F26,'26.07 Makindye-Kibuye-24h'!F26,'27.07 Makindye-Kibuye-24h'!F26,'28.07 Makindye-Kibuye'!F26)</f>
        <v>30.428571428571427</v>
      </c>
      <c r="G26" s="49">
        <f>AVERAGE('22.07 Makindye-Kibuye'!G26,'23.07 Makindye-Kibuye'!G26,'24.07 Makindye-Kibuye'!G26,'25.07 Makindye-Kibuye'!G26,'26.07 Makindye-Kibuye-24h'!G26,'27.07 Makindye-Kibuye-24h'!G26,'28.07 Makindye-Kibuye'!G26)</f>
        <v>0</v>
      </c>
      <c r="H26" s="49">
        <f>AVERAGE('22.07 Makindye-Kibuye'!H26,'23.07 Makindye-Kibuye'!H26,'24.07 Makindye-Kibuye'!H26,'25.07 Makindye-Kibuye'!H26,'26.07 Makindye-Kibuye-24h'!H26,'27.07 Makindye-Kibuye-24h'!H26,'28.07 Makindye-Kibuye'!H26)</f>
        <v>0</v>
      </c>
      <c r="I26" s="49">
        <f>AVERAGE('22.07 Makindye-Kibuye'!I26,'23.07 Makindye-Kibuye'!I26,'24.07 Makindye-Kibuye'!I26,'25.07 Makindye-Kibuye'!I26,'26.07 Makindye-Kibuye-24h'!I26,'27.07 Makindye-Kibuye-24h'!I26,'28.07 Makindye-Kibuye'!I26)</f>
        <v>1.8571428571428572</v>
      </c>
      <c r="J26" s="49">
        <f>AVERAGE('22.07 Makindye-Kibuye'!J26,'23.07 Makindye-Kibuye'!J26,'24.07 Makindye-Kibuye'!J26,'25.07 Makindye-Kibuye'!J26,'26.07 Makindye-Kibuye-24h'!J26,'27.07 Makindye-Kibuye-24h'!J26,'28.07 Makindye-Kibuye'!J26)</f>
        <v>0.8571428571428571</v>
      </c>
      <c r="K26" s="49">
        <f>AVERAGE('22.07 Makindye-Kibuye'!K26,'23.07 Makindye-Kibuye'!K26,'24.07 Makindye-Kibuye'!K26,'25.07 Makindye-Kibuye'!K26,'26.07 Makindye-Kibuye-24h'!K26,'27.07 Makindye-Kibuye-24h'!K26,'28.07 Makindye-Kibuye'!K26)</f>
        <v>0.42857142857142855</v>
      </c>
      <c r="L26" s="49">
        <f>AVERAGE('22.07 Makindye-Kibuye'!L26,'23.07 Makindye-Kibuye'!L26,'24.07 Makindye-Kibuye'!L26,'25.07 Makindye-Kibuye'!L26,'26.07 Makindye-Kibuye-24h'!L26,'27.07 Makindye-Kibuye-24h'!L26,'28.07 Makindye-Kibuye'!L26)</f>
        <v>0</v>
      </c>
      <c r="M26" s="49">
        <f>AVERAGE('22.07 Makindye-Kibuye'!M26,'23.07 Makindye-Kibuye'!M26,'24.07 Makindye-Kibuye'!M26,'25.07 Makindye-Kibuye'!M26,'26.07 Makindye-Kibuye-24h'!M26,'27.07 Makindye-Kibuye-24h'!M26,'28.07 Makindye-Kibuye'!M26)</f>
        <v>211.42857142857142</v>
      </c>
      <c r="N26" s="49">
        <f>AVERAGE('22.07 Makindye-Kibuye'!N26,'23.07 Makindye-Kibuye'!N26,'24.07 Makindye-Kibuye'!N26,'25.07 Makindye-Kibuye'!N26,'26.07 Makindye-Kibuye-24h'!N26,'27.07 Makindye-Kibuye-24h'!N26,'28.07 Makindye-Kibuye'!N26)</f>
        <v>0</v>
      </c>
      <c r="O26" s="15">
        <f t="shared" si="0"/>
        <v>89.142857142857153</v>
      </c>
      <c r="P26" s="15">
        <f t="shared" si="1"/>
        <v>300.57142857142856</v>
      </c>
      <c r="R26" s="1" t="s">
        <v>151</v>
      </c>
      <c r="S26" s="34">
        <f>SUM(C74:C77)</f>
        <v>153.5</v>
      </c>
      <c r="T26" s="34">
        <f t="shared" ref="T26:AF26" si="18">SUM(D74:D77)</f>
        <v>5.5</v>
      </c>
      <c r="U26" s="34">
        <f t="shared" si="18"/>
        <v>5.5</v>
      </c>
      <c r="V26" s="34">
        <f t="shared" si="18"/>
        <v>106</v>
      </c>
      <c r="W26" s="34">
        <f t="shared" si="18"/>
        <v>1</v>
      </c>
      <c r="X26" s="34">
        <f t="shared" si="18"/>
        <v>0</v>
      </c>
      <c r="Y26" s="34">
        <f t="shared" si="18"/>
        <v>1.5</v>
      </c>
      <c r="Z26" s="34">
        <f t="shared" si="18"/>
        <v>2.5</v>
      </c>
      <c r="AA26" s="34">
        <f t="shared" si="18"/>
        <v>0</v>
      </c>
      <c r="AB26" s="34">
        <f t="shared" si="18"/>
        <v>0</v>
      </c>
      <c r="AC26" s="34">
        <f t="shared" si="18"/>
        <v>470</v>
      </c>
      <c r="AD26" s="34">
        <f t="shared" si="18"/>
        <v>0.5</v>
      </c>
      <c r="AE26" s="31">
        <f t="shared" si="18"/>
        <v>276</v>
      </c>
      <c r="AF26" s="31">
        <f t="shared" si="18"/>
        <v>746</v>
      </c>
    </row>
    <row r="27" spans="2:32" ht="23.1" customHeight="1" x14ac:dyDescent="0.25">
      <c r="B27" s="23" t="s">
        <v>54</v>
      </c>
      <c r="C27" s="49">
        <f>AVERAGE('22.07 Makindye-Kibuye'!C27,'23.07 Makindye-Kibuye'!C27,'24.07 Makindye-Kibuye'!C27,'25.07 Makindye-Kibuye'!C27,'26.07 Makindye-Kibuye-24h'!C27,'27.07 Makindye-Kibuye-24h'!C27,'28.07 Makindye-Kibuye'!C27)</f>
        <v>52.571428571428569</v>
      </c>
      <c r="D27" s="49">
        <f>AVERAGE('22.07 Makindye-Kibuye'!D27,'23.07 Makindye-Kibuye'!D27,'24.07 Makindye-Kibuye'!D27,'25.07 Makindye-Kibuye'!D27,'26.07 Makindye-Kibuye-24h'!D27,'27.07 Makindye-Kibuye-24h'!D27,'28.07 Makindye-Kibuye'!D27)</f>
        <v>8</v>
      </c>
      <c r="E27" s="49">
        <f>AVERAGE('22.07 Makindye-Kibuye'!E27,'23.07 Makindye-Kibuye'!E27,'24.07 Makindye-Kibuye'!E27,'25.07 Makindye-Kibuye'!E27,'26.07 Makindye-Kibuye-24h'!E27,'27.07 Makindye-Kibuye-24h'!E27,'28.07 Makindye-Kibuye'!E27)</f>
        <v>6.5714285714285712</v>
      </c>
      <c r="F27" s="49">
        <f>AVERAGE('22.07 Makindye-Kibuye'!F27,'23.07 Makindye-Kibuye'!F27,'24.07 Makindye-Kibuye'!F27,'25.07 Makindye-Kibuye'!F27,'26.07 Makindye-Kibuye-24h'!F27,'27.07 Makindye-Kibuye-24h'!F27,'28.07 Makindye-Kibuye'!F27)</f>
        <v>35.571428571428569</v>
      </c>
      <c r="G27" s="49">
        <f>AVERAGE('22.07 Makindye-Kibuye'!G27,'23.07 Makindye-Kibuye'!G27,'24.07 Makindye-Kibuye'!G27,'25.07 Makindye-Kibuye'!G27,'26.07 Makindye-Kibuye-24h'!G27,'27.07 Makindye-Kibuye-24h'!G27,'28.07 Makindye-Kibuye'!G27)</f>
        <v>0.2857142857142857</v>
      </c>
      <c r="H27" s="49">
        <f>AVERAGE('22.07 Makindye-Kibuye'!H27,'23.07 Makindye-Kibuye'!H27,'24.07 Makindye-Kibuye'!H27,'25.07 Makindye-Kibuye'!H27,'26.07 Makindye-Kibuye-24h'!H27,'27.07 Makindye-Kibuye-24h'!H27,'28.07 Makindye-Kibuye'!H27)</f>
        <v>0</v>
      </c>
      <c r="I27" s="49">
        <f>AVERAGE('22.07 Makindye-Kibuye'!I27,'23.07 Makindye-Kibuye'!I27,'24.07 Makindye-Kibuye'!I27,'25.07 Makindye-Kibuye'!I27,'26.07 Makindye-Kibuye-24h'!I27,'27.07 Makindye-Kibuye-24h'!I27,'28.07 Makindye-Kibuye'!I27)</f>
        <v>3.7142857142857144</v>
      </c>
      <c r="J27" s="49">
        <f>AVERAGE('22.07 Makindye-Kibuye'!J27,'23.07 Makindye-Kibuye'!J27,'24.07 Makindye-Kibuye'!J27,'25.07 Makindye-Kibuye'!J27,'26.07 Makindye-Kibuye-24h'!J27,'27.07 Makindye-Kibuye-24h'!J27,'28.07 Makindye-Kibuye'!J27)</f>
        <v>1</v>
      </c>
      <c r="K27" s="49">
        <f>AVERAGE('22.07 Makindye-Kibuye'!K27,'23.07 Makindye-Kibuye'!K27,'24.07 Makindye-Kibuye'!K27,'25.07 Makindye-Kibuye'!K27,'26.07 Makindye-Kibuye-24h'!K27,'27.07 Makindye-Kibuye-24h'!K27,'28.07 Makindye-Kibuye'!K27)</f>
        <v>0.5714285714285714</v>
      </c>
      <c r="L27" s="49">
        <f>AVERAGE('22.07 Makindye-Kibuye'!L27,'23.07 Makindye-Kibuye'!L27,'24.07 Makindye-Kibuye'!L27,'25.07 Makindye-Kibuye'!L27,'26.07 Makindye-Kibuye-24h'!L27,'27.07 Makindye-Kibuye-24h'!L27,'28.07 Makindye-Kibuye'!L27)</f>
        <v>0.2857142857142857</v>
      </c>
      <c r="M27" s="49">
        <f>AVERAGE('22.07 Makindye-Kibuye'!M27,'23.07 Makindye-Kibuye'!M27,'24.07 Makindye-Kibuye'!M27,'25.07 Makindye-Kibuye'!M27,'26.07 Makindye-Kibuye-24h'!M27,'27.07 Makindye-Kibuye-24h'!M27,'28.07 Makindye-Kibuye'!M27)</f>
        <v>200.71428571428572</v>
      </c>
      <c r="N27" s="49">
        <f>AVERAGE('22.07 Makindye-Kibuye'!N27,'23.07 Makindye-Kibuye'!N27,'24.07 Makindye-Kibuye'!N27,'25.07 Makindye-Kibuye'!N27,'26.07 Makindye-Kibuye-24h'!N27,'27.07 Makindye-Kibuye-24h'!N27,'28.07 Makindye-Kibuye'!N27)</f>
        <v>0</v>
      </c>
      <c r="O27" s="15">
        <f t="shared" si="0"/>
        <v>108.57142857142857</v>
      </c>
      <c r="P27" s="15">
        <f t="shared" si="1"/>
        <v>309.28571428571428</v>
      </c>
      <c r="R27" s="1" t="s">
        <v>152</v>
      </c>
      <c r="S27" s="34">
        <f>SUM(C78:C81)</f>
        <v>78.5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32.5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362.5</v>
      </c>
      <c r="AD27" s="34">
        <f t="shared" si="19"/>
        <v>0</v>
      </c>
      <c r="AE27" s="31">
        <f t="shared" si="19"/>
        <v>113</v>
      </c>
      <c r="AF27" s="31">
        <f t="shared" si="19"/>
        <v>475.5</v>
      </c>
    </row>
    <row r="28" spans="2:32" ht="23.1" customHeight="1" x14ac:dyDescent="0.25">
      <c r="B28" s="23" t="s">
        <v>55</v>
      </c>
      <c r="C28" s="49">
        <f>AVERAGE('22.07 Makindye-Kibuye'!C28,'23.07 Makindye-Kibuye'!C28,'24.07 Makindye-Kibuye'!C28,'25.07 Makindye-Kibuye'!C28,'26.07 Makindye-Kibuye-24h'!C28,'27.07 Makindye-Kibuye-24h'!C28,'28.07 Makindye-Kibuye'!C28)</f>
        <v>49.285714285714285</v>
      </c>
      <c r="D28" s="49">
        <f>AVERAGE('22.07 Makindye-Kibuye'!D28,'23.07 Makindye-Kibuye'!D28,'24.07 Makindye-Kibuye'!D28,'25.07 Makindye-Kibuye'!D28,'26.07 Makindye-Kibuye-24h'!D28,'27.07 Makindye-Kibuye-24h'!D28,'28.07 Makindye-Kibuye'!D28)</f>
        <v>8.4285714285714288</v>
      </c>
      <c r="E28" s="49">
        <f>AVERAGE('22.07 Makindye-Kibuye'!E28,'23.07 Makindye-Kibuye'!E28,'24.07 Makindye-Kibuye'!E28,'25.07 Makindye-Kibuye'!E28,'26.07 Makindye-Kibuye-24h'!E28,'27.07 Makindye-Kibuye-24h'!E28,'28.07 Makindye-Kibuye'!E28)</f>
        <v>6.5714285714285712</v>
      </c>
      <c r="F28" s="49">
        <f>AVERAGE('22.07 Makindye-Kibuye'!F28,'23.07 Makindye-Kibuye'!F28,'24.07 Makindye-Kibuye'!F28,'25.07 Makindye-Kibuye'!F28,'26.07 Makindye-Kibuye-24h'!F28,'27.07 Makindye-Kibuye-24h'!F28,'28.07 Makindye-Kibuye'!F28)</f>
        <v>35.571428571428569</v>
      </c>
      <c r="G28" s="49">
        <f>AVERAGE('22.07 Makindye-Kibuye'!G28,'23.07 Makindye-Kibuye'!G28,'24.07 Makindye-Kibuye'!G28,'25.07 Makindye-Kibuye'!G28,'26.07 Makindye-Kibuye-24h'!G28,'27.07 Makindye-Kibuye-24h'!G28,'28.07 Makindye-Kibuye'!G28)</f>
        <v>0.2857142857142857</v>
      </c>
      <c r="H28" s="49">
        <f>AVERAGE('22.07 Makindye-Kibuye'!H28,'23.07 Makindye-Kibuye'!H28,'24.07 Makindye-Kibuye'!H28,'25.07 Makindye-Kibuye'!H28,'26.07 Makindye-Kibuye-24h'!H28,'27.07 Makindye-Kibuye-24h'!H28,'28.07 Makindye-Kibuye'!H28)</f>
        <v>0</v>
      </c>
      <c r="I28" s="49">
        <f>AVERAGE('22.07 Makindye-Kibuye'!I28,'23.07 Makindye-Kibuye'!I28,'24.07 Makindye-Kibuye'!I28,'25.07 Makindye-Kibuye'!I28,'26.07 Makindye-Kibuye-24h'!I28,'27.07 Makindye-Kibuye-24h'!I28,'28.07 Makindye-Kibuye'!I28)</f>
        <v>2.1428571428571428</v>
      </c>
      <c r="J28" s="49">
        <f>AVERAGE('22.07 Makindye-Kibuye'!J28,'23.07 Makindye-Kibuye'!J28,'24.07 Makindye-Kibuye'!J28,'25.07 Makindye-Kibuye'!J28,'26.07 Makindye-Kibuye-24h'!J28,'27.07 Makindye-Kibuye-24h'!J28,'28.07 Makindye-Kibuye'!J28)</f>
        <v>2</v>
      </c>
      <c r="K28" s="49">
        <f>AVERAGE('22.07 Makindye-Kibuye'!K28,'23.07 Makindye-Kibuye'!K28,'24.07 Makindye-Kibuye'!K28,'25.07 Makindye-Kibuye'!K28,'26.07 Makindye-Kibuye-24h'!K28,'27.07 Makindye-Kibuye-24h'!K28,'28.07 Makindye-Kibuye'!K28)</f>
        <v>0.14285714285714285</v>
      </c>
      <c r="L28" s="49">
        <f>AVERAGE('22.07 Makindye-Kibuye'!L28,'23.07 Makindye-Kibuye'!L28,'24.07 Makindye-Kibuye'!L28,'25.07 Makindye-Kibuye'!L28,'26.07 Makindye-Kibuye-24h'!L28,'27.07 Makindye-Kibuye-24h'!L28,'28.07 Makindye-Kibuye'!L28)</f>
        <v>0</v>
      </c>
      <c r="M28" s="49">
        <f>AVERAGE('22.07 Makindye-Kibuye'!M28,'23.07 Makindye-Kibuye'!M28,'24.07 Makindye-Kibuye'!M28,'25.07 Makindye-Kibuye'!M28,'26.07 Makindye-Kibuye-24h'!M28,'27.07 Makindye-Kibuye-24h'!M28,'28.07 Makindye-Kibuye'!M28)</f>
        <v>216.42857142857142</v>
      </c>
      <c r="N28" s="49">
        <f>AVERAGE('22.07 Makindye-Kibuye'!N28,'23.07 Makindye-Kibuye'!N28,'24.07 Makindye-Kibuye'!N28,'25.07 Makindye-Kibuye'!N28,'26.07 Makindye-Kibuye-24h'!N28,'27.07 Makindye-Kibuye-24h'!N28,'28.07 Makindye-Kibuye'!N28)</f>
        <v>0</v>
      </c>
      <c r="O28" s="15">
        <f t="shared" si="0"/>
        <v>104.42857142857143</v>
      </c>
      <c r="P28" s="15">
        <f t="shared" si="1"/>
        <v>320.85714285714283</v>
      </c>
      <c r="R28" s="1" t="s">
        <v>153</v>
      </c>
      <c r="S28" s="34">
        <f>SUM(C82:C85)</f>
        <v>27</v>
      </c>
      <c r="T28" s="34">
        <f t="shared" ref="T28:AF28" si="20">SUM(D82:D85)</f>
        <v>2</v>
      </c>
      <c r="U28" s="34">
        <f t="shared" si="20"/>
        <v>2.5</v>
      </c>
      <c r="V28" s="34">
        <f t="shared" si="20"/>
        <v>9.5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234</v>
      </c>
      <c r="AD28" s="34">
        <f t="shared" si="20"/>
        <v>0</v>
      </c>
      <c r="AE28" s="31">
        <f t="shared" si="20"/>
        <v>41</v>
      </c>
      <c r="AF28" s="31">
        <f t="shared" si="20"/>
        <v>275</v>
      </c>
    </row>
    <row r="29" spans="2:32" ht="23.1" customHeight="1" x14ac:dyDescent="0.25">
      <c r="B29" s="23" t="s">
        <v>56</v>
      </c>
      <c r="C29" s="49">
        <f>AVERAGE('22.07 Makindye-Kibuye'!C29,'23.07 Makindye-Kibuye'!C29,'24.07 Makindye-Kibuye'!C29,'25.07 Makindye-Kibuye'!C29,'26.07 Makindye-Kibuye-24h'!C29,'27.07 Makindye-Kibuye-24h'!C29,'28.07 Makindye-Kibuye'!C29)</f>
        <v>32.571428571428569</v>
      </c>
      <c r="D29" s="49">
        <f>AVERAGE('22.07 Makindye-Kibuye'!D29,'23.07 Makindye-Kibuye'!D29,'24.07 Makindye-Kibuye'!D29,'25.07 Makindye-Kibuye'!D29,'26.07 Makindye-Kibuye-24h'!D29,'27.07 Makindye-Kibuye-24h'!D29,'28.07 Makindye-Kibuye'!D29)</f>
        <v>7.4285714285714288</v>
      </c>
      <c r="E29" s="49">
        <f>AVERAGE('22.07 Makindye-Kibuye'!E29,'23.07 Makindye-Kibuye'!E29,'24.07 Makindye-Kibuye'!E29,'25.07 Makindye-Kibuye'!E29,'26.07 Makindye-Kibuye-24h'!E29,'27.07 Makindye-Kibuye-24h'!E29,'28.07 Makindye-Kibuye'!E29)</f>
        <v>4.1428571428571432</v>
      </c>
      <c r="F29" s="49">
        <f>AVERAGE('22.07 Makindye-Kibuye'!F29,'23.07 Makindye-Kibuye'!F29,'24.07 Makindye-Kibuye'!F29,'25.07 Makindye-Kibuye'!F29,'26.07 Makindye-Kibuye-24h'!F29,'27.07 Makindye-Kibuye-24h'!F29,'28.07 Makindye-Kibuye'!F29)</f>
        <v>32.142857142857146</v>
      </c>
      <c r="G29" s="49">
        <f>AVERAGE('22.07 Makindye-Kibuye'!G29,'23.07 Makindye-Kibuye'!G29,'24.07 Makindye-Kibuye'!G29,'25.07 Makindye-Kibuye'!G29,'26.07 Makindye-Kibuye-24h'!G29,'27.07 Makindye-Kibuye-24h'!G29,'28.07 Makindye-Kibuye'!G29)</f>
        <v>0.14285714285714285</v>
      </c>
      <c r="H29" s="49">
        <f>AVERAGE('22.07 Makindye-Kibuye'!H29,'23.07 Makindye-Kibuye'!H29,'24.07 Makindye-Kibuye'!H29,'25.07 Makindye-Kibuye'!H29,'26.07 Makindye-Kibuye-24h'!H29,'27.07 Makindye-Kibuye-24h'!H29,'28.07 Makindye-Kibuye'!H29)</f>
        <v>0</v>
      </c>
      <c r="I29" s="49">
        <f>AVERAGE('22.07 Makindye-Kibuye'!I29,'23.07 Makindye-Kibuye'!I29,'24.07 Makindye-Kibuye'!I29,'25.07 Makindye-Kibuye'!I29,'26.07 Makindye-Kibuye-24h'!I29,'27.07 Makindye-Kibuye-24h'!I29,'28.07 Makindye-Kibuye'!I29)</f>
        <v>2.4285714285714284</v>
      </c>
      <c r="J29" s="49">
        <f>AVERAGE('22.07 Makindye-Kibuye'!J29,'23.07 Makindye-Kibuye'!J29,'24.07 Makindye-Kibuye'!J29,'25.07 Makindye-Kibuye'!J29,'26.07 Makindye-Kibuye-24h'!J29,'27.07 Makindye-Kibuye-24h'!J29,'28.07 Makindye-Kibuye'!J29)</f>
        <v>2.7142857142857144</v>
      </c>
      <c r="K29" s="49">
        <f>AVERAGE('22.07 Makindye-Kibuye'!K29,'23.07 Makindye-Kibuye'!K29,'24.07 Makindye-Kibuye'!K29,'25.07 Makindye-Kibuye'!K29,'26.07 Makindye-Kibuye-24h'!K29,'27.07 Makindye-Kibuye-24h'!K29,'28.07 Makindye-Kibuye'!K29)</f>
        <v>0.2857142857142857</v>
      </c>
      <c r="L29" s="49">
        <f>AVERAGE('22.07 Makindye-Kibuye'!L29,'23.07 Makindye-Kibuye'!L29,'24.07 Makindye-Kibuye'!L29,'25.07 Makindye-Kibuye'!L29,'26.07 Makindye-Kibuye-24h'!L29,'27.07 Makindye-Kibuye-24h'!L29,'28.07 Makindye-Kibuye'!L29)</f>
        <v>0</v>
      </c>
      <c r="M29" s="49">
        <f>AVERAGE('22.07 Makindye-Kibuye'!M29,'23.07 Makindye-Kibuye'!M29,'24.07 Makindye-Kibuye'!M29,'25.07 Makindye-Kibuye'!M29,'26.07 Makindye-Kibuye-24h'!M29,'27.07 Makindye-Kibuye-24h'!M29,'28.07 Makindye-Kibuye'!M29)</f>
        <v>200.71428571428572</v>
      </c>
      <c r="N29" s="49">
        <f>AVERAGE('22.07 Makindye-Kibuye'!N29,'23.07 Makindye-Kibuye'!N29,'24.07 Makindye-Kibuye'!N29,'25.07 Makindye-Kibuye'!N29,'26.07 Makindye-Kibuye-24h'!N29,'27.07 Makindye-Kibuye-24h'!N29,'28.07 Makindye-Kibuye'!N29)</f>
        <v>0</v>
      </c>
      <c r="O29" s="15">
        <f t="shared" si="0"/>
        <v>81.857142857142861</v>
      </c>
      <c r="P29" s="15">
        <f t="shared" si="1"/>
        <v>282.57142857142856</v>
      </c>
      <c r="R29" s="1" t="s">
        <v>154</v>
      </c>
      <c r="S29" s="34">
        <f>SUM(C86:C89)</f>
        <v>34</v>
      </c>
      <c r="T29" s="34">
        <f t="shared" ref="T29:AF29" si="21">SUM(D86:D89)</f>
        <v>2</v>
      </c>
      <c r="U29" s="34">
        <f t="shared" si="21"/>
        <v>1</v>
      </c>
      <c r="V29" s="34">
        <f t="shared" si="21"/>
        <v>13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109.5</v>
      </c>
      <c r="AD29" s="34">
        <f t="shared" si="21"/>
        <v>0</v>
      </c>
      <c r="AE29" s="31">
        <f t="shared" si="21"/>
        <v>50</v>
      </c>
      <c r="AF29" s="31">
        <f t="shared" si="21"/>
        <v>159.5</v>
      </c>
    </row>
    <row r="30" spans="2:32" ht="23.1" customHeight="1" x14ac:dyDescent="0.25">
      <c r="B30" s="23" t="s">
        <v>57</v>
      </c>
      <c r="C30" s="49">
        <f>AVERAGE('22.07 Makindye-Kibuye'!C30,'23.07 Makindye-Kibuye'!C30,'24.07 Makindye-Kibuye'!C30,'25.07 Makindye-Kibuye'!C30,'26.07 Makindye-Kibuye-24h'!C30,'27.07 Makindye-Kibuye-24h'!C30,'28.07 Makindye-Kibuye'!C30)</f>
        <v>40.857142857142854</v>
      </c>
      <c r="D30" s="49">
        <f>AVERAGE('22.07 Makindye-Kibuye'!D30,'23.07 Makindye-Kibuye'!D30,'24.07 Makindye-Kibuye'!D30,'25.07 Makindye-Kibuye'!D30,'26.07 Makindye-Kibuye-24h'!D30,'27.07 Makindye-Kibuye-24h'!D30,'28.07 Makindye-Kibuye'!D30)</f>
        <v>7.8571428571428568</v>
      </c>
      <c r="E30" s="49">
        <f>AVERAGE('22.07 Makindye-Kibuye'!E30,'23.07 Makindye-Kibuye'!E30,'24.07 Makindye-Kibuye'!E30,'25.07 Makindye-Kibuye'!E30,'26.07 Makindye-Kibuye-24h'!E30,'27.07 Makindye-Kibuye-24h'!E30,'28.07 Makindye-Kibuye'!E30)</f>
        <v>4.7142857142857144</v>
      </c>
      <c r="F30" s="49">
        <f>AVERAGE('22.07 Makindye-Kibuye'!F30,'23.07 Makindye-Kibuye'!F30,'24.07 Makindye-Kibuye'!F30,'25.07 Makindye-Kibuye'!F30,'26.07 Makindye-Kibuye-24h'!F30,'27.07 Makindye-Kibuye-24h'!F30,'28.07 Makindye-Kibuye'!F30)</f>
        <v>42.571428571428569</v>
      </c>
      <c r="G30" s="49">
        <f>AVERAGE('22.07 Makindye-Kibuye'!G30,'23.07 Makindye-Kibuye'!G30,'24.07 Makindye-Kibuye'!G30,'25.07 Makindye-Kibuye'!G30,'26.07 Makindye-Kibuye-24h'!G30,'27.07 Makindye-Kibuye-24h'!G30,'28.07 Makindye-Kibuye'!G30)</f>
        <v>0.2857142857142857</v>
      </c>
      <c r="H30" s="49">
        <f>AVERAGE('22.07 Makindye-Kibuye'!H30,'23.07 Makindye-Kibuye'!H30,'24.07 Makindye-Kibuye'!H30,'25.07 Makindye-Kibuye'!H30,'26.07 Makindye-Kibuye-24h'!H30,'27.07 Makindye-Kibuye-24h'!H30,'28.07 Makindye-Kibuye'!H30)</f>
        <v>0</v>
      </c>
      <c r="I30" s="49">
        <f>AVERAGE('22.07 Makindye-Kibuye'!I30,'23.07 Makindye-Kibuye'!I30,'24.07 Makindye-Kibuye'!I30,'25.07 Makindye-Kibuye'!I30,'26.07 Makindye-Kibuye-24h'!I30,'27.07 Makindye-Kibuye-24h'!I30,'28.07 Makindye-Kibuye'!I30)</f>
        <v>3.2857142857142856</v>
      </c>
      <c r="J30" s="49">
        <f>AVERAGE('22.07 Makindye-Kibuye'!J30,'23.07 Makindye-Kibuye'!J30,'24.07 Makindye-Kibuye'!J30,'25.07 Makindye-Kibuye'!J30,'26.07 Makindye-Kibuye-24h'!J30,'27.07 Makindye-Kibuye-24h'!J30,'28.07 Makindye-Kibuye'!J30)</f>
        <v>1.7142857142857142</v>
      </c>
      <c r="K30" s="49">
        <f>AVERAGE('22.07 Makindye-Kibuye'!K30,'23.07 Makindye-Kibuye'!K30,'24.07 Makindye-Kibuye'!K30,'25.07 Makindye-Kibuye'!K30,'26.07 Makindye-Kibuye-24h'!K30,'27.07 Makindye-Kibuye-24h'!K30,'28.07 Makindye-Kibuye'!K30)</f>
        <v>0.42857142857142855</v>
      </c>
      <c r="L30" s="49">
        <f>AVERAGE('22.07 Makindye-Kibuye'!L30,'23.07 Makindye-Kibuye'!L30,'24.07 Makindye-Kibuye'!L30,'25.07 Makindye-Kibuye'!L30,'26.07 Makindye-Kibuye-24h'!L30,'27.07 Makindye-Kibuye-24h'!L30,'28.07 Makindye-Kibuye'!L30)</f>
        <v>0.14285714285714285</v>
      </c>
      <c r="M30" s="49">
        <f>AVERAGE('22.07 Makindye-Kibuye'!M30,'23.07 Makindye-Kibuye'!M30,'24.07 Makindye-Kibuye'!M30,'25.07 Makindye-Kibuye'!M30,'26.07 Makindye-Kibuye-24h'!M30,'27.07 Makindye-Kibuye-24h'!M30,'28.07 Makindye-Kibuye'!M30)</f>
        <v>211.42857142857142</v>
      </c>
      <c r="N30" s="49">
        <f>AVERAGE('22.07 Makindye-Kibuye'!N30,'23.07 Makindye-Kibuye'!N30,'24.07 Makindye-Kibuye'!N30,'25.07 Makindye-Kibuye'!N30,'26.07 Makindye-Kibuye-24h'!N30,'27.07 Makindye-Kibuye-24h'!N30,'28.07 Makindye-Kibuye'!N30)</f>
        <v>0</v>
      </c>
      <c r="O30" s="15">
        <f t="shared" si="0"/>
        <v>101.85714285714286</v>
      </c>
      <c r="P30" s="15">
        <f t="shared" si="1"/>
        <v>313.28571428571428</v>
      </c>
      <c r="R30" s="1" t="s">
        <v>155</v>
      </c>
      <c r="S30" s="34">
        <f>SUM(C90:C93)</f>
        <v>28</v>
      </c>
      <c r="T30" s="34">
        <f t="shared" ref="T30:AF30" si="22">SUM(D90:D93)</f>
        <v>3</v>
      </c>
      <c r="U30" s="34">
        <f t="shared" si="22"/>
        <v>0.5</v>
      </c>
      <c r="V30" s="34">
        <f t="shared" si="22"/>
        <v>1.5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0.5</v>
      </c>
      <c r="AA30" s="34">
        <f t="shared" si="22"/>
        <v>1</v>
      </c>
      <c r="AB30" s="34">
        <f t="shared" si="22"/>
        <v>0</v>
      </c>
      <c r="AC30" s="34">
        <f t="shared" si="22"/>
        <v>97.5</v>
      </c>
      <c r="AD30" s="34">
        <f t="shared" si="22"/>
        <v>0</v>
      </c>
      <c r="AE30" s="31">
        <f t="shared" si="22"/>
        <v>35.5</v>
      </c>
      <c r="AF30" s="31">
        <f t="shared" si="22"/>
        <v>133</v>
      </c>
    </row>
    <row r="31" spans="2:32" ht="23.1" customHeight="1" x14ac:dyDescent="0.25">
      <c r="B31" s="24" t="s">
        <v>58</v>
      </c>
      <c r="C31" s="49">
        <f>AVERAGE('22.07 Makindye-Kibuye'!C31,'23.07 Makindye-Kibuye'!C31,'24.07 Makindye-Kibuye'!C31,'25.07 Makindye-Kibuye'!C31,'26.07 Makindye-Kibuye-24h'!C31,'27.07 Makindye-Kibuye-24h'!C31,'28.07 Makindye-Kibuye'!C31)</f>
        <v>43.714285714285715</v>
      </c>
      <c r="D31" s="49">
        <f>AVERAGE('22.07 Makindye-Kibuye'!D31,'23.07 Makindye-Kibuye'!D31,'24.07 Makindye-Kibuye'!D31,'25.07 Makindye-Kibuye'!D31,'26.07 Makindye-Kibuye-24h'!D31,'27.07 Makindye-Kibuye-24h'!D31,'28.07 Makindye-Kibuye'!D31)</f>
        <v>9.1428571428571423</v>
      </c>
      <c r="E31" s="49">
        <f>AVERAGE('22.07 Makindye-Kibuye'!E31,'23.07 Makindye-Kibuye'!E31,'24.07 Makindye-Kibuye'!E31,'25.07 Makindye-Kibuye'!E31,'26.07 Makindye-Kibuye-24h'!E31,'27.07 Makindye-Kibuye-24h'!E31,'28.07 Makindye-Kibuye'!E31)</f>
        <v>7.7142857142857144</v>
      </c>
      <c r="F31" s="49">
        <f>AVERAGE('22.07 Makindye-Kibuye'!F31,'23.07 Makindye-Kibuye'!F31,'24.07 Makindye-Kibuye'!F31,'25.07 Makindye-Kibuye'!F31,'26.07 Makindye-Kibuye-24h'!F31,'27.07 Makindye-Kibuye-24h'!F31,'28.07 Makindye-Kibuye'!F31)</f>
        <v>37.428571428571431</v>
      </c>
      <c r="G31" s="49">
        <f>AVERAGE('22.07 Makindye-Kibuye'!G31,'23.07 Makindye-Kibuye'!G31,'24.07 Makindye-Kibuye'!G31,'25.07 Makindye-Kibuye'!G31,'26.07 Makindye-Kibuye-24h'!G31,'27.07 Makindye-Kibuye-24h'!G31,'28.07 Makindye-Kibuye'!G31)</f>
        <v>0.2857142857142857</v>
      </c>
      <c r="H31" s="49">
        <f>AVERAGE('22.07 Makindye-Kibuye'!H31,'23.07 Makindye-Kibuye'!H31,'24.07 Makindye-Kibuye'!H31,'25.07 Makindye-Kibuye'!H31,'26.07 Makindye-Kibuye-24h'!H31,'27.07 Makindye-Kibuye-24h'!H31,'28.07 Makindye-Kibuye'!H31)</f>
        <v>0</v>
      </c>
      <c r="I31" s="49">
        <f>AVERAGE('22.07 Makindye-Kibuye'!I31,'23.07 Makindye-Kibuye'!I31,'24.07 Makindye-Kibuye'!I31,'25.07 Makindye-Kibuye'!I31,'26.07 Makindye-Kibuye-24h'!I31,'27.07 Makindye-Kibuye-24h'!I31,'28.07 Makindye-Kibuye'!I31)</f>
        <v>3.2857142857142856</v>
      </c>
      <c r="J31" s="49">
        <f>AVERAGE('22.07 Makindye-Kibuye'!J31,'23.07 Makindye-Kibuye'!J31,'24.07 Makindye-Kibuye'!J31,'25.07 Makindye-Kibuye'!J31,'26.07 Makindye-Kibuye-24h'!J31,'27.07 Makindye-Kibuye-24h'!J31,'28.07 Makindye-Kibuye'!J31)</f>
        <v>1</v>
      </c>
      <c r="K31" s="49">
        <f>AVERAGE('22.07 Makindye-Kibuye'!K31,'23.07 Makindye-Kibuye'!K31,'24.07 Makindye-Kibuye'!K31,'25.07 Makindye-Kibuye'!K31,'26.07 Makindye-Kibuye-24h'!K31,'27.07 Makindye-Kibuye-24h'!K31,'28.07 Makindye-Kibuye'!K31)</f>
        <v>0.14285714285714285</v>
      </c>
      <c r="L31" s="49">
        <f>AVERAGE('22.07 Makindye-Kibuye'!L31,'23.07 Makindye-Kibuye'!L31,'24.07 Makindye-Kibuye'!L31,'25.07 Makindye-Kibuye'!L31,'26.07 Makindye-Kibuye-24h'!L31,'27.07 Makindye-Kibuye-24h'!L31,'28.07 Makindye-Kibuye'!L31)</f>
        <v>0</v>
      </c>
      <c r="M31" s="49">
        <f>AVERAGE('22.07 Makindye-Kibuye'!M31,'23.07 Makindye-Kibuye'!M31,'24.07 Makindye-Kibuye'!M31,'25.07 Makindye-Kibuye'!M31,'26.07 Makindye-Kibuye-24h'!M31,'27.07 Makindye-Kibuye-24h'!M31,'28.07 Makindye-Kibuye'!M31)</f>
        <v>210</v>
      </c>
      <c r="N31" s="49">
        <f>AVERAGE('22.07 Makindye-Kibuye'!N31,'23.07 Makindye-Kibuye'!N31,'24.07 Makindye-Kibuye'!N31,'25.07 Makindye-Kibuye'!N31,'26.07 Makindye-Kibuye-24h'!N31,'27.07 Makindye-Kibuye-24h'!N31,'28.07 Makindye-Kibuye'!N31)</f>
        <v>0</v>
      </c>
      <c r="O31" s="15">
        <f t="shared" si="0"/>
        <v>102.71428571428572</v>
      </c>
      <c r="P31" s="15">
        <f t="shared" si="1"/>
        <v>312.71428571428572</v>
      </c>
      <c r="R31" s="1" t="s">
        <v>156</v>
      </c>
      <c r="S31" s="34">
        <f>SUM(C94:C97)</f>
        <v>45.5</v>
      </c>
      <c r="T31" s="34">
        <f t="shared" ref="T31:AF31" si="23">SUM(D94:D97)</f>
        <v>2.5</v>
      </c>
      <c r="U31" s="34">
        <f t="shared" si="23"/>
        <v>0.5</v>
      </c>
      <c r="V31" s="34">
        <f t="shared" si="23"/>
        <v>32.5</v>
      </c>
      <c r="W31" s="34">
        <f t="shared" si="23"/>
        <v>0</v>
      </c>
      <c r="X31" s="34">
        <f t="shared" si="23"/>
        <v>0</v>
      </c>
      <c r="Y31" s="34">
        <f t="shared" si="23"/>
        <v>1.5</v>
      </c>
      <c r="Z31" s="34">
        <f t="shared" si="23"/>
        <v>0</v>
      </c>
      <c r="AA31" s="34">
        <f t="shared" si="23"/>
        <v>0.5</v>
      </c>
      <c r="AB31" s="34">
        <f t="shared" si="23"/>
        <v>0.5</v>
      </c>
      <c r="AC31" s="34">
        <f t="shared" si="23"/>
        <v>125</v>
      </c>
      <c r="AD31" s="34">
        <f t="shared" si="23"/>
        <v>0</v>
      </c>
      <c r="AE31" s="31">
        <f t="shared" si="23"/>
        <v>83.5</v>
      </c>
      <c r="AF31" s="31">
        <f t="shared" si="23"/>
        <v>208.5</v>
      </c>
    </row>
    <row r="32" spans="2:32" ht="23.1" customHeight="1" x14ac:dyDescent="0.25">
      <c r="B32" s="24" t="s">
        <v>59</v>
      </c>
      <c r="C32" s="49">
        <f>AVERAGE('22.07 Makindye-Kibuye'!C32,'23.07 Makindye-Kibuye'!C32,'24.07 Makindye-Kibuye'!C32,'25.07 Makindye-Kibuye'!C32,'26.07 Makindye-Kibuye-24h'!C32,'27.07 Makindye-Kibuye-24h'!C32,'28.07 Makindye-Kibuye'!C32)</f>
        <v>32.571428571428569</v>
      </c>
      <c r="D32" s="49">
        <f>AVERAGE('22.07 Makindye-Kibuye'!D32,'23.07 Makindye-Kibuye'!D32,'24.07 Makindye-Kibuye'!D32,'25.07 Makindye-Kibuye'!D32,'26.07 Makindye-Kibuye-24h'!D32,'27.07 Makindye-Kibuye-24h'!D32,'28.07 Makindye-Kibuye'!D32)</f>
        <v>7.2857142857142856</v>
      </c>
      <c r="E32" s="49">
        <f>AVERAGE('22.07 Makindye-Kibuye'!E32,'23.07 Makindye-Kibuye'!E32,'24.07 Makindye-Kibuye'!E32,'25.07 Makindye-Kibuye'!E32,'26.07 Makindye-Kibuye-24h'!E32,'27.07 Makindye-Kibuye-24h'!E32,'28.07 Makindye-Kibuye'!E32)</f>
        <v>3</v>
      </c>
      <c r="F32" s="49">
        <f>AVERAGE('22.07 Makindye-Kibuye'!F32,'23.07 Makindye-Kibuye'!F32,'24.07 Makindye-Kibuye'!F32,'25.07 Makindye-Kibuye'!F32,'26.07 Makindye-Kibuye-24h'!F32,'27.07 Makindye-Kibuye-24h'!F32,'28.07 Makindye-Kibuye'!F32)</f>
        <v>38</v>
      </c>
      <c r="G32" s="49">
        <f>AVERAGE('22.07 Makindye-Kibuye'!G32,'23.07 Makindye-Kibuye'!G32,'24.07 Makindye-Kibuye'!G32,'25.07 Makindye-Kibuye'!G32,'26.07 Makindye-Kibuye-24h'!G32,'27.07 Makindye-Kibuye-24h'!G32,'28.07 Makindye-Kibuye'!G32)</f>
        <v>0</v>
      </c>
      <c r="H32" s="49">
        <f>AVERAGE('22.07 Makindye-Kibuye'!H32,'23.07 Makindye-Kibuye'!H32,'24.07 Makindye-Kibuye'!H32,'25.07 Makindye-Kibuye'!H32,'26.07 Makindye-Kibuye-24h'!H32,'27.07 Makindye-Kibuye-24h'!H32,'28.07 Makindye-Kibuye'!H32)</f>
        <v>0.14285714285714285</v>
      </c>
      <c r="I32" s="49">
        <f>AVERAGE('22.07 Makindye-Kibuye'!I32,'23.07 Makindye-Kibuye'!I32,'24.07 Makindye-Kibuye'!I32,'25.07 Makindye-Kibuye'!I32,'26.07 Makindye-Kibuye-24h'!I32,'27.07 Makindye-Kibuye-24h'!I32,'28.07 Makindye-Kibuye'!I32)</f>
        <v>2.2857142857142856</v>
      </c>
      <c r="J32" s="49">
        <f>AVERAGE('22.07 Makindye-Kibuye'!J32,'23.07 Makindye-Kibuye'!J32,'24.07 Makindye-Kibuye'!J32,'25.07 Makindye-Kibuye'!J32,'26.07 Makindye-Kibuye-24h'!J32,'27.07 Makindye-Kibuye-24h'!J32,'28.07 Makindye-Kibuye'!J32)</f>
        <v>1.5714285714285714</v>
      </c>
      <c r="K32" s="49">
        <f>AVERAGE('22.07 Makindye-Kibuye'!K32,'23.07 Makindye-Kibuye'!K32,'24.07 Makindye-Kibuye'!K32,'25.07 Makindye-Kibuye'!K32,'26.07 Makindye-Kibuye-24h'!K32,'27.07 Makindye-Kibuye-24h'!K32,'28.07 Makindye-Kibuye'!K32)</f>
        <v>0.2857142857142857</v>
      </c>
      <c r="L32" s="49">
        <f>AVERAGE('22.07 Makindye-Kibuye'!L32,'23.07 Makindye-Kibuye'!L32,'24.07 Makindye-Kibuye'!L32,'25.07 Makindye-Kibuye'!L32,'26.07 Makindye-Kibuye-24h'!L32,'27.07 Makindye-Kibuye-24h'!L32,'28.07 Makindye-Kibuye'!L32)</f>
        <v>0</v>
      </c>
      <c r="M32" s="49">
        <f>AVERAGE('22.07 Makindye-Kibuye'!M32,'23.07 Makindye-Kibuye'!M32,'24.07 Makindye-Kibuye'!M32,'25.07 Makindye-Kibuye'!M32,'26.07 Makindye-Kibuye-24h'!M32,'27.07 Makindye-Kibuye-24h'!M32,'28.07 Makindye-Kibuye'!M32)</f>
        <v>211.42857142857142</v>
      </c>
      <c r="N32" s="49">
        <f>AVERAGE('22.07 Makindye-Kibuye'!N32,'23.07 Makindye-Kibuye'!N32,'24.07 Makindye-Kibuye'!N32,'25.07 Makindye-Kibuye'!N32,'26.07 Makindye-Kibuye-24h'!N32,'27.07 Makindye-Kibuye-24h'!N32,'28.07 Makindye-Kibuye'!N32)</f>
        <v>0</v>
      </c>
      <c r="O32" s="15">
        <f t="shared" si="0"/>
        <v>85.142857142857153</v>
      </c>
      <c r="P32" s="15">
        <f t="shared" si="1"/>
        <v>296.57142857142856</v>
      </c>
      <c r="R32" s="1" t="s">
        <v>157</v>
      </c>
      <c r="S32" s="34">
        <f>SUM(C98:C101)</f>
        <v>40.5</v>
      </c>
      <c r="T32" s="34">
        <f t="shared" ref="T32:AF32" si="24">SUM(D98:D101)</f>
        <v>3.5</v>
      </c>
      <c r="U32" s="34">
        <f t="shared" si="24"/>
        <v>13.5</v>
      </c>
      <c r="V32" s="34">
        <f t="shared" si="24"/>
        <v>40.5</v>
      </c>
      <c r="W32" s="34">
        <f t="shared" si="24"/>
        <v>0</v>
      </c>
      <c r="X32" s="34">
        <f t="shared" si="24"/>
        <v>0</v>
      </c>
      <c r="Y32" s="34">
        <f t="shared" si="24"/>
        <v>1.5</v>
      </c>
      <c r="Z32" s="34">
        <f t="shared" si="24"/>
        <v>2</v>
      </c>
      <c r="AA32" s="34">
        <f t="shared" si="24"/>
        <v>0.5</v>
      </c>
      <c r="AB32" s="34">
        <f t="shared" si="24"/>
        <v>1</v>
      </c>
      <c r="AC32" s="34">
        <f t="shared" si="24"/>
        <v>160</v>
      </c>
      <c r="AD32" s="34">
        <f t="shared" si="24"/>
        <v>0</v>
      </c>
      <c r="AE32" s="31">
        <f t="shared" si="24"/>
        <v>103</v>
      </c>
      <c r="AF32" s="31">
        <f t="shared" si="24"/>
        <v>263</v>
      </c>
    </row>
    <row r="33" spans="2:32" ht="23.1" customHeight="1" x14ac:dyDescent="0.25">
      <c r="B33" s="23" t="s">
        <v>60</v>
      </c>
      <c r="C33" s="49">
        <f>AVERAGE('22.07 Makindye-Kibuye'!C33,'23.07 Makindye-Kibuye'!C33,'24.07 Makindye-Kibuye'!C33,'25.07 Makindye-Kibuye'!C33,'26.07 Makindye-Kibuye-24h'!C33,'27.07 Makindye-Kibuye-24h'!C33,'28.07 Makindye-Kibuye'!C33)</f>
        <v>33.857142857142854</v>
      </c>
      <c r="D33" s="49">
        <f>AVERAGE('22.07 Makindye-Kibuye'!D33,'23.07 Makindye-Kibuye'!D33,'24.07 Makindye-Kibuye'!D33,'25.07 Makindye-Kibuye'!D33,'26.07 Makindye-Kibuye-24h'!D33,'27.07 Makindye-Kibuye-24h'!D33,'28.07 Makindye-Kibuye'!D33)</f>
        <v>6.5714285714285712</v>
      </c>
      <c r="E33" s="49">
        <f>AVERAGE('22.07 Makindye-Kibuye'!E33,'23.07 Makindye-Kibuye'!E33,'24.07 Makindye-Kibuye'!E33,'25.07 Makindye-Kibuye'!E33,'26.07 Makindye-Kibuye-24h'!E33,'27.07 Makindye-Kibuye-24h'!E33,'28.07 Makindye-Kibuye'!E33)</f>
        <v>3.7142857142857144</v>
      </c>
      <c r="F33" s="49">
        <f>AVERAGE('22.07 Makindye-Kibuye'!F33,'23.07 Makindye-Kibuye'!F33,'24.07 Makindye-Kibuye'!F33,'25.07 Makindye-Kibuye'!F33,'26.07 Makindye-Kibuye-24h'!F33,'27.07 Makindye-Kibuye-24h'!F33,'28.07 Makindye-Kibuye'!F33)</f>
        <v>33.142857142857146</v>
      </c>
      <c r="G33" s="49">
        <f>AVERAGE('22.07 Makindye-Kibuye'!G33,'23.07 Makindye-Kibuye'!G33,'24.07 Makindye-Kibuye'!G33,'25.07 Makindye-Kibuye'!G33,'26.07 Makindye-Kibuye-24h'!G33,'27.07 Makindye-Kibuye-24h'!G33,'28.07 Makindye-Kibuye'!G33)</f>
        <v>0</v>
      </c>
      <c r="H33" s="49">
        <f>AVERAGE('22.07 Makindye-Kibuye'!H33,'23.07 Makindye-Kibuye'!H33,'24.07 Makindye-Kibuye'!H33,'25.07 Makindye-Kibuye'!H33,'26.07 Makindye-Kibuye-24h'!H33,'27.07 Makindye-Kibuye-24h'!H33,'28.07 Makindye-Kibuye'!H33)</f>
        <v>0</v>
      </c>
      <c r="I33" s="49">
        <f>AVERAGE('22.07 Makindye-Kibuye'!I33,'23.07 Makindye-Kibuye'!I33,'24.07 Makindye-Kibuye'!I33,'25.07 Makindye-Kibuye'!I33,'26.07 Makindye-Kibuye-24h'!I33,'27.07 Makindye-Kibuye-24h'!I33,'28.07 Makindye-Kibuye'!I33)</f>
        <v>2.8571428571428572</v>
      </c>
      <c r="J33" s="49">
        <f>AVERAGE('22.07 Makindye-Kibuye'!J33,'23.07 Makindye-Kibuye'!J33,'24.07 Makindye-Kibuye'!J33,'25.07 Makindye-Kibuye'!J33,'26.07 Makindye-Kibuye-24h'!J33,'27.07 Makindye-Kibuye-24h'!J33,'28.07 Makindye-Kibuye'!J33)</f>
        <v>1.5714285714285714</v>
      </c>
      <c r="K33" s="49">
        <f>AVERAGE('22.07 Makindye-Kibuye'!K33,'23.07 Makindye-Kibuye'!K33,'24.07 Makindye-Kibuye'!K33,'25.07 Makindye-Kibuye'!K33,'26.07 Makindye-Kibuye-24h'!K33,'27.07 Makindye-Kibuye-24h'!K33,'28.07 Makindye-Kibuye'!K33)</f>
        <v>0.14285714285714285</v>
      </c>
      <c r="L33" s="49">
        <f>AVERAGE('22.07 Makindye-Kibuye'!L33,'23.07 Makindye-Kibuye'!L33,'24.07 Makindye-Kibuye'!L33,'25.07 Makindye-Kibuye'!L33,'26.07 Makindye-Kibuye-24h'!L33,'27.07 Makindye-Kibuye-24h'!L33,'28.07 Makindye-Kibuye'!L33)</f>
        <v>0.2857142857142857</v>
      </c>
      <c r="M33" s="49">
        <f>AVERAGE('22.07 Makindye-Kibuye'!M33,'23.07 Makindye-Kibuye'!M33,'24.07 Makindye-Kibuye'!M33,'25.07 Makindye-Kibuye'!M33,'26.07 Makindye-Kibuye-24h'!M33,'27.07 Makindye-Kibuye-24h'!M33,'28.07 Makindye-Kibuye'!M33)</f>
        <v>197.14285714285714</v>
      </c>
      <c r="N33" s="49">
        <f>AVERAGE('22.07 Makindye-Kibuye'!N33,'23.07 Makindye-Kibuye'!N33,'24.07 Makindye-Kibuye'!N33,'25.07 Makindye-Kibuye'!N33,'26.07 Makindye-Kibuye-24h'!N33,'27.07 Makindye-Kibuye-24h'!N33,'28.07 Makindye-Kibuye'!N33)</f>
        <v>0</v>
      </c>
      <c r="O33" s="15">
        <f t="shared" si="0"/>
        <v>82.142857142857139</v>
      </c>
      <c r="P33" s="15">
        <f t="shared" si="1"/>
        <v>279.28571428571428</v>
      </c>
      <c r="R33" s="1" t="s">
        <v>158</v>
      </c>
      <c r="S33" s="34">
        <f>SUM(C102:C105)</f>
        <v>142</v>
      </c>
      <c r="T33" s="34">
        <f t="shared" ref="T33:AF33" si="25">SUM(D102:D105)</f>
        <v>5</v>
      </c>
      <c r="U33" s="34">
        <f t="shared" si="25"/>
        <v>0</v>
      </c>
      <c r="V33" s="34">
        <f t="shared" si="25"/>
        <v>197.5</v>
      </c>
      <c r="W33" s="34">
        <f t="shared" si="25"/>
        <v>0</v>
      </c>
      <c r="X33" s="34">
        <f t="shared" si="25"/>
        <v>0</v>
      </c>
      <c r="Y33" s="34">
        <f t="shared" si="25"/>
        <v>0.5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220</v>
      </c>
      <c r="AD33" s="34">
        <f t="shared" si="25"/>
        <v>0</v>
      </c>
      <c r="AE33" s="31">
        <f t="shared" si="25"/>
        <v>345.5</v>
      </c>
      <c r="AF33" s="31">
        <f t="shared" si="25"/>
        <v>565.5</v>
      </c>
    </row>
    <row r="34" spans="2:32" ht="23.1" customHeight="1" x14ac:dyDescent="0.25">
      <c r="B34" s="24" t="s">
        <v>61</v>
      </c>
      <c r="C34" s="49">
        <f>AVERAGE('22.07 Makindye-Kibuye'!C34,'23.07 Makindye-Kibuye'!C34,'24.07 Makindye-Kibuye'!C34,'25.07 Makindye-Kibuye'!C34,'26.07 Makindye-Kibuye-24h'!C34,'27.07 Makindye-Kibuye-24h'!C34,'28.07 Makindye-Kibuye'!C34)</f>
        <v>37</v>
      </c>
      <c r="D34" s="49">
        <f>AVERAGE('22.07 Makindye-Kibuye'!D34,'23.07 Makindye-Kibuye'!D34,'24.07 Makindye-Kibuye'!D34,'25.07 Makindye-Kibuye'!D34,'26.07 Makindye-Kibuye-24h'!D34,'27.07 Makindye-Kibuye-24h'!D34,'28.07 Makindye-Kibuye'!D34)</f>
        <v>8</v>
      </c>
      <c r="E34" s="49">
        <f>AVERAGE('22.07 Makindye-Kibuye'!E34,'23.07 Makindye-Kibuye'!E34,'24.07 Makindye-Kibuye'!E34,'25.07 Makindye-Kibuye'!E34,'26.07 Makindye-Kibuye-24h'!E34,'27.07 Makindye-Kibuye-24h'!E34,'28.07 Makindye-Kibuye'!E34)</f>
        <v>5.7142857142857144</v>
      </c>
      <c r="F34" s="49">
        <f>AVERAGE('22.07 Makindye-Kibuye'!F34,'23.07 Makindye-Kibuye'!F34,'24.07 Makindye-Kibuye'!F34,'25.07 Makindye-Kibuye'!F34,'26.07 Makindye-Kibuye-24h'!F34,'27.07 Makindye-Kibuye-24h'!F34,'28.07 Makindye-Kibuye'!F34)</f>
        <v>36</v>
      </c>
      <c r="G34" s="49">
        <f>AVERAGE('22.07 Makindye-Kibuye'!G34,'23.07 Makindye-Kibuye'!G34,'24.07 Makindye-Kibuye'!G34,'25.07 Makindye-Kibuye'!G34,'26.07 Makindye-Kibuye-24h'!G34,'27.07 Makindye-Kibuye-24h'!G34,'28.07 Makindye-Kibuye'!G34)</f>
        <v>0</v>
      </c>
      <c r="H34" s="49">
        <f>AVERAGE('22.07 Makindye-Kibuye'!H34,'23.07 Makindye-Kibuye'!H34,'24.07 Makindye-Kibuye'!H34,'25.07 Makindye-Kibuye'!H34,'26.07 Makindye-Kibuye-24h'!H34,'27.07 Makindye-Kibuye-24h'!H34,'28.07 Makindye-Kibuye'!H34)</f>
        <v>0</v>
      </c>
      <c r="I34" s="49">
        <f>AVERAGE('22.07 Makindye-Kibuye'!I34,'23.07 Makindye-Kibuye'!I34,'24.07 Makindye-Kibuye'!I34,'25.07 Makindye-Kibuye'!I34,'26.07 Makindye-Kibuye-24h'!I34,'27.07 Makindye-Kibuye-24h'!I34,'28.07 Makindye-Kibuye'!I34)</f>
        <v>3.5714285714285716</v>
      </c>
      <c r="J34" s="49">
        <f>AVERAGE('22.07 Makindye-Kibuye'!J34,'23.07 Makindye-Kibuye'!J34,'24.07 Makindye-Kibuye'!J34,'25.07 Makindye-Kibuye'!J34,'26.07 Makindye-Kibuye-24h'!J34,'27.07 Makindye-Kibuye-24h'!J34,'28.07 Makindye-Kibuye'!J34)</f>
        <v>2</v>
      </c>
      <c r="K34" s="49">
        <f>AVERAGE('22.07 Makindye-Kibuye'!K34,'23.07 Makindye-Kibuye'!K34,'24.07 Makindye-Kibuye'!K34,'25.07 Makindye-Kibuye'!K34,'26.07 Makindye-Kibuye-24h'!K34,'27.07 Makindye-Kibuye-24h'!K34,'28.07 Makindye-Kibuye'!K34)</f>
        <v>0</v>
      </c>
      <c r="L34" s="49">
        <f>AVERAGE('22.07 Makindye-Kibuye'!L34,'23.07 Makindye-Kibuye'!L34,'24.07 Makindye-Kibuye'!L34,'25.07 Makindye-Kibuye'!L34,'26.07 Makindye-Kibuye-24h'!L34,'27.07 Makindye-Kibuye-24h'!L34,'28.07 Makindye-Kibuye'!L34)</f>
        <v>0.14285714285714285</v>
      </c>
      <c r="M34" s="49">
        <f>AVERAGE('22.07 Makindye-Kibuye'!M34,'23.07 Makindye-Kibuye'!M34,'24.07 Makindye-Kibuye'!M34,'25.07 Makindye-Kibuye'!M34,'26.07 Makindye-Kibuye-24h'!M34,'27.07 Makindye-Kibuye-24h'!M34,'28.07 Makindye-Kibuye'!M34)</f>
        <v>210</v>
      </c>
      <c r="N34" s="49">
        <f>AVERAGE('22.07 Makindye-Kibuye'!N34,'23.07 Makindye-Kibuye'!N34,'24.07 Makindye-Kibuye'!N34,'25.07 Makindye-Kibuye'!N34,'26.07 Makindye-Kibuye-24h'!N34,'27.07 Makindye-Kibuye-24h'!N34,'28.07 Makindye-Kibuye'!N34)</f>
        <v>0</v>
      </c>
      <c r="O34" s="15">
        <f t="shared" si="0"/>
        <v>92.428571428571431</v>
      </c>
      <c r="P34" s="15">
        <f t="shared" si="1"/>
        <v>302.42857142857144</v>
      </c>
      <c r="R34" s="38" t="s">
        <v>90</v>
      </c>
      <c r="S34" s="39">
        <f t="shared" ref="S34:AF34" si="26">MAX(S10:S12)</f>
        <v>190.42857142857142</v>
      </c>
      <c r="T34" s="39">
        <f t="shared" si="26"/>
        <v>32.285714285714285</v>
      </c>
      <c r="U34" s="39">
        <f t="shared" si="26"/>
        <v>22.714285714285715</v>
      </c>
      <c r="V34" s="39">
        <f t="shared" si="26"/>
        <v>133.28571428571428</v>
      </c>
      <c r="W34" s="39">
        <f t="shared" si="26"/>
        <v>0.8571428571428571</v>
      </c>
      <c r="X34" s="39">
        <f t="shared" si="26"/>
        <v>0.14285714285714285</v>
      </c>
      <c r="Y34" s="39">
        <f t="shared" si="26"/>
        <v>10.714285714285715</v>
      </c>
      <c r="Z34" s="39">
        <f t="shared" si="26"/>
        <v>5.4285714285714288</v>
      </c>
      <c r="AA34" s="39">
        <f t="shared" si="26"/>
        <v>0.99999999999999989</v>
      </c>
      <c r="AB34" s="39">
        <f t="shared" si="26"/>
        <v>0.14285714285714285</v>
      </c>
      <c r="AC34" s="39">
        <f t="shared" si="26"/>
        <v>829.28571428571422</v>
      </c>
      <c r="AD34" s="39">
        <f t="shared" si="26"/>
        <v>0</v>
      </c>
      <c r="AE34" s="40">
        <f t="shared" si="26"/>
        <v>396.85714285714283</v>
      </c>
      <c r="AF34" s="40">
        <f t="shared" si="26"/>
        <v>1208.2857142857142</v>
      </c>
    </row>
    <row r="35" spans="2:32" ht="23.1" customHeight="1" x14ac:dyDescent="0.25">
      <c r="B35" s="24" t="s">
        <v>62</v>
      </c>
      <c r="C35" s="49">
        <f>AVERAGE('22.07 Makindye-Kibuye'!C35,'23.07 Makindye-Kibuye'!C35,'24.07 Makindye-Kibuye'!C35,'25.07 Makindye-Kibuye'!C35,'26.07 Makindye-Kibuye-24h'!C35,'27.07 Makindye-Kibuye-24h'!C35,'28.07 Makindye-Kibuye'!C35)</f>
        <v>42</v>
      </c>
      <c r="D35" s="49">
        <f>AVERAGE('22.07 Makindye-Kibuye'!D35,'23.07 Makindye-Kibuye'!D35,'24.07 Makindye-Kibuye'!D35,'25.07 Makindye-Kibuye'!D35,'26.07 Makindye-Kibuye-24h'!D35,'27.07 Makindye-Kibuye-24h'!D35,'28.07 Makindye-Kibuye'!D35)</f>
        <v>6.4285714285714288</v>
      </c>
      <c r="E35" s="49">
        <f>AVERAGE('22.07 Makindye-Kibuye'!E35,'23.07 Makindye-Kibuye'!E35,'24.07 Makindye-Kibuye'!E35,'25.07 Makindye-Kibuye'!E35,'26.07 Makindye-Kibuye-24h'!E35,'27.07 Makindye-Kibuye-24h'!E35,'28.07 Makindye-Kibuye'!E35)</f>
        <v>4.8571428571428568</v>
      </c>
      <c r="F35" s="49">
        <f>AVERAGE('22.07 Makindye-Kibuye'!F35,'23.07 Makindye-Kibuye'!F35,'24.07 Makindye-Kibuye'!F35,'25.07 Makindye-Kibuye'!F35,'26.07 Makindye-Kibuye-24h'!F35,'27.07 Makindye-Kibuye-24h'!F35,'28.07 Makindye-Kibuye'!F35)</f>
        <v>37</v>
      </c>
      <c r="G35" s="49">
        <f>AVERAGE('22.07 Makindye-Kibuye'!G35,'23.07 Makindye-Kibuye'!G35,'24.07 Makindye-Kibuye'!G35,'25.07 Makindye-Kibuye'!G35,'26.07 Makindye-Kibuye-24h'!G35,'27.07 Makindye-Kibuye-24h'!G35,'28.07 Makindye-Kibuye'!G35)</f>
        <v>0.14285714285714285</v>
      </c>
      <c r="H35" s="49">
        <f>AVERAGE('22.07 Makindye-Kibuye'!H35,'23.07 Makindye-Kibuye'!H35,'24.07 Makindye-Kibuye'!H35,'25.07 Makindye-Kibuye'!H35,'26.07 Makindye-Kibuye-24h'!H35,'27.07 Makindye-Kibuye-24h'!H35,'28.07 Makindye-Kibuye'!H35)</f>
        <v>0</v>
      </c>
      <c r="I35" s="49">
        <f>AVERAGE('22.07 Makindye-Kibuye'!I35,'23.07 Makindye-Kibuye'!I35,'24.07 Makindye-Kibuye'!I35,'25.07 Makindye-Kibuye'!I35,'26.07 Makindye-Kibuye-24h'!I35,'27.07 Makindye-Kibuye-24h'!I35,'28.07 Makindye-Kibuye'!I35)</f>
        <v>3.8571428571428572</v>
      </c>
      <c r="J35" s="49">
        <f>AVERAGE('22.07 Makindye-Kibuye'!J35,'23.07 Makindye-Kibuye'!J35,'24.07 Makindye-Kibuye'!J35,'25.07 Makindye-Kibuye'!J35,'26.07 Makindye-Kibuye-24h'!J35,'27.07 Makindye-Kibuye-24h'!J35,'28.07 Makindye-Kibuye'!J35)</f>
        <v>1.8571428571428572</v>
      </c>
      <c r="K35" s="49">
        <f>AVERAGE('22.07 Makindye-Kibuye'!K35,'23.07 Makindye-Kibuye'!K35,'24.07 Makindye-Kibuye'!K35,'25.07 Makindye-Kibuye'!K35,'26.07 Makindye-Kibuye-24h'!K35,'27.07 Makindye-Kibuye-24h'!K35,'28.07 Makindye-Kibuye'!K35)</f>
        <v>0.2857142857142857</v>
      </c>
      <c r="L35" s="49">
        <f>AVERAGE('22.07 Makindye-Kibuye'!L35,'23.07 Makindye-Kibuye'!L35,'24.07 Makindye-Kibuye'!L35,'25.07 Makindye-Kibuye'!L35,'26.07 Makindye-Kibuye-24h'!L35,'27.07 Makindye-Kibuye-24h'!L35,'28.07 Makindye-Kibuye'!L35)</f>
        <v>0</v>
      </c>
      <c r="M35" s="49">
        <f>AVERAGE('22.07 Makindye-Kibuye'!M35,'23.07 Makindye-Kibuye'!M35,'24.07 Makindye-Kibuye'!M35,'25.07 Makindye-Kibuye'!M35,'26.07 Makindye-Kibuye-24h'!M35,'27.07 Makindye-Kibuye-24h'!M35,'28.07 Makindye-Kibuye'!M35)</f>
        <v>215</v>
      </c>
      <c r="N35" s="49">
        <f>AVERAGE('22.07 Makindye-Kibuye'!N35,'23.07 Makindye-Kibuye'!N35,'24.07 Makindye-Kibuye'!N35,'25.07 Makindye-Kibuye'!N35,'26.07 Makindye-Kibuye-24h'!N35,'27.07 Makindye-Kibuye-24h'!N35,'28.07 Makindye-Kibuye'!N35)</f>
        <v>0</v>
      </c>
      <c r="O35" s="15">
        <f t="shared" si="0"/>
        <v>96.428571428571431</v>
      </c>
      <c r="P35" s="15">
        <f t="shared" si="1"/>
        <v>311.42857142857144</v>
      </c>
      <c r="R35" s="38" t="s">
        <v>91</v>
      </c>
      <c r="S35" s="39">
        <f t="shared" ref="S35:AF35" si="27">MAX(S13:S18)</f>
        <v>182.28571428571428</v>
      </c>
      <c r="T35" s="39">
        <f t="shared" si="27"/>
        <v>33.142857142857139</v>
      </c>
      <c r="U35" s="39">
        <f t="shared" si="27"/>
        <v>25.428571428571431</v>
      </c>
      <c r="V35" s="39">
        <f t="shared" si="27"/>
        <v>151.14285714285714</v>
      </c>
      <c r="W35" s="39">
        <f t="shared" si="27"/>
        <v>1.714285714285714</v>
      </c>
      <c r="X35" s="39">
        <f t="shared" si="27"/>
        <v>0.42857142857142855</v>
      </c>
      <c r="Y35" s="39">
        <f t="shared" si="27"/>
        <v>12.571428571428571</v>
      </c>
      <c r="Z35" s="39">
        <f t="shared" si="27"/>
        <v>7.8571428571428577</v>
      </c>
      <c r="AA35" s="39">
        <f t="shared" si="27"/>
        <v>1.4285714285714284</v>
      </c>
      <c r="AB35" s="39">
        <f t="shared" si="27"/>
        <v>0.42857142857142855</v>
      </c>
      <c r="AC35" s="39">
        <f t="shared" si="27"/>
        <v>875.71428571428578</v>
      </c>
      <c r="AD35" s="39">
        <f t="shared" si="27"/>
        <v>0.2857142857142857</v>
      </c>
      <c r="AE35" s="40">
        <f t="shared" si="27"/>
        <v>407.99999999999994</v>
      </c>
      <c r="AF35" s="40">
        <f t="shared" si="27"/>
        <v>1283.7142857142856</v>
      </c>
    </row>
    <row r="36" spans="2:32" ht="23.1" customHeight="1" x14ac:dyDescent="0.25">
      <c r="B36" s="24" t="s">
        <v>63</v>
      </c>
      <c r="C36" s="49">
        <f>AVERAGE('22.07 Makindye-Kibuye'!C36,'23.07 Makindye-Kibuye'!C36,'24.07 Makindye-Kibuye'!C36,'25.07 Makindye-Kibuye'!C36,'26.07 Makindye-Kibuye-24h'!C36,'27.07 Makindye-Kibuye-24h'!C36,'28.07 Makindye-Kibuye'!C36)</f>
        <v>30.428571428571427</v>
      </c>
      <c r="D36" s="49">
        <f>AVERAGE('22.07 Makindye-Kibuye'!D36,'23.07 Makindye-Kibuye'!D36,'24.07 Makindye-Kibuye'!D36,'25.07 Makindye-Kibuye'!D36,'26.07 Makindye-Kibuye-24h'!D36,'27.07 Makindye-Kibuye-24h'!D36,'28.07 Makindye-Kibuye'!D36)</f>
        <v>7.4285714285714288</v>
      </c>
      <c r="E36" s="49">
        <f>AVERAGE('22.07 Makindye-Kibuye'!E36,'23.07 Makindye-Kibuye'!E36,'24.07 Makindye-Kibuye'!E36,'25.07 Makindye-Kibuye'!E36,'26.07 Makindye-Kibuye-24h'!E36,'27.07 Makindye-Kibuye-24h'!E36,'28.07 Makindye-Kibuye'!E36)</f>
        <v>6.7142857142857144</v>
      </c>
      <c r="F36" s="49">
        <f>AVERAGE('22.07 Makindye-Kibuye'!F36,'23.07 Makindye-Kibuye'!F36,'24.07 Makindye-Kibuye'!F36,'25.07 Makindye-Kibuye'!F36,'26.07 Makindye-Kibuye-24h'!F36,'27.07 Makindye-Kibuye-24h'!F36,'28.07 Makindye-Kibuye'!F36)</f>
        <v>33.857142857142854</v>
      </c>
      <c r="G36" s="49">
        <f>AVERAGE('22.07 Makindye-Kibuye'!G36,'23.07 Makindye-Kibuye'!G36,'24.07 Makindye-Kibuye'!G36,'25.07 Makindye-Kibuye'!G36,'26.07 Makindye-Kibuye-24h'!G36,'27.07 Makindye-Kibuye-24h'!G36,'28.07 Makindye-Kibuye'!G36)</f>
        <v>0.14285714285714285</v>
      </c>
      <c r="H36" s="49">
        <f>AVERAGE('22.07 Makindye-Kibuye'!H36,'23.07 Makindye-Kibuye'!H36,'24.07 Makindye-Kibuye'!H36,'25.07 Makindye-Kibuye'!H36,'26.07 Makindye-Kibuye-24h'!H36,'27.07 Makindye-Kibuye-24h'!H36,'28.07 Makindye-Kibuye'!H36)</f>
        <v>0</v>
      </c>
      <c r="I36" s="49">
        <f>AVERAGE('22.07 Makindye-Kibuye'!I36,'23.07 Makindye-Kibuye'!I36,'24.07 Makindye-Kibuye'!I36,'25.07 Makindye-Kibuye'!I36,'26.07 Makindye-Kibuye-24h'!I36,'27.07 Makindye-Kibuye-24h'!I36,'28.07 Makindye-Kibuye'!I36)</f>
        <v>2.7142857142857144</v>
      </c>
      <c r="J36" s="49">
        <f>AVERAGE('22.07 Makindye-Kibuye'!J36,'23.07 Makindye-Kibuye'!J36,'24.07 Makindye-Kibuye'!J36,'25.07 Makindye-Kibuye'!J36,'26.07 Makindye-Kibuye-24h'!J36,'27.07 Makindye-Kibuye-24h'!J36,'28.07 Makindye-Kibuye'!J36)</f>
        <v>2.1428571428571428</v>
      </c>
      <c r="K36" s="49">
        <f>AVERAGE('22.07 Makindye-Kibuye'!K36,'23.07 Makindye-Kibuye'!K36,'24.07 Makindye-Kibuye'!K36,'25.07 Makindye-Kibuye'!K36,'26.07 Makindye-Kibuye-24h'!K36,'27.07 Makindye-Kibuye-24h'!K36,'28.07 Makindye-Kibuye'!K36)</f>
        <v>0</v>
      </c>
      <c r="L36" s="49">
        <f>AVERAGE('22.07 Makindye-Kibuye'!L36,'23.07 Makindye-Kibuye'!L36,'24.07 Makindye-Kibuye'!L36,'25.07 Makindye-Kibuye'!L36,'26.07 Makindye-Kibuye-24h'!L36,'27.07 Makindye-Kibuye-24h'!L36,'28.07 Makindye-Kibuye'!L36)</f>
        <v>0</v>
      </c>
      <c r="M36" s="49">
        <f>AVERAGE('22.07 Makindye-Kibuye'!M36,'23.07 Makindye-Kibuye'!M36,'24.07 Makindye-Kibuye'!M36,'25.07 Makindye-Kibuye'!M36,'26.07 Makindye-Kibuye-24h'!M36,'27.07 Makindye-Kibuye-24h'!M36,'28.07 Makindye-Kibuye'!M36)</f>
        <v>202.14285714285714</v>
      </c>
      <c r="N36" s="49">
        <f>AVERAGE('22.07 Makindye-Kibuye'!N36,'23.07 Makindye-Kibuye'!N36,'24.07 Makindye-Kibuye'!N36,'25.07 Makindye-Kibuye'!N36,'26.07 Makindye-Kibuye-24h'!N36,'27.07 Makindye-Kibuye-24h'!N36,'28.07 Makindye-Kibuye'!N36)</f>
        <v>0</v>
      </c>
      <c r="O36" s="15">
        <f t="shared" si="0"/>
        <v>83.428571428571402</v>
      </c>
      <c r="P36" s="15">
        <f t="shared" si="1"/>
        <v>285.57142857142856</v>
      </c>
      <c r="R36" s="38" t="s">
        <v>92</v>
      </c>
      <c r="S36" s="39">
        <f t="shared" ref="S36:AF36" si="28">MAX(S19:S21)</f>
        <v>148.14285714285714</v>
      </c>
      <c r="T36" s="39">
        <f t="shared" si="28"/>
        <v>23.285714285714285</v>
      </c>
      <c r="U36" s="39">
        <f t="shared" si="28"/>
        <v>21.142857142857142</v>
      </c>
      <c r="V36" s="39">
        <f t="shared" si="28"/>
        <v>117.85714285714286</v>
      </c>
      <c r="W36" s="39">
        <f t="shared" si="28"/>
        <v>0.71428571428571419</v>
      </c>
      <c r="X36" s="39">
        <f t="shared" si="28"/>
        <v>0.14285714285714285</v>
      </c>
      <c r="Y36" s="39">
        <f t="shared" si="28"/>
        <v>11.857142857142856</v>
      </c>
      <c r="Z36" s="39">
        <f t="shared" si="28"/>
        <v>6.1428571428571423</v>
      </c>
      <c r="AA36" s="39">
        <f t="shared" si="28"/>
        <v>1.7142857142857142</v>
      </c>
      <c r="AB36" s="39">
        <f t="shared" si="28"/>
        <v>0.2857142857142857</v>
      </c>
      <c r="AC36" s="39">
        <f t="shared" si="28"/>
        <v>817.28571428571433</v>
      </c>
      <c r="AD36" s="39">
        <f t="shared" si="28"/>
        <v>0</v>
      </c>
      <c r="AE36" s="40">
        <f t="shared" si="28"/>
        <v>329.85714285714283</v>
      </c>
      <c r="AF36" s="40">
        <f t="shared" si="28"/>
        <v>1147.1428571428571</v>
      </c>
    </row>
    <row r="37" spans="2:32" ht="23.1" customHeight="1" x14ac:dyDescent="0.25">
      <c r="B37" s="23" t="s">
        <v>64</v>
      </c>
      <c r="C37" s="49">
        <f>AVERAGE('22.07 Makindye-Kibuye'!C37,'23.07 Makindye-Kibuye'!C37,'24.07 Makindye-Kibuye'!C37,'25.07 Makindye-Kibuye'!C37,'26.07 Makindye-Kibuye-24h'!C37,'27.07 Makindye-Kibuye-24h'!C37,'28.07 Makindye-Kibuye'!C37)</f>
        <v>32.428571428571431</v>
      </c>
      <c r="D37" s="49">
        <f>AVERAGE('22.07 Makindye-Kibuye'!D37,'23.07 Makindye-Kibuye'!D37,'24.07 Makindye-Kibuye'!D37,'25.07 Makindye-Kibuye'!D37,'26.07 Makindye-Kibuye-24h'!D37,'27.07 Makindye-Kibuye-24h'!D37,'28.07 Makindye-Kibuye'!D37)</f>
        <v>4.1428571428571432</v>
      </c>
      <c r="E37" s="49">
        <f>AVERAGE('22.07 Makindye-Kibuye'!E37,'23.07 Makindye-Kibuye'!E37,'24.07 Makindye-Kibuye'!E37,'25.07 Makindye-Kibuye'!E37,'26.07 Makindye-Kibuye-24h'!E37,'27.07 Makindye-Kibuye-24h'!E37,'28.07 Makindye-Kibuye'!E37)</f>
        <v>3.8571428571428572</v>
      </c>
      <c r="F37" s="49">
        <f>AVERAGE('22.07 Makindye-Kibuye'!F37,'23.07 Makindye-Kibuye'!F37,'24.07 Makindye-Kibuye'!F37,'25.07 Makindye-Kibuye'!F37,'26.07 Makindye-Kibuye-24h'!F37,'27.07 Makindye-Kibuye-24h'!F37,'28.07 Makindye-Kibuye'!F37)</f>
        <v>29.571428571428573</v>
      </c>
      <c r="G37" s="49">
        <f>AVERAGE('22.07 Makindye-Kibuye'!G37,'23.07 Makindye-Kibuye'!G37,'24.07 Makindye-Kibuye'!G37,'25.07 Makindye-Kibuye'!G37,'26.07 Makindye-Kibuye-24h'!G37,'27.07 Makindye-Kibuye-24h'!G37,'28.07 Makindye-Kibuye'!G37)</f>
        <v>0</v>
      </c>
      <c r="H37" s="49">
        <f>AVERAGE('22.07 Makindye-Kibuye'!H37,'23.07 Makindye-Kibuye'!H37,'24.07 Makindye-Kibuye'!H37,'25.07 Makindye-Kibuye'!H37,'26.07 Makindye-Kibuye-24h'!H37,'27.07 Makindye-Kibuye-24h'!H37,'28.07 Makindye-Kibuye'!H37)</f>
        <v>0</v>
      </c>
      <c r="I37" s="49">
        <f>AVERAGE('22.07 Makindye-Kibuye'!I37,'23.07 Makindye-Kibuye'!I37,'24.07 Makindye-Kibuye'!I37,'25.07 Makindye-Kibuye'!I37,'26.07 Makindye-Kibuye-24h'!I37,'27.07 Makindye-Kibuye-24h'!I37,'28.07 Makindye-Kibuye'!I37)</f>
        <v>2.4285714285714284</v>
      </c>
      <c r="J37" s="49">
        <f>AVERAGE('22.07 Makindye-Kibuye'!J37,'23.07 Makindye-Kibuye'!J37,'24.07 Makindye-Kibuye'!J37,'25.07 Makindye-Kibuye'!J37,'26.07 Makindye-Kibuye-24h'!J37,'27.07 Makindye-Kibuye-24h'!J37,'28.07 Makindye-Kibuye'!J37)</f>
        <v>0.8571428571428571</v>
      </c>
      <c r="K37" s="49">
        <f>AVERAGE('22.07 Makindye-Kibuye'!K37,'23.07 Makindye-Kibuye'!K37,'24.07 Makindye-Kibuye'!K37,'25.07 Makindye-Kibuye'!K37,'26.07 Makindye-Kibuye-24h'!K37,'27.07 Makindye-Kibuye-24h'!K37,'28.07 Makindye-Kibuye'!K37)</f>
        <v>0</v>
      </c>
      <c r="L37" s="49">
        <f>AVERAGE('22.07 Makindye-Kibuye'!L37,'23.07 Makindye-Kibuye'!L37,'24.07 Makindye-Kibuye'!L37,'25.07 Makindye-Kibuye'!L37,'26.07 Makindye-Kibuye-24h'!L37,'27.07 Makindye-Kibuye-24h'!L37,'28.07 Makindye-Kibuye'!L37)</f>
        <v>0.14285714285714285</v>
      </c>
      <c r="M37" s="49">
        <f>AVERAGE('22.07 Makindye-Kibuye'!M37,'23.07 Makindye-Kibuye'!M37,'24.07 Makindye-Kibuye'!M37,'25.07 Makindye-Kibuye'!M37,'26.07 Makindye-Kibuye-24h'!M37,'27.07 Makindye-Kibuye-24h'!M37,'28.07 Makindye-Kibuye'!M37)</f>
        <v>212.14285714285714</v>
      </c>
      <c r="N37" s="49">
        <f>AVERAGE('22.07 Makindye-Kibuye'!N37,'23.07 Makindye-Kibuye'!N37,'24.07 Makindye-Kibuye'!N37,'25.07 Makindye-Kibuye'!N37,'26.07 Makindye-Kibuye-24h'!N37,'27.07 Makindye-Kibuye-24h'!N37,'28.07 Makindye-Kibuye'!N37)</f>
        <v>0.2857142857142857</v>
      </c>
      <c r="O37" s="15">
        <f t="shared" si="0"/>
        <v>73.714285714285722</v>
      </c>
      <c r="P37" s="15">
        <f t="shared" si="1"/>
        <v>285.85714285714283</v>
      </c>
      <c r="R37" s="37" t="s">
        <v>85</v>
      </c>
      <c r="S37" s="35">
        <f t="shared" ref="S37:AF37" si="29">SUM(S10:S12)</f>
        <v>512.71428571428578</v>
      </c>
      <c r="T37" s="16">
        <f t="shared" si="29"/>
        <v>76.428571428571431</v>
      </c>
      <c r="U37" s="16">
        <f t="shared" si="29"/>
        <v>54.285714285714285</v>
      </c>
      <c r="V37" s="16">
        <f t="shared" si="29"/>
        <v>290.57142857142856</v>
      </c>
      <c r="W37" s="16">
        <f t="shared" si="29"/>
        <v>1.7142857142857142</v>
      </c>
      <c r="X37" s="16">
        <f t="shared" si="29"/>
        <v>0.14285714285714285</v>
      </c>
      <c r="Y37" s="16">
        <f t="shared" si="29"/>
        <v>28.142857142857146</v>
      </c>
      <c r="Z37" s="16">
        <f t="shared" si="29"/>
        <v>15.428571428571429</v>
      </c>
      <c r="AA37" s="16">
        <f t="shared" si="29"/>
        <v>2.4285714285714284</v>
      </c>
      <c r="AB37" s="16">
        <f t="shared" si="29"/>
        <v>0.14285714285714285</v>
      </c>
      <c r="AC37" s="16">
        <f t="shared" si="29"/>
        <v>2387.2857142857142</v>
      </c>
      <c r="AD37" s="16">
        <f t="shared" si="29"/>
        <v>0</v>
      </c>
      <c r="AE37" s="32">
        <f t="shared" si="29"/>
        <v>982</v>
      </c>
      <c r="AF37" s="32">
        <f t="shared" si="29"/>
        <v>3369.2857142857142</v>
      </c>
    </row>
    <row r="38" spans="2:32" ht="23.1" customHeight="1" x14ac:dyDescent="0.25">
      <c r="B38" s="24" t="s">
        <v>65</v>
      </c>
      <c r="C38" s="49">
        <f>AVERAGE('22.07 Makindye-Kibuye'!C38,'23.07 Makindye-Kibuye'!C38,'24.07 Makindye-Kibuye'!C38,'25.07 Makindye-Kibuye'!C38,'26.07 Makindye-Kibuye-24h'!C38,'27.07 Makindye-Kibuye-24h'!C38,'28.07 Makindye-Kibuye'!C38)</f>
        <v>35.142857142857146</v>
      </c>
      <c r="D38" s="49">
        <f>AVERAGE('22.07 Makindye-Kibuye'!D38,'23.07 Makindye-Kibuye'!D38,'24.07 Makindye-Kibuye'!D38,'25.07 Makindye-Kibuye'!D38,'26.07 Makindye-Kibuye-24h'!D38,'27.07 Makindye-Kibuye-24h'!D38,'28.07 Makindye-Kibuye'!D38)</f>
        <v>5.4285714285714288</v>
      </c>
      <c r="E38" s="49">
        <f>AVERAGE('22.07 Makindye-Kibuye'!E38,'23.07 Makindye-Kibuye'!E38,'24.07 Makindye-Kibuye'!E38,'25.07 Makindye-Kibuye'!E38,'26.07 Makindye-Kibuye-24h'!E38,'27.07 Makindye-Kibuye-24h'!E38,'28.07 Makindye-Kibuye'!E38)</f>
        <v>5.2857142857142856</v>
      </c>
      <c r="F38" s="49">
        <f>AVERAGE('22.07 Makindye-Kibuye'!F38,'23.07 Makindye-Kibuye'!F38,'24.07 Makindye-Kibuye'!F38,'25.07 Makindye-Kibuye'!F38,'26.07 Makindye-Kibuye-24h'!F38,'27.07 Makindye-Kibuye-24h'!F38,'28.07 Makindye-Kibuye'!F38)</f>
        <v>35.714285714285715</v>
      </c>
      <c r="G38" s="49">
        <f>AVERAGE('22.07 Makindye-Kibuye'!G38,'23.07 Makindye-Kibuye'!G38,'24.07 Makindye-Kibuye'!G38,'25.07 Makindye-Kibuye'!G38,'26.07 Makindye-Kibuye-24h'!G38,'27.07 Makindye-Kibuye-24h'!G38,'28.07 Makindye-Kibuye'!G38)</f>
        <v>0.14285714285714285</v>
      </c>
      <c r="H38" s="49">
        <f>AVERAGE('22.07 Makindye-Kibuye'!H38,'23.07 Makindye-Kibuye'!H38,'24.07 Makindye-Kibuye'!H38,'25.07 Makindye-Kibuye'!H38,'26.07 Makindye-Kibuye-24h'!H38,'27.07 Makindye-Kibuye-24h'!H38,'28.07 Makindye-Kibuye'!H38)</f>
        <v>0</v>
      </c>
      <c r="I38" s="49">
        <f>AVERAGE('22.07 Makindye-Kibuye'!I38,'23.07 Makindye-Kibuye'!I38,'24.07 Makindye-Kibuye'!I38,'25.07 Makindye-Kibuye'!I38,'26.07 Makindye-Kibuye-24h'!I38,'27.07 Makindye-Kibuye-24h'!I38,'28.07 Makindye-Kibuye'!I38)</f>
        <v>3.1428571428571428</v>
      </c>
      <c r="J38" s="49">
        <f>AVERAGE('22.07 Makindye-Kibuye'!J38,'23.07 Makindye-Kibuye'!J38,'24.07 Makindye-Kibuye'!J38,'25.07 Makindye-Kibuye'!J38,'26.07 Makindye-Kibuye-24h'!J38,'27.07 Makindye-Kibuye-24h'!J38,'28.07 Makindye-Kibuye'!J38)</f>
        <v>1.8571428571428572</v>
      </c>
      <c r="K38" s="49">
        <f>AVERAGE('22.07 Makindye-Kibuye'!K38,'23.07 Makindye-Kibuye'!K38,'24.07 Makindye-Kibuye'!K38,'25.07 Makindye-Kibuye'!K38,'26.07 Makindye-Kibuye-24h'!K38,'27.07 Makindye-Kibuye-24h'!K38,'28.07 Makindye-Kibuye'!K38)</f>
        <v>0</v>
      </c>
      <c r="L38" s="49">
        <f>AVERAGE('22.07 Makindye-Kibuye'!L38,'23.07 Makindye-Kibuye'!L38,'24.07 Makindye-Kibuye'!L38,'25.07 Makindye-Kibuye'!L38,'26.07 Makindye-Kibuye-24h'!L38,'27.07 Makindye-Kibuye-24h'!L38,'28.07 Makindye-Kibuye'!L38)</f>
        <v>0</v>
      </c>
      <c r="M38" s="49">
        <f>AVERAGE('22.07 Makindye-Kibuye'!M38,'23.07 Makindye-Kibuye'!M38,'24.07 Makindye-Kibuye'!M38,'25.07 Makindye-Kibuye'!M38,'26.07 Makindye-Kibuye-24h'!M38,'27.07 Makindye-Kibuye-24h'!M38,'28.07 Makindye-Kibuye'!M38)</f>
        <v>200</v>
      </c>
      <c r="N38" s="49">
        <f>AVERAGE('22.07 Makindye-Kibuye'!N38,'23.07 Makindye-Kibuye'!N38,'24.07 Makindye-Kibuye'!N38,'25.07 Makindye-Kibuye'!N38,'26.07 Makindye-Kibuye-24h'!N38,'27.07 Makindye-Kibuye-24h'!N38,'28.07 Makindye-Kibuye'!N38)</f>
        <v>0</v>
      </c>
      <c r="O38" s="15">
        <f t="shared" si="0"/>
        <v>86.714285714285722</v>
      </c>
      <c r="P38" s="15">
        <f t="shared" si="1"/>
        <v>286.71428571428572</v>
      </c>
      <c r="R38" s="28" t="s">
        <v>86</v>
      </c>
      <c r="S38" s="16">
        <f t="shared" ref="S38:AF38" si="30">SUM(S13:S18)</f>
        <v>911.14285714285711</v>
      </c>
      <c r="T38" s="16">
        <f t="shared" si="30"/>
        <v>176.57142857142856</v>
      </c>
      <c r="U38" s="16">
        <f t="shared" si="30"/>
        <v>119.71428571428571</v>
      </c>
      <c r="V38" s="16">
        <f t="shared" si="30"/>
        <v>813.85714285714289</v>
      </c>
      <c r="W38" s="16">
        <f t="shared" si="30"/>
        <v>4.5714285714285703</v>
      </c>
      <c r="X38" s="16">
        <f t="shared" si="30"/>
        <v>0.8571428571428571</v>
      </c>
      <c r="Y38" s="16">
        <f t="shared" si="30"/>
        <v>64.714285714285722</v>
      </c>
      <c r="Z38" s="16">
        <f t="shared" si="30"/>
        <v>37.142857142857146</v>
      </c>
      <c r="AA38" s="16">
        <f t="shared" si="30"/>
        <v>5.2857142857142847</v>
      </c>
      <c r="AB38" s="16">
        <f t="shared" si="30"/>
        <v>1.857142857142857</v>
      </c>
      <c r="AC38" s="16">
        <f t="shared" si="30"/>
        <v>4970.8571428571422</v>
      </c>
      <c r="AD38" s="16">
        <f t="shared" si="30"/>
        <v>0.2857142857142857</v>
      </c>
      <c r="AE38" s="32">
        <f t="shared" si="30"/>
        <v>2136</v>
      </c>
      <c r="AF38" s="32">
        <f t="shared" si="30"/>
        <v>7106.8571428571431</v>
      </c>
    </row>
    <row r="39" spans="2:32" ht="23.1" customHeight="1" x14ac:dyDescent="0.25">
      <c r="B39" s="24" t="s">
        <v>66</v>
      </c>
      <c r="C39" s="49">
        <f>AVERAGE('22.07 Makindye-Kibuye'!C39,'23.07 Makindye-Kibuye'!C39,'24.07 Makindye-Kibuye'!C39,'25.07 Makindye-Kibuye'!C39,'26.07 Makindye-Kibuye-24h'!C39,'27.07 Makindye-Kibuye-24h'!C39,'28.07 Makindye-Kibuye'!C39)</f>
        <v>32.571428571428569</v>
      </c>
      <c r="D39" s="49">
        <f>AVERAGE('22.07 Makindye-Kibuye'!D39,'23.07 Makindye-Kibuye'!D39,'24.07 Makindye-Kibuye'!D39,'25.07 Makindye-Kibuye'!D39,'26.07 Makindye-Kibuye-24h'!D39,'27.07 Makindye-Kibuye-24h'!D39,'28.07 Makindye-Kibuye'!D39)</f>
        <v>7.5714285714285712</v>
      </c>
      <c r="E39" s="49">
        <f>AVERAGE('22.07 Makindye-Kibuye'!E39,'23.07 Makindye-Kibuye'!E39,'24.07 Makindye-Kibuye'!E39,'25.07 Makindye-Kibuye'!E39,'26.07 Makindye-Kibuye-24h'!E39,'27.07 Makindye-Kibuye-24h'!E39,'28.07 Makindye-Kibuye'!E39)</f>
        <v>4.4285714285714288</v>
      </c>
      <c r="F39" s="49">
        <f>AVERAGE('22.07 Makindye-Kibuye'!F39,'23.07 Makindye-Kibuye'!F39,'24.07 Makindye-Kibuye'!F39,'25.07 Makindye-Kibuye'!F39,'26.07 Makindye-Kibuye-24h'!F39,'27.07 Makindye-Kibuye-24h'!F39,'28.07 Makindye-Kibuye'!F39)</f>
        <v>35.571428571428569</v>
      </c>
      <c r="G39" s="49">
        <f>AVERAGE('22.07 Makindye-Kibuye'!G39,'23.07 Makindye-Kibuye'!G39,'24.07 Makindye-Kibuye'!G39,'25.07 Makindye-Kibuye'!G39,'26.07 Makindye-Kibuye-24h'!G39,'27.07 Makindye-Kibuye-24h'!G39,'28.07 Makindye-Kibuye'!G39)</f>
        <v>0.14285714285714285</v>
      </c>
      <c r="H39" s="49">
        <f>AVERAGE('22.07 Makindye-Kibuye'!H39,'23.07 Makindye-Kibuye'!H39,'24.07 Makindye-Kibuye'!H39,'25.07 Makindye-Kibuye'!H39,'26.07 Makindye-Kibuye-24h'!H39,'27.07 Makindye-Kibuye-24h'!H39,'28.07 Makindye-Kibuye'!H39)</f>
        <v>0.14285714285714285</v>
      </c>
      <c r="I39" s="49">
        <f>AVERAGE('22.07 Makindye-Kibuye'!I39,'23.07 Makindye-Kibuye'!I39,'24.07 Makindye-Kibuye'!I39,'25.07 Makindye-Kibuye'!I39,'26.07 Makindye-Kibuye-24h'!I39,'27.07 Makindye-Kibuye-24h'!I39,'28.07 Makindye-Kibuye'!I39)</f>
        <v>1.7142857142857142</v>
      </c>
      <c r="J39" s="49">
        <f>AVERAGE('22.07 Makindye-Kibuye'!J39,'23.07 Makindye-Kibuye'!J39,'24.07 Makindye-Kibuye'!J39,'25.07 Makindye-Kibuye'!J39,'26.07 Makindye-Kibuye-24h'!J39,'27.07 Makindye-Kibuye-24h'!J39,'28.07 Makindye-Kibuye'!J39)</f>
        <v>1.7142857142857142</v>
      </c>
      <c r="K39" s="49">
        <f>AVERAGE('22.07 Makindye-Kibuye'!K39,'23.07 Makindye-Kibuye'!K39,'24.07 Makindye-Kibuye'!K39,'25.07 Makindye-Kibuye'!K39,'26.07 Makindye-Kibuye-24h'!K39,'27.07 Makindye-Kibuye-24h'!K39,'28.07 Makindye-Kibuye'!K39)</f>
        <v>0.14285714285714285</v>
      </c>
      <c r="L39" s="49">
        <f>AVERAGE('22.07 Makindye-Kibuye'!L39,'23.07 Makindye-Kibuye'!L39,'24.07 Makindye-Kibuye'!L39,'25.07 Makindye-Kibuye'!L39,'26.07 Makindye-Kibuye-24h'!L39,'27.07 Makindye-Kibuye-24h'!L39,'28.07 Makindye-Kibuye'!L39)</f>
        <v>0</v>
      </c>
      <c r="M39" s="49">
        <f>AVERAGE('22.07 Makindye-Kibuye'!M39,'23.07 Makindye-Kibuye'!M39,'24.07 Makindye-Kibuye'!M39,'25.07 Makindye-Kibuye'!M39,'26.07 Makindye-Kibuye-24h'!M39,'27.07 Makindye-Kibuye-24h'!M39,'28.07 Makindye-Kibuye'!M39)</f>
        <v>197.85714285714286</v>
      </c>
      <c r="N39" s="49">
        <f>AVERAGE('22.07 Makindye-Kibuye'!N39,'23.07 Makindye-Kibuye'!N39,'24.07 Makindye-Kibuye'!N39,'25.07 Makindye-Kibuye'!N39,'26.07 Makindye-Kibuye-24h'!N39,'27.07 Makindye-Kibuye-24h'!N39,'28.07 Makindye-Kibuye'!N39)</f>
        <v>0</v>
      </c>
      <c r="O39" s="15">
        <f t="shared" si="0"/>
        <v>83.999999999999972</v>
      </c>
      <c r="P39" s="15">
        <f t="shared" si="1"/>
        <v>281.85714285714283</v>
      </c>
      <c r="R39" s="29" t="s">
        <v>87</v>
      </c>
      <c r="S39" s="16">
        <f t="shared" ref="S39:AF39" si="31">SUM(S19:S21)</f>
        <v>383</v>
      </c>
      <c r="T39" s="16">
        <f t="shared" si="31"/>
        <v>54.428571428571431</v>
      </c>
      <c r="U39" s="16">
        <f t="shared" si="31"/>
        <v>44.142857142857146</v>
      </c>
      <c r="V39" s="16">
        <f t="shared" si="31"/>
        <v>333.28571428571428</v>
      </c>
      <c r="W39" s="16">
        <f t="shared" si="31"/>
        <v>1.857142857142857</v>
      </c>
      <c r="X39" s="16">
        <f t="shared" si="31"/>
        <v>0.14285714285714285</v>
      </c>
      <c r="Y39" s="16">
        <f t="shared" si="31"/>
        <v>25.428571428571423</v>
      </c>
      <c r="Z39" s="16">
        <f t="shared" si="31"/>
        <v>14.142857142857142</v>
      </c>
      <c r="AA39" s="16">
        <f t="shared" si="31"/>
        <v>3.4285714285714284</v>
      </c>
      <c r="AB39" s="16">
        <f t="shared" si="31"/>
        <v>0.71428571428571419</v>
      </c>
      <c r="AC39" s="16">
        <f t="shared" si="31"/>
        <v>2271.7142857142858</v>
      </c>
      <c r="AD39" s="16">
        <f t="shared" si="31"/>
        <v>0</v>
      </c>
      <c r="AE39" s="32">
        <f t="shared" si="31"/>
        <v>860.57142857142867</v>
      </c>
      <c r="AF39" s="32">
        <f t="shared" si="31"/>
        <v>3132.2857142857147</v>
      </c>
    </row>
    <row r="40" spans="2:32" ht="23.1" customHeight="1" x14ac:dyDescent="0.25">
      <c r="B40" s="24" t="s">
        <v>67</v>
      </c>
      <c r="C40" s="49">
        <f>AVERAGE('22.07 Makindye-Kibuye'!C40,'23.07 Makindye-Kibuye'!C40,'24.07 Makindye-Kibuye'!C40,'25.07 Makindye-Kibuye'!C40,'26.07 Makindye-Kibuye-24h'!C40,'27.07 Makindye-Kibuye-24h'!C40,'28.07 Makindye-Kibuye'!C40)</f>
        <v>36.142857142857146</v>
      </c>
      <c r="D40" s="49">
        <f>AVERAGE('22.07 Makindye-Kibuye'!D40,'23.07 Makindye-Kibuye'!D40,'24.07 Makindye-Kibuye'!D40,'25.07 Makindye-Kibuye'!D40,'26.07 Makindye-Kibuye-24h'!D40,'27.07 Makindye-Kibuye-24h'!D40,'28.07 Makindye-Kibuye'!D40)</f>
        <v>9</v>
      </c>
      <c r="E40" s="49">
        <f>AVERAGE('22.07 Makindye-Kibuye'!E40,'23.07 Makindye-Kibuye'!E40,'24.07 Makindye-Kibuye'!E40,'25.07 Makindye-Kibuye'!E40,'26.07 Makindye-Kibuye-24h'!E40,'27.07 Makindye-Kibuye-24h'!E40,'28.07 Makindye-Kibuye'!E40)</f>
        <v>4</v>
      </c>
      <c r="F40" s="49">
        <f>AVERAGE('22.07 Makindye-Kibuye'!F40,'23.07 Makindye-Kibuye'!F40,'24.07 Makindye-Kibuye'!F40,'25.07 Makindye-Kibuye'!F40,'26.07 Makindye-Kibuye-24h'!F40,'27.07 Makindye-Kibuye-24h'!F40,'28.07 Makindye-Kibuye'!F40)</f>
        <v>31.142857142857142</v>
      </c>
      <c r="G40" s="49">
        <f>AVERAGE('22.07 Makindye-Kibuye'!G40,'23.07 Makindye-Kibuye'!G40,'24.07 Makindye-Kibuye'!G40,'25.07 Makindye-Kibuye'!G40,'26.07 Makindye-Kibuye-24h'!G40,'27.07 Makindye-Kibuye-24h'!G40,'28.07 Makindye-Kibuye'!G40)</f>
        <v>0.5714285714285714</v>
      </c>
      <c r="H40" s="49">
        <f>AVERAGE('22.07 Makindye-Kibuye'!H40,'23.07 Makindye-Kibuye'!H40,'24.07 Makindye-Kibuye'!H40,'25.07 Makindye-Kibuye'!H40,'26.07 Makindye-Kibuye-24h'!H40,'27.07 Makindye-Kibuye-24h'!H40,'28.07 Makindye-Kibuye'!H40)</f>
        <v>0</v>
      </c>
      <c r="I40" s="49">
        <f>AVERAGE('22.07 Makindye-Kibuye'!I40,'23.07 Makindye-Kibuye'!I40,'24.07 Makindye-Kibuye'!I40,'25.07 Makindye-Kibuye'!I40,'26.07 Makindye-Kibuye-24h'!I40,'27.07 Makindye-Kibuye-24h'!I40,'28.07 Makindye-Kibuye'!I40)</f>
        <v>2.4285714285714284</v>
      </c>
      <c r="J40" s="49">
        <f>AVERAGE('22.07 Makindye-Kibuye'!J40,'23.07 Makindye-Kibuye'!J40,'24.07 Makindye-Kibuye'!J40,'25.07 Makindye-Kibuye'!J40,'26.07 Makindye-Kibuye-24h'!J40,'27.07 Makindye-Kibuye-24h'!J40,'28.07 Makindye-Kibuye'!J40)</f>
        <v>0.5714285714285714</v>
      </c>
      <c r="K40" s="49">
        <f>AVERAGE('22.07 Makindye-Kibuye'!K40,'23.07 Makindye-Kibuye'!K40,'24.07 Makindye-Kibuye'!K40,'25.07 Makindye-Kibuye'!K40,'26.07 Makindye-Kibuye-24h'!K40,'27.07 Makindye-Kibuye-24h'!K40,'28.07 Makindye-Kibuye'!K40)</f>
        <v>0.5714285714285714</v>
      </c>
      <c r="L40" s="49">
        <f>AVERAGE('22.07 Makindye-Kibuye'!L40,'23.07 Makindye-Kibuye'!L40,'24.07 Makindye-Kibuye'!L40,'25.07 Makindye-Kibuye'!L40,'26.07 Makindye-Kibuye-24h'!L40,'27.07 Makindye-Kibuye-24h'!L40,'28.07 Makindye-Kibuye'!L40)</f>
        <v>0.14285714285714285</v>
      </c>
      <c r="M40" s="49">
        <f>AVERAGE('22.07 Makindye-Kibuye'!M40,'23.07 Makindye-Kibuye'!M40,'24.07 Makindye-Kibuye'!M40,'25.07 Makindye-Kibuye'!M40,'26.07 Makindye-Kibuye-24h'!M40,'27.07 Makindye-Kibuye-24h'!M40,'28.07 Makindye-Kibuye'!M40)</f>
        <v>208.57142857142858</v>
      </c>
      <c r="N40" s="49">
        <f>AVERAGE('22.07 Makindye-Kibuye'!N40,'23.07 Makindye-Kibuye'!N40,'24.07 Makindye-Kibuye'!N40,'25.07 Makindye-Kibuye'!N40,'26.07 Makindye-Kibuye-24h'!N40,'27.07 Makindye-Kibuye-24h'!N40,'28.07 Makindye-Kibuye'!N40)</f>
        <v>0</v>
      </c>
      <c r="O40" s="15">
        <f t="shared" si="0"/>
        <v>84.571428571428569</v>
      </c>
      <c r="P40" s="15">
        <f t="shared" si="1"/>
        <v>293.14285714285717</v>
      </c>
      <c r="R40" s="5" t="s">
        <v>17</v>
      </c>
      <c r="S40" s="16">
        <f t="shared" ref="S40:AF40" si="32">SUM(S10:S21)</f>
        <v>1806.8571428571427</v>
      </c>
      <c r="T40" s="16">
        <f t="shared" si="32"/>
        <v>307.42857142857144</v>
      </c>
      <c r="U40" s="16">
        <f t="shared" si="32"/>
        <v>218.14285714285714</v>
      </c>
      <c r="V40" s="16">
        <f t="shared" si="32"/>
        <v>1437.7142857142858</v>
      </c>
      <c r="W40" s="16">
        <f t="shared" si="32"/>
        <v>8.1428571428571423</v>
      </c>
      <c r="X40" s="16">
        <f t="shared" si="32"/>
        <v>1.1428571428571428</v>
      </c>
      <c r="Y40" s="16">
        <f t="shared" si="32"/>
        <v>118.28571428571429</v>
      </c>
      <c r="Z40" s="16">
        <f t="shared" si="32"/>
        <v>66.714285714285708</v>
      </c>
      <c r="AA40" s="16">
        <f t="shared" si="32"/>
        <v>11.142857142857141</v>
      </c>
      <c r="AB40" s="16">
        <f t="shared" si="32"/>
        <v>2.714285714285714</v>
      </c>
      <c r="AC40" s="16">
        <f t="shared" si="32"/>
        <v>9629.8571428571413</v>
      </c>
      <c r="AD40" s="16">
        <f t="shared" si="32"/>
        <v>0.2857142857142857</v>
      </c>
      <c r="AE40" s="32">
        <f t="shared" si="32"/>
        <v>3978.571428571428</v>
      </c>
      <c r="AF40" s="32">
        <f t="shared" si="32"/>
        <v>13608.428571428569</v>
      </c>
    </row>
    <row r="41" spans="2:32" ht="23.1" customHeight="1" x14ac:dyDescent="0.25">
      <c r="B41" s="23" t="s">
        <v>68</v>
      </c>
      <c r="C41" s="49">
        <f>AVERAGE('22.07 Makindye-Kibuye'!C41,'23.07 Makindye-Kibuye'!C41,'24.07 Makindye-Kibuye'!C41,'25.07 Makindye-Kibuye'!C41,'26.07 Makindye-Kibuye-24h'!C41,'27.07 Makindye-Kibuye-24h'!C41,'28.07 Makindye-Kibuye'!C41)</f>
        <v>24.571428571428573</v>
      </c>
      <c r="D41" s="49">
        <f>AVERAGE('22.07 Makindye-Kibuye'!D41,'23.07 Makindye-Kibuye'!D41,'24.07 Makindye-Kibuye'!D41,'25.07 Makindye-Kibuye'!D41,'26.07 Makindye-Kibuye-24h'!D41,'27.07 Makindye-Kibuye-24h'!D41,'28.07 Makindye-Kibuye'!D41)</f>
        <v>7</v>
      </c>
      <c r="E41" s="49">
        <f>AVERAGE('22.07 Makindye-Kibuye'!E41,'23.07 Makindye-Kibuye'!E41,'24.07 Makindye-Kibuye'!E41,'25.07 Makindye-Kibuye'!E41,'26.07 Makindye-Kibuye-24h'!E41,'27.07 Makindye-Kibuye-24h'!E41,'28.07 Makindye-Kibuye'!E41)</f>
        <v>2.4285714285714284</v>
      </c>
      <c r="F41" s="49">
        <f>AVERAGE('22.07 Makindye-Kibuye'!F41,'23.07 Makindye-Kibuye'!F41,'24.07 Makindye-Kibuye'!F41,'25.07 Makindye-Kibuye'!F41,'26.07 Makindye-Kibuye-24h'!F41,'27.07 Makindye-Kibuye-24h'!F41,'28.07 Makindye-Kibuye'!F41)</f>
        <v>23</v>
      </c>
      <c r="G41" s="49">
        <f>AVERAGE('22.07 Makindye-Kibuye'!G41,'23.07 Makindye-Kibuye'!G41,'24.07 Makindye-Kibuye'!G41,'25.07 Makindye-Kibuye'!G41,'26.07 Makindye-Kibuye-24h'!G41,'27.07 Makindye-Kibuye-24h'!G41,'28.07 Makindye-Kibuye'!G41)</f>
        <v>0</v>
      </c>
      <c r="H41" s="49">
        <f>AVERAGE('22.07 Makindye-Kibuye'!H41,'23.07 Makindye-Kibuye'!H41,'24.07 Makindye-Kibuye'!H41,'25.07 Makindye-Kibuye'!H41,'26.07 Makindye-Kibuye-24h'!H41,'27.07 Makindye-Kibuye-24h'!H41,'28.07 Makindye-Kibuye'!H41)</f>
        <v>0</v>
      </c>
      <c r="I41" s="49">
        <f>AVERAGE('22.07 Makindye-Kibuye'!I41,'23.07 Makindye-Kibuye'!I41,'24.07 Makindye-Kibuye'!I41,'25.07 Makindye-Kibuye'!I41,'26.07 Makindye-Kibuye-24h'!I41,'27.07 Makindye-Kibuye-24h'!I41,'28.07 Makindye-Kibuye'!I41)</f>
        <v>2.2857142857142856</v>
      </c>
      <c r="J41" s="49">
        <f>AVERAGE('22.07 Makindye-Kibuye'!J41,'23.07 Makindye-Kibuye'!J41,'24.07 Makindye-Kibuye'!J41,'25.07 Makindye-Kibuye'!J41,'26.07 Makindye-Kibuye-24h'!J41,'27.07 Makindye-Kibuye-24h'!J41,'28.07 Makindye-Kibuye'!J41)</f>
        <v>0.42857142857142855</v>
      </c>
      <c r="K41" s="49">
        <f>AVERAGE('22.07 Makindye-Kibuye'!K41,'23.07 Makindye-Kibuye'!K41,'24.07 Makindye-Kibuye'!K41,'25.07 Makindye-Kibuye'!K41,'26.07 Makindye-Kibuye-24h'!K41,'27.07 Makindye-Kibuye-24h'!K41,'28.07 Makindye-Kibuye'!K41)</f>
        <v>0</v>
      </c>
      <c r="L41" s="49">
        <f>AVERAGE('22.07 Makindye-Kibuye'!L41,'23.07 Makindye-Kibuye'!L41,'24.07 Makindye-Kibuye'!L41,'25.07 Makindye-Kibuye'!L41,'26.07 Makindye-Kibuye-24h'!L41,'27.07 Makindye-Kibuye-24h'!L41,'28.07 Makindye-Kibuye'!L41)</f>
        <v>0</v>
      </c>
      <c r="M41" s="49">
        <f>AVERAGE('22.07 Makindye-Kibuye'!M41,'23.07 Makindye-Kibuye'!M41,'24.07 Makindye-Kibuye'!M41,'25.07 Makindye-Kibuye'!M41,'26.07 Makindye-Kibuye-24h'!M41,'27.07 Makindye-Kibuye-24h'!M41,'28.07 Makindye-Kibuye'!M41)</f>
        <v>190</v>
      </c>
      <c r="N41" s="49">
        <f>AVERAGE('22.07 Makindye-Kibuye'!N41,'23.07 Makindye-Kibuye'!N41,'24.07 Makindye-Kibuye'!N41,'25.07 Makindye-Kibuye'!N41,'26.07 Makindye-Kibuye-24h'!N41,'27.07 Makindye-Kibuye-24h'!N41,'28.07 Makindye-Kibuye'!N41)</f>
        <v>0</v>
      </c>
      <c r="O41" s="15">
        <f t="shared" si="0"/>
        <v>59.714285714285715</v>
      </c>
      <c r="P41" s="15">
        <f t="shared" si="1"/>
        <v>249.71428571428572</v>
      </c>
      <c r="R41" s="5" t="s">
        <v>176</v>
      </c>
      <c r="S41" s="51">
        <f>SUM(S10:S33)</f>
        <v>3145.3571428571427</v>
      </c>
      <c r="T41" s="51">
        <f t="shared" ref="T41:AD41" si="33">SUM(T10:T33)</f>
        <v>383.92857142857144</v>
      </c>
      <c r="U41" s="51">
        <f t="shared" si="33"/>
        <v>262.14285714285711</v>
      </c>
      <c r="V41" s="51">
        <f t="shared" si="33"/>
        <v>2531.7142857142858</v>
      </c>
      <c r="W41" s="51">
        <f t="shared" si="33"/>
        <v>12.142857142857142</v>
      </c>
      <c r="X41" s="51">
        <f t="shared" si="33"/>
        <v>1.6428571428571428</v>
      </c>
      <c r="Y41" s="51">
        <f t="shared" si="33"/>
        <v>139.78571428571428</v>
      </c>
      <c r="Z41" s="51">
        <f t="shared" si="33"/>
        <v>79.714285714285708</v>
      </c>
      <c r="AA41" s="51">
        <f t="shared" si="33"/>
        <v>14.642857142857141</v>
      </c>
      <c r="AB41" s="51">
        <f t="shared" si="33"/>
        <v>4.2142857142857135</v>
      </c>
      <c r="AC41" s="51">
        <f t="shared" si="33"/>
        <v>13922.357142857141</v>
      </c>
      <c r="AD41" s="51">
        <f t="shared" si="33"/>
        <v>0.7857142857142857</v>
      </c>
      <c r="AE41" s="52">
        <f>SUM(AE10:AE33)</f>
        <v>6576.0714285714275</v>
      </c>
      <c r="AF41" s="52">
        <f>SUM(AF10:AF33)</f>
        <v>20498.428571428569</v>
      </c>
    </row>
    <row r="42" spans="2:32" ht="23.1" customHeight="1" x14ac:dyDescent="0.25">
      <c r="B42" s="24" t="s">
        <v>69</v>
      </c>
      <c r="C42" s="49">
        <f>AVERAGE('22.07 Makindye-Kibuye'!C42,'23.07 Makindye-Kibuye'!C42,'24.07 Makindye-Kibuye'!C42,'25.07 Makindye-Kibuye'!C42,'26.07 Makindye-Kibuye-24h'!C42,'27.07 Makindye-Kibuye-24h'!C42,'28.07 Makindye-Kibuye'!C42)</f>
        <v>31.714285714285715</v>
      </c>
      <c r="D42" s="49">
        <f>AVERAGE('22.07 Makindye-Kibuye'!D42,'23.07 Makindye-Kibuye'!D42,'24.07 Makindye-Kibuye'!D42,'25.07 Makindye-Kibuye'!D42,'26.07 Makindye-Kibuye-24h'!D42,'27.07 Makindye-Kibuye-24h'!D42,'28.07 Makindye-Kibuye'!D42)</f>
        <v>5.4285714285714288</v>
      </c>
      <c r="E42" s="49">
        <f>AVERAGE('22.07 Makindye-Kibuye'!E42,'23.07 Makindye-Kibuye'!E42,'24.07 Makindye-Kibuye'!E42,'25.07 Makindye-Kibuye'!E42,'26.07 Makindye-Kibuye-24h'!E42,'27.07 Makindye-Kibuye-24h'!E42,'28.07 Makindye-Kibuye'!E42)</f>
        <v>3.2857142857142856</v>
      </c>
      <c r="F42" s="49">
        <f>AVERAGE('22.07 Makindye-Kibuye'!F42,'23.07 Makindye-Kibuye'!F42,'24.07 Makindye-Kibuye'!F42,'25.07 Makindye-Kibuye'!F42,'26.07 Makindye-Kibuye-24h'!F42,'27.07 Makindye-Kibuye-24h'!F42,'28.07 Makindye-Kibuye'!F42)</f>
        <v>25.714285714285715</v>
      </c>
      <c r="G42" s="49">
        <f>AVERAGE('22.07 Makindye-Kibuye'!G42,'23.07 Makindye-Kibuye'!G42,'24.07 Makindye-Kibuye'!G42,'25.07 Makindye-Kibuye'!G42,'26.07 Makindye-Kibuye-24h'!G42,'27.07 Makindye-Kibuye-24h'!G42,'28.07 Makindye-Kibuye'!G42)</f>
        <v>0.14285714285714285</v>
      </c>
      <c r="H42" s="49">
        <f>AVERAGE('22.07 Makindye-Kibuye'!H42,'23.07 Makindye-Kibuye'!H42,'24.07 Makindye-Kibuye'!H42,'25.07 Makindye-Kibuye'!H42,'26.07 Makindye-Kibuye-24h'!H42,'27.07 Makindye-Kibuye-24h'!H42,'28.07 Makindye-Kibuye'!H42)</f>
        <v>0.14285714285714285</v>
      </c>
      <c r="I42" s="49">
        <f>AVERAGE('22.07 Makindye-Kibuye'!I42,'23.07 Makindye-Kibuye'!I42,'24.07 Makindye-Kibuye'!I42,'25.07 Makindye-Kibuye'!I42,'26.07 Makindye-Kibuye-24h'!I42,'27.07 Makindye-Kibuye-24h'!I42,'28.07 Makindye-Kibuye'!I42)</f>
        <v>2.8571428571428572</v>
      </c>
      <c r="J42" s="49">
        <f>AVERAGE('22.07 Makindye-Kibuye'!J42,'23.07 Makindye-Kibuye'!J42,'24.07 Makindye-Kibuye'!J42,'25.07 Makindye-Kibuye'!J42,'26.07 Makindye-Kibuye-24h'!J42,'27.07 Makindye-Kibuye-24h'!J42,'28.07 Makindye-Kibuye'!J42)</f>
        <v>1.2857142857142858</v>
      </c>
      <c r="K42" s="49">
        <f>AVERAGE('22.07 Makindye-Kibuye'!K42,'23.07 Makindye-Kibuye'!K42,'24.07 Makindye-Kibuye'!K42,'25.07 Makindye-Kibuye'!K42,'26.07 Makindye-Kibuye-24h'!K42,'27.07 Makindye-Kibuye-24h'!K42,'28.07 Makindye-Kibuye'!K42)</f>
        <v>0</v>
      </c>
      <c r="L42" s="49">
        <f>AVERAGE('22.07 Makindye-Kibuye'!L42,'23.07 Makindye-Kibuye'!L42,'24.07 Makindye-Kibuye'!L42,'25.07 Makindye-Kibuye'!L42,'26.07 Makindye-Kibuye-24h'!L42,'27.07 Makindye-Kibuye-24h'!L42,'28.07 Makindye-Kibuye'!L42)</f>
        <v>0</v>
      </c>
      <c r="M42" s="49">
        <f>AVERAGE('22.07 Makindye-Kibuye'!M42,'23.07 Makindye-Kibuye'!M42,'24.07 Makindye-Kibuye'!M42,'25.07 Makindye-Kibuye'!M42,'26.07 Makindye-Kibuye-24h'!M42,'27.07 Makindye-Kibuye-24h'!M42,'28.07 Makindye-Kibuye'!M42)</f>
        <v>192.14285714285714</v>
      </c>
      <c r="N42" s="49">
        <f>AVERAGE('22.07 Makindye-Kibuye'!N42,'23.07 Makindye-Kibuye'!N42,'24.07 Makindye-Kibuye'!N42,'25.07 Makindye-Kibuye'!N42,'26.07 Makindye-Kibuye-24h'!N42,'27.07 Makindye-Kibuye-24h'!N42,'28.07 Makindye-Kibuye'!N42)</f>
        <v>0</v>
      </c>
      <c r="O42" s="15">
        <f t="shared" si="0"/>
        <v>70.571428571428569</v>
      </c>
      <c r="P42" s="15">
        <f t="shared" si="1"/>
        <v>262.71428571428572</v>
      </c>
      <c r="R42" s="5" t="s">
        <v>161</v>
      </c>
      <c r="S42" s="48">
        <f>S41/S40</f>
        <v>1.7407890575585074</v>
      </c>
      <c r="T42" s="48">
        <f t="shared" ref="T42:AF42" si="34">T41/T40</f>
        <v>1.2488382899628252</v>
      </c>
      <c r="U42" s="48">
        <f t="shared" si="34"/>
        <v>1.2017026850032744</v>
      </c>
      <c r="V42" s="48">
        <f t="shared" si="34"/>
        <v>1.7609300476947536</v>
      </c>
      <c r="W42" s="48">
        <f t="shared" si="34"/>
        <v>1.4912280701754386</v>
      </c>
      <c r="X42" s="48">
        <f t="shared" si="34"/>
        <v>1.4375</v>
      </c>
      <c r="Y42" s="48">
        <f t="shared" si="34"/>
        <v>1.1817632850241544</v>
      </c>
      <c r="Z42" s="48">
        <f t="shared" si="34"/>
        <v>1.1948608137044967</v>
      </c>
      <c r="AA42" s="48">
        <f t="shared" si="34"/>
        <v>1.3141025641025641</v>
      </c>
      <c r="AB42" s="48">
        <f t="shared" si="34"/>
        <v>1.5526315789473684</v>
      </c>
      <c r="AC42" s="48">
        <f t="shared" si="34"/>
        <v>1.4457490839502145</v>
      </c>
      <c r="AD42" s="48">
        <f t="shared" si="34"/>
        <v>2.75</v>
      </c>
      <c r="AE42" s="53">
        <f t="shared" si="34"/>
        <v>1.6528725314183124</v>
      </c>
      <c r="AF42" s="53">
        <f t="shared" si="34"/>
        <v>1.506303866301347</v>
      </c>
    </row>
    <row r="43" spans="2:32" ht="23.1" customHeight="1" x14ac:dyDescent="0.25">
      <c r="B43" s="23" t="s">
        <v>70</v>
      </c>
      <c r="C43" s="49">
        <f>AVERAGE('22.07 Makindye-Kibuye'!C43,'23.07 Makindye-Kibuye'!C43,'24.07 Makindye-Kibuye'!C43,'25.07 Makindye-Kibuye'!C43,'26.07 Makindye-Kibuye-24h'!C43,'27.07 Makindye-Kibuye-24h'!C43,'28.07 Makindye-Kibuye'!C43)</f>
        <v>35.857142857142854</v>
      </c>
      <c r="D43" s="49">
        <f>AVERAGE('22.07 Makindye-Kibuye'!D43,'23.07 Makindye-Kibuye'!D43,'24.07 Makindye-Kibuye'!D43,'25.07 Makindye-Kibuye'!D43,'26.07 Makindye-Kibuye-24h'!D43,'27.07 Makindye-Kibuye-24h'!D43,'28.07 Makindye-Kibuye'!D43)</f>
        <v>7.5714285714285712</v>
      </c>
      <c r="E43" s="49">
        <f>AVERAGE('22.07 Makindye-Kibuye'!E43,'23.07 Makindye-Kibuye'!E43,'24.07 Makindye-Kibuye'!E43,'25.07 Makindye-Kibuye'!E43,'26.07 Makindye-Kibuye-24h'!E43,'27.07 Makindye-Kibuye-24h'!E43,'28.07 Makindye-Kibuye'!E43)</f>
        <v>3.1428571428571428</v>
      </c>
      <c r="F43" s="49">
        <f>AVERAGE('22.07 Makindye-Kibuye'!F43,'23.07 Makindye-Kibuye'!F43,'24.07 Makindye-Kibuye'!F43,'25.07 Makindye-Kibuye'!F43,'26.07 Makindye-Kibuye-24h'!F43,'27.07 Makindye-Kibuye-24h'!F43,'28.07 Makindye-Kibuye'!F43)</f>
        <v>36.714285714285715</v>
      </c>
      <c r="G43" s="49">
        <f>AVERAGE('22.07 Makindye-Kibuye'!G43,'23.07 Makindye-Kibuye'!G43,'24.07 Makindye-Kibuye'!G43,'25.07 Makindye-Kibuye'!G43,'26.07 Makindye-Kibuye-24h'!G43,'27.07 Makindye-Kibuye-24h'!G43,'28.07 Makindye-Kibuye'!G43)</f>
        <v>0</v>
      </c>
      <c r="H43" s="49">
        <f>AVERAGE('22.07 Makindye-Kibuye'!H43,'23.07 Makindye-Kibuye'!H43,'24.07 Makindye-Kibuye'!H43,'25.07 Makindye-Kibuye'!H43,'26.07 Makindye-Kibuye-24h'!H43,'27.07 Makindye-Kibuye-24h'!H43,'28.07 Makindye-Kibuye'!H43)</f>
        <v>0</v>
      </c>
      <c r="I43" s="49">
        <f>AVERAGE('22.07 Makindye-Kibuye'!I43,'23.07 Makindye-Kibuye'!I43,'24.07 Makindye-Kibuye'!I43,'25.07 Makindye-Kibuye'!I43,'26.07 Makindye-Kibuye-24h'!I43,'27.07 Makindye-Kibuye-24h'!I43,'28.07 Makindye-Kibuye'!I43)</f>
        <v>3.8571428571428572</v>
      </c>
      <c r="J43" s="49">
        <f>AVERAGE('22.07 Makindye-Kibuye'!J43,'23.07 Makindye-Kibuye'!J43,'24.07 Makindye-Kibuye'!J43,'25.07 Makindye-Kibuye'!J43,'26.07 Makindye-Kibuye-24h'!J43,'27.07 Makindye-Kibuye-24h'!J43,'28.07 Makindye-Kibuye'!J43)</f>
        <v>1.7142857142857142</v>
      </c>
      <c r="K43" s="49">
        <f>AVERAGE('22.07 Makindye-Kibuye'!K43,'23.07 Makindye-Kibuye'!K43,'24.07 Makindye-Kibuye'!K43,'25.07 Makindye-Kibuye'!K43,'26.07 Makindye-Kibuye-24h'!K43,'27.07 Makindye-Kibuye-24h'!K43,'28.07 Makindye-Kibuye'!K43)</f>
        <v>0.2857142857142857</v>
      </c>
      <c r="L43" s="49">
        <f>AVERAGE('22.07 Makindye-Kibuye'!L43,'23.07 Makindye-Kibuye'!L43,'24.07 Makindye-Kibuye'!L43,'25.07 Makindye-Kibuye'!L43,'26.07 Makindye-Kibuye-24h'!L43,'27.07 Makindye-Kibuye-24h'!L43,'28.07 Makindye-Kibuye'!L43)</f>
        <v>0.14285714285714285</v>
      </c>
      <c r="M43" s="49">
        <f>AVERAGE('22.07 Makindye-Kibuye'!M43,'23.07 Makindye-Kibuye'!M43,'24.07 Makindye-Kibuye'!M43,'25.07 Makindye-Kibuye'!M43,'26.07 Makindye-Kibuye-24h'!M43,'27.07 Makindye-Kibuye-24h'!M43,'28.07 Makindye-Kibuye'!M43)</f>
        <v>193</v>
      </c>
      <c r="N43" s="49">
        <f>AVERAGE('22.07 Makindye-Kibuye'!N43,'23.07 Makindye-Kibuye'!N43,'24.07 Makindye-Kibuye'!N43,'25.07 Makindye-Kibuye'!N43,'26.07 Makindye-Kibuye-24h'!N43,'27.07 Makindye-Kibuye-24h'!N43,'28.07 Makindye-Kibuye'!N43)</f>
        <v>0</v>
      </c>
      <c r="O43" s="15">
        <f t="shared" si="0"/>
        <v>89.285714285714278</v>
      </c>
      <c r="P43" s="15">
        <f t="shared" si="1"/>
        <v>282.28571428571428</v>
      </c>
    </row>
    <row r="44" spans="2:32" ht="23.1" customHeight="1" x14ac:dyDescent="0.25">
      <c r="B44" s="25" t="s">
        <v>71</v>
      </c>
      <c r="C44" s="49">
        <f>AVERAGE('22.07 Makindye-Kibuye'!C44,'23.07 Makindye-Kibuye'!C44,'24.07 Makindye-Kibuye'!C44,'25.07 Makindye-Kibuye'!C44,'26.07 Makindye-Kibuye-24h'!C44,'27.07 Makindye-Kibuye-24h'!C44,'28.07 Makindye-Kibuye'!C44)</f>
        <v>29.571428571428573</v>
      </c>
      <c r="D44" s="49">
        <f>AVERAGE('22.07 Makindye-Kibuye'!D44,'23.07 Makindye-Kibuye'!D44,'24.07 Makindye-Kibuye'!D44,'25.07 Makindye-Kibuye'!D44,'26.07 Makindye-Kibuye-24h'!D44,'27.07 Makindye-Kibuye-24h'!D44,'28.07 Makindye-Kibuye'!D44)</f>
        <v>6.4285714285714288</v>
      </c>
      <c r="E44" s="49">
        <f>AVERAGE('22.07 Makindye-Kibuye'!E44,'23.07 Makindye-Kibuye'!E44,'24.07 Makindye-Kibuye'!E44,'25.07 Makindye-Kibuye'!E44,'26.07 Makindye-Kibuye-24h'!E44,'27.07 Makindye-Kibuye-24h'!E44,'28.07 Makindye-Kibuye'!E44)</f>
        <v>5.7142857142857144</v>
      </c>
      <c r="F44" s="49">
        <f>AVERAGE('22.07 Makindye-Kibuye'!F44,'23.07 Makindye-Kibuye'!F44,'24.07 Makindye-Kibuye'!F44,'25.07 Makindye-Kibuye'!F44,'26.07 Makindye-Kibuye-24h'!F44,'27.07 Makindye-Kibuye-24h'!F44,'28.07 Makindye-Kibuye'!F44)</f>
        <v>29.857142857142858</v>
      </c>
      <c r="G44" s="49">
        <f>AVERAGE('22.07 Makindye-Kibuye'!G44,'23.07 Makindye-Kibuye'!G44,'24.07 Makindye-Kibuye'!G44,'25.07 Makindye-Kibuye'!G44,'26.07 Makindye-Kibuye-24h'!G44,'27.07 Makindye-Kibuye-24h'!G44,'28.07 Makindye-Kibuye'!G44)</f>
        <v>0</v>
      </c>
      <c r="H44" s="49">
        <f>AVERAGE('22.07 Makindye-Kibuye'!H44,'23.07 Makindye-Kibuye'!H44,'24.07 Makindye-Kibuye'!H44,'25.07 Makindye-Kibuye'!H44,'26.07 Makindye-Kibuye-24h'!H44,'27.07 Makindye-Kibuye-24h'!H44,'28.07 Makindye-Kibuye'!H44)</f>
        <v>0</v>
      </c>
      <c r="I44" s="49">
        <f>AVERAGE('22.07 Makindye-Kibuye'!I44,'23.07 Makindye-Kibuye'!I44,'24.07 Makindye-Kibuye'!I44,'25.07 Makindye-Kibuye'!I44,'26.07 Makindye-Kibuye-24h'!I44,'27.07 Makindye-Kibuye-24h'!I44,'28.07 Makindye-Kibuye'!I44)</f>
        <v>1.7142857142857142</v>
      </c>
      <c r="J44" s="49">
        <f>AVERAGE('22.07 Makindye-Kibuye'!J44,'23.07 Makindye-Kibuye'!J44,'24.07 Makindye-Kibuye'!J44,'25.07 Makindye-Kibuye'!J44,'26.07 Makindye-Kibuye-24h'!J44,'27.07 Makindye-Kibuye-24h'!J44,'28.07 Makindye-Kibuye'!J44)</f>
        <v>1</v>
      </c>
      <c r="K44" s="49">
        <f>AVERAGE('22.07 Makindye-Kibuye'!K44,'23.07 Makindye-Kibuye'!K44,'24.07 Makindye-Kibuye'!K44,'25.07 Makindye-Kibuye'!K44,'26.07 Makindye-Kibuye-24h'!K44,'27.07 Makindye-Kibuye-24h'!K44,'28.07 Makindye-Kibuye'!K44)</f>
        <v>0.14285714285714285</v>
      </c>
      <c r="L44" s="49">
        <f>AVERAGE('22.07 Makindye-Kibuye'!L44,'23.07 Makindye-Kibuye'!L44,'24.07 Makindye-Kibuye'!L44,'25.07 Makindye-Kibuye'!L44,'26.07 Makindye-Kibuye-24h'!L44,'27.07 Makindye-Kibuye-24h'!L44,'28.07 Makindye-Kibuye'!L44)</f>
        <v>0.2857142857142857</v>
      </c>
      <c r="M44" s="49">
        <f>AVERAGE('22.07 Makindye-Kibuye'!M44,'23.07 Makindye-Kibuye'!M44,'24.07 Makindye-Kibuye'!M44,'25.07 Makindye-Kibuye'!M44,'26.07 Makindye-Kibuye-24h'!M44,'27.07 Makindye-Kibuye-24h'!M44,'28.07 Makindye-Kibuye'!M44)</f>
        <v>204.28571428571428</v>
      </c>
      <c r="N44" s="49">
        <f>AVERAGE('22.07 Makindye-Kibuye'!N44,'23.07 Makindye-Kibuye'!N44,'24.07 Makindye-Kibuye'!N44,'25.07 Makindye-Kibuye'!N44,'26.07 Makindye-Kibuye-24h'!N44,'27.07 Makindye-Kibuye-24h'!N44,'28.07 Makindye-Kibuye'!N44)</f>
        <v>0</v>
      </c>
      <c r="O44" s="15">
        <f t="shared" si="0"/>
        <v>74.714285714285708</v>
      </c>
      <c r="P44" s="15">
        <f t="shared" si="1"/>
        <v>279</v>
      </c>
    </row>
    <row r="45" spans="2:32" ht="23.1" customHeight="1" x14ac:dyDescent="0.25">
      <c r="B45" s="23" t="s">
        <v>72</v>
      </c>
      <c r="C45" s="49">
        <f>AVERAGE('22.07 Makindye-Kibuye'!C45,'23.07 Makindye-Kibuye'!C45,'24.07 Makindye-Kibuye'!C45,'25.07 Makindye-Kibuye'!C45,'26.07 Makindye-Kibuye-24h'!C45,'27.07 Makindye-Kibuye-24h'!C45,'28.07 Makindye-Kibuye'!C45)</f>
        <v>32.857142857142854</v>
      </c>
      <c r="D45" s="49">
        <f>AVERAGE('22.07 Makindye-Kibuye'!D45,'23.07 Makindye-Kibuye'!D45,'24.07 Makindye-Kibuye'!D45,'25.07 Makindye-Kibuye'!D45,'26.07 Makindye-Kibuye-24h'!D45,'27.07 Makindye-Kibuye-24h'!D45,'28.07 Makindye-Kibuye'!D45)</f>
        <v>5.8571428571428568</v>
      </c>
      <c r="E45" s="49">
        <f>AVERAGE('22.07 Makindye-Kibuye'!E45,'23.07 Makindye-Kibuye'!E45,'24.07 Makindye-Kibuye'!E45,'25.07 Makindye-Kibuye'!E45,'26.07 Makindye-Kibuye-24h'!E45,'27.07 Makindye-Kibuye-24h'!E45,'28.07 Makindye-Kibuye'!E45)</f>
        <v>4.4285714285714288</v>
      </c>
      <c r="F45" s="49">
        <f>AVERAGE('22.07 Makindye-Kibuye'!F45,'23.07 Makindye-Kibuye'!F45,'24.07 Makindye-Kibuye'!F45,'25.07 Makindye-Kibuye'!F45,'26.07 Makindye-Kibuye-24h'!F45,'27.07 Makindye-Kibuye-24h'!F45,'28.07 Makindye-Kibuye'!F45)</f>
        <v>28.428571428571427</v>
      </c>
      <c r="G45" s="49">
        <f>AVERAGE('22.07 Makindye-Kibuye'!G45,'23.07 Makindye-Kibuye'!G45,'24.07 Makindye-Kibuye'!G45,'25.07 Makindye-Kibuye'!G45,'26.07 Makindye-Kibuye-24h'!G45,'27.07 Makindye-Kibuye-24h'!G45,'28.07 Makindye-Kibuye'!G45)</f>
        <v>0.2857142857142857</v>
      </c>
      <c r="H45" s="49">
        <f>AVERAGE('22.07 Makindye-Kibuye'!H45,'23.07 Makindye-Kibuye'!H45,'24.07 Makindye-Kibuye'!H45,'25.07 Makindye-Kibuye'!H45,'26.07 Makindye-Kibuye-24h'!H45,'27.07 Makindye-Kibuye-24h'!H45,'28.07 Makindye-Kibuye'!H45)</f>
        <v>0.2857142857142857</v>
      </c>
      <c r="I45" s="49">
        <f>AVERAGE('22.07 Makindye-Kibuye'!I45,'23.07 Makindye-Kibuye'!I45,'24.07 Makindye-Kibuye'!I45,'25.07 Makindye-Kibuye'!I45,'26.07 Makindye-Kibuye-24h'!I45,'27.07 Makindye-Kibuye-24h'!I45,'28.07 Makindye-Kibuye'!I45)</f>
        <v>2.5714285714285716</v>
      </c>
      <c r="J45" s="49">
        <f>AVERAGE('22.07 Makindye-Kibuye'!J45,'23.07 Makindye-Kibuye'!J45,'24.07 Makindye-Kibuye'!J45,'25.07 Makindye-Kibuye'!J45,'26.07 Makindye-Kibuye-24h'!J45,'27.07 Makindye-Kibuye-24h'!J45,'28.07 Makindye-Kibuye'!J45)</f>
        <v>1.4285714285714286</v>
      </c>
      <c r="K45" s="49">
        <f>AVERAGE('22.07 Makindye-Kibuye'!K45,'23.07 Makindye-Kibuye'!K45,'24.07 Makindye-Kibuye'!K45,'25.07 Makindye-Kibuye'!K45,'26.07 Makindye-Kibuye-24h'!K45,'27.07 Makindye-Kibuye-24h'!K45,'28.07 Makindye-Kibuye'!K45)</f>
        <v>0.42857142857142855</v>
      </c>
      <c r="L45" s="49">
        <f>AVERAGE('22.07 Makindye-Kibuye'!L45,'23.07 Makindye-Kibuye'!L45,'24.07 Makindye-Kibuye'!L45,'25.07 Makindye-Kibuye'!L45,'26.07 Makindye-Kibuye-24h'!L45,'27.07 Makindye-Kibuye-24h'!L45,'28.07 Makindye-Kibuye'!L45)</f>
        <v>0</v>
      </c>
      <c r="M45" s="49">
        <f>AVERAGE('22.07 Makindye-Kibuye'!M45,'23.07 Makindye-Kibuye'!M45,'24.07 Makindye-Kibuye'!M45,'25.07 Makindye-Kibuye'!M45,'26.07 Makindye-Kibuye-24h'!M45,'27.07 Makindye-Kibuye-24h'!M45,'28.07 Makindye-Kibuye'!M45)</f>
        <v>210.71428571428572</v>
      </c>
      <c r="N45" s="49">
        <f>AVERAGE('22.07 Makindye-Kibuye'!N45,'23.07 Makindye-Kibuye'!N45,'24.07 Makindye-Kibuye'!N45,'25.07 Makindye-Kibuye'!N45,'26.07 Makindye-Kibuye-24h'!N45,'27.07 Makindye-Kibuye-24h'!N45,'28.07 Makindye-Kibuye'!N45)</f>
        <v>0</v>
      </c>
      <c r="O45" s="15">
        <f t="shared" si="0"/>
        <v>76.571428571428584</v>
      </c>
      <c r="P45" s="15">
        <f t="shared" si="1"/>
        <v>287.28571428571433</v>
      </c>
    </row>
    <row r="46" spans="2:32" ht="23.1" customHeight="1" x14ac:dyDescent="0.25">
      <c r="B46" s="24" t="s">
        <v>73</v>
      </c>
      <c r="C46" s="49">
        <f>AVERAGE('22.07 Makindye-Kibuye'!C46,'23.07 Makindye-Kibuye'!C46,'24.07 Makindye-Kibuye'!C46,'25.07 Makindye-Kibuye'!C46,'26.07 Makindye-Kibuye-24h'!C46,'27.07 Makindye-Kibuye-24h'!C46,'28.07 Makindye-Kibuye'!C46)</f>
        <v>37.714285714285715</v>
      </c>
      <c r="D46" s="49">
        <f>AVERAGE('22.07 Makindye-Kibuye'!D46,'23.07 Makindye-Kibuye'!D46,'24.07 Makindye-Kibuye'!D46,'25.07 Makindye-Kibuye'!D46,'26.07 Makindye-Kibuye-24h'!D46,'27.07 Makindye-Kibuye-24h'!D46,'28.07 Makindye-Kibuye'!D46)</f>
        <v>6.8571428571428568</v>
      </c>
      <c r="E46" s="49">
        <f>AVERAGE('22.07 Makindye-Kibuye'!E46,'23.07 Makindye-Kibuye'!E46,'24.07 Makindye-Kibuye'!E46,'25.07 Makindye-Kibuye'!E46,'26.07 Makindye-Kibuye-24h'!E46,'27.07 Makindye-Kibuye-24h'!E46,'28.07 Makindye-Kibuye'!E46)</f>
        <v>5.5714285714285712</v>
      </c>
      <c r="F46" s="49">
        <f>AVERAGE('22.07 Makindye-Kibuye'!F46,'23.07 Makindye-Kibuye'!F46,'24.07 Makindye-Kibuye'!F46,'25.07 Makindye-Kibuye'!F46,'26.07 Makindye-Kibuye-24h'!F46,'27.07 Makindye-Kibuye-24h'!F46,'28.07 Makindye-Kibuye'!F46)</f>
        <v>30</v>
      </c>
      <c r="G46" s="49">
        <f>AVERAGE('22.07 Makindye-Kibuye'!G46,'23.07 Makindye-Kibuye'!G46,'24.07 Makindye-Kibuye'!G46,'25.07 Makindye-Kibuye'!G46,'26.07 Makindye-Kibuye-24h'!G46,'27.07 Makindye-Kibuye-24h'!G46,'28.07 Makindye-Kibuye'!G46)</f>
        <v>0.2857142857142857</v>
      </c>
      <c r="H46" s="49">
        <f>AVERAGE('22.07 Makindye-Kibuye'!H46,'23.07 Makindye-Kibuye'!H46,'24.07 Makindye-Kibuye'!H46,'25.07 Makindye-Kibuye'!H46,'26.07 Makindye-Kibuye-24h'!H46,'27.07 Makindye-Kibuye-24h'!H46,'28.07 Makindye-Kibuye'!H46)</f>
        <v>0</v>
      </c>
      <c r="I46" s="49">
        <f>AVERAGE('22.07 Makindye-Kibuye'!I46,'23.07 Makindye-Kibuye'!I46,'24.07 Makindye-Kibuye'!I46,'25.07 Makindye-Kibuye'!I46,'26.07 Makindye-Kibuye-24h'!I46,'27.07 Makindye-Kibuye-24h'!I46,'28.07 Makindye-Kibuye'!I46)</f>
        <v>2.8571428571428572</v>
      </c>
      <c r="J46" s="49">
        <f>AVERAGE('22.07 Makindye-Kibuye'!J46,'23.07 Makindye-Kibuye'!J46,'24.07 Makindye-Kibuye'!J46,'25.07 Makindye-Kibuye'!J46,'26.07 Makindye-Kibuye-24h'!J46,'27.07 Makindye-Kibuye-24h'!J46,'28.07 Makindye-Kibuye'!J46)</f>
        <v>1.5714285714285714</v>
      </c>
      <c r="K46" s="49">
        <f>AVERAGE('22.07 Makindye-Kibuye'!K46,'23.07 Makindye-Kibuye'!K46,'24.07 Makindye-Kibuye'!K46,'25.07 Makindye-Kibuye'!K46,'26.07 Makindye-Kibuye-24h'!K46,'27.07 Makindye-Kibuye-24h'!K46,'28.07 Makindye-Kibuye'!K46)</f>
        <v>0.2857142857142857</v>
      </c>
      <c r="L46" s="49">
        <f>AVERAGE('22.07 Makindye-Kibuye'!L46,'23.07 Makindye-Kibuye'!L46,'24.07 Makindye-Kibuye'!L46,'25.07 Makindye-Kibuye'!L46,'26.07 Makindye-Kibuye-24h'!L46,'27.07 Makindye-Kibuye-24h'!L46,'28.07 Makindye-Kibuye'!L46)</f>
        <v>0.14285714285714285</v>
      </c>
      <c r="M46" s="49">
        <f>AVERAGE('22.07 Makindye-Kibuye'!M46,'23.07 Makindye-Kibuye'!M46,'24.07 Makindye-Kibuye'!M46,'25.07 Makindye-Kibuye'!M46,'26.07 Makindye-Kibuye-24h'!M46,'27.07 Makindye-Kibuye-24h'!M46,'28.07 Makindye-Kibuye'!M46)</f>
        <v>210</v>
      </c>
      <c r="N46" s="49">
        <f>AVERAGE('22.07 Makindye-Kibuye'!N46,'23.07 Makindye-Kibuye'!N46,'24.07 Makindye-Kibuye'!N46,'25.07 Makindye-Kibuye'!N46,'26.07 Makindye-Kibuye-24h'!N46,'27.07 Makindye-Kibuye-24h'!N46,'28.07 Makindye-Kibuye'!N46)</f>
        <v>0</v>
      </c>
      <c r="O46" s="15">
        <f t="shared" si="0"/>
        <v>85.285714285714292</v>
      </c>
      <c r="P46" s="15">
        <f t="shared" si="1"/>
        <v>295.28571428571428</v>
      </c>
      <c r="R46" s="8"/>
      <c r="T46"/>
    </row>
    <row r="47" spans="2:32" ht="23.1" customHeight="1" x14ac:dyDescent="0.25">
      <c r="B47" s="24" t="s">
        <v>74</v>
      </c>
      <c r="C47" s="49">
        <f>AVERAGE('22.07 Makindye-Kibuye'!C47,'23.07 Makindye-Kibuye'!C47,'24.07 Makindye-Kibuye'!C47,'25.07 Makindye-Kibuye'!C47,'26.07 Makindye-Kibuye-24h'!C47,'27.07 Makindye-Kibuye-24h'!C47,'28.07 Makindye-Kibuye'!C47)</f>
        <v>34.428571428571431</v>
      </c>
      <c r="D47" s="49">
        <f>AVERAGE('22.07 Makindye-Kibuye'!D47,'23.07 Makindye-Kibuye'!D47,'24.07 Makindye-Kibuye'!D47,'25.07 Makindye-Kibuye'!D47,'26.07 Makindye-Kibuye-24h'!D47,'27.07 Makindye-Kibuye-24h'!D47,'28.07 Makindye-Kibuye'!D47)</f>
        <v>4.7142857142857144</v>
      </c>
      <c r="E47" s="49">
        <f>AVERAGE('22.07 Makindye-Kibuye'!E47,'23.07 Makindye-Kibuye'!E47,'24.07 Makindye-Kibuye'!E47,'25.07 Makindye-Kibuye'!E47,'26.07 Makindye-Kibuye-24h'!E47,'27.07 Makindye-Kibuye-24h'!E47,'28.07 Makindye-Kibuye'!E47)</f>
        <v>5</v>
      </c>
      <c r="F47" s="49">
        <f>AVERAGE('22.07 Makindye-Kibuye'!F47,'23.07 Makindye-Kibuye'!F47,'24.07 Makindye-Kibuye'!F47,'25.07 Makindye-Kibuye'!F47,'26.07 Makindye-Kibuye-24h'!F47,'27.07 Makindye-Kibuye-24h'!F47,'28.07 Makindye-Kibuye'!F47)</f>
        <v>28.857142857142858</v>
      </c>
      <c r="G47" s="49">
        <f>AVERAGE('22.07 Makindye-Kibuye'!G47,'23.07 Makindye-Kibuye'!G47,'24.07 Makindye-Kibuye'!G47,'25.07 Makindye-Kibuye'!G47,'26.07 Makindye-Kibuye-24h'!G47,'27.07 Makindye-Kibuye-24h'!G47,'28.07 Makindye-Kibuye'!G47)</f>
        <v>0.14285714285714285</v>
      </c>
      <c r="H47" s="49">
        <f>AVERAGE('22.07 Makindye-Kibuye'!H47,'23.07 Makindye-Kibuye'!H47,'24.07 Makindye-Kibuye'!H47,'25.07 Makindye-Kibuye'!H47,'26.07 Makindye-Kibuye-24h'!H47,'27.07 Makindye-Kibuye-24h'!H47,'28.07 Makindye-Kibuye'!H47)</f>
        <v>0</v>
      </c>
      <c r="I47" s="49">
        <f>AVERAGE('22.07 Makindye-Kibuye'!I47,'23.07 Makindye-Kibuye'!I47,'24.07 Makindye-Kibuye'!I47,'25.07 Makindye-Kibuye'!I47,'26.07 Makindye-Kibuye-24h'!I47,'27.07 Makindye-Kibuye-24h'!I47,'28.07 Makindye-Kibuye'!I47)</f>
        <v>2.4285714285714284</v>
      </c>
      <c r="J47" s="49">
        <f>AVERAGE('22.07 Makindye-Kibuye'!J47,'23.07 Makindye-Kibuye'!J47,'24.07 Makindye-Kibuye'!J47,'25.07 Makindye-Kibuye'!J47,'26.07 Makindye-Kibuye-24h'!J47,'27.07 Makindye-Kibuye-24h'!J47,'28.07 Makindye-Kibuye'!J47)</f>
        <v>0.8571428571428571</v>
      </c>
      <c r="K47" s="49">
        <f>AVERAGE('22.07 Makindye-Kibuye'!K47,'23.07 Makindye-Kibuye'!K47,'24.07 Makindye-Kibuye'!K47,'25.07 Makindye-Kibuye'!K47,'26.07 Makindye-Kibuye-24h'!K47,'27.07 Makindye-Kibuye-24h'!K47,'28.07 Makindye-Kibuye'!K47)</f>
        <v>0.14285714285714285</v>
      </c>
      <c r="L47" s="49">
        <f>AVERAGE('22.07 Makindye-Kibuye'!L47,'23.07 Makindye-Kibuye'!L47,'24.07 Makindye-Kibuye'!L47,'25.07 Makindye-Kibuye'!L47,'26.07 Makindye-Kibuye-24h'!L47,'27.07 Makindye-Kibuye-24h'!L47,'28.07 Makindye-Kibuye'!L47)</f>
        <v>0</v>
      </c>
      <c r="M47" s="49">
        <f>AVERAGE('22.07 Makindye-Kibuye'!M47,'23.07 Makindye-Kibuye'!M47,'24.07 Makindye-Kibuye'!M47,'25.07 Makindye-Kibuye'!M47,'26.07 Makindye-Kibuye-24h'!M47,'27.07 Makindye-Kibuye-24h'!M47,'28.07 Makindye-Kibuye'!M47)</f>
        <v>209.42857142857142</v>
      </c>
      <c r="N47" s="49">
        <f>AVERAGE('22.07 Makindye-Kibuye'!N47,'23.07 Makindye-Kibuye'!N47,'24.07 Makindye-Kibuye'!N47,'25.07 Makindye-Kibuye'!N47,'26.07 Makindye-Kibuye-24h'!N47,'27.07 Makindye-Kibuye-24h'!N47,'28.07 Makindye-Kibuye'!N47)</f>
        <v>0</v>
      </c>
      <c r="O47" s="15">
        <f t="shared" si="0"/>
        <v>76.571428571428569</v>
      </c>
      <c r="P47" s="15">
        <f t="shared" si="1"/>
        <v>286</v>
      </c>
      <c r="R47" s="8"/>
      <c r="T47"/>
    </row>
    <row r="48" spans="2:32" ht="23.1" customHeight="1" x14ac:dyDescent="0.25">
      <c r="B48" s="24" t="s">
        <v>75</v>
      </c>
      <c r="C48" s="49">
        <f>AVERAGE('22.07 Makindye-Kibuye'!C48,'23.07 Makindye-Kibuye'!C48,'24.07 Makindye-Kibuye'!C48,'25.07 Makindye-Kibuye'!C48,'26.07 Makindye-Kibuye-24h'!C48,'27.07 Makindye-Kibuye-24h'!C48,'28.07 Makindye-Kibuye'!C48)</f>
        <v>38.714285714285715</v>
      </c>
      <c r="D48" s="49">
        <f>AVERAGE('22.07 Makindye-Kibuye'!D48,'23.07 Makindye-Kibuye'!D48,'24.07 Makindye-Kibuye'!D48,'25.07 Makindye-Kibuye'!D48,'26.07 Makindye-Kibuye-24h'!D48,'27.07 Makindye-Kibuye-24h'!D48,'28.07 Makindye-Kibuye'!D48)</f>
        <v>6.1428571428571432</v>
      </c>
      <c r="E48" s="49">
        <f>AVERAGE('22.07 Makindye-Kibuye'!E48,'23.07 Makindye-Kibuye'!E48,'24.07 Makindye-Kibuye'!E48,'25.07 Makindye-Kibuye'!E48,'26.07 Makindye-Kibuye-24h'!E48,'27.07 Makindye-Kibuye-24h'!E48,'28.07 Makindye-Kibuye'!E48)</f>
        <v>5.2857142857142856</v>
      </c>
      <c r="F48" s="49">
        <f>AVERAGE('22.07 Makindye-Kibuye'!F48,'23.07 Makindye-Kibuye'!F48,'24.07 Makindye-Kibuye'!F48,'25.07 Makindye-Kibuye'!F48,'26.07 Makindye-Kibuye-24h'!F48,'27.07 Makindye-Kibuye-24h'!F48,'28.07 Makindye-Kibuye'!F48)</f>
        <v>30.571428571428573</v>
      </c>
      <c r="G48" s="49">
        <f>AVERAGE('22.07 Makindye-Kibuye'!G48,'23.07 Makindye-Kibuye'!G48,'24.07 Makindye-Kibuye'!G48,'25.07 Makindye-Kibuye'!G48,'26.07 Makindye-Kibuye-24h'!G48,'27.07 Makindye-Kibuye-24h'!G48,'28.07 Makindye-Kibuye'!G48)</f>
        <v>0</v>
      </c>
      <c r="H48" s="49">
        <f>AVERAGE('22.07 Makindye-Kibuye'!H48,'23.07 Makindye-Kibuye'!H48,'24.07 Makindye-Kibuye'!H48,'25.07 Makindye-Kibuye'!H48,'26.07 Makindye-Kibuye-24h'!H48,'27.07 Makindye-Kibuye-24h'!H48,'28.07 Makindye-Kibuye'!H48)</f>
        <v>0.14285714285714285</v>
      </c>
      <c r="I48" s="49">
        <f>AVERAGE('22.07 Makindye-Kibuye'!I48,'23.07 Makindye-Kibuye'!I48,'24.07 Makindye-Kibuye'!I48,'25.07 Makindye-Kibuye'!I48,'26.07 Makindye-Kibuye-24h'!I48,'27.07 Makindye-Kibuye-24h'!I48,'28.07 Makindye-Kibuye'!I48)</f>
        <v>4</v>
      </c>
      <c r="J48" s="49">
        <f>AVERAGE('22.07 Makindye-Kibuye'!J48,'23.07 Makindye-Kibuye'!J48,'24.07 Makindye-Kibuye'!J48,'25.07 Makindye-Kibuye'!J48,'26.07 Makindye-Kibuye-24h'!J48,'27.07 Makindye-Kibuye-24h'!J48,'28.07 Makindye-Kibuye'!J48)</f>
        <v>2.1428571428571428</v>
      </c>
      <c r="K48" s="49">
        <f>AVERAGE('22.07 Makindye-Kibuye'!K48,'23.07 Makindye-Kibuye'!K48,'24.07 Makindye-Kibuye'!K48,'25.07 Makindye-Kibuye'!K48,'26.07 Makindye-Kibuye-24h'!K48,'27.07 Makindye-Kibuye-24h'!K48,'28.07 Makindye-Kibuye'!K48)</f>
        <v>0</v>
      </c>
      <c r="L48" s="49">
        <f>AVERAGE('22.07 Makindye-Kibuye'!L48,'23.07 Makindye-Kibuye'!L48,'24.07 Makindye-Kibuye'!L48,'25.07 Makindye-Kibuye'!L48,'26.07 Makindye-Kibuye-24h'!L48,'27.07 Makindye-Kibuye-24h'!L48,'28.07 Makindye-Kibuye'!L48)</f>
        <v>0</v>
      </c>
      <c r="M48" s="49">
        <f>AVERAGE('22.07 Makindye-Kibuye'!M48,'23.07 Makindye-Kibuye'!M48,'24.07 Makindye-Kibuye'!M48,'25.07 Makindye-Kibuye'!M48,'26.07 Makindye-Kibuye-24h'!M48,'27.07 Makindye-Kibuye-24h'!M48,'28.07 Makindye-Kibuye'!M48)</f>
        <v>196.42857142857142</v>
      </c>
      <c r="N48" s="49">
        <f>AVERAGE('22.07 Makindye-Kibuye'!N48,'23.07 Makindye-Kibuye'!N48,'24.07 Makindye-Kibuye'!N48,'25.07 Makindye-Kibuye'!N48,'26.07 Makindye-Kibuye-24h'!N48,'27.07 Makindye-Kibuye-24h'!N48,'28.07 Makindye-Kibuye'!N48)</f>
        <v>0</v>
      </c>
      <c r="O48" s="15">
        <f t="shared" si="0"/>
        <v>87</v>
      </c>
      <c r="P48" s="15">
        <f t="shared" si="1"/>
        <v>283.42857142857144</v>
      </c>
      <c r="R48" s="8"/>
      <c r="T48"/>
    </row>
    <row r="49" spans="2:20" ht="23.1" customHeight="1" x14ac:dyDescent="0.25">
      <c r="B49" s="23" t="s">
        <v>76</v>
      </c>
      <c r="C49" s="49">
        <f>AVERAGE('22.07 Makindye-Kibuye'!C49,'23.07 Makindye-Kibuye'!C49,'24.07 Makindye-Kibuye'!C49,'25.07 Makindye-Kibuye'!C49,'26.07 Makindye-Kibuye-24h'!C49,'27.07 Makindye-Kibuye-24h'!C49,'28.07 Makindye-Kibuye'!C49)</f>
        <v>37.285714285714285</v>
      </c>
      <c r="D49" s="49">
        <f>AVERAGE('22.07 Makindye-Kibuye'!D49,'23.07 Makindye-Kibuye'!D49,'24.07 Makindye-Kibuye'!D49,'25.07 Makindye-Kibuye'!D49,'26.07 Makindye-Kibuye-24h'!D49,'27.07 Makindye-Kibuye-24h'!D49,'28.07 Makindye-Kibuye'!D49)</f>
        <v>5.5714285714285712</v>
      </c>
      <c r="E49" s="49">
        <f>AVERAGE('22.07 Makindye-Kibuye'!E49,'23.07 Makindye-Kibuye'!E49,'24.07 Makindye-Kibuye'!E49,'25.07 Makindye-Kibuye'!E49,'26.07 Makindye-Kibuye-24h'!E49,'27.07 Makindye-Kibuye-24h'!E49,'28.07 Makindye-Kibuye'!E49)</f>
        <v>5.2857142857142856</v>
      </c>
      <c r="F49" s="49">
        <f>AVERAGE('22.07 Makindye-Kibuye'!F49,'23.07 Makindye-Kibuye'!F49,'24.07 Makindye-Kibuye'!F49,'25.07 Makindye-Kibuye'!F49,'26.07 Makindye-Kibuye-24h'!F49,'27.07 Makindye-Kibuye-24h'!F49,'28.07 Makindye-Kibuye'!F49)</f>
        <v>28.428571428571427</v>
      </c>
      <c r="G49" s="49">
        <f>AVERAGE('22.07 Makindye-Kibuye'!G49,'23.07 Makindye-Kibuye'!G49,'24.07 Makindye-Kibuye'!G49,'25.07 Makindye-Kibuye'!G49,'26.07 Makindye-Kibuye-24h'!G49,'27.07 Makindye-Kibuye-24h'!G49,'28.07 Makindye-Kibuye'!G49)</f>
        <v>0.14285714285714285</v>
      </c>
      <c r="H49" s="49">
        <f>AVERAGE('22.07 Makindye-Kibuye'!H49,'23.07 Makindye-Kibuye'!H49,'24.07 Makindye-Kibuye'!H49,'25.07 Makindye-Kibuye'!H49,'26.07 Makindye-Kibuye-24h'!H49,'27.07 Makindye-Kibuye-24h'!H49,'28.07 Makindye-Kibuye'!H49)</f>
        <v>0</v>
      </c>
      <c r="I49" s="49">
        <f>AVERAGE('22.07 Makindye-Kibuye'!I49,'23.07 Makindye-Kibuye'!I49,'24.07 Makindye-Kibuye'!I49,'25.07 Makindye-Kibuye'!I49,'26.07 Makindye-Kibuye-24h'!I49,'27.07 Makindye-Kibuye-24h'!I49,'28.07 Makindye-Kibuye'!I49)</f>
        <v>2.5714285714285716</v>
      </c>
      <c r="J49" s="49">
        <f>AVERAGE('22.07 Makindye-Kibuye'!J49,'23.07 Makindye-Kibuye'!J49,'24.07 Makindye-Kibuye'!J49,'25.07 Makindye-Kibuye'!J49,'26.07 Makindye-Kibuye-24h'!J49,'27.07 Makindye-Kibuye-24h'!J49,'28.07 Makindye-Kibuye'!J49)</f>
        <v>1.5714285714285714</v>
      </c>
      <c r="K49" s="49">
        <f>AVERAGE('22.07 Makindye-Kibuye'!K49,'23.07 Makindye-Kibuye'!K49,'24.07 Makindye-Kibuye'!K49,'25.07 Makindye-Kibuye'!K49,'26.07 Makindye-Kibuye-24h'!K49,'27.07 Makindye-Kibuye-24h'!K49,'28.07 Makindye-Kibuye'!K49)</f>
        <v>0.14285714285714285</v>
      </c>
      <c r="L49" s="49">
        <f>AVERAGE('22.07 Makindye-Kibuye'!L49,'23.07 Makindye-Kibuye'!L49,'24.07 Makindye-Kibuye'!L49,'25.07 Makindye-Kibuye'!L49,'26.07 Makindye-Kibuye-24h'!L49,'27.07 Makindye-Kibuye-24h'!L49,'28.07 Makindye-Kibuye'!L49)</f>
        <v>0</v>
      </c>
      <c r="M49" s="49">
        <f>AVERAGE('22.07 Makindye-Kibuye'!M49,'23.07 Makindye-Kibuye'!M49,'24.07 Makindye-Kibuye'!M49,'25.07 Makindye-Kibuye'!M49,'26.07 Makindye-Kibuye-24h'!M49,'27.07 Makindye-Kibuye-24h'!M49,'28.07 Makindye-Kibuye'!M49)</f>
        <v>201.42857142857142</v>
      </c>
      <c r="N49" s="49">
        <f>AVERAGE('22.07 Makindye-Kibuye'!N49,'23.07 Makindye-Kibuye'!N49,'24.07 Makindye-Kibuye'!N49,'25.07 Makindye-Kibuye'!N49,'26.07 Makindye-Kibuye-24h'!N49,'27.07 Makindye-Kibuye-24h'!N49,'28.07 Makindye-Kibuye'!N49)</f>
        <v>0</v>
      </c>
      <c r="O49" s="15">
        <f t="shared" si="0"/>
        <v>80.999999999999986</v>
      </c>
      <c r="P49" s="15">
        <f t="shared" si="1"/>
        <v>282.42857142857139</v>
      </c>
      <c r="R49" s="8"/>
      <c r="T49"/>
    </row>
    <row r="50" spans="2:20" ht="23.1" customHeight="1" x14ac:dyDescent="0.25">
      <c r="B50" s="24" t="s">
        <v>77</v>
      </c>
      <c r="C50" s="49">
        <f>AVERAGE('22.07 Makindye-Kibuye'!C50,'23.07 Makindye-Kibuye'!C50,'24.07 Makindye-Kibuye'!C50,'25.07 Makindye-Kibuye'!C50,'26.07 Makindye-Kibuye-24h'!C50,'27.07 Makindye-Kibuye-24h'!C50,'28.07 Makindye-Kibuye'!C50)</f>
        <v>35.714285714285715</v>
      </c>
      <c r="D50" s="49">
        <f>AVERAGE('22.07 Makindye-Kibuye'!D50,'23.07 Makindye-Kibuye'!D50,'24.07 Makindye-Kibuye'!D50,'25.07 Makindye-Kibuye'!D50,'26.07 Makindye-Kibuye-24h'!D50,'27.07 Makindye-Kibuye-24h'!D50,'28.07 Makindye-Kibuye'!D50)</f>
        <v>5.1428571428571432</v>
      </c>
      <c r="E50" s="49">
        <f>AVERAGE('22.07 Makindye-Kibuye'!E50,'23.07 Makindye-Kibuye'!E50,'24.07 Makindye-Kibuye'!E50,'25.07 Makindye-Kibuye'!E50,'26.07 Makindye-Kibuye-24h'!E50,'27.07 Makindye-Kibuye-24h'!E50,'28.07 Makindye-Kibuye'!E50)</f>
        <v>5.1428571428571432</v>
      </c>
      <c r="F50" s="49">
        <f>AVERAGE('22.07 Makindye-Kibuye'!F50,'23.07 Makindye-Kibuye'!F50,'24.07 Makindye-Kibuye'!F50,'25.07 Makindye-Kibuye'!F50,'26.07 Makindye-Kibuye-24h'!F50,'27.07 Makindye-Kibuye-24h'!F50,'28.07 Makindye-Kibuye'!F50)</f>
        <v>32.142857142857146</v>
      </c>
      <c r="G50" s="49">
        <f>AVERAGE('22.07 Makindye-Kibuye'!G50,'23.07 Makindye-Kibuye'!G50,'24.07 Makindye-Kibuye'!G50,'25.07 Makindye-Kibuye'!G50,'26.07 Makindye-Kibuye-24h'!G50,'27.07 Makindye-Kibuye-24h'!G50,'28.07 Makindye-Kibuye'!G50)</f>
        <v>0</v>
      </c>
      <c r="H50" s="49">
        <f>AVERAGE('22.07 Makindye-Kibuye'!H50,'23.07 Makindye-Kibuye'!H50,'24.07 Makindye-Kibuye'!H50,'25.07 Makindye-Kibuye'!H50,'26.07 Makindye-Kibuye-24h'!H50,'27.07 Makindye-Kibuye-24h'!H50,'28.07 Makindye-Kibuye'!H50)</f>
        <v>0</v>
      </c>
      <c r="I50" s="49">
        <f>AVERAGE('22.07 Makindye-Kibuye'!I50,'23.07 Makindye-Kibuye'!I50,'24.07 Makindye-Kibuye'!I50,'25.07 Makindye-Kibuye'!I50,'26.07 Makindye-Kibuye-24h'!I50,'27.07 Makindye-Kibuye-24h'!I50,'28.07 Makindye-Kibuye'!I50)</f>
        <v>2.1428571428571428</v>
      </c>
      <c r="J50" s="49">
        <f>AVERAGE('22.07 Makindye-Kibuye'!J50,'23.07 Makindye-Kibuye'!J50,'24.07 Makindye-Kibuye'!J50,'25.07 Makindye-Kibuye'!J50,'26.07 Makindye-Kibuye-24h'!J50,'27.07 Makindye-Kibuye-24h'!J50,'28.07 Makindye-Kibuye'!J50)</f>
        <v>1.7142857142857142</v>
      </c>
      <c r="K50" s="49">
        <f>AVERAGE('22.07 Makindye-Kibuye'!K50,'23.07 Makindye-Kibuye'!K50,'24.07 Makindye-Kibuye'!K50,'25.07 Makindye-Kibuye'!K50,'26.07 Makindye-Kibuye-24h'!K50,'27.07 Makindye-Kibuye-24h'!K50,'28.07 Makindye-Kibuye'!K50)</f>
        <v>0.5714285714285714</v>
      </c>
      <c r="L50" s="49">
        <f>AVERAGE('22.07 Makindye-Kibuye'!L50,'23.07 Makindye-Kibuye'!L50,'24.07 Makindye-Kibuye'!L50,'25.07 Makindye-Kibuye'!L50,'26.07 Makindye-Kibuye-24h'!L50,'27.07 Makindye-Kibuye-24h'!L50,'28.07 Makindye-Kibuye'!L50)</f>
        <v>0</v>
      </c>
      <c r="M50" s="49">
        <f>AVERAGE('22.07 Makindye-Kibuye'!M50,'23.07 Makindye-Kibuye'!M50,'24.07 Makindye-Kibuye'!M50,'25.07 Makindye-Kibuye'!M50,'26.07 Makindye-Kibuye-24h'!M50,'27.07 Makindye-Kibuye-24h'!M50,'28.07 Makindye-Kibuye'!M50)</f>
        <v>183.57142857142858</v>
      </c>
      <c r="N50" s="49">
        <f>AVERAGE('22.07 Makindye-Kibuye'!N50,'23.07 Makindye-Kibuye'!N50,'24.07 Makindye-Kibuye'!N50,'25.07 Makindye-Kibuye'!N50,'26.07 Makindye-Kibuye-24h'!N50,'27.07 Makindye-Kibuye-24h'!N50,'28.07 Makindye-Kibuye'!N50)</f>
        <v>0</v>
      </c>
      <c r="O50" s="15">
        <f t="shared" si="0"/>
        <v>82.571428571428569</v>
      </c>
      <c r="P50" s="15">
        <f t="shared" si="1"/>
        <v>266.14285714285717</v>
      </c>
      <c r="R50" s="8"/>
      <c r="T50"/>
    </row>
    <row r="51" spans="2:20" ht="23.1" customHeight="1" x14ac:dyDescent="0.25">
      <c r="B51" s="24" t="s">
        <v>78</v>
      </c>
      <c r="C51" s="49">
        <f>AVERAGE('22.07 Makindye-Kibuye'!C51,'23.07 Makindye-Kibuye'!C51,'24.07 Makindye-Kibuye'!C51,'25.07 Makindye-Kibuye'!C51,'26.07 Makindye-Kibuye-24h'!C51,'27.07 Makindye-Kibuye-24h'!C51,'28.07 Makindye-Kibuye'!C51)</f>
        <v>31</v>
      </c>
      <c r="D51" s="49">
        <f>AVERAGE('22.07 Makindye-Kibuye'!D51,'23.07 Makindye-Kibuye'!D51,'24.07 Makindye-Kibuye'!D51,'25.07 Makindye-Kibuye'!D51,'26.07 Makindye-Kibuye-24h'!D51,'27.07 Makindye-Kibuye-24h'!D51,'28.07 Makindye-Kibuye'!D51)</f>
        <v>6.1428571428571432</v>
      </c>
      <c r="E51" s="49">
        <f>AVERAGE('22.07 Makindye-Kibuye'!E51,'23.07 Makindye-Kibuye'!E51,'24.07 Makindye-Kibuye'!E51,'25.07 Makindye-Kibuye'!E51,'26.07 Makindye-Kibuye-24h'!E51,'27.07 Makindye-Kibuye-24h'!E51,'28.07 Makindye-Kibuye'!E51)</f>
        <v>2.4285714285714284</v>
      </c>
      <c r="F51" s="49">
        <f>AVERAGE('22.07 Makindye-Kibuye'!F51,'23.07 Makindye-Kibuye'!F51,'24.07 Makindye-Kibuye'!F51,'25.07 Makindye-Kibuye'!F51,'26.07 Makindye-Kibuye-24h'!F51,'27.07 Makindye-Kibuye-24h'!F51,'28.07 Makindye-Kibuye'!F51)</f>
        <v>23.714285714285715</v>
      </c>
      <c r="G51" s="49">
        <f>AVERAGE('22.07 Makindye-Kibuye'!G51,'23.07 Makindye-Kibuye'!G51,'24.07 Makindye-Kibuye'!G51,'25.07 Makindye-Kibuye'!G51,'26.07 Makindye-Kibuye-24h'!G51,'27.07 Makindye-Kibuye-24h'!G51,'28.07 Makindye-Kibuye'!G51)</f>
        <v>0.14285714285714285</v>
      </c>
      <c r="H51" s="49">
        <f>AVERAGE('22.07 Makindye-Kibuye'!H51,'23.07 Makindye-Kibuye'!H51,'24.07 Makindye-Kibuye'!H51,'25.07 Makindye-Kibuye'!H51,'26.07 Makindye-Kibuye-24h'!H51,'27.07 Makindye-Kibuye-24h'!H51,'28.07 Makindye-Kibuye'!H51)</f>
        <v>0</v>
      </c>
      <c r="I51" s="49">
        <f>AVERAGE('22.07 Makindye-Kibuye'!I51,'23.07 Makindye-Kibuye'!I51,'24.07 Makindye-Kibuye'!I51,'25.07 Makindye-Kibuye'!I51,'26.07 Makindye-Kibuye-24h'!I51,'27.07 Makindye-Kibuye-24h'!I51,'28.07 Makindye-Kibuye'!I51)</f>
        <v>2</v>
      </c>
      <c r="J51" s="49">
        <f>AVERAGE('22.07 Makindye-Kibuye'!J51,'23.07 Makindye-Kibuye'!J51,'24.07 Makindye-Kibuye'!J51,'25.07 Makindye-Kibuye'!J51,'26.07 Makindye-Kibuye-24h'!J51,'27.07 Makindye-Kibuye-24h'!J51,'28.07 Makindye-Kibuye'!J51)</f>
        <v>1.4285714285714286</v>
      </c>
      <c r="K51" s="49">
        <f>AVERAGE('22.07 Makindye-Kibuye'!K51,'23.07 Makindye-Kibuye'!K51,'24.07 Makindye-Kibuye'!K51,'25.07 Makindye-Kibuye'!K51,'26.07 Makindye-Kibuye-24h'!K51,'27.07 Makindye-Kibuye-24h'!K51,'28.07 Makindye-Kibuye'!K51)</f>
        <v>0</v>
      </c>
      <c r="L51" s="49">
        <f>AVERAGE('22.07 Makindye-Kibuye'!L51,'23.07 Makindye-Kibuye'!L51,'24.07 Makindye-Kibuye'!L51,'25.07 Makindye-Kibuye'!L51,'26.07 Makindye-Kibuye-24h'!L51,'27.07 Makindye-Kibuye-24h'!L51,'28.07 Makindye-Kibuye'!L51)</f>
        <v>0.2857142857142857</v>
      </c>
      <c r="M51" s="49">
        <f>AVERAGE('22.07 Makindye-Kibuye'!M51,'23.07 Makindye-Kibuye'!M51,'24.07 Makindye-Kibuye'!M51,'25.07 Makindye-Kibuye'!M51,'26.07 Makindye-Kibuye-24h'!M51,'27.07 Makindye-Kibuye-24h'!M51,'28.07 Makindye-Kibuye'!M51)</f>
        <v>186.42857142857142</v>
      </c>
      <c r="N51" s="49">
        <f>AVERAGE('22.07 Makindye-Kibuye'!N51,'23.07 Makindye-Kibuye'!N51,'24.07 Makindye-Kibuye'!N51,'25.07 Makindye-Kibuye'!N51,'26.07 Makindye-Kibuye-24h'!N51,'27.07 Makindye-Kibuye-24h'!N51,'28.07 Makindye-Kibuye'!N51)</f>
        <v>0</v>
      </c>
      <c r="O51" s="15">
        <f t="shared" si="0"/>
        <v>67.142857142857167</v>
      </c>
      <c r="P51" s="15">
        <f t="shared" si="1"/>
        <v>253.57142857142858</v>
      </c>
      <c r="R51" s="8"/>
      <c r="T51"/>
    </row>
    <row r="52" spans="2:20" ht="23.1" customHeight="1" x14ac:dyDescent="0.25">
      <c r="B52" s="24" t="s">
        <v>79</v>
      </c>
      <c r="C52" s="49">
        <f>AVERAGE('22.07 Makindye-Kibuye'!C52,'23.07 Makindye-Kibuye'!C52,'24.07 Makindye-Kibuye'!C52,'25.07 Makindye-Kibuye'!C52,'26.07 Makindye-Kibuye-24h'!C52,'27.07 Makindye-Kibuye-24h'!C52,'28.07 Makindye-Kibuye'!C52)</f>
        <v>36.428571428571431</v>
      </c>
      <c r="D52" s="49">
        <f>AVERAGE('22.07 Makindye-Kibuye'!D52,'23.07 Makindye-Kibuye'!D52,'24.07 Makindye-Kibuye'!D52,'25.07 Makindye-Kibuye'!D52,'26.07 Makindye-Kibuye-24h'!D52,'27.07 Makindye-Kibuye-24h'!D52,'28.07 Makindye-Kibuye'!D52)</f>
        <v>5</v>
      </c>
      <c r="E52" s="49">
        <f>AVERAGE('22.07 Makindye-Kibuye'!E52,'23.07 Makindye-Kibuye'!E52,'24.07 Makindye-Kibuye'!E52,'25.07 Makindye-Kibuye'!E52,'26.07 Makindye-Kibuye-24h'!E52,'27.07 Makindye-Kibuye-24h'!E52,'28.07 Makindye-Kibuye'!E52)</f>
        <v>5.2857142857142856</v>
      </c>
      <c r="F52" s="49">
        <f>AVERAGE('22.07 Makindye-Kibuye'!F52,'23.07 Makindye-Kibuye'!F52,'24.07 Makindye-Kibuye'!F52,'25.07 Makindye-Kibuye'!F52,'26.07 Makindye-Kibuye-24h'!F52,'27.07 Makindye-Kibuye-24h'!F52,'28.07 Makindye-Kibuye'!F52)</f>
        <v>26.285714285714285</v>
      </c>
      <c r="G52" s="49">
        <f>AVERAGE('22.07 Makindye-Kibuye'!G52,'23.07 Makindye-Kibuye'!G52,'24.07 Makindye-Kibuye'!G52,'25.07 Makindye-Kibuye'!G52,'26.07 Makindye-Kibuye-24h'!G52,'27.07 Makindye-Kibuye-24h'!G52,'28.07 Makindye-Kibuye'!G52)</f>
        <v>0.14285714285714285</v>
      </c>
      <c r="H52" s="49">
        <f>AVERAGE('22.07 Makindye-Kibuye'!H52,'23.07 Makindye-Kibuye'!H52,'24.07 Makindye-Kibuye'!H52,'25.07 Makindye-Kibuye'!H52,'26.07 Makindye-Kibuye-24h'!H52,'27.07 Makindye-Kibuye-24h'!H52,'28.07 Makindye-Kibuye'!H52)</f>
        <v>0</v>
      </c>
      <c r="I52" s="49">
        <f>AVERAGE('22.07 Makindye-Kibuye'!I52,'23.07 Makindye-Kibuye'!I52,'24.07 Makindye-Kibuye'!I52,'25.07 Makindye-Kibuye'!I52,'26.07 Makindye-Kibuye-24h'!I52,'27.07 Makindye-Kibuye-24h'!I52,'28.07 Makindye-Kibuye'!I52)</f>
        <v>1.4285714285714286</v>
      </c>
      <c r="J52" s="49">
        <f>AVERAGE('22.07 Makindye-Kibuye'!J52,'23.07 Makindye-Kibuye'!J52,'24.07 Makindye-Kibuye'!J52,'25.07 Makindye-Kibuye'!J52,'26.07 Makindye-Kibuye-24h'!J52,'27.07 Makindye-Kibuye-24h'!J52,'28.07 Makindye-Kibuye'!J52)</f>
        <v>1.2857142857142858</v>
      </c>
      <c r="K52" s="49">
        <f>AVERAGE('22.07 Makindye-Kibuye'!K52,'23.07 Makindye-Kibuye'!K52,'24.07 Makindye-Kibuye'!K52,'25.07 Makindye-Kibuye'!K52,'26.07 Makindye-Kibuye-24h'!K52,'27.07 Makindye-Kibuye-24h'!K52,'28.07 Makindye-Kibuye'!K52)</f>
        <v>0.14285714285714285</v>
      </c>
      <c r="L52" s="49">
        <f>AVERAGE('22.07 Makindye-Kibuye'!L52,'23.07 Makindye-Kibuye'!L52,'24.07 Makindye-Kibuye'!L52,'25.07 Makindye-Kibuye'!L52,'26.07 Makindye-Kibuye-24h'!L52,'27.07 Makindye-Kibuye-24h'!L52,'28.07 Makindye-Kibuye'!L52)</f>
        <v>0</v>
      </c>
      <c r="M52" s="49">
        <f>AVERAGE('22.07 Makindye-Kibuye'!M52,'23.07 Makindye-Kibuye'!M52,'24.07 Makindye-Kibuye'!M52,'25.07 Makindye-Kibuye'!M52,'26.07 Makindye-Kibuye-24h'!M52,'27.07 Makindye-Kibuye-24h'!M52,'28.07 Makindye-Kibuye'!M52)</f>
        <v>189.28571428571428</v>
      </c>
      <c r="N52" s="49">
        <f>AVERAGE('22.07 Makindye-Kibuye'!N52,'23.07 Makindye-Kibuye'!N52,'24.07 Makindye-Kibuye'!N52,'25.07 Makindye-Kibuye'!N52,'26.07 Makindye-Kibuye-24h'!N52,'27.07 Makindye-Kibuye-24h'!N52,'28.07 Makindye-Kibuye'!N52)</f>
        <v>0</v>
      </c>
      <c r="O52" s="15">
        <f t="shared" si="0"/>
        <v>76</v>
      </c>
      <c r="P52" s="15">
        <f t="shared" si="1"/>
        <v>265.28571428571428</v>
      </c>
      <c r="R52" s="8"/>
      <c r="T52"/>
    </row>
    <row r="53" spans="2:20" ht="23.1" customHeight="1" x14ac:dyDescent="0.25">
      <c r="B53" s="23" t="s">
        <v>80</v>
      </c>
      <c r="C53" s="49">
        <f>AVERAGE('22.07 Makindye-Kibuye'!C53,'23.07 Makindye-Kibuye'!C53,'24.07 Makindye-Kibuye'!C53,'25.07 Makindye-Kibuye'!C53,'26.07 Makindye-Kibuye-24h'!C53,'27.07 Makindye-Kibuye-24h'!C53,'28.07 Makindye-Kibuye'!C53)</f>
        <v>26.857142857142858</v>
      </c>
      <c r="D53" s="49">
        <f>AVERAGE('22.07 Makindye-Kibuye'!D53,'23.07 Makindye-Kibuye'!D53,'24.07 Makindye-Kibuye'!D53,'25.07 Makindye-Kibuye'!D53,'26.07 Makindye-Kibuye-24h'!D53,'27.07 Makindye-Kibuye-24h'!D53,'28.07 Makindye-Kibuye'!D53)</f>
        <v>2.4285714285714284</v>
      </c>
      <c r="E53" s="49">
        <f>AVERAGE('22.07 Makindye-Kibuye'!E53,'23.07 Makindye-Kibuye'!E53,'24.07 Makindye-Kibuye'!E53,'25.07 Makindye-Kibuye'!E53,'26.07 Makindye-Kibuye-24h'!E53,'27.07 Makindye-Kibuye-24h'!E53,'28.07 Makindye-Kibuye'!E53)</f>
        <v>3.8571428571428572</v>
      </c>
      <c r="F53" s="49">
        <f>AVERAGE('22.07 Makindye-Kibuye'!F53,'23.07 Makindye-Kibuye'!F53,'24.07 Makindye-Kibuye'!F53,'25.07 Makindye-Kibuye'!F53,'26.07 Makindye-Kibuye-24h'!F53,'27.07 Makindye-Kibuye-24h'!F53,'28.07 Makindye-Kibuye'!F53)</f>
        <v>26</v>
      </c>
      <c r="G53" s="49">
        <f>AVERAGE('22.07 Makindye-Kibuye'!G53,'23.07 Makindye-Kibuye'!G53,'24.07 Makindye-Kibuye'!G53,'25.07 Makindye-Kibuye'!G53,'26.07 Makindye-Kibuye-24h'!G53,'27.07 Makindye-Kibuye-24h'!G53,'28.07 Makindye-Kibuye'!G53)</f>
        <v>0.42857142857142855</v>
      </c>
      <c r="H53" s="49">
        <f>AVERAGE('22.07 Makindye-Kibuye'!H53,'23.07 Makindye-Kibuye'!H53,'24.07 Makindye-Kibuye'!H53,'25.07 Makindye-Kibuye'!H53,'26.07 Makindye-Kibuye-24h'!H53,'27.07 Makindye-Kibuye-24h'!H53,'28.07 Makindye-Kibuye'!H53)</f>
        <v>0</v>
      </c>
      <c r="I53" s="49">
        <f>AVERAGE('22.07 Makindye-Kibuye'!I53,'23.07 Makindye-Kibuye'!I53,'24.07 Makindye-Kibuye'!I53,'25.07 Makindye-Kibuye'!I53,'26.07 Makindye-Kibuye-24h'!I53,'27.07 Makindye-Kibuye-24h'!I53,'28.07 Makindye-Kibuye'!I53)</f>
        <v>1.4285714285714286</v>
      </c>
      <c r="J53" s="49">
        <f>AVERAGE('22.07 Makindye-Kibuye'!J53,'23.07 Makindye-Kibuye'!J53,'24.07 Makindye-Kibuye'!J53,'25.07 Makindye-Kibuye'!J53,'26.07 Makindye-Kibuye-24h'!J53,'27.07 Makindye-Kibuye-24h'!J53,'28.07 Makindye-Kibuye'!J53)</f>
        <v>0.7142857142857143</v>
      </c>
      <c r="K53" s="49">
        <f>AVERAGE('22.07 Makindye-Kibuye'!K53,'23.07 Makindye-Kibuye'!K53,'24.07 Makindye-Kibuye'!K53,'25.07 Makindye-Kibuye'!K53,'26.07 Makindye-Kibuye-24h'!K53,'27.07 Makindye-Kibuye-24h'!K53,'28.07 Makindye-Kibuye'!K53)</f>
        <v>0.42857142857142855</v>
      </c>
      <c r="L53" s="49">
        <f>AVERAGE('22.07 Makindye-Kibuye'!L53,'23.07 Makindye-Kibuye'!L53,'24.07 Makindye-Kibuye'!L53,'25.07 Makindye-Kibuye'!L53,'26.07 Makindye-Kibuye-24h'!L53,'27.07 Makindye-Kibuye-24h'!L53,'28.07 Makindye-Kibuye'!L53)</f>
        <v>0</v>
      </c>
      <c r="M53" s="49">
        <f>AVERAGE('22.07 Makindye-Kibuye'!M53,'23.07 Makindye-Kibuye'!M53,'24.07 Makindye-Kibuye'!M53,'25.07 Makindye-Kibuye'!M53,'26.07 Makindye-Kibuye-24h'!M53,'27.07 Makindye-Kibuye-24h'!M53,'28.07 Makindye-Kibuye'!M53)</f>
        <v>177.14285714285714</v>
      </c>
      <c r="N53" s="49">
        <f>AVERAGE('22.07 Makindye-Kibuye'!N53,'23.07 Makindye-Kibuye'!N53,'24.07 Makindye-Kibuye'!N53,'25.07 Makindye-Kibuye'!N53,'26.07 Makindye-Kibuye-24h'!N53,'27.07 Makindye-Kibuye-24h'!N53,'28.07 Makindye-Kibuye'!N53)</f>
        <v>0</v>
      </c>
      <c r="O53" s="15">
        <f t="shared" si="0"/>
        <v>62.142857142857146</v>
      </c>
      <c r="P53" s="15">
        <f t="shared" si="1"/>
        <v>239.28571428571428</v>
      </c>
      <c r="R53" s="8"/>
      <c r="T53"/>
    </row>
    <row r="54" spans="2:20" ht="23.1" customHeight="1" x14ac:dyDescent="0.25">
      <c r="B54" s="23" t="s">
        <v>81</v>
      </c>
      <c r="C54" s="49">
        <f>AVERAGE('22.07 Makindye-Kibuye'!C54,'23.07 Makindye-Kibuye'!C54,'24.07 Makindye-Kibuye'!C54,'25.07 Makindye-Kibuye'!C54,'26.07 Makindye-Kibuye-24h'!C54,'27.07 Makindye-Kibuye-24h'!C54,'28.07 Makindye-Kibuye'!C54)</f>
        <v>26.428571428571427</v>
      </c>
      <c r="D54" s="49">
        <f>AVERAGE('22.07 Makindye-Kibuye'!D54,'23.07 Makindye-Kibuye'!D54,'24.07 Makindye-Kibuye'!D54,'25.07 Makindye-Kibuye'!D54,'26.07 Makindye-Kibuye-24h'!D54,'27.07 Makindye-Kibuye-24h'!D54,'28.07 Makindye-Kibuye'!D54)</f>
        <v>3.4285714285714284</v>
      </c>
      <c r="E54" s="49">
        <f>AVERAGE('22.07 Makindye-Kibuye'!E54,'23.07 Makindye-Kibuye'!E54,'24.07 Makindye-Kibuye'!E54,'25.07 Makindye-Kibuye'!E54,'26.07 Makindye-Kibuye-24h'!E54,'27.07 Makindye-Kibuye-24h'!E54,'28.07 Makindye-Kibuye'!E54)</f>
        <v>2.2857142857142856</v>
      </c>
      <c r="F54" s="49">
        <f>AVERAGE('22.07 Makindye-Kibuye'!F54,'23.07 Makindye-Kibuye'!F54,'24.07 Makindye-Kibuye'!F54,'25.07 Makindye-Kibuye'!F54,'26.07 Makindye-Kibuye-24h'!F54,'27.07 Makindye-Kibuye-24h'!F54,'28.07 Makindye-Kibuye'!F54)</f>
        <v>27.857142857142858</v>
      </c>
      <c r="G54" s="49">
        <f>AVERAGE('22.07 Makindye-Kibuye'!G54,'23.07 Makindye-Kibuye'!G54,'24.07 Makindye-Kibuye'!G54,'25.07 Makindye-Kibuye'!G54,'26.07 Makindye-Kibuye-24h'!G54,'27.07 Makindye-Kibuye-24h'!G54,'28.07 Makindye-Kibuye'!G54)</f>
        <v>0.2857142857142857</v>
      </c>
      <c r="H54" s="49">
        <f>AVERAGE('22.07 Makindye-Kibuye'!H54,'23.07 Makindye-Kibuye'!H54,'24.07 Makindye-Kibuye'!H54,'25.07 Makindye-Kibuye'!H54,'26.07 Makindye-Kibuye-24h'!H54,'27.07 Makindye-Kibuye-24h'!H54,'28.07 Makindye-Kibuye'!H54)</f>
        <v>0</v>
      </c>
      <c r="I54" s="49">
        <f>AVERAGE('22.07 Makindye-Kibuye'!I54,'23.07 Makindye-Kibuye'!I54,'24.07 Makindye-Kibuye'!I54,'25.07 Makindye-Kibuye'!I54,'26.07 Makindye-Kibuye-24h'!I54,'27.07 Makindye-Kibuye-24h'!I54,'28.07 Makindye-Kibuye'!I54)</f>
        <v>2</v>
      </c>
      <c r="J54" s="49">
        <f>AVERAGE('22.07 Makindye-Kibuye'!J54,'23.07 Makindye-Kibuye'!J54,'24.07 Makindye-Kibuye'!J54,'25.07 Makindye-Kibuye'!J54,'26.07 Makindye-Kibuye-24h'!J54,'27.07 Makindye-Kibuye-24h'!J54,'28.07 Makindye-Kibuye'!J54)</f>
        <v>0.7142857142857143</v>
      </c>
      <c r="K54" s="49">
        <f>AVERAGE('22.07 Makindye-Kibuye'!K54,'23.07 Makindye-Kibuye'!K54,'24.07 Makindye-Kibuye'!K54,'25.07 Makindye-Kibuye'!K54,'26.07 Makindye-Kibuye-24h'!K54,'27.07 Makindye-Kibuye-24h'!K54,'28.07 Makindye-Kibuye'!K54)</f>
        <v>0.42857142857142855</v>
      </c>
      <c r="L54" s="49">
        <f>AVERAGE('22.07 Makindye-Kibuye'!L54,'23.07 Makindye-Kibuye'!L54,'24.07 Makindye-Kibuye'!L54,'25.07 Makindye-Kibuye'!L54,'26.07 Makindye-Kibuye-24h'!L54,'27.07 Makindye-Kibuye-24h'!L54,'28.07 Makindye-Kibuye'!L54)</f>
        <v>0.14285714285714285</v>
      </c>
      <c r="M54" s="49">
        <f>AVERAGE('22.07 Makindye-Kibuye'!M54,'23.07 Makindye-Kibuye'!M54,'24.07 Makindye-Kibuye'!M54,'25.07 Makindye-Kibuye'!M54,'26.07 Makindye-Kibuye-24h'!M54,'27.07 Makindye-Kibuye-24h'!M54,'28.07 Makindye-Kibuye'!M54)</f>
        <v>183.71428571428572</v>
      </c>
      <c r="N54" s="49">
        <f>AVERAGE('22.07 Makindye-Kibuye'!N54,'23.07 Makindye-Kibuye'!N54,'24.07 Makindye-Kibuye'!N54,'25.07 Makindye-Kibuye'!N54,'26.07 Makindye-Kibuye-24h'!N54,'27.07 Makindye-Kibuye-24h'!N54,'28.07 Makindye-Kibuye'!N54)</f>
        <v>0</v>
      </c>
      <c r="O54" s="15">
        <f t="shared" si="0"/>
        <v>63.571428571428577</v>
      </c>
      <c r="P54" s="15">
        <f t="shared" si="1"/>
        <v>247.28571428571431</v>
      </c>
      <c r="R54" s="8"/>
      <c r="T54"/>
    </row>
    <row r="55" spans="2:20" ht="23.1" customHeight="1" x14ac:dyDescent="0.25">
      <c r="B55" s="23" t="s">
        <v>82</v>
      </c>
      <c r="C55" s="49">
        <f>AVERAGE('22.07 Makindye-Kibuye'!C55,'23.07 Makindye-Kibuye'!C55,'24.07 Makindye-Kibuye'!C55,'25.07 Makindye-Kibuye'!C55,'26.07 Makindye-Kibuye-24h'!C55,'27.07 Makindye-Kibuye-24h'!C55,'28.07 Makindye-Kibuye'!C55)</f>
        <v>28.428571428571427</v>
      </c>
      <c r="D55" s="49">
        <f>AVERAGE('22.07 Makindye-Kibuye'!D55,'23.07 Makindye-Kibuye'!D55,'24.07 Makindye-Kibuye'!D55,'25.07 Makindye-Kibuye'!D55,'26.07 Makindye-Kibuye-24h'!D55,'27.07 Makindye-Kibuye-24h'!D55,'28.07 Makindye-Kibuye'!D55)</f>
        <v>3.5714285714285716</v>
      </c>
      <c r="E55" s="49">
        <f>AVERAGE('22.07 Makindye-Kibuye'!E55,'23.07 Makindye-Kibuye'!E55,'24.07 Makindye-Kibuye'!E55,'25.07 Makindye-Kibuye'!E55,'26.07 Makindye-Kibuye-24h'!E55,'27.07 Makindye-Kibuye-24h'!E55,'28.07 Makindye-Kibuye'!E55)</f>
        <v>1.4285714285714286</v>
      </c>
      <c r="F55" s="49">
        <f>AVERAGE('22.07 Makindye-Kibuye'!F55,'23.07 Makindye-Kibuye'!F55,'24.07 Makindye-Kibuye'!F55,'25.07 Makindye-Kibuye'!F55,'26.07 Makindye-Kibuye-24h'!F55,'27.07 Makindye-Kibuye-24h'!F55,'28.07 Makindye-Kibuye'!F55)</f>
        <v>29.142857142857142</v>
      </c>
      <c r="G55" s="49">
        <f>AVERAGE('22.07 Makindye-Kibuye'!G55,'23.07 Makindye-Kibuye'!G55,'24.07 Makindye-Kibuye'!G55,'25.07 Makindye-Kibuye'!G55,'26.07 Makindye-Kibuye-24h'!G55,'27.07 Makindye-Kibuye-24h'!G55,'28.07 Makindye-Kibuye'!G55)</f>
        <v>0.14285714285714285</v>
      </c>
      <c r="H55" s="49">
        <f>AVERAGE('22.07 Makindye-Kibuye'!H55,'23.07 Makindye-Kibuye'!H55,'24.07 Makindye-Kibuye'!H55,'25.07 Makindye-Kibuye'!H55,'26.07 Makindye-Kibuye-24h'!H55,'27.07 Makindye-Kibuye-24h'!H55,'28.07 Makindye-Kibuye'!H55)</f>
        <v>0</v>
      </c>
      <c r="I55" s="49">
        <f>AVERAGE('22.07 Makindye-Kibuye'!I55,'23.07 Makindye-Kibuye'!I55,'24.07 Makindye-Kibuye'!I55,'25.07 Makindye-Kibuye'!I55,'26.07 Makindye-Kibuye-24h'!I55,'27.07 Makindye-Kibuye-24h'!I55,'28.07 Makindye-Kibuye'!I55)</f>
        <v>1.5714285714285714</v>
      </c>
      <c r="J55" s="49">
        <f>AVERAGE('22.07 Makindye-Kibuye'!J55,'23.07 Makindye-Kibuye'!J55,'24.07 Makindye-Kibuye'!J55,'25.07 Makindye-Kibuye'!J55,'26.07 Makindye-Kibuye-24h'!J55,'27.07 Makindye-Kibuye-24h'!J55,'28.07 Makindye-Kibuye'!J55)</f>
        <v>0.8571428571428571</v>
      </c>
      <c r="K55" s="49">
        <f>AVERAGE('22.07 Makindye-Kibuye'!K55,'23.07 Makindye-Kibuye'!K55,'24.07 Makindye-Kibuye'!K55,'25.07 Makindye-Kibuye'!K55,'26.07 Makindye-Kibuye-24h'!K55,'27.07 Makindye-Kibuye-24h'!K55,'28.07 Makindye-Kibuye'!K55)</f>
        <v>0.5714285714285714</v>
      </c>
      <c r="L55" s="49">
        <f>AVERAGE('22.07 Makindye-Kibuye'!L55,'23.07 Makindye-Kibuye'!L55,'24.07 Makindye-Kibuye'!L55,'25.07 Makindye-Kibuye'!L55,'26.07 Makindye-Kibuye-24h'!L55,'27.07 Makindye-Kibuye-24h'!L55,'28.07 Makindye-Kibuye'!L55)</f>
        <v>0.14285714285714285</v>
      </c>
      <c r="M55" s="49">
        <f>AVERAGE('22.07 Makindye-Kibuye'!M55,'23.07 Makindye-Kibuye'!M55,'24.07 Makindye-Kibuye'!M55,'25.07 Makindye-Kibuye'!M55,'26.07 Makindye-Kibuye-24h'!M55,'27.07 Makindye-Kibuye-24h'!M55,'28.07 Makindye-Kibuye'!M55)</f>
        <v>170.71428571428572</v>
      </c>
      <c r="N55" s="49">
        <f>AVERAGE('22.07 Makindye-Kibuye'!N55,'23.07 Makindye-Kibuye'!N55,'24.07 Makindye-Kibuye'!N55,'25.07 Makindye-Kibuye'!N55,'26.07 Makindye-Kibuye-24h'!N55,'27.07 Makindye-Kibuye-24h'!N55,'28.07 Makindye-Kibuye'!N55)</f>
        <v>0</v>
      </c>
      <c r="O55" s="15">
        <f t="shared" si="0"/>
        <v>65.857142857142861</v>
      </c>
      <c r="P55" s="15">
        <f t="shared" si="1"/>
        <v>236.57142857142858</v>
      </c>
      <c r="R55" s="8"/>
      <c r="T55"/>
    </row>
    <row r="56" spans="2:20" ht="23.1" customHeight="1" x14ac:dyDescent="0.25">
      <c r="B56" s="23" t="s">
        <v>83</v>
      </c>
      <c r="C56" s="49">
        <f>AVERAGE('22.07 Makindye-Kibuye'!C56,'23.07 Makindye-Kibuye'!C56,'24.07 Makindye-Kibuye'!C56,'25.07 Makindye-Kibuye'!C56,'26.07 Makindye-Kibuye-24h'!C56,'27.07 Makindye-Kibuye-24h'!C56,'28.07 Makindye-Kibuye'!C56)</f>
        <v>25.571428571428573</v>
      </c>
      <c r="D56" s="49">
        <f>AVERAGE('22.07 Makindye-Kibuye'!D56,'23.07 Makindye-Kibuye'!D56,'24.07 Makindye-Kibuye'!D56,'25.07 Makindye-Kibuye'!D56,'26.07 Makindye-Kibuye-24h'!D56,'27.07 Makindye-Kibuye-24h'!D56,'28.07 Makindye-Kibuye'!D56)</f>
        <v>3.2857142857142856</v>
      </c>
      <c r="E56" s="49">
        <f>AVERAGE('22.07 Makindye-Kibuye'!E56,'23.07 Makindye-Kibuye'!E56,'24.07 Makindye-Kibuye'!E56,'25.07 Makindye-Kibuye'!E56,'26.07 Makindye-Kibuye-24h'!E56,'27.07 Makindye-Kibuye-24h'!E56,'28.07 Makindye-Kibuye'!E56)</f>
        <v>1.5714285714285714</v>
      </c>
      <c r="F56" s="49">
        <f>AVERAGE('22.07 Makindye-Kibuye'!F56,'23.07 Makindye-Kibuye'!F56,'24.07 Makindye-Kibuye'!F56,'25.07 Makindye-Kibuye'!F56,'26.07 Makindye-Kibuye-24h'!F56,'27.07 Makindye-Kibuye-24h'!F56,'28.07 Makindye-Kibuye'!F56)</f>
        <v>24.285714285714285</v>
      </c>
      <c r="G56" s="49">
        <f>AVERAGE('22.07 Makindye-Kibuye'!G56,'23.07 Makindye-Kibuye'!G56,'24.07 Makindye-Kibuye'!G56,'25.07 Makindye-Kibuye'!G56,'26.07 Makindye-Kibuye-24h'!G56,'27.07 Makindye-Kibuye-24h'!G56,'28.07 Makindye-Kibuye'!G56)</f>
        <v>0.14285714285714285</v>
      </c>
      <c r="H56" s="49">
        <f>AVERAGE('22.07 Makindye-Kibuye'!H56,'23.07 Makindye-Kibuye'!H56,'24.07 Makindye-Kibuye'!H56,'25.07 Makindye-Kibuye'!H56,'26.07 Makindye-Kibuye-24h'!H56,'27.07 Makindye-Kibuye-24h'!H56,'28.07 Makindye-Kibuye'!H56)</f>
        <v>0</v>
      </c>
      <c r="I56" s="49">
        <f>AVERAGE('22.07 Makindye-Kibuye'!I56,'23.07 Makindye-Kibuye'!I56,'24.07 Makindye-Kibuye'!I56,'25.07 Makindye-Kibuye'!I56,'26.07 Makindye-Kibuye-24h'!I56,'27.07 Makindye-Kibuye-24h'!I56,'28.07 Makindye-Kibuye'!I56)</f>
        <v>1.4285714285714286</v>
      </c>
      <c r="J56" s="49">
        <f>AVERAGE('22.07 Makindye-Kibuye'!J56,'23.07 Makindye-Kibuye'!J56,'24.07 Makindye-Kibuye'!J56,'25.07 Makindye-Kibuye'!J56,'26.07 Makindye-Kibuye-24h'!J56,'27.07 Makindye-Kibuye-24h'!J56,'28.07 Makindye-Kibuye'!J56)</f>
        <v>0.5714285714285714</v>
      </c>
      <c r="K56" s="49">
        <f>AVERAGE('22.07 Makindye-Kibuye'!K56,'23.07 Makindye-Kibuye'!K56,'24.07 Makindye-Kibuye'!K56,'25.07 Makindye-Kibuye'!K56,'26.07 Makindye-Kibuye-24h'!K56,'27.07 Makindye-Kibuye-24h'!K56,'28.07 Makindye-Kibuye'!K56)</f>
        <v>0.2857142857142857</v>
      </c>
      <c r="L56" s="49">
        <f>AVERAGE('22.07 Makindye-Kibuye'!L56,'23.07 Makindye-Kibuye'!L56,'24.07 Makindye-Kibuye'!L56,'25.07 Makindye-Kibuye'!L56,'26.07 Makindye-Kibuye-24h'!L56,'27.07 Makindye-Kibuye-24h'!L56,'28.07 Makindye-Kibuye'!L56)</f>
        <v>0</v>
      </c>
      <c r="M56" s="49">
        <f>AVERAGE('22.07 Makindye-Kibuye'!M56,'23.07 Makindye-Kibuye'!M56,'24.07 Makindye-Kibuye'!M56,'25.07 Makindye-Kibuye'!M56,'26.07 Makindye-Kibuye-24h'!M56,'27.07 Makindye-Kibuye-24h'!M56,'28.07 Makindye-Kibuye'!M56)</f>
        <v>180</v>
      </c>
      <c r="N56" s="49">
        <f>AVERAGE('22.07 Makindye-Kibuye'!N56,'23.07 Makindye-Kibuye'!N56,'24.07 Makindye-Kibuye'!N56,'25.07 Makindye-Kibuye'!N56,'26.07 Makindye-Kibuye-24h'!N56,'27.07 Makindye-Kibuye-24h'!N56,'28.07 Makindye-Kibuye'!N56)</f>
        <v>0</v>
      </c>
      <c r="O56" s="15">
        <f t="shared" si="0"/>
        <v>57.142857142857146</v>
      </c>
      <c r="P56" s="15">
        <f t="shared" si="1"/>
        <v>237.14285714285714</v>
      </c>
      <c r="R56" s="8"/>
      <c r="T56"/>
    </row>
    <row r="57" spans="2:20" ht="23.1" customHeight="1" x14ac:dyDescent="0.25">
      <c r="B57" s="23" t="s">
        <v>84</v>
      </c>
      <c r="C57" s="49">
        <f>AVERAGE('22.07 Makindye-Kibuye'!C57,'23.07 Makindye-Kibuye'!C57,'24.07 Makindye-Kibuye'!C57,'25.07 Makindye-Kibuye'!C57,'26.07 Makindye-Kibuye-24h'!C57,'27.07 Makindye-Kibuye-24h'!C57,'28.07 Makindye-Kibuye'!C57)</f>
        <v>24.428571428571427</v>
      </c>
      <c r="D57" s="49">
        <f>AVERAGE('22.07 Makindye-Kibuye'!D57,'23.07 Makindye-Kibuye'!D57,'24.07 Makindye-Kibuye'!D57,'25.07 Makindye-Kibuye'!D57,'26.07 Makindye-Kibuye-24h'!D57,'27.07 Makindye-Kibuye-24h'!D57,'28.07 Makindye-Kibuye'!D57)</f>
        <v>2.1428571428571428</v>
      </c>
      <c r="E57" s="49">
        <f>AVERAGE('22.07 Makindye-Kibuye'!E57,'23.07 Makindye-Kibuye'!E57,'24.07 Makindye-Kibuye'!E57,'25.07 Makindye-Kibuye'!E57,'26.07 Makindye-Kibuye-24h'!E57,'27.07 Makindye-Kibuye-24h'!E57,'28.07 Makindye-Kibuye'!E57)</f>
        <v>1</v>
      </c>
      <c r="F57" s="49">
        <f>AVERAGE('22.07 Makindye-Kibuye'!F57,'23.07 Makindye-Kibuye'!F57,'24.07 Makindye-Kibuye'!F57,'25.07 Makindye-Kibuye'!F57,'26.07 Makindye-Kibuye-24h'!F57,'27.07 Makindye-Kibuye-24h'!F57,'28.07 Makindye-Kibuye'!F57)</f>
        <v>26</v>
      </c>
      <c r="G57" s="49">
        <f>AVERAGE('22.07 Makindye-Kibuye'!G57,'23.07 Makindye-Kibuye'!G57,'24.07 Makindye-Kibuye'!G57,'25.07 Makindye-Kibuye'!G57,'26.07 Makindye-Kibuye-24h'!G57,'27.07 Makindye-Kibuye-24h'!G57,'28.07 Makindye-Kibuye'!G57)</f>
        <v>0</v>
      </c>
      <c r="H57" s="49">
        <f>AVERAGE('22.07 Makindye-Kibuye'!H57,'23.07 Makindye-Kibuye'!H57,'24.07 Makindye-Kibuye'!H57,'25.07 Makindye-Kibuye'!H57,'26.07 Makindye-Kibuye-24h'!H57,'27.07 Makindye-Kibuye-24h'!H57,'28.07 Makindye-Kibuye'!H57)</f>
        <v>0</v>
      </c>
      <c r="I57" s="49">
        <f>AVERAGE('22.07 Makindye-Kibuye'!I57,'23.07 Makindye-Kibuye'!I57,'24.07 Makindye-Kibuye'!I57,'25.07 Makindye-Kibuye'!I57,'26.07 Makindye-Kibuye-24h'!I57,'27.07 Makindye-Kibuye-24h'!I57,'28.07 Makindye-Kibuye'!I57)</f>
        <v>1.5714285714285714</v>
      </c>
      <c r="J57" s="49">
        <f>AVERAGE('22.07 Makindye-Kibuye'!J57,'23.07 Makindye-Kibuye'!J57,'24.07 Makindye-Kibuye'!J57,'25.07 Makindye-Kibuye'!J57,'26.07 Makindye-Kibuye-24h'!J57,'27.07 Makindye-Kibuye-24h'!J57,'28.07 Makindye-Kibuye'!J57)</f>
        <v>0.7142857142857143</v>
      </c>
      <c r="K57" s="49">
        <f>AVERAGE('22.07 Makindye-Kibuye'!K57,'23.07 Makindye-Kibuye'!K57,'24.07 Makindye-Kibuye'!K57,'25.07 Makindye-Kibuye'!K57,'26.07 Makindye-Kibuye-24h'!K57,'27.07 Makindye-Kibuye-24h'!K57,'28.07 Makindye-Kibuye'!K57)</f>
        <v>0.42857142857142855</v>
      </c>
      <c r="L57" s="49">
        <f>AVERAGE('22.07 Makindye-Kibuye'!L57,'23.07 Makindye-Kibuye'!L57,'24.07 Makindye-Kibuye'!L57,'25.07 Makindye-Kibuye'!L57,'26.07 Makindye-Kibuye-24h'!L57,'27.07 Makindye-Kibuye-24h'!L57,'28.07 Makindye-Kibuye'!L57)</f>
        <v>0</v>
      </c>
      <c r="M57" s="49">
        <f>AVERAGE('22.07 Makindye-Kibuye'!M57,'23.07 Makindye-Kibuye'!M57,'24.07 Makindye-Kibuye'!M57,'25.07 Makindye-Kibuye'!M57,'26.07 Makindye-Kibuye-24h'!M57,'27.07 Makindye-Kibuye-24h'!M57,'28.07 Makindye-Kibuye'!M57)</f>
        <v>183.57142857142858</v>
      </c>
      <c r="N57" s="49">
        <f>AVERAGE('22.07 Makindye-Kibuye'!N57,'23.07 Makindye-Kibuye'!N57,'24.07 Makindye-Kibuye'!N57,'25.07 Makindye-Kibuye'!N57,'26.07 Makindye-Kibuye-24h'!N57,'27.07 Makindye-Kibuye-24h'!N57,'28.07 Makindye-Kibuye'!N57)</f>
        <v>0</v>
      </c>
      <c r="O57" s="15">
        <f t="shared" si="0"/>
        <v>56.285714285714285</v>
      </c>
      <c r="P57" s="15">
        <f t="shared" si="1"/>
        <v>239.85714285714286</v>
      </c>
      <c r="R57" s="8"/>
      <c r="T57"/>
    </row>
    <row r="58" spans="2:20" ht="23.1" customHeight="1" x14ac:dyDescent="0.25">
      <c r="B58" s="23" t="s">
        <v>100</v>
      </c>
      <c r="C58" s="49">
        <f>AVERAGE('26.07 Makindye-Kibuye-24h'!C58,'27.07 Makindye-Kibuye-24h'!C58)</f>
        <v>64.5</v>
      </c>
      <c r="D58" s="49">
        <f>AVERAGE('26.07 Makindye-Kibuye-24h'!D58,'27.07 Makindye-Kibuye-24h'!D58)</f>
        <v>4.5</v>
      </c>
      <c r="E58" s="49">
        <f>AVERAGE('26.07 Makindye-Kibuye-24h'!E58,'27.07 Makindye-Kibuye-24h'!E58)</f>
        <v>1.5</v>
      </c>
      <c r="F58" s="49">
        <f>AVERAGE('26.07 Makindye-Kibuye-24h'!F58,'27.07 Makindye-Kibuye-24h'!F58)</f>
        <v>42.5</v>
      </c>
      <c r="G58" s="49">
        <f>AVERAGE('26.07 Makindye-Kibuye-24h'!G58,'27.07 Makindye-Kibuye-24h'!G58)</f>
        <v>0</v>
      </c>
      <c r="H58" s="49">
        <f>AVERAGE('26.07 Makindye-Kibuye-24h'!H58,'27.07 Makindye-Kibuye-24h'!H58)</f>
        <v>0.5</v>
      </c>
      <c r="I58" s="49">
        <f>AVERAGE('26.07 Makindye-Kibuye-24h'!I58,'27.07 Makindye-Kibuye-24h'!I58)</f>
        <v>1</v>
      </c>
      <c r="J58" s="49">
        <f>AVERAGE('26.07 Makindye-Kibuye-24h'!J58,'27.07 Makindye-Kibuye-24h'!J58)</f>
        <v>1.5</v>
      </c>
      <c r="K58" s="49">
        <f>AVERAGE('26.07 Makindye-Kibuye-24h'!K58,'27.07 Makindye-Kibuye-24h'!K58)</f>
        <v>0</v>
      </c>
      <c r="L58" s="49">
        <f>AVERAGE('26.07 Makindye-Kibuye-24h'!L58,'27.07 Makindye-Kibuye-24h'!L58)</f>
        <v>0</v>
      </c>
      <c r="M58" s="49">
        <f>AVERAGE('26.07 Makindye-Kibuye-24h'!M58,'27.07 Makindye-Kibuye-24h'!M58)</f>
        <v>325</v>
      </c>
      <c r="N58" s="49">
        <f>AVERAGE('26.07 Makindye-Kibuye-24h'!N58,'27.07 Makindye-Kibuye-24h'!N58)</f>
        <v>0</v>
      </c>
      <c r="O58" s="15">
        <f t="shared" ref="O58:O105" si="35">SUM(C58:L58,N58)</f>
        <v>116</v>
      </c>
      <c r="P58" s="15">
        <f t="shared" ref="P58:P105" si="36">SUM(C58:N58)</f>
        <v>441</v>
      </c>
      <c r="R58" s="8"/>
      <c r="T58"/>
    </row>
    <row r="59" spans="2:20" ht="23.1" customHeight="1" x14ac:dyDescent="0.25">
      <c r="B59" s="23" t="s">
        <v>101</v>
      </c>
      <c r="C59" s="49">
        <f>AVERAGE('26.07 Makindye-Kibuye-24h'!C59,'27.07 Makindye-Kibuye-24h'!C59)</f>
        <v>37.5</v>
      </c>
      <c r="D59" s="49">
        <f>AVERAGE('26.07 Makindye-Kibuye-24h'!D59,'27.07 Makindye-Kibuye-24h'!D59)</f>
        <v>4</v>
      </c>
      <c r="E59" s="49">
        <f>AVERAGE('26.07 Makindye-Kibuye-24h'!E59,'27.07 Makindye-Kibuye-24h'!E59)</f>
        <v>1.5</v>
      </c>
      <c r="F59" s="49">
        <f>AVERAGE('26.07 Makindye-Kibuye-24h'!F59,'27.07 Makindye-Kibuye-24h'!F59)</f>
        <v>35</v>
      </c>
      <c r="G59" s="49">
        <f>AVERAGE('26.07 Makindye-Kibuye-24h'!G59,'27.07 Makindye-Kibuye-24h'!G59)</f>
        <v>0</v>
      </c>
      <c r="H59" s="49">
        <f>AVERAGE('26.07 Makindye-Kibuye-24h'!H59,'27.07 Makindye-Kibuye-24h'!H59)</f>
        <v>0</v>
      </c>
      <c r="I59" s="49">
        <f>AVERAGE('26.07 Makindye-Kibuye-24h'!I59,'27.07 Makindye-Kibuye-24h'!I59)</f>
        <v>0.5</v>
      </c>
      <c r="J59" s="49">
        <f>AVERAGE('26.07 Makindye-Kibuye-24h'!J59,'27.07 Makindye-Kibuye-24h'!J59)</f>
        <v>0</v>
      </c>
      <c r="K59" s="49">
        <f>AVERAGE('26.07 Makindye-Kibuye-24h'!K59,'27.07 Makindye-Kibuye-24h'!K59)</f>
        <v>0</v>
      </c>
      <c r="L59" s="49">
        <f>AVERAGE('26.07 Makindye-Kibuye-24h'!L59,'27.07 Makindye-Kibuye-24h'!L59)</f>
        <v>0</v>
      </c>
      <c r="M59" s="49">
        <f>AVERAGE('26.07 Makindye-Kibuye-24h'!M59,'27.07 Makindye-Kibuye-24h'!M59)</f>
        <v>81</v>
      </c>
      <c r="N59" s="49">
        <f>AVERAGE('26.07 Makindye-Kibuye-24h'!N59,'27.07 Makindye-Kibuye-24h'!N59)</f>
        <v>0</v>
      </c>
      <c r="O59" s="15">
        <f t="shared" si="35"/>
        <v>78.5</v>
      </c>
      <c r="P59" s="15">
        <f t="shared" si="36"/>
        <v>159.5</v>
      </c>
      <c r="R59" s="8"/>
      <c r="T59"/>
    </row>
    <row r="60" spans="2:20" ht="23.1" customHeight="1" x14ac:dyDescent="0.25">
      <c r="B60" s="23" t="s">
        <v>102</v>
      </c>
      <c r="C60" s="49">
        <f>AVERAGE('26.07 Makindye-Kibuye-24h'!C60,'27.07 Makindye-Kibuye-24h'!C60)</f>
        <v>67.5</v>
      </c>
      <c r="D60" s="49">
        <f>AVERAGE('26.07 Makindye-Kibuye-24h'!D60,'27.07 Makindye-Kibuye-24h'!D60)</f>
        <v>0.5</v>
      </c>
      <c r="E60" s="49">
        <f>AVERAGE('26.07 Makindye-Kibuye-24h'!E60,'27.07 Makindye-Kibuye-24h'!E60)</f>
        <v>0</v>
      </c>
      <c r="F60" s="49">
        <f>AVERAGE('26.07 Makindye-Kibuye-24h'!F60,'27.07 Makindye-Kibuye-24h'!F60)</f>
        <v>55</v>
      </c>
      <c r="G60" s="49">
        <f>AVERAGE('26.07 Makindye-Kibuye-24h'!G60,'27.07 Makindye-Kibuye-24h'!G60)</f>
        <v>1.5</v>
      </c>
      <c r="H60" s="49">
        <f>AVERAGE('26.07 Makindye-Kibuye-24h'!H60,'27.07 Makindye-Kibuye-24h'!H60)</f>
        <v>0</v>
      </c>
      <c r="I60" s="49">
        <f>AVERAGE('26.07 Makindye-Kibuye-24h'!I60,'27.07 Makindye-Kibuye-24h'!I60)</f>
        <v>1</v>
      </c>
      <c r="J60" s="49">
        <f>AVERAGE('26.07 Makindye-Kibuye-24h'!J60,'27.07 Makindye-Kibuye-24h'!J60)</f>
        <v>0.5</v>
      </c>
      <c r="K60" s="49">
        <f>AVERAGE('26.07 Makindye-Kibuye-24h'!K60,'27.07 Makindye-Kibuye-24h'!K60)</f>
        <v>0</v>
      </c>
      <c r="L60" s="49">
        <f>AVERAGE('26.07 Makindye-Kibuye-24h'!L60,'27.07 Makindye-Kibuye-24h'!L60)</f>
        <v>0</v>
      </c>
      <c r="M60" s="49">
        <f>AVERAGE('26.07 Makindye-Kibuye-24h'!M60,'27.07 Makindye-Kibuye-24h'!M60)</f>
        <v>125</v>
      </c>
      <c r="N60" s="49">
        <f>AVERAGE('26.07 Makindye-Kibuye-24h'!N60,'27.07 Makindye-Kibuye-24h'!N60)</f>
        <v>0</v>
      </c>
      <c r="O60" s="15">
        <f t="shared" si="35"/>
        <v>126</v>
      </c>
      <c r="P60" s="15">
        <f t="shared" si="36"/>
        <v>251</v>
      </c>
      <c r="R60" s="8"/>
      <c r="T60"/>
    </row>
    <row r="61" spans="2:20" ht="23.1" customHeight="1" x14ac:dyDescent="0.25">
      <c r="B61" s="23" t="s">
        <v>103</v>
      </c>
      <c r="C61" s="49">
        <f>AVERAGE('26.07 Makindye-Kibuye-24h'!C61,'27.07 Makindye-Kibuye-24h'!C61)</f>
        <v>37.5</v>
      </c>
      <c r="D61" s="49">
        <f>AVERAGE('26.07 Makindye-Kibuye-24h'!D61,'27.07 Makindye-Kibuye-24h'!D61)</f>
        <v>4</v>
      </c>
      <c r="E61" s="49">
        <f>AVERAGE('26.07 Makindye-Kibuye-24h'!E61,'27.07 Makindye-Kibuye-24h'!E61)</f>
        <v>0</v>
      </c>
      <c r="F61" s="49">
        <f>AVERAGE('26.07 Makindye-Kibuye-24h'!F61,'27.07 Makindye-Kibuye-24h'!F61)</f>
        <v>47.5</v>
      </c>
      <c r="G61" s="49">
        <f>AVERAGE('26.07 Makindye-Kibuye-24h'!G61,'27.07 Makindye-Kibuye-24h'!G61)</f>
        <v>0</v>
      </c>
      <c r="H61" s="49">
        <f>AVERAGE('26.07 Makindye-Kibuye-24h'!H61,'27.07 Makindye-Kibuye-24h'!H61)</f>
        <v>0</v>
      </c>
      <c r="I61" s="49">
        <f>AVERAGE('26.07 Makindye-Kibuye-24h'!I61,'27.07 Makindye-Kibuye-24h'!I61)</f>
        <v>0.5</v>
      </c>
      <c r="J61" s="49">
        <f>AVERAGE('26.07 Makindye-Kibuye-24h'!J61,'27.07 Makindye-Kibuye-24h'!J61)</f>
        <v>0</v>
      </c>
      <c r="K61" s="49">
        <f>AVERAGE('26.07 Makindye-Kibuye-24h'!K61,'27.07 Makindye-Kibuye-24h'!K61)</f>
        <v>0</v>
      </c>
      <c r="L61" s="49">
        <f>AVERAGE('26.07 Makindye-Kibuye-24h'!L61,'27.07 Makindye-Kibuye-24h'!L61)</f>
        <v>0</v>
      </c>
      <c r="M61" s="49">
        <f>AVERAGE('26.07 Makindye-Kibuye-24h'!M61,'27.07 Makindye-Kibuye-24h'!M61)</f>
        <v>142.5</v>
      </c>
      <c r="N61" s="49">
        <f>AVERAGE('26.07 Makindye-Kibuye-24h'!N61,'27.07 Makindye-Kibuye-24h'!N61)</f>
        <v>0</v>
      </c>
      <c r="O61" s="15">
        <f t="shared" si="35"/>
        <v>89.5</v>
      </c>
      <c r="P61" s="15">
        <f t="shared" si="36"/>
        <v>232</v>
      </c>
      <c r="R61" s="8"/>
      <c r="T61"/>
    </row>
    <row r="62" spans="2:20" ht="23.1" customHeight="1" x14ac:dyDescent="0.25">
      <c r="B62" s="23" t="s">
        <v>108</v>
      </c>
      <c r="C62" s="49">
        <f>AVERAGE('26.07 Makindye-Kibuye-24h'!C62,'27.07 Makindye-Kibuye-24h'!C62)</f>
        <v>45</v>
      </c>
      <c r="D62" s="49">
        <f>AVERAGE('26.07 Makindye-Kibuye-24h'!D62,'27.07 Makindye-Kibuye-24h'!D62)</f>
        <v>4</v>
      </c>
      <c r="E62" s="49">
        <f>AVERAGE('26.07 Makindye-Kibuye-24h'!E62,'27.07 Makindye-Kibuye-24h'!E62)</f>
        <v>3</v>
      </c>
      <c r="F62" s="49">
        <f>AVERAGE('26.07 Makindye-Kibuye-24h'!F62,'27.07 Makindye-Kibuye-24h'!F62)</f>
        <v>37.5</v>
      </c>
      <c r="G62" s="49">
        <f>AVERAGE('26.07 Makindye-Kibuye-24h'!G62,'27.07 Makindye-Kibuye-24h'!G62)</f>
        <v>0</v>
      </c>
      <c r="H62" s="49">
        <f>AVERAGE('26.07 Makindye-Kibuye-24h'!H62,'27.07 Makindye-Kibuye-24h'!H62)</f>
        <v>0</v>
      </c>
      <c r="I62" s="49">
        <f>AVERAGE('26.07 Makindye-Kibuye-24h'!I62,'27.07 Makindye-Kibuye-24h'!I62)</f>
        <v>3.5</v>
      </c>
      <c r="J62" s="49">
        <f>AVERAGE('26.07 Makindye-Kibuye-24h'!J62,'27.07 Makindye-Kibuye-24h'!J62)</f>
        <v>0</v>
      </c>
      <c r="K62" s="49">
        <f>AVERAGE('26.07 Makindye-Kibuye-24h'!K62,'27.07 Makindye-Kibuye-24h'!K62)</f>
        <v>0</v>
      </c>
      <c r="L62" s="49">
        <f>AVERAGE('26.07 Makindye-Kibuye-24h'!L62,'27.07 Makindye-Kibuye-24h'!L62)</f>
        <v>0</v>
      </c>
      <c r="M62" s="49">
        <f>AVERAGE('26.07 Makindye-Kibuye-24h'!M62,'27.07 Makindye-Kibuye-24h'!M62)</f>
        <v>114.5</v>
      </c>
      <c r="N62" s="49">
        <f>AVERAGE('26.07 Makindye-Kibuye-24h'!N62,'27.07 Makindye-Kibuye-24h'!N62)</f>
        <v>0</v>
      </c>
      <c r="O62" s="15">
        <f t="shared" si="35"/>
        <v>93</v>
      </c>
      <c r="P62" s="15">
        <f t="shared" si="36"/>
        <v>207.5</v>
      </c>
      <c r="R62" s="8"/>
      <c r="T62"/>
    </row>
    <row r="63" spans="2:20" ht="23.1" customHeight="1" x14ac:dyDescent="0.25">
      <c r="B63" s="23" t="s">
        <v>109</v>
      </c>
      <c r="C63" s="49">
        <f>AVERAGE('26.07 Makindye-Kibuye-24h'!C63,'27.07 Makindye-Kibuye-24h'!C63)</f>
        <v>57.5</v>
      </c>
      <c r="D63" s="49">
        <f>AVERAGE('26.07 Makindye-Kibuye-24h'!D63,'27.07 Makindye-Kibuye-24h'!D63)</f>
        <v>3.5</v>
      </c>
      <c r="E63" s="49">
        <f>AVERAGE('26.07 Makindye-Kibuye-24h'!E63,'27.07 Makindye-Kibuye-24h'!E63)</f>
        <v>1</v>
      </c>
      <c r="F63" s="49">
        <f>AVERAGE('26.07 Makindye-Kibuye-24h'!F63,'27.07 Makindye-Kibuye-24h'!F63)</f>
        <v>85</v>
      </c>
      <c r="G63" s="49">
        <f>AVERAGE('26.07 Makindye-Kibuye-24h'!G63,'27.07 Makindye-Kibuye-24h'!G63)</f>
        <v>0</v>
      </c>
      <c r="H63" s="49">
        <f>AVERAGE('26.07 Makindye-Kibuye-24h'!H63,'27.07 Makindye-Kibuye-24h'!H63)</f>
        <v>0</v>
      </c>
      <c r="I63" s="49">
        <f>AVERAGE('26.07 Makindye-Kibuye-24h'!I63,'27.07 Makindye-Kibuye-24h'!I63)</f>
        <v>2</v>
      </c>
      <c r="J63" s="49">
        <f>AVERAGE('26.07 Makindye-Kibuye-24h'!J63,'27.07 Makindye-Kibuye-24h'!J63)</f>
        <v>0</v>
      </c>
      <c r="K63" s="49">
        <f>AVERAGE('26.07 Makindye-Kibuye-24h'!K63,'27.07 Makindye-Kibuye-24h'!K63)</f>
        <v>0</v>
      </c>
      <c r="L63" s="49">
        <f>AVERAGE('26.07 Makindye-Kibuye-24h'!L63,'27.07 Makindye-Kibuye-24h'!L63)</f>
        <v>0</v>
      </c>
      <c r="M63" s="49">
        <f>AVERAGE('26.07 Makindye-Kibuye-24h'!M63,'27.07 Makindye-Kibuye-24h'!M63)</f>
        <v>77.5</v>
      </c>
      <c r="N63" s="49">
        <f>AVERAGE('26.07 Makindye-Kibuye-24h'!N63,'27.07 Makindye-Kibuye-24h'!N63)</f>
        <v>0</v>
      </c>
      <c r="O63" s="15">
        <f t="shared" si="35"/>
        <v>149</v>
      </c>
      <c r="P63" s="15">
        <f t="shared" si="36"/>
        <v>226.5</v>
      </c>
      <c r="R63" s="8"/>
      <c r="T63"/>
    </row>
    <row r="64" spans="2:20" ht="23.1" customHeight="1" x14ac:dyDescent="0.25">
      <c r="B64" s="23" t="s">
        <v>110</v>
      </c>
      <c r="C64" s="49">
        <f>AVERAGE('26.07 Makindye-Kibuye-24h'!C64,'27.07 Makindye-Kibuye-24h'!C64)</f>
        <v>60</v>
      </c>
      <c r="D64" s="49">
        <f>AVERAGE('26.07 Makindye-Kibuye-24h'!D64,'27.07 Makindye-Kibuye-24h'!D64)</f>
        <v>2</v>
      </c>
      <c r="E64" s="49">
        <f>AVERAGE('26.07 Makindye-Kibuye-24h'!E64,'27.07 Makindye-Kibuye-24h'!E64)</f>
        <v>1</v>
      </c>
      <c r="F64" s="49">
        <f>AVERAGE('26.07 Makindye-Kibuye-24h'!F64,'27.07 Makindye-Kibuye-24h'!F64)</f>
        <v>75</v>
      </c>
      <c r="G64" s="49">
        <f>AVERAGE('26.07 Makindye-Kibuye-24h'!G64,'27.07 Makindye-Kibuye-24h'!G64)</f>
        <v>0</v>
      </c>
      <c r="H64" s="49">
        <f>AVERAGE('26.07 Makindye-Kibuye-24h'!H64,'27.07 Makindye-Kibuye-24h'!H64)</f>
        <v>0</v>
      </c>
      <c r="I64" s="49">
        <f>AVERAGE('26.07 Makindye-Kibuye-24h'!I64,'27.07 Makindye-Kibuye-24h'!I64)</f>
        <v>2</v>
      </c>
      <c r="J64" s="49">
        <f>AVERAGE('26.07 Makindye-Kibuye-24h'!J64,'27.07 Makindye-Kibuye-24h'!J64)</f>
        <v>1</v>
      </c>
      <c r="K64" s="49">
        <f>AVERAGE('26.07 Makindye-Kibuye-24h'!K64,'27.07 Makindye-Kibuye-24h'!K64)</f>
        <v>1</v>
      </c>
      <c r="L64" s="49">
        <f>AVERAGE('26.07 Makindye-Kibuye-24h'!L64,'27.07 Makindye-Kibuye-24h'!L64)</f>
        <v>0</v>
      </c>
      <c r="M64" s="49">
        <f>AVERAGE('26.07 Makindye-Kibuye-24h'!M64,'27.07 Makindye-Kibuye-24h'!M64)</f>
        <v>132.5</v>
      </c>
      <c r="N64" s="49">
        <f>AVERAGE('26.07 Makindye-Kibuye-24h'!N64,'27.07 Makindye-Kibuye-24h'!N64)</f>
        <v>0</v>
      </c>
      <c r="O64" s="15">
        <f t="shared" si="35"/>
        <v>142</v>
      </c>
      <c r="P64" s="15">
        <f t="shared" si="36"/>
        <v>274.5</v>
      </c>
      <c r="R64" s="8"/>
      <c r="T64"/>
    </row>
    <row r="65" spans="2:20" ht="23.1" customHeight="1" x14ac:dyDescent="0.25">
      <c r="B65" s="23" t="s">
        <v>159</v>
      </c>
      <c r="C65" s="49">
        <f>AVERAGE('26.07 Makindye-Kibuye-24h'!C65,'27.07 Makindye-Kibuye-24h'!C65)</f>
        <v>42.5</v>
      </c>
      <c r="D65" s="49">
        <f>AVERAGE('26.07 Makindye-Kibuye-24h'!D65,'27.07 Makindye-Kibuye-24h'!D65)</f>
        <v>5</v>
      </c>
      <c r="E65" s="49">
        <f>AVERAGE('26.07 Makindye-Kibuye-24h'!E65,'27.07 Makindye-Kibuye-24h'!E65)</f>
        <v>1</v>
      </c>
      <c r="F65" s="49">
        <f>AVERAGE('26.07 Makindye-Kibuye-24h'!F65,'27.07 Makindye-Kibuye-24h'!F65)</f>
        <v>55</v>
      </c>
      <c r="G65" s="49">
        <f>AVERAGE('26.07 Makindye-Kibuye-24h'!G65,'27.07 Makindye-Kibuye-24h'!G65)</f>
        <v>0</v>
      </c>
      <c r="H65" s="49">
        <f>AVERAGE('26.07 Makindye-Kibuye-24h'!H65,'27.07 Makindye-Kibuye-24h'!H65)</f>
        <v>0</v>
      </c>
      <c r="I65" s="49">
        <f>AVERAGE('26.07 Makindye-Kibuye-24h'!I65,'27.07 Makindye-Kibuye-24h'!I65)</f>
        <v>0.5</v>
      </c>
      <c r="J65" s="49">
        <f>AVERAGE('26.07 Makindye-Kibuye-24h'!J65,'27.07 Makindye-Kibuye-24h'!J65)</f>
        <v>1</v>
      </c>
      <c r="K65" s="49">
        <f>AVERAGE('26.07 Makindye-Kibuye-24h'!K65,'27.07 Makindye-Kibuye-24h'!K65)</f>
        <v>0.5</v>
      </c>
      <c r="L65" s="49">
        <f>AVERAGE('26.07 Makindye-Kibuye-24h'!L65,'27.07 Makindye-Kibuye-24h'!L65)</f>
        <v>0</v>
      </c>
      <c r="M65" s="49">
        <f>AVERAGE('26.07 Makindye-Kibuye-24h'!M65,'27.07 Makindye-Kibuye-24h'!M65)</f>
        <v>138.5</v>
      </c>
      <c r="N65" s="49">
        <f>AVERAGE('26.07 Makindye-Kibuye-24h'!N65,'27.07 Makindye-Kibuye-24h'!N65)</f>
        <v>0</v>
      </c>
      <c r="O65" s="15">
        <f t="shared" si="35"/>
        <v>105.5</v>
      </c>
      <c r="P65" s="15">
        <f t="shared" si="36"/>
        <v>244</v>
      </c>
      <c r="R65" s="8"/>
      <c r="T65"/>
    </row>
    <row r="66" spans="2:20" ht="23.1" customHeight="1" x14ac:dyDescent="0.25">
      <c r="B66" s="23" t="s">
        <v>104</v>
      </c>
      <c r="C66" s="49">
        <f>AVERAGE('26.07 Makindye-Kibuye-24h'!C66,'27.07 Makindye-Kibuye-24h'!C66)</f>
        <v>32.5</v>
      </c>
      <c r="D66" s="49">
        <f>AVERAGE('26.07 Makindye-Kibuye-24h'!D66,'27.07 Makindye-Kibuye-24h'!D66)</f>
        <v>7.5</v>
      </c>
      <c r="E66" s="49">
        <f>AVERAGE('26.07 Makindye-Kibuye-24h'!E66,'27.07 Makindye-Kibuye-24h'!E66)</f>
        <v>3</v>
      </c>
      <c r="F66" s="49">
        <f>AVERAGE('26.07 Makindye-Kibuye-24h'!F66,'27.07 Makindye-Kibuye-24h'!F66)</f>
        <v>25</v>
      </c>
      <c r="G66" s="49">
        <f>AVERAGE('26.07 Makindye-Kibuye-24h'!G66,'27.07 Makindye-Kibuye-24h'!G66)</f>
        <v>0</v>
      </c>
      <c r="H66" s="49">
        <f>AVERAGE('26.07 Makindye-Kibuye-24h'!H66,'27.07 Makindye-Kibuye-24h'!H66)</f>
        <v>0</v>
      </c>
      <c r="I66" s="49">
        <f>AVERAGE('26.07 Makindye-Kibuye-24h'!I66,'27.07 Makindye-Kibuye-24h'!I66)</f>
        <v>1</v>
      </c>
      <c r="J66" s="49">
        <f>AVERAGE('26.07 Makindye-Kibuye-24h'!J66,'27.07 Makindye-Kibuye-24h'!J66)</f>
        <v>1.5</v>
      </c>
      <c r="K66" s="49">
        <f>AVERAGE('26.07 Makindye-Kibuye-24h'!K66,'27.07 Makindye-Kibuye-24h'!K66)</f>
        <v>0</v>
      </c>
      <c r="L66" s="49">
        <f>AVERAGE('26.07 Makindye-Kibuye-24h'!L66,'27.07 Makindye-Kibuye-24h'!L66)</f>
        <v>0</v>
      </c>
      <c r="M66" s="49">
        <f>AVERAGE('26.07 Makindye-Kibuye-24h'!M66,'27.07 Makindye-Kibuye-24h'!M66)</f>
        <v>218</v>
      </c>
      <c r="N66" s="49">
        <f>AVERAGE('26.07 Makindye-Kibuye-24h'!N66,'27.07 Makindye-Kibuye-24h'!N66)</f>
        <v>0</v>
      </c>
      <c r="O66" s="15">
        <f t="shared" si="35"/>
        <v>70.5</v>
      </c>
      <c r="P66" s="15">
        <f t="shared" si="36"/>
        <v>288.5</v>
      </c>
      <c r="R66" s="8"/>
      <c r="T66"/>
    </row>
    <row r="67" spans="2:20" ht="23.1" customHeight="1" x14ac:dyDescent="0.25">
      <c r="B67" s="23" t="s">
        <v>105</v>
      </c>
      <c r="C67" s="49">
        <f>AVERAGE('26.07 Makindye-Kibuye-24h'!C67,'27.07 Makindye-Kibuye-24h'!C67)</f>
        <v>60</v>
      </c>
      <c r="D67" s="49">
        <f>AVERAGE('26.07 Makindye-Kibuye-24h'!D67,'27.07 Makindye-Kibuye-24h'!D67)</f>
        <v>1.5</v>
      </c>
      <c r="E67" s="49">
        <f>AVERAGE('26.07 Makindye-Kibuye-24h'!E67,'27.07 Makindye-Kibuye-24h'!E67)</f>
        <v>1</v>
      </c>
      <c r="F67" s="49">
        <f>AVERAGE('26.07 Makindye-Kibuye-24h'!F67,'27.07 Makindye-Kibuye-24h'!F67)</f>
        <v>25</v>
      </c>
      <c r="G67" s="49">
        <f>AVERAGE('26.07 Makindye-Kibuye-24h'!G67,'27.07 Makindye-Kibuye-24h'!G67)</f>
        <v>1</v>
      </c>
      <c r="H67" s="49">
        <f>AVERAGE('26.07 Makindye-Kibuye-24h'!H67,'27.07 Makindye-Kibuye-24h'!H67)</f>
        <v>0</v>
      </c>
      <c r="I67" s="49">
        <f>AVERAGE('26.07 Makindye-Kibuye-24h'!I67,'27.07 Makindye-Kibuye-24h'!I67)</f>
        <v>0</v>
      </c>
      <c r="J67" s="49">
        <f>AVERAGE('26.07 Makindye-Kibuye-24h'!J67,'27.07 Makindye-Kibuye-24h'!J67)</f>
        <v>1</v>
      </c>
      <c r="K67" s="49">
        <f>AVERAGE('26.07 Makindye-Kibuye-24h'!K67,'27.07 Makindye-Kibuye-24h'!K67)</f>
        <v>0</v>
      </c>
      <c r="L67" s="49">
        <f>AVERAGE('26.07 Makindye-Kibuye-24h'!L67,'27.07 Makindye-Kibuye-24h'!L67)</f>
        <v>0</v>
      </c>
      <c r="M67" s="49">
        <f>AVERAGE('26.07 Makindye-Kibuye-24h'!M67,'27.07 Makindye-Kibuye-24h'!M67)</f>
        <v>202.5</v>
      </c>
      <c r="N67" s="49">
        <f>AVERAGE('26.07 Makindye-Kibuye-24h'!N67,'27.07 Makindye-Kibuye-24h'!N67)</f>
        <v>0</v>
      </c>
      <c r="O67" s="15">
        <f t="shared" si="35"/>
        <v>89.5</v>
      </c>
      <c r="P67" s="15">
        <f t="shared" si="36"/>
        <v>292</v>
      </c>
      <c r="R67" s="8"/>
      <c r="T67"/>
    </row>
    <row r="68" spans="2:20" ht="23.1" customHeight="1" x14ac:dyDescent="0.25">
      <c r="B68" s="23" t="s">
        <v>106</v>
      </c>
      <c r="C68" s="49">
        <f>AVERAGE('26.07 Makindye-Kibuye-24h'!C68,'27.07 Makindye-Kibuye-24h'!C68)</f>
        <v>24.5</v>
      </c>
      <c r="D68" s="49">
        <f>AVERAGE('26.07 Makindye-Kibuye-24h'!D68,'27.07 Makindye-Kibuye-24h'!D68)</f>
        <v>2.5</v>
      </c>
      <c r="E68" s="49">
        <f>AVERAGE('26.07 Makindye-Kibuye-24h'!E68,'27.07 Makindye-Kibuye-24h'!E68)</f>
        <v>3.5</v>
      </c>
      <c r="F68" s="49">
        <f>AVERAGE('26.07 Makindye-Kibuye-24h'!F68,'27.07 Makindye-Kibuye-24h'!F68)</f>
        <v>32.5</v>
      </c>
      <c r="G68" s="49">
        <f>AVERAGE('26.07 Makindye-Kibuye-24h'!G68,'27.07 Makindye-Kibuye-24h'!G68)</f>
        <v>0.5</v>
      </c>
      <c r="H68" s="49">
        <f>AVERAGE('26.07 Makindye-Kibuye-24h'!H68,'27.07 Makindye-Kibuye-24h'!H68)</f>
        <v>0</v>
      </c>
      <c r="I68" s="49">
        <f>AVERAGE('26.07 Makindye-Kibuye-24h'!I68,'27.07 Makindye-Kibuye-24h'!I68)</f>
        <v>0</v>
      </c>
      <c r="J68" s="49">
        <f>AVERAGE('26.07 Makindye-Kibuye-24h'!J68,'27.07 Makindye-Kibuye-24h'!J68)</f>
        <v>1</v>
      </c>
      <c r="K68" s="49">
        <f>AVERAGE('26.07 Makindye-Kibuye-24h'!K68,'27.07 Makindye-Kibuye-24h'!K68)</f>
        <v>0</v>
      </c>
      <c r="L68" s="49">
        <f>AVERAGE('26.07 Makindye-Kibuye-24h'!L68,'27.07 Makindye-Kibuye-24h'!L68)</f>
        <v>0</v>
      </c>
      <c r="M68" s="49">
        <f>AVERAGE('26.07 Makindye-Kibuye-24h'!M68,'27.07 Makindye-Kibuye-24h'!M68)</f>
        <v>170.5</v>
      </c>
      <c r="N68" s="49">
        <f>AVERAGE('26.07 Makindye-Kibuye-24h'!N68,'27.07 Makindye-Kibuye-24h'!N68)</f>
        <v>0</v>
      </c>
      <c r="O68" s="15">
        <f t="shared" si="35"/>
        <v>64.5</v>
      </c>
      <c r="P68" s="15">
        <f t="shared" si="36"/>
        <v>235</v>
      </c>
      <c r="R68" s="8"/>
      <c r="T68"/>
    </row>
    <row r="69" spans="2:20" ht="23.1" customHeight="1" x14ac:dyDescent="0.25">
      <c r="B69" s="23" t="s">
        <v>107</v>
      </c>
      <c r="C69" s="49">
        <f>AVERAGE('26.07 Makindye-Kibuye-24h'!C69,'27.07 Makindye-Kibuye-24h'!C69)</f>
        <v>27.5</v>
      </c>
      <c r="D69" s="49">
        <f>AVERAGE('26.07 Makindye-Kibuye-24h'!D69,'27.07 Makindye-Kibuye-24h'!D69)</f>
        <v>4.5</v>
      </c>
      <c r="E69" s="49">
        <f>AVERAGE('26.07 Makindye-Kibuye-24h'!E69,'27.07 Makindye-Kibuye-24h'!E69)</f>
        <v>1</v>
      </c>
      <c r="F69" s="49">
        <f>AVERAGE('26.07 Makindye-Kibuye-24h'!F69,'27.07 Makindye-Kibuye-24h'!F69)</f>
        <v>17.5</v>
      </c>
      <c r="G69" s="49">
        <f>AVERAGE('26.07 Makindye-Kibuye-24h'!G69,'27.07 Makindye-Kibuye-24h'!G69)</f>
        <v>0</v>
      </c>
      <c r="H69" s="49">
        <f>AVERAGE('26.07 Makindye-Kibuye-24h'!H69,'27.07 Makindye-Kibuye-24h'!H69)</f>
        <v>0</v>
      </c>
      <c r="I69" s="49">
        <f>AVERAGE('26.07 Makindye-Kibuye-24h'!I69,'27.07 Makindye-Kibuye-24h'!I69)</f>
        <v>0</v>
      </c>
      <c r="J69" s="49">
        <f>AVERAGE('26.07 Makindye-Kibuye-24h'!J69,'27.07 Makindye-Kibuye-24h'!J69)</f>
        <v>0</v>
      </c>
      <c r="K69" s="49">
        <f>AVERAGE('26.07 Makindye-Kibuye-24h'!K69,'27.07 Makindye-Kibuye-24h'!K69)</f>
        <v>0</v>
      </c>
      <c r="L69" s="49">
        <f>AVERAGE('26.07 Makindye-Kibuye-24h'!L69,'27.07 Makindye-Kibuye-24h'!L69)</f>
        <v>0</v>
      </c>
      <c r="M69" s="49">
        <f>AVERAGE('26.07 Makindye-Kibuye-24h'!M69,'27.07 Makindye-Kibuye-24h'!M69)</f>
        <v>166.5</v>
      </c>
      <c r="N69" s="49">
        <f>AVERAGE('26.07 Makindye-Kibuye-24h'!N69,'27.07 Makindye-Kibuye-24h'!N69)</f>
        <v>0</v>
      </c>
      <c r="O69" s="15">
        <f t="shared" si="35"/>
        <v>50.5</v>
      </c>
      <c r="P69" s="15">
        <f t="shared" si="36"/>
        <v>217</v>
      </c>
      <c r="R69" s="8"/>
      <c r="T69"/>
    </row>
    <row r="70" spans="2:20" ht="23.1" customHeight="1" x14ac:dyDescent="0.25">
      <c r="B70" s="23" t="s">
        <v>111</v>
      </c>
      <c r="C70" s="49">
        <f>AVERAGE('26.07 Makindye-Kibuye-24h'!C70,'27.07 Makindye-Kibuye-24h'!C70)</f>
        <v>35</v>
      </c>
      <c r="D70" s="49">
        <f>AVERAGE('26.07 Makindye-Kibuye-24h'!D70,'27.07 Makindye-Kibuye-24h'!D70)</f>
        <v>3.5</v>
      </c>
      <c r="E70" s="49">
        <f>AVERAGE('26.07 Makindye-Kibuye-24h'!E70,'27.07 Makindye-Kibuye-24h'!E70)</f>
        <v>1</v>
      </c>
      <c r="F70" s="49">
        <f>AVERAGE('26.07 Makindye-Kibuye-24h'!F70,'27.07 Makindye-Kibuye-24h'!F70)</f>
        <v>40</v>
      </c>
      <c r="G70" s="49">
        <f>AVERAGE('26.07 Makindye-Kibuye-24h'!G70,'27.07 Makindye-Kibuye-24h'!G70)</f>
        <v>0</v>
      </c>
      <c r="H70" s="49">
        <f>AVERAGE('26.07 Makindye-Kibuye-24h'!H70,'27.07 Makindye-Kibuye-24h'!H70)</f>
        <v>0</v>
      </c>
      <c r="I70" s="49">
        <f>AVERAGE('26.07 Makindye-Kibuye-24h'!I70,'27.07 Makindye-Kibuye-24h'!I70)</f>
        <v>0.5</v>
      </c>
      <c r="J70" s="49">
        <f>AVERAGE('26.07 Makindye-Kibuye-24h'!J70,'27.07 Makindye-Kibuye-24h'!J70)</f>
        <v>0</v>
      </c>
      <c r="K70" s="49">
        <f>AVERAGE('26.07 Makindye-Kibuye-24h'!K70,'27.07 Makindye-Kibuye-24h'!K70)</f>
        <v>0</v>
      </c>
      <c r="L70" s="49">
        <f>AVERAGE('26.07 Makindye-Kibuye-24h'!L70,'27.07 Makindye-Kibuye-24h'!L70)</f>
        <v>0</v>
      </c>
      <c r="M70" s="49">
        <f>AVERAGE('26.07 Makindye-Kibuye-24h'!M70,'27.07 Makindye-Kibuye-24h'!M70)</f>
        <v>185</v>
      </c>
      <c r="N70" s="49">
        <f>AVERAGE('26.07 Makindye-Kibuye-24h'!N70,'27.07 Makindye-Kibuye-24h'!N70)</f>
        <v>0</v>
      </c>
      <c r="O70" s="15">
        <f t="shared" si="35"/>
        <v>80</v>
      </c>
      <c r="P70" s="15">
        <f t="shared" si="36"/>
        <v>265</v>
      </c>
      <c r="R70" s="8"/>
      <c r="T70"/>
    </row>
    <row r="71" spans="2:20" ht="23.1" customHeight="1" x14ac:dyDescent="0.25">
      <c r="B71" s="23" t="s">
        <v>112</v>
      </c>
      <c r="C71" s="49">
        <f>AVERAGE('26.07 Makindye-Kibuye-24h'!C71,'27.07 Makindye-Kibuye-24h'!C71)</f>
        <v>50</v>
      </c>
      <c r="D71" s="49">
        <f>AVERAGE('26.07 Makindye-Kibuye-24h'!D71,'27.07 Makindye-Kibuye-24h'!D71)</f>
        <v>1</v>
      </c>
      <c r="E71" s="49">
        <f>AVERAGE('26.07 Makindye-Kibuye-24h'!E71,'27.07 Makindye-Kibuye-24h'!E71)</f>
        <v>1</v>
      </c>
      <c r="F71" s="49">
        <f>AVERAGE('26.07 Makindye-Kibuye-24h'!F71,'27.07 Makindye-Kibuye-24h'!F71)</f>
        <v>30</v>
      </c>
      <c r="G71" s="49">
        <f>AVERAGE('26.07 Makindye-Kibuye-24h'!G71,'27.07 Makindye-Kibuye-24h'!G71)</f>
        <v>0</v>
      </c>
      <c r="H71" s="49">
        <f>AVERAGE('26.07 Makindye-Kibuye-24h'!H71,'27.07 Makindye-Kibuye-24h'!H71)</f>
        <v>0</v>
      </c>
      <c r="I71" s="49">
        <f>AVERAGE('26.07 Makindye-Kibuye-24h'!I71,'27.07 Makindye-Kibuye-24h'!I71)</f>
        <v>0.5</v>
      </c>
      <c r="J71" s="49">
        <f>AVERAGE('26.07 Makindye-Kibuye-24h'!J71,'27.07 Makindye-Kibuye-24h'!J71)</f>
        <v>0</v>
      </c>
      <c r="K71" s="49">
        <f>AVERAGE('26.07 Makindye-Kibuye-24h'!K71,'27.07 Makindye-Kibuye-24h'!K71)</f>
        <v>0</v>
      </c>
      <c r="L71" s="49">
        <f>AVERAGE('26.07 Makindye-Kibuye-24h'!L71,'27.07 Makindye-Kibuye-24h'!L71)</f>
        <v>0</v>
      </c>
      <c r="M71" s="49">
        <f>AVERAGE('26.07 Makindye-Kibuye-24h'!M71,'27.07 Makindye-Kibuye-24h'!M71)</f>
        <v>215</v>
      </c>
      <c r="N71" s="49">
        <f>AVERAGE('26.07 Makindye-Kibuye-24h'!N71,'27.07 Makindye-Kibuye-24h'!N71)</f>
        <v>0</v>
      </c>
      <c r="O71" s="15">
        <f t="shared" si="35"/>
        <v>82.5</v>
      </c>
      <c r="P71" s="15">
        <f t="shared" si="36"/>
        <v>297.5</v>
      </c>
      <c r="R71" s="8"/>
      <c r="T71"/>
    </row>
    <row r="72" spans="2:20" ht="23.1" customHeight="1" x14ac:dyDescent="0.25">
      <c r="B72" s="23" t="s">
        <v>113</v>
      </c>
      <c r="C72" s="49">
        <f>AVERAGE('26.07 Makindye-Kibuye-24h'!C72,'27.07 Makindye-Kibuye-24h'!C72)</f>
        <v>65</v>
      </c>
      <c r="D72" s="49">
        <f>AVERAGE('26.07 Makindye-Kibuye-24h'!D72,'27.07 Makindye-Kibuye-24h'!D72)</f>
        <v>2</v>
      </c>
      <c r="E72" s="49">
        <f>AVERAGE('26.07 Makindye-Kibuye-24h'!E72,'27.07 Makindye-Kibuye-24h'!E72)</f>
        <v>0.5</v>
      </c>
      <c r="F72" s="49">
        <f>AVERAGE('26.07 Makindye-Kibuye-24h'!F72,'27.07 Makindye-Kibuye-24h'!F72)</f>
        <v>45</v>
      </c>
      <c r="G72" s="49">
        <f>AVERAGE('26.07 Makindye-Kibuye-24h'!G72,'27.07 Makindye-Kibuye-24h'!G72)</f>
        <v>0</v>
      </c>
      <c r="H72" s="49">
        <f>AVERAGE('26.07 Makindye-Kibuye-24h'!H72,'27.07 Makindye-Kibuye-24h'!H72)</f>
        <v>0</v>
      </c>
      <c r="I72" s="49">
        <f>AVERAGE('26.07 Makindye-Kibuye-24h'!I72,'27.07 Makindye-Kibuye-24h'!I72)</f>
        <v>1.5</v>
      </c>
      <c r="J72" s="49">
        <f>AVERAGE('26.07 Makindye-Kibuye-24h'!J72,'27.07 Makindye-Kibuye-24h'!J72)</f>
        <v>0</v>
      </c>
      <c r="K72" s="49">
        <f>AVERAGE('26.07 Makindye-Kibuye-24h'!K72,'27.07 Makindye-Kibuye-24h'!K72)</f>
        <v>0</v>
      </c>
      <c r="L72" s="49">
        <f>AVERAGE('26.07 Makindye-Kibuye-24h'!L72,'27.07 Makindye-Kibuye-24h'!L72)</f>
        <v>0</v>
      </c>
      <c r="M72" s="49">
        <f>AVERAGE('26.07 Makindye-Kibuye-24h'!M72,'27.07 Makindye-Kibuye-24h'!M72)</f>
        <v>150</v>
      </c>
      <c r="N72" s="49">
        <f>AVERAGE('26.07 Makindye-Kibuye-24h'!N72,'27.07 Makindye-Kibuye-24h'!N72)</f>
        <v>0</v>
      </c>
      <c r="O72" s="15">
        <f t="shared" si="35"/>
        <v>114</v>
      </c>
      <c r="P72" s="15">
        <f t="shared" si="36"/>
        <v>264</v>
      </c>
      <c r="R72" s="8"/>
      <c r="T72"/>
    </row>
    <row r="73" spans="2:20" ht="23.1" customHeight="1" x14ac:dyDescent="0.25">
      <c r="B73" s="23" t="s">
        <v>114</v>
      </c>
      <c r="C73" s="49">
        <f>AVERAGE('26.07 Makindye-Kibuye-24h'!C73,'27.07 Makindye-Kibuye-24h'!C73)</f>
        <v>83</v>
      </c>
      <c r="D73" s="49">
        <f>AVERAGE('26.07 Makindye-Kibuye-24h'!D73,'27.07 Makindye-Kibuye-24h'!D73)</f>
        <v>2</v>
      </c>
      <c r="E73" s="49">
        <f>AVERAGE('26.07 Makindye-Kibuye-24h'!E73,'27.07 Makindye-Kibuye-24h'!E73)</f>
        <v>0.5</v>
      </c>
      <c r="F73" s="49">
        <f>AVERAGE('26.07 Makindye-Kibuye-24h'!F73,'27.07 Makindye-Kibuye-24h'!F73)</f>
        <v>13.5</v>
      </c>
      <c r="G73" s="49">
        <f>AVERAGE('26.07 Makindye-Kibuye-24h'!G73,'27.07 Makindye-Kibuye-24h'!G73)</f>
        <v>0</v>
      </c>
      <c r="H73" s="49">
        <f>AVERAGE('26.07 Makindye-Kibuye-24h'!H73,'27.07 Makindye-Kibuye-24h'!H73)</f>
        <v>0</v>
      </c>
      <c r="I73" s="49">
        <f>AVERAGE('26.07 Makindye-Kibuye-24h'!I73,'27.07 Makindye-Kibuye-24h'!I73)</f>
        <v>0</v>
      </c>
      <c r="J73" s="49">
        <f>AVERAGE('26.07 Makindye-Kibuye-24h'!J73,'27.07 Makindye-Kibuye-24h'!J73)</f>
        <v>0</v>
      </c>
      <c r="K73" s="49">
        <f>AVERAGE('26.07 Makindye-Kibuye-24h'!K73,'27.07 Makindye-Kibuye-24h'!K73)</f>
        <v>0</v>
      </c>
      <c r="L73" s="49">
        <f>AVERAGE('26.07 Makindye-Kibuye-24h'!L73,'27.07 Makindye-Kibuye-24h'!L73)</f>
        <v>0</v>
      </c>
      <c r="M73" s="49">
        <f>AVERAGE('26.07 Makindye-Kibuye-24h'!M73,'27.07 Makindye-Kibuye-24h'!M73)</f>
        <v>70</v>
      </c>
      <c r="N73" s="49">
        <f>AVERAGE('26.07 Makindye-Kibuye-24h'!N73,'27.07 Makindye-Kibuye-24h'!N73)</f>
        <v>0</v>
      </c>
      <c r="O73" s="15">
        <f t="shared" si="35"/>
        <v>99</v>
      </c>
      <c r="P73" s="15">
        <f t="shared" si="36"/>
        <v>169</v>
      </c>
      <c r="R73" s="8"/>
      <c r="T73"/>
    </row>
    <row r="74" spans="2:20" ht="23.1" customHeight="1" x14ac:dyDescent="0.25">
      <c r="B74" s="23" t="s">
        <v>115</v>
      </c>
      <c r="C74" s="49">
        <f>AVERAGE('26.07 Makindye-Kibuye-24h'!C74,'27.07 Makindye-Kibuye-24h'!C74)</f>
        <v>35</v>
      </c>
      <c r="D74" s="49">
        <f>AVERAGE('26.07 Makindye-Kibuye-24h'!D74,'27.07 Makindye-Kibuye-24h'!D74)</f>
        <v>2.5</v>
      </c>
      <c r="E74" s="49">
        <f>AVERAGE('26.07 Makindye-Kibuye-24h'!E74,'27.07 Makindye-Kibuye-24h'!E74)</f>
        <v>2</v>
      </c>
      <c r="F74" s="49">
        <f>AVERAGE('26.07 Makindye-Kibuye-24h'!F74,'27.07 Makindye-Kibuye-24h'!F74)</f>
        <v>40</v>
      </c>
      <c r="G74" s="49">
        <f>AVERAGE('26.07 Makindye-Kibuye-24h'!G74,'27.07 Makindye-Kibuye-24h'!G74)</f>
        <v>0</v>
      </c>
      <c r="H74" s="49">
        <f>AVERAGE('26.07 Makindye-Kibuye-24h'!H74,'27.07 Makindye-Kibuye-24h'!H74)</f>
        <v>0</v>
      </c>
      <c r="I74" s="49">
        <f>AVERAGE('26.07 Makindye-Kibuye-24h'!I74,'27.07 Makindye-Kibuye-24h'!I74)</f>
        <v>0</v>
      </c>
      <c r="J74" s="49">
        <f>AVERAGE('26.07 Makindye-Kibuye-24h'!J74,'27.07 Makindye-Kibuye-24h'!J74)</f>
        <v>1.5</v>
      </c>
      <c r="K74" s="49">
        <f>AVERAGE('26.07 Makindye-Kibuye-24h'!K74,'27.07 Makindye-Kibuye-24h'!K74)</f>
        <v>0</v>
      </c>
      <c r="L74" s="49">
        <f>AVERAGE('26.07 Makindye-Kibuye-24h'!L74,'27.07 Makindye-Kibuye-24h'!L74)</f>
        <v>0</v>
      </c>
      <c r="M74" s="49">
        <f>AVERAGE('26.07 Makindye-Kibuye-24h'!M74,'27.07 Makindye-Kibuye-24h'!M74)</f>
        <v>117.5</v>
      </c>
      <c r="N74" s="49">
        <f>AVERAGE('26.07 Makindye-Kibuye-24h'!N74,'27.07 Makindye-Kibuye-24h'!N74)</f>
        <v>0.5</v>
      </c>
      <c r="O74" s="15">
        <f t="shared" si="35"/>
        <v>81.5</v>
      </c>
      <c r="P74" s="15">
        <f t="shared" si="36"/>
        <v>199</v>
      </c>
      <c r="R74" s="8"/>
      <c r="T74"/>
    </row>
    <row r="75" spans="2:20" ht="23.1" customHeight="1" x14ac:dyDescent="0.25">
      <c r="B75" s="23" t="s">
        <v>116</v>
      </c>
      <c r="C75" s="49">
        <f>AVERAGE('26.07 Makindye-Kibuye-24h'!C75,'27.07 Makindye-Kibuye-24h'!C75)</f>
        <v>32.5</v>
      </c>
      <c r="D75" s="49">
        <f>AVERAGE('26.07 Makindye-Kibuye-24h'!D75,'27.07 Makindye-Kibuye-24h'!D75)</f>
        <v>0.5</v>
      </c>
      <c r="E75" s="49">
        <f>AVERAGE('26.07 Makindye-Kibuye-24h'!E75,'27.07 Makindye-Kibuye-24h'!E75)</f>
        <v>1</v>
      </c>
      <c r="F75" s="49">
        <f>AVERAGE('26.07 Makindye-Kibuye-24h'!F75,'27.07 Makindye-Kibuye-24h'!F75)</f>
        <v>35</v>
      </c>
      <c r="G75" s="49">
        <f>AVERAGE('26.07 Makindye-Kibuye-24h'!G75,'27.07 Makindye-Kibuye-24h'!G75)</f>
        <v>0</v>
      </c>
      <c r="H75" s="49">
        <f>AVERAGE('26.07 Makindye-Kibuye-24h'!H75,'27.07 Makindye-Kibuye-24h'!H75)</f>
        <v>0</v>
      </c>
      <c r="I75" s="49">
        <f>AVERAGE('26.07 Makindye-Kibuye-24h'!I75,'27.07 Makindye-Kibuye-24h'!I75)</f>
        <v>0</v>
      </c>
      <c r="J75" s="49">
        <f>AVERAGE('26.07 Makindye-Kibuye-24h'!J75,'27.07 Makindye-Kibuye-24h'!J75)</f>
        <v>0.5</v>
      </c>
      <c r="K75" s="49">
        <f>AVERAGE('26.07 Makindye-Kibuye-24h'!K75,'27.07 Makindye-Kibuye-24h'!K75)</f>
        <v>0</v>
      </c>
      <c r="L75" s="49">
        <f>AVERAGE('26.07 Makindye-Kibuye-24h'!L75,'27.07 Makindye-Kibuye-24h'!L75)</f>
        <v>0</v>
      </c>
      <c r="M75" s="49">
        <f>AVERAGE('26.07 Makindye-Kibuye-24h'!M75,'27.07 Makindye-Kibuye-24h'!M75)</f>
        <v>110</v>
      </c>
      <c r="N75" s="49">
        <f>AVERAGE('26.07 Makindye-Kibuye-24h'!N75,'27.07 Makindye-Kibuye-24h'!N75)</f>
        <v>0</v>
      </c>
      <c r="O75" s="15">
        <f t="shared" si="35"/>
        <v>69.5</v>
      </c>
      <c r="P75" s="15">
        <f t="shared" si="36"/>
        <v>179.5</v>
      </c>
      <c r="R75" s="8"/>
      <c r="T75"/>
    </row>
    <row r="76" spans="2:20" ht="23.1" customHeight="1" x14ac:dyDescent="0.25">
      <c r="B76" s="23" t="s">
        <v>117</v>
      </c>
      <c r="C76" s="49">
        <f>AVERAGE('26.07 Makindye-Kibuye-24h'!C76,'27.07 Makindye-Kibuye-24h'!C76)</f>
        <v>21</v>
      </c>
      <c r="D76" s="49">
        <f>AVERAGE('26.07 Makindye-Kibuye-24h'!D76,'27.07 Makindye-Kibuye-24h'!D76)</f>
        <v>0.5</v>
      </c>
      <c r="E76" s="49">
        <f>AVERAGE('26.07 Makindye-Kibuye-24h'!E76,'27.07 Makindye-Kibuye-24h'!E76)</f>
        <v>1.5</v>
      </c>
      <c r="F76" s="49">
        <f>AVERAGE('26.07 Makindye-Kibuye-24h'!F76,'27.07 Makindye-Kibuye-24h'!F76)</f>
        <v>25</v>
      </c>
      <c r="G76" s="49">
        <f>AVERAGE('26.07 Makindye-Kibuye-24h'!G76,'27.07 Makindye-Kibuye-24h'!G76)</f>
        <v>1</v>
      </c>
      <c r="H76" s="49">
        <f>AVERAGE('26.07 Makindye-Kibuye-24h'!H76,'27.07 Makindye-Kibuye-24h'!H76)</f>
        <v>0</v>
      </c>
      <c r="I76" s="49">
        <f>AVERAGE('26.07 Makindye-Kibuye-24h'!I76,'27.07 Makindye-Kibuye-24h'!I76)</f>
        <v>1</v>
      </c>
      <c r="J76" s="49">
        <f>AVERAGE('26.07 Makindye-Kibuye-24h'!J76,'27.07 Makindye-Kibuye-24h'!J76)</f>
        <v>0.5</v>
      </c>
      <c r="K76" s="49">
        <f>AVERAGE('26.07 Makindye-Kibuye-24h'!K76,'27.07 Makindye-Kibuye-24h'!K76)</f>
        <v>0</v>
      </c>
      <c r="L76" s="49">
        <f>AVERAGE('26.07 Makindye-Kibuye-24h'!L76,'27.07 Makindye-Kibuye-24h'!L76)</f>
        <v>0</v>
      </c>
      <c r="M76" s="49">
        <f>AVERAGE('26.07 Makindye-Kibuye-24h'!M76,'27.07 Makindye-Kibuye-24h'!M76)</f>
        <v>155</v>
      </c>
      <c r="N76" s="49">
        <f>AVERAGE('26.07 Makindye-Kibuye-24h'!N76,'27.07 Makindye-Kibuye-24h'!N76)</f>
        <v>0</v>
      </c>
      <c r="O76" s="15">
        <f t="shared" si="35"/>
        <v>50.5</v>
      </c>
      <c r="P76" s="15">
        <f t="shared" si="36"/>
        <v>205.5</v>
      </c>
      <c r="R76" s="8"/>
      <c r="T76"/>
    </row>
    <row r="77" spans="2:20" ht="23.1" customHeight="1" x14ac:dyDescent="0.25">
      <c r="B77" s="23" t="s">
        <v>118</v>
      </c>
      <c r="C77" s="49">
        <f>AVERAGE('26.07 Makindye-Kibuye-24h'!C77,'27.07 Makindye-Kibuye-24h'!C77)</f>
        <v>65</v>
      </c>
      <c r="D77" s="49">
        <f>AVERAGE('26.07 Makindye-Kibuye-24h'!D77,'27.07 Makindye-Kibuye-24h'!D77)</f>
        <v>2</v>
      </c>
      <c r="E77" s="49">
        <f>AVERAGE('26.07 Makindye-Kibuye-24h'!E77,'27.07 Makindye-Kibuye-24h'!E77)</f>
        <v>1</v>
      </c>
      <c r="F77" s="49">
        <f>AVERAGE('26.07 Makindye-Kibuye-24h'!F77,'27.07 Makindye-Kibuye-24h'!F77)</f>
        <v>6</v>
      </c>
      <c r="G77" s="49">
        <f>AVERAGE('26.07 Makindye-Kibuye-24h'!G77,'27.07 Makindye-Kibuye-24h'!G77)</f>
        <v>0</v>
      </c>
      <c r="H77" s="49">
        <f>AVERAGE('26.07 Makindye-Kibuye-24h'!H77,'27.07 Makindye-Kibuye-24h'!H77)</f>
        <v>0</v>
      </c>
      <c r="I77" s="49">
        <f>AVERAGE('26.07 Makindye-Kibuye-24h'!I77,'27.07 Makindye-Kibuye-24h'!I77)</f>
        <v>0.5</v>
      </c>
      <c r="J77" s="49">
        <f>AVERAGE('26.07 Makindye-Kibuye-24h'!J77,'27.07 Makindye-Kibuye-24h'!J77)</f>
        <v>0</v>
      </c>
      <c r="K77" s="49">
        <f>AVERAGE('26.07 Makindye-Kibuye-24h'!K77,'27.07 Makindye-Kibuye-24h'!K77)</f>
        <v>0</v>
      </c>
      <c r="L77" s="49">
        <f>AVERAGE('26.07 Makindye-Kibuye-24h'!L77,'27.07 Makindye-Kibuye-24h'!L77)</f>
        <v>0</v>
      </c>
      <c r="M77" s="49">
        <f>AVERAGE('26.07 Makindye-Kibuye-24h'!M77,'27.07 Makindye-Kibuye-24h'!M77)</f>
        <v>87.5</v>
      </c>
      <c r="N77" s="49">
        <f>AVERAGE('26.07 Makindye-Kibuye-24h'!N77,'27.07 Makindye-Kibuye-24h'!N77)</f>
        <v>0</v>
      </c>
      <c r="O77" s="15">
        <f t="shared" si="35"/>
        <v>74.5</v>
      </c>
      <c r="P77" s="15">
        <f t="shared" si="36"/>
        <v>162</v>
      </c>
      <c r="R77" s="8"/>
      <c r="T77"/>
    </row>
    <row r="78" spans="2:20" ht="23.1" customHeight="1" x14ac:dyDescent="0.25">
      <c r="B78" s="24" t="s">
        <v>119</v>
      </c>
      <c r="C78" s="49">
        <f>AVERAGE('26.07 Makindye-Kibuye-24h'!C78,'27.07 Makindye-Kibuye-24h'!C78)</f>
        <v>30</v>
      </c>
      <c r="D78" s="49">
        <f>AVERAGE('26.07 Makindye-Kibuye-24h'!D78,'27.07 Makindye-Kibuye-24h'!D78)</f>
        <v>0</v>
      </c>
      <c r="E78" s="49">
        <f>AVERAGE('26.07 Makindye-Kibuye-24h'!E78,'27.07 Makindye-Kibuye-24h'!E78)</f>
        <v>0</v>
      </c>
      <c r="F78" s="49">
        <f>AVERAGE('26.07 Makindye-Kibuye-24h'!F78,'27.07 Makindye-Kibuye-24h'!F78)</f>
        <v>17.5</v>
      </c>
      <c r="G78" s="49">
        <f>AVERAGE('26.07 Makindye-Kibuye-24h'!G78,'27.07 Makindye-Kibuye-24h'!G78)</f>
        <v>0</v>
      </c>
      <c r="H78" s="49">
        <f>AVERAGE('26.07 Makindye-Kibuye-24h'!H78,'27.07 Makindye-Kibuye-24h'!H78)</f>
        <v>0</v>
      </c>
      <c r="I78" s="49">
        <f>AVERAGE('26.07 Makindye-Kibuye-24h'!I78,'27.07 Makindye-Kibuye-24h'!I78)</f>
        <v>0.5</v>
      </c>
      <c r="J78" s="49">
        <f>AVERAGE('26.07 Makindye-Kibuye-24h'!J78,'27.07 Makindye-Kibuye-24h'!J78)</f>
        <v>0</v>
      </c>
      <c r="K78" s="49">
        <f>AVERAGE('26.07 Makindye-Kibuye-24h'!K78,'27.07 Makindye-Kibuye-24h'!K78)</f>
        <v>0</v>
      </c>
      <c r="L78" s="49">
        <f>AVERAGE('26.07 Makindye-Kibuye-24h'!L78,'27.07 Makindye-Kibuye-24h'!L78)</f>
        <v>0</v>
      </c>
      <c r="M78" s="49">
        <f>AVERAGE('26.07 Makindye-Kibuye-24h'!M78,'27.07 Makindye-Kibuye-24h'!M78)</f>
        <v>105</v>
      </c>
      <c r="N78" s="49">
        <f>AVERAGE('26.07 Makindye-Kibuye-24h'!N78,'27.07 Makindye-Kibuye-24h'!N78)</f>
        <v>0</v>
      </c>
      <c r="O78" s="15">
        <f t="shared" si="35"/>
        <v>48</v>
      </c>
      <c r="P78" s="15">
        <f t="shared" si="36"/>
        <v>153</v>
      </c>
      <c r="R78" s="8"/>
      <c r="T78"/>
    </row>
    <row r="79" spans="2:20" ht="23.1" customHeight="1" x14ac:dyDescent="0.25">
      <c r="B79" s="23" t="s">
        <v>120</v>
      </c>
      <c r="C79" s="49">
        <f>AVERAGE('26.07 Makindye-Kibuye-24h'!C79,'27.07 Makindye-Kibuye-24h'!C79)</f>
        <v>17.5</v>
      </c>
      <c r="D79" s="49">
        <f>AVERAGE('26.07 Makindye-Kibuye-24h'!D79,'27.07 Makindye-Kibuye-24h'!D79)</f>
        <v>0.5</v>
      </c>
      <c r="E79" s="49">
        <f>AVERAGE('26.07 Makindye-Kibuye-24h'!E79,'27.07 Makindye-Kibuye-24h'!E79)</f>
        <v>0</v>
      </c>
      <c r="F79" s="49">
        <f>AVERAGE('26.07 Makindye-Kibuye-24h'!F79,'27.07 Makindye-Kibuye-24h'!F79)</f>
        <v>12.5</v>
      </c>
      <c r="G79" s="49">
        <f>AVERAGE('26.07 Makindye-Kibuye-24h'!G79,'27.07 Makindye-Kibuye-24h'!G79)</f>
        <v>0</v>
      </c>
      <c r="H79" s="49">
        <f>AVERAGE('26.07 Makindye-Kibuye-24h'!H79,'27.07 Makindye-Kibuye-24h'!H79)</f>
        <v>0</v>
      </c>
      <c r="I79" s="49">
        <f>AVERAGE('26.07 Makindye-Kibuye-24h'!I79,'27.07 Makindye-Kibuye-24h'!I79)</f>
        <v>0</v>
      </c>
      <c r="J79" s="49">
        <f>AVERAGE('26.07 Makindye-Kibuye-24h'!J79,'27.07 Makindye-Kibuye-24h'!J79)</f>
        <v>0</v>
      </c>
      <c r="K79" s="49">
        <f>AVERAGE('26.07 Makindye-Kibuye-24h'!K79,'27.07 Makindye-Kibuye-24h'!K79)</f>
        <v>0</v>
      </c>
      <c r="L79" s="49">
        <f>AVERAGE('26.07 Makindye-Kibuye-24h'!L79,'27.07 Makindye-Kibuye-24h'!L79)</f>
        <v>0</v>
      </c>
      <c r="M79" s="49">
        <f>AVERAGE('26.07 Makindye-Kibuye-24h'!M79,'27.07 Makindye-Kibuye-24h'!M79)</f>
        <v>55</v>
      </c>
      <c r="N79" s="49">
        <f>AVERAGE('26.07 Makindye-Kibuye-24h'!N79,'27.07 Makindye-Kibuye-24h'!N79)</f>
        <v>0</v>
      </c>
      <c r="O79" s="15">
        <f t="shared" si="35"/>
        <v>30.5</v>
      </c>
      <c r="P79" s="15">
        <f t="shared" si="36"/>
        <v>85.5</v>
      </c>
      <c r="R79" s="8"/>
      <c r="T79"/>
    </row>
    <row r="80" spans="2:20" ht="23.1" customHeight="1" x14ac:dyDescent="0.25">
      <c r="B80" s="25" t="s">
        <v>121</v>
      </c>
      <c r="C80" s="49">
        <f>AVERAGE('26.07 Makindye-Kibuye-24h'!C80,'27.07 Makindye-Kibuye-24h'!C80)</f>
        <v>22.5</v>
      </c>
      <c r="D80" s="49">
        <f>AVERAGE('26.07 Makindye-Kibuye-24h'!D80,'27.07 Makindye-Kibuye-24h'!D80)</f>
        <v>0.5</v>
      </c>
      <c r="E80" s="49">
        <f>AVERAGE('26.07 Makindye-Kibuye-24h'!E80,'27.07 Makindye-Kibuye-24h'!E80)</f>
        <v>0</v>
      </c>
      <c r="F80" s="49">
        <f>AVERAGE('26.07 Makindye-Kibuye-24h'!F80,'27.07 Makindye-Kibuye-24h'!F80)</f>
        <v>2</v>
      </c>
      <c r="G80" s="49">
        <f>AVERAGE('26.07 Makindye-Kibuye-24h'!G80,'27.07 Makindye-Kibuye-24h'!G80)</f>
        <v>0</v>
      </c>
      <c r="H80" s="49">
        <f>AVERAGE('26.07 Makindye-Kibuye-24h'!H80,'27.07 Makindye-Kibuye-24h'!H80)</f>
        <v>0</v>
      </c>
      <c r="I80" s="49">
        <f>AVERAGE('26.07 Makindye-Kibuye-24h'!I80,'27.07 Makindye-Kibuye-24h'!I80)</f>
        <v>0.5</v>
      </c>
      <c r="J80" s="49">
        <f>AVERAGE('26.07 Makindye-Kibuye-24h'!J80,'27.07 Makindye-Kibuye-24h'!J80)</f>
        <v>0</v>
      </c>
      <c r="K80" s="49">
        <f>AVERAGE('26.07 Makindye-Kibuye-24h'!K80,'27.07 Makindye-Kibuye-24h'!K80)</f>
        <v>0</v>
      </c>
      <c r="L80" s="49">
        <f>AVERAGE('26.07 Makindye-Kibuye-24h'!L80,'27.07 Makindye-Kibuye-24h'!L80)</f>
        <v>0</v>
      </c>
      <c r="M80" s="49">
        <f>AVERAGE('26.07 Makindye-Kibuye-24h'!M80,'27.07 Makindye-Kibuye-24h'!M80)</f>
        <v>125</v>
      </c>
      <c r="N80" s="49">
        <f>AVERAGE('26.07 Makindye-Kibuye-24h'!N80,'27.07 Makindye-Kibuye-24h'!N80)</f>
        <v>0</v>
      </c>
      <c r="O80" s="15">
        <f t="shared" si="35"/>
        <v>25.5</v>
      </c>
      <c r="P80" s="15">
        <f t="shared" si="36"/>
        <v>150.5</v>
      </c>
      <c r="R80" s="8"/>
      <c r="T80"/>
    </row>
    <row r="81" spans="2:20" ht="23.1" customHeight="1" x14ac:dyDescent="0.25">
      <c r="B81" s="23" t="s">
        <v>122</v>
      </c>
      <c r="C81" s="49">
        <f>AVERAGE('26.07 Makindye-Kibuye-24h'!C81,'27.07 Makindye-Kibuye-24h'!C81)</f>
        <v>8.5</v>
      </c>
      <c r="D81" s="49">
        <f>AVERAGE('26.07 Makindye-Kibuye-24h'!D81,'27.07 Makindye-Kibuye-24h'!D81)</f>
        <v>0</v>
      </c>
      <c r="E81" s="49">
        <f>AVERAGE('26.07 Makindye-Kibuye-24h'!E81,'27.07 Makindye-Kibuye-24h'!E81)</f>
        <v>0</v>
      </c>
      <c r="F81" s="49">
        <f>AVERAGE('26.07 Makindye-Kibuye-24h'!F81,'27.07 Makindye-Kibuye-24h'!F81)</f>
        <v>0.5</v>
      </c>
      <c r="G81" s="49">
        <f>AVERAGE('26.07 Makindye-Kibuye-24h'!G81,'27.07 Makindye-Kibuye-24h'!G81)</f>
        <v>0</v>
      </c>
      <c r="H81" s="49">
        <f>AVERAGE('26.07 Makindye-Kibuye-24h'!H81,'27.07 Makindye-Kibuye-24h'!H81)</f>
        <v>0</v>
      </c>
      <c r="I81" s="49">
        <f>AVERAGE('26.07 Makindye-Kibuye-24h'!I81,'27.07 Makindye-Kibuye-24h'!I81)</f>
        <v>0</v>
      </c>
      <c r="J81" s="49">
        <f>AVERAGE('26.07 Makindye-Kibuye-24h'!J81,'27.07 Makindye-Kibuye-24h'!J81)</f>
        <v>0</v>
      </c>
      <c r="K81" s="49">
        <f>AVERAGE('26.07 Makindye-Kibuye-24h'!K81,'27.07 Makindye-Kibuye-24h'!K81)</f>
        <v>0</v>
      </c>
      <c r="L81" s="49">
        <f>AVERAGE('26.07 Makindye-Kibuye-24h'!L81,'27.07 Makindye-Kibuye-24h'!L81)</f>
        <v>0</v>
      </c>
      <c r="M81" s="49">
        <f>AVERAGE('26.07 Makindye-Kibuye-24h'!M81,'27.07 Makindye-Kibuye-24h'!M81)</f>
        <v>77.5</v>
      </c>
      <c r="N81" s="49">
        <f>AVERAGE('26.07 Makindye-Kibuye-24h'!N81,'27.07 Makindye-Kibuye-24h'!N81)</f>
        <v>0</v>
      </c>
      <c r="O81" s="15">
        <f t="shared" si="35"/>
        <v>9</v>
      </c>
      <c r="P81" s="15">
        <f t="shared" si="36"/>
        <v>86.5</v>
      </c>
      <c r="R81" s="8"/>
      <c r="T81"/>
    </row>
    <row r="82" spans="2:20" ht="23.1" customHeight="1" x14ac:dyDescent="0.25">
      <c r="B82" s="24" t="s">
        <v>123</v>
      </c>
      <c r="C82" s="49">
        <f>AVERAGE('26.07 Makindye-Kibuye-24h'!C82,'27.07 Makindye-Kibuye-24h'!C82)</f>
        <v>10</v>
      </c>
      <c r="D82" s="49">
        <f>AVERAGE('26.07 Makindye-Kibuye-24h'!D82,'27.07 Makindye-Kibuye-24h'!D82)</f>
        <v>1</v>
      </c>
      <c r="E82" s="49">
        <f>AVERAGE('26.07 Makindye-Kibuye-24h'!E82,'27.07 Makindye-Kibuye-24h'!E82)</f>
        <v>2.5</v>
      </c>
      <c r="F82" s="49">
        <f>AVERAGE('26.07 Makindye-Kibuye-24h'!F82,'27.07 Makindye-Kibuye-24h'!F82)</f>
        <v>2.5</v>
      </c>
      <c r="G82" s="49">
        <f>AVERAGE('26.07 Makindye-Kibuye-24h'!G82,'27.07 Makindye-Kibuye-24h'!G82)</f>
        <v>0</v>
      </c>
      <c r="H82" s="49">
        <f>AVERAGE('26.07 Makindye-Kibuye-24h'!H82,'27.07 Makindye-Kibuye-24h'!H82)</f>
        <v>0</v>
      </c>
      <c r="I82" s="49">
        <f>AVERAGE('26.07 Makindye-Kibuye-24h'!I82,'27.07 Makindye-Kibuye-24h'!I82)</f>
        <v>0</v>
      </c>
      <c r="J82" s="49">
        <f>AVERAGE('26.07 Makindye-Kibuye-24h'!J82,'27.07 Makindye-Kibuye-24h'!J82)</f>
        <v>0</v>
      </c>
      <c r="K82" s="49">
        <f>AVERAGE('26.07 Makindye-Kibuye-24h'!K82,'27.07 Makindye-Kibuye-24h'!K82)</f>
        <v>0</v>
      </c>
      <c r="L82" s="49">
        <f>AVERAGE('26.07 Makindye-Kibuye-24h'!L82,'27.07 Makindye-Kibuye-24h'!L82)</f>
        <v>0</v>
      </c>
      <c r="M82" s="49">
        <f>AVERAGE('26.07 Makindye-Kibuye-24h'!M82,'27.07 Makindye-Kibuye-24h'!M82)</f>
        <v>57.5</v>
      </c>
      <c r="N82" s="49">
        <f>AVERAGE('26.07 Makindye-Kibuye-24h'!N82,'27.07 Makindye-Kibuye-24h'!N82)</f>
        <v>0</v>
      </c>
      <c r="O82" s="15">
        <f t="shared" si="35"/>
        <v>16</v>
      </c>
      <c r="P82" s="15">
        <f t="shared" si="36"/>
        <v>73.5</v>
      </c>
      <c r="R82" s="8"/>
      <c r="T82"/>
    </row>
    <row r="83" spans="2:20" ht="23.1" customHeight="1" x14ac:dyDescent="0.25">
      <c r="B83" s="23" t="s">
        <v>124</v>
      </c>
      <c r="C83" s="49">
        <f>AVERAGE('26.07 Makindye-Kibuye-24h'!C83,'27.07 Makindye-Kibuye-24h'!C83)</f>
        <v>5</v>
      </c>
      <c r="D83" s="49">
        <f>AVERAGE('26.07 Makindye-Kibuye-24h'!D83,'27.07 Makindye-Kibuye-24h'!D83)</f>
        <v>0</v>
      </c>
      <c r="E83" s="49">
        <f>AVERAGE('26.07 Makindye-Kibuye-24h'!E83,'27.07 Makindye-Kibuye-24h'!E83)</f>
        <v>0</v>
      </c>
      <c r="F83" s="49">
        <f>AVERAGE('26.07 Makindye-Kibuye-24h'!F83,'27.07 Makindye-Kibuye-24h'!F83)</f>
        <v>1</v>
      </c>
      <c r="G83" s="49">
        <f>AVERAGE('26.07 Makindye-Kibuye-24h'!G83,'27.07 Makindye-Kibuye-24h'!G83)</f>
        <v>0</v>
      </c>
      <c r="H83" s="49">
        <f>AVERAGE('26.07 Makindye-Kibuye-24h'!H83,'27.07 Makindye-Kibuye-24h'!H83)</f>
        <v>0</v>
      </c>
      <c r="I83" s="49">
        <f>AVERAGE('26.07 Makindye-Kibuye-24h'!I83,'27.07 Makindye-Kibuye-24h'!I83)</f>
        <v>0</v>
      </c>
      <c r="J83" s="49">
        <f>AVERAGE('26.07 Makindye-Kibuye-24h'!J83,'27.07 Makindye-Kibuye-24h'!J83)</f>
        <v>0</v>
      </c>
      <c r="K83" s="49">
        <f>AVERAGE('26.07 Makindye-Kibuye-24h'!K83,'27.07 Makindye-Kibuye-24h'!K83)</f>
        <v>0</v>
      </c>
      <c r="L83" s="49">
        <f>AVERAGE('26.07 Makindye-Kibuye-24h'!L83,'27.07 Makindye-Kibuye-24h'!L83)</f>
        <v>0</v>
      </c>
      <c r="M83" s="49">
        <f>AVERAGE('26.07 Makindye-Kibuye-24h'!M83,'27.07 Makindye-Kibuye-24h'!M83)</f>
        <v>54</v>
      </c>
      <c r="N83" s="49">
        <f>AVERAGE('26.07 Makindye-Kibuye-24h'!N83,'27.07 Makindye-Kibuye-24h'!N83)</f>
        <v>0</v>
      </c>
      <c r="O83" s="15">
        <f t="shared" si="35"/>
        <v>6</v>
      </c>
      <c r="P83" s="15">
        <f t="shared" si="36"/>
        <v>60</v>
      </c>
      <c r="R83" s="8"/>
      <c r="T83"/>
    </row>
    <row r="84" spans="2:20" ht="23.1" customHeight="1" x14ac:dyDescent="0.25">
      <c r="B84" s="25" t="s">
        <v>125</v>
      </c>
      <c r="C84" s="49">
        <f>AVERAGE('26.07 Makindye-Kibuye-24h'!C84,'27.07 Makindye-Kibuye-24h'!C84)</f>
        <v>5.5</v>
      </c>
      <c r="D84" s="49">
        <f>AVERAGE('26.07 Makindye-Kibuye-24h'!D84,'27.07 Makindye-Kibuye-24h'!D84)</f>
        <v>0</v>
      </c>
      <c r="E84" s="49">
        <f>AVERAGE('26.07 Makindye-Kibuye-24h'!E84,'27.07 Makindye-Kibuye-24h'!E84)</f>
        <v>0</v>
      </c>
      <c r="F84" s="49">
        <f>AVERAGE('26.07 Makindye-Kibuye-24h'!F84,'27.07 Makindye-Kibuye-24h'!F84)</f>
        <v>5</v>
      </c>
      <c r="G84" s="49">
        <f>AVERAGE('26.07 Makindye-Kibuye-24h'!G84,'27.07 Makindye-Kibuye-24h'!G84)</f>
        <v>0</v>
      </c>
      <c r="H84" s="49">
        <f>AVERAGE('26.07 Makindye-Kibuye-24h'!H84,'27.07 Makindye-Kibuye-24h'!H84)</f>
        <v>0</v>
      </c>
      <c r="I84" s="49">
        <f>AVERAGE('26.07 Makindye-Kibuye-24h'!I84,'27.07 Makindye-Kibuye-24h'!I84)</f>
        <v>0</v>
      </c>
      <c r="J84" s="49">
        <f>AVERAGE('26.07 Makindye-Kibuye-24h'!J84,'27.07 Makindye-Kibuye-24h'!J84)</f>
        <v>0</v>
      </c>
      <c r="K84" s="49">
        <f>AVERAGE('26.07 Makindye-Kibuye-24h'!K84,'27.07 Makindye-Kibuye-24h'!K84)</f>
        <v>0</v>
      </c>
      <c r="L84" s="49">
        <f>AVERAGE('26.07 Makindye-Kibuye-24h'!L84,'27.07 Makindye-Kibuye-24h'!L84)</f>
        <v>0</v>
      </c>
      <c r="M84" s="49">
        <f>AVERAGE('26.07 Makindye-Kibuye-24h'!M84,'27.07 Makindye-Kibuye-24h'!M84)</f>
        <v>90</v>
      </c>
      <c r="N84" s="49">
        <f>AVERAGE('26.07 Makindye-Kibuye-24h'!N84,'27.07 Makindye-Kibuye-24h'!N84)</f>
        <v>0</v>
      </c>
      <c r="O84" s="15">
        <f t="shared" si="35"/>
        <v>10.5</v>
      </c>
      <c r="P84" s="15">
        <f t="shared" si="36"/>
        <v>100.5</v>
      </c>
      <c r="R84" s="8"/>
      <c r="T84"/>
    </row>
    <row r="85" spans="2:20" ht="23.1" customHeight="1" x14ac:dyDescent="0.25">
      <c r="B85" s="23" t="s">
        <v>126</v>
      </c>
      <c r="C85" s="49">
        <f>AVERAGE('26.07 Makindye-Kibuye-24h'!C85,'27.07 Makindye-Kibuye-24h'!C85)</f>
        <v>6.5</v>
      </c>
      <c r="D85" s="49">
        <f>AVERAGE('26.07 Makindye-Kibuye-24h'!D85,'27.07 Makindye-Kibuye-24h'!D85)</f>
        <v>1</v>
      </c>
      <c r="E85" s="49">
        <f>AVERAGE('26.07 Makindye-Kibuye-24h'!E85,'27.07 Makindye-Kibuye-24h'!E85)</f>
        <v>0</v>
      </c>
      <c r="F85" s="49">
        <f>AVERAGE('26.07 Makindye-Kibuye-24h'!F85,'27.07 Makindye-Kibuye-24h'!F85)</f>
        <v>1</v>
      </c>
      <c r="G85" s="49">
        <f>AVERAGE('26.07 Makindye-Kibuye-24h'!G85,'27.07 Makindye-Kibuye-24h'!G85)</f>
        <v>0</v>
      </c>
      <c r="H85" s="49">
        <f>AVERAGE('26.07 Makindye-Kibuye-24h'!H85,'27.07 Makindye-Kibuye-24h'!H85)</f>
        <v>0</v>
      </c>
      <c r="I85" s="49">
        <f>AVERAGE('26.07 Makindye-Kibuye-24h'!I85,'27.07 Makindye-Kibuye-24h'!I85)</f>
        <v>0</v>
      </c>
      <c r="J85" s="49">
        <f>AVERAGE('26.07 Makindye-Kibuye-24h'!J85,'27.07 Makindye-Kibuye-24h'!J85)</f>
        <v>0</v>
      </c>
      <c r="K85" s="49">
        <f>AVERAGE('26.07 Makindye-Kibuye-24h'!K85,'27.07 Makindye-Kibuye-24h'!K85)</f>
        <v>0</v>
      </c>
      <c r="L85" s="49">
        <f>AVERAGE('26.07 Makindye-Kibuye-24h'!L85,'27.07 Makindye-Kibuye-24h'!L85)</f>
        <v>0</v>
      </c>
      <c r="M85" s="49">
        <f>AVERAGE('26.07 Makindye-Kibuye-24h'!M85,'27.07 Makindye-Kibuye-24h'!M85)</f>
        <v>32.5</v>
      </c>
      <c r="N85" s="49">
        <f>AVERAGE('26.07 Makindye-Kibuye-24h'!N85,'27.07 Makindye-Kibuye-24h'!N85)</f>
        <v>0</v>
      </c>
      <c r="O85" s="15">
        <f t="shared" si="35"/>
        <v>8.5</v>
      </c>
      <c r="P85" s="15">
        <f t="shared" si="36"/>
        <v>41</v>
      </c>
      <c r="R85" s="8"/>
      <c r="T85"/>
    </row>
    <row r="86" spans="2:20" ht="23.1" customHeight="1" x14ac:dyDescent="0.25">
      <c r="B86" s="24" t="s">
        <v>127</v>
      </c>
      <c r="C86" s="49">
        <f>AVERAGE('26.07 Makindye-Kibuye-24h'!C86,'27.07 Makindye-Kibuye-24h'!C86)</f>
        <v>9.5</v>
      </c>
      <c r="D86" s="49">
        <f>AVERAGE('26.07 Makindye-Kibuye-24h'!D86,'27.07 Makindye-Kibuye-24h'!D86)</f>
        <v>0</v>
      </c>
      <c r="E86" s="49">
        <f>AVERAGE('26.07 Makindye-Kibuye-24h'!E86,'27.07 Makindye-Kibuye-24h'!E86)</f>
        <v>0</v>
      </c>
      <c r="F86" s="49">
        <f>AVERAGE('26.07 Makindye-Kibuye-24h'!F86,'27.07 Makindye-Kibuye-24h'!F86)</f>
        <v>2</v>
      </c>
      <c r="G86" s="49">
        <f>AVERAGE('26.07 Makindye-Kibuye-24h'!G86,'27.07 Makindye-Kibuye-24h'!G86)</f>
        <v>0</v>
      </c>
      <c r="H86" s="49">
        <f>AVERAGE('26.07 Makindye-Kibuye-24h'!H86,'27.07 Makindye-Kibuye-24h'!H86)</f>
        <v>0</v>
      </c>
      <c r="I86" s="49">
        <f>AVERAGE('26.07 Makindye-Kibuye-24h'!I86,'27.07 Makindye-Kibuye-24h'!I86)</f>
        <v>0</v>
      </c>
      <c r="J86" s="49">
        <f>AVERAGE('26.07 Makindye-Kibuye-24h'!J86,'27.07 Makindye-Kibuye-24h'!J86)</f>
        <v>0</v>
      </c>
      <c r="K86" s="49">
        <f>AVERAGE('26.07 Makindye-Kibuye-24h'!K86,'27.07 Makindye-Kibuye-24h'!K86)</f>
        <v>0</v>
      </c>
      <c r="L86" s="49">
        <f>AVERAGE('26.07 Makindye-Kibuye-24h'!L86,'27.07 Makindye-Kibuye-24h'!L86)</f>
        <v>0</v>
      </c>
      <c r="M86" s="49">
        <f>AVERAGE('26.07 Makindye-Kibuye-24h'!M86,'27.07 Makindye-Kibuye-24h'!M86)</f>
        <v>35</v>
      </c>
      <c r="N86" s="49">
        <f>AVERAGE('26.07 Makindye-Kibuye-24h'!N86,'27.07 Makindye-Kibuye-24h'!N86)</f>
        <v>0</v>
      </c>
      <c r="O86" s="15">
        <f t="shared" si="35"/>
        <v>11.5</v>
      </c>
      <c r="P86" s="15">
        <f t="shared" si="36"/>
        <v>46.5</v>
      </c>
      <c r="R86" s="8"/>
      <c r="T86"/>
    </row>
    <row r="87" spans="2:20" ht="23.1" customHeight="1" x14ac:dyDescent="0.25">
      <c r="B87" s="23" t="s">
        <v>128</v>
      </c>
      <c r="C87" s="49">
        <f>AVERAGE('26.07 Makindye-Kibuye-24h'!C87,'27.07 Makindye-Kibuye-24h'!C87)</f>
        <v>9</v>
      </c>
      <c r="D87" s="49">
        <f>AVERAGE('26.07 Makindye-Kibuye-24h'!D87,'27.07 Makindye-Kibuye-24h'!D87)</f>
        <v>0</v>
      </c>
      <c r="E87" s="49">
        <f>AVERAGE('26.07 Makindye-Kibuye-24h'!E87,'27.07 Makindye-Kibuye-24h'!E87)</f>
        <v>0</v>
      </c>
      <c r="F87" s="49">
        <f>AVERAGE('26.07 Makindye-Kibuye-24h'!F87,'27.07 Makindye-Kibuye-24h'!F87)</f>
        <v>4.5</v>
      </c>
      <c r="G87" s="49">
        <f>AVERAGE('26.07 Makindye-Kibuye-24h'!G87,'27.07 Makindye-Kibuye-24h'!G87)</f>
        <v>0</v>
      </c>
      <c r="H87" s="49">
        <f>AVERAGE('26.07 Makindye-Kibuye-24h'!H87,'27.07 Makindye-Kibuye-24h'!H87)</f>
        <v>0</v>
      </c>
      <c r="I87" s="49">
        <f>AVERAGE('26.07 Makindye-Kibuye-24h'!I87,'27.07 Makindye-Kibuye-24h'!I87)</f>
        <v>0</v>
      </c>
      <c r="J87" s="49">
        <f>AVERAGE('26.07 Makindye-Kibuye-24h'!J87,'27.07 Makindye-Kibuye-24h'!J87)</f>
        <v>0</v>
      </c>
      <c r="K87" s="49">
        <f>AVERAGE('26.07 Makindye-Kibuye-24h'!K87,'27.07 Makindye-Kibuye-24h'!K87)</f>
        <v>0</v>
      </c>
      <c r="L87" s="49">
        <f>AVERAGE('26.07 Makindye-Kibuye-24h'!L87,'27.07 Makindye-Kibuye-24h'!L87)</f>
        <v>0</v>
      </c>
      <c r="M87" s="49">
        <f>AVERAGE('26.07 Makindye-Kibuye-24h'!M87,'27.07 Makindye-Kibuye-24h'!M87)</f>
        <v>27.5</v>
      </c>
      <c r="N87" s="49">
        <f>AVERAGE('26.07 Makindye-Kibuye-24h'!N87,'27.07 Makindye-Kibuye-24h'!N87)</f>
        <v>0</v>
      </c>
      <c r="O87" s="15">
        <f t="shared" si="35"/>
        <v>13.5</v>
      </c>
      <c r="P87" s="15">
        <f t="shared" si="36"/>
        <v>41</v>
      </c>
      <c r="R87" s="8"/>
      <c r="T87"/>
    </row>
    <row r="88" spans="2:20" ht="23.1" customHeight="1" x14ac:dyDescent="0.25">
      <c r="B88" s="25" t="s">
        <v>129</v>
      </c>
      <c r="C88" s="49">
        <f>AVERAGE('26.07 Makindye-Kibuye-24h'!C88,'27.07 Makindye-Kibuye-24h'!C88)</f>
        <v>8.5</v>
      </c>
      <c r="D88" s="49">
        <f>AVERAGE('26.07 Makindye-Kibuye-24h'!D88,'27.07 Makindye-Kibuye-24h'!D88)</f>
        <v>1</v>
      </c>
      <c r="E88" s="49">
        <f>AVERAGE('26.07 Makindye-Kibuye-24h'!E88,'27.07 Makindye-Kibuye-24h'!E88)</f>
        <v>1</v>
      </c>
      <c r="F88" s="49">
        <f>AVERAGE('26.07 Makindye-Kibuye-24h'!F88,'27.07 Makindye-Kibuye-24h'!F88)</f>
        <v>2</v>
      </c>
      <c r="G88" s="49">
        <f>AVERAGE('26.07 Makindye-Kibuye-24h'!G88,'27.07 Makindye-Kibuye-24h'!G88)</f>
        <v>0</v>
      </c>
      <c r="H88" s="49">
        <f>AVERAGE('26.07 Makindye-Kibuye-24h'!H88,'27.07 Makindye-Kibuye-24h'!H88)</f>
        <v>0</v>
      </c>
      <c r="I88" s="49">
        <f>AVERAGE('26.07 Makindye-Kibuye-24h'!I88,'27.07 Makindye-Kibuye-24h'!I88)</f>
        <v>0</v>
      </c>
      <c r="J88" s="49">
        <f>AVERAGE('26.07 Makindye-Kibuye-24h'!J88,'27.07 Makindye-Kibuye-24h'!J88)</f>
        <v>0</v>
      </c>
      <c r="K88" s="49">
        <f>AVERAGE('26.07 Makindye-Kibuye-24h'!K88,'27.07 Makindye-Kibuye-24h'!K88)</f>
        <v>0</v>
      </c>
      <c r="L88" s="49">
        <f>AVERAGE('26.07 Makindye-Kibuye-24h'!L88,'27.07 Makindye-Kibuye-24h'!L88)</f>
        <v>0</v>
      </c>
      <c r="M88" s="49">
        <f>AVERAGE('26.07 Makindye-Kibuye-24h'!M88,'27.07 Makindye-Kibuye-24h'!M88)</f>
        <v>33</v>
      </c>
      <c r="N88" s="49">
        <f>AVERAGE('26.07 Makindye-Kibuye-24h'!N88,'27.07 Makindye-Kibuye-24h'!N88)</f>
        <v>0</v>
      </c>
      <c r="O88" s="15">
        <f t="shared" si="35"/>
        <v>12.5</v>
      </c>
      <c r="P88" s="15">
        <f t="shared" si="36"/>
        <v>45.5</v>
      </c>
      <c r="R88" s="8"/>
      <c r="T88"/>
    </row>
    <row r="89" spans="2:20" ht="23.1" customHeight="1" x14ac:dyDescent="0.25">
      <c r="B89" s="23" t="s">
        <v>130</v>
      </c>
      <c r="C89" s="49">
        <f>AVERAGE('26.07 Makindye-Kibuye-24h'!C89,'27.07 Makindye-Kibuye-24h'!C89)</f>
        <v>7</v>
      </c>
      <c r="D89" s="49">
        <f>AVERAGE('26.07 Makindye-Kibuye-24h'!D89,'27.07 Makindye-Kibuye-24h'!D89)</f>
        <v>1</v>
      </c>
      <c r="E89" s="49">
        <f>AVERAGE('26.07 Makindye-Kibuye-24h'!E89,'27.07 Makindye-Kibuye-24h'!E89)</f>
        <v>0</v>
      </c>
      <c r="F89" s="49">
        <f>AVERAGE('26.07 Makindye-Kibuye-24h'!F89,'27.07 Makindye-Kibuye-24h'!F89)</f>
        <v>4.5</v>
      </c>
      <c r="G89" s="49">
        <f>AVERAGE('26.07 Makindye-Kibuye-24h'!G89,'27.07 Makindye-Kibuye-24h'!G89)</f>
        <v>0</v>
      </c>
      <c r="H89" s="49">
        <f>AVERAGE('26.07 Makindye-Kibuye-24h'!H89,'27.07 Makindye-Kibuye-24h'!H89)</f>
        <v>0</v>
      </c>
      <c r="I89" s="49">
        <f>AVERAGE('26.07 Makindye-Kibuye-24h'!I89,'27.07 Makindye-Kibuye-24h'!I89)</f>
        <v>0</v>
      </c>
      <c r="J89" s="49">
        <f>AVERAGE('26.07 Makindye-Kibuye-24h'!J89,'27.07 Makindye-Kibuye-24h'!J89)</f>
        <v>0</v>
      </c>
      <c r="K89" s="49">
        <f>AVERAGE('26.07 Makindye-Kibuye-24h'!K89,'27.07 Makindye-Kibuye-24h'!K89)</f>
        <v>0</v>
      </c>
      <c r="L89" s="49">
        <f>AVERAGE('26.07 Makindye-Kibuye-24h'!L89,'27.07 Makindye-Kibuye-24h'!L89)</f>
        <v>0</v>
      </c>
      <c r="M89" s="49">
        <f>AVERAGE('26.07 Makindye-Kibuye-24h'!M89,'27.07 Makindye-Kibuye-24h'!M89)</f>
        <v>14</v>
      </c>
      <c r="N89" s="49">
        <f>AVERAGE('26.07 Makindye-Kibuye-24h'!N89,'27.07 Makindye-Kibuye-24h'!N89)</f>
        <v>0</v>
      </c>
      <c r="O89" s="15">
        <f t="shared" si="35"/>
        <v>12.5</v>
      </c>
      <c r="P89" s="15">
        <f t="shared" si="36"/>
        <v>26.5</v>
      </c>
      <c r="R89" s="8"/>
      <c r="T89"/>
    </row>
    <row r="90" spans="2:20" ht="23.1" customHeight="1" x14ac:dyDescent="0.25">
      <c r="B90" s="24" t="s">
        <v>131</v>
      </c>
      <c r="C90" s="49">
        <f>AVERAGE('26.07 Makindye-Kibuye-24h'!C90,'27.07 Makindye-Kibuye-24h'!C90)</f>
        <v>6.5</v>
      </c>
      <c r="D90" s="49">
        <f>AVERAGE('26.07 Makindye-Kibuye-24h'!D90,'27.07 Makindye-Kibuye-24h'!D90)</f>
        <v>2</v>
      </c>
      <c r="E90" s="49">
        <f>AVERAGE('26.07 Makindye-Kibuye-24h'!E90,'27.07 Makindye-Kibuye-24h'!E90)</f>
        <v>0.5</v>
      </c>
      <c r="F90" s="49">
        <f>AVERAGE('26.07 Makindye-Kibuye-24h'!F90,'27.07 Makindye-Kibuye-24h'!F90)</f>
        <v>0</v>
      </c>
      <c r="G90" s="49">
        <f>AVERAGE('26.07 Makindye-Kibuye-24h'!G90,'27.07 Makindye-Kibuye-24h'!G90)</f>
        <v>0</v>
      </c>
      <c r="H90" s="49">
        <f>AVERAGE('26.07 Makindye-Kibuye-24h'!H90,'27.07 Makindye-Kibuye-24h'!H90)</f>
        <v>0</v>
      </c>
      <c r="I90" s="49">
        <f>AVERAGE('26.07 Makindye-Kibuye-24h'!I90,'27.07 Makindye-Kibuye-24h'!I90)</f>
        <v>1</v>
      </c>
      <c r="J90" s="49">
        <f>AVERAGE('26.07 Makindye-Kibuye-24h'!J90,'27.07 Makindye-Kibuye-24h'!J90)</f>
        <v>0.5</v>
      </c>
      <c r="K90" s="49">
        <f>AVERAGE('26.07 Makindye-Kibuye-24h'!K90,'27.07 Makindye-Kibuye-24h'!K90)</f>
        <v>0</v>
      </c>
      <c r="L90" s="49">
        <f>AVERAGE('26.07 Makindye-Kibuye-24h'!L90,'27.07 Makindye-Kibuye-24h'!L90)</f>
        <v>0</v>
      </c>
      <c r="M90" s="49">
        <f>AVERAGE('26.07 Makindye-Kibuye-24h'!M90,'27.07 Makindye-Kibuye-24h'!M90)</f>
        <v>32.5</v>
      </c>
      <c r="N90" s="49">
        <f>AVERAGE('26.07 Makindye-Kibuye-24h'!N90,'27.07 Makindye-Kibuye-24h'!N90)</f>
        <v>0</v>
      </c>
      <c r="O90" s="15">
        <f t="shared" si="35"/>
        <v>10.5</v>
      </c>
      <c r="P90" s="15">
        <f t="shared" si="36"/>
        <v>43</v>
      </c>
      <c r="R90" s="8"/>
      <c r="T90"/>
    </row>
    <row r="91" spans="2:20" ht="23.1" customHeight="1" x14ac:dyDescent="0.25">
      <c r="B91" s="23" t="s">
        <v>132</v>
      </c>
      <c r="C91" s="49">
        <f>AVERAGE('26.07 Makindye-Kibuye-24h'!C91,'27.07 Makindye-Kibuye-24h'!C91)</f>
        <v>7</v>
      </c>
      <c r="D91" s="49">
        <f>AVERAGE('26.07 Makindye-Kibuye-24h'!D91,'27.07 Makindye-Kibuye-24h'!D91)</f>
        <v>1</v>
      </c>
      <c r="E91" s="49">
        <f>AVERAGE('26.07 Makindye-Kibuye-24h'!E91,'27.07 Makindye-Kibuye-24h'!E91)</f>
        <v>0</v>
      </c>
      <c r="F91" s="49">
        <f>AVERAGE('26.07 Makindye-Kibuye-24h'!F91,'27.07 Makindye-Kibuye-24h'!F91)</f>
        <v>0.5</v>
      </c>
      <c r="G91" s="49">
        <f>AVERAGE('26.07 Makindye-Kibuye-24h'!G91,'27.07 Makindye-Kibuye-24h'!G91)</f>
        <v>0</v>
      </c>
      <c r="H91" s="49">
        <f>AVERAGE('26.07 Makindye-Kibuye-24h'!H91,'27.07 Makindye-Kibuye-24h'!H91)</f>
        <v>0</v>
      </c>
      <c r="I91" s="49">
        <f>AVERAGE('26.07 Makindye-Kibuye-24h'!I91,'27.07 Makindye-Kibuye-24h'!I91)</f>
        <v>0</v>
      </c>
      <c r="J91" s="49">
        <f>AVERAGE('26.07 Makindye-Kibuye-24h'!J91,'27.07 Makindye-Kibuye-24h'!J91)</f>
        <v>0</v>
      </c>
      <c r="K91" s="49">
        <f>AVERAGE('26.07 Makindye-Kibuye-24h'!K91,'27.07 Makindye-Kibuye-24h'!K91)</f>
        <v>1</v>
      </c>
      <c r="L91" s="49">
        <f>AVERAGE('26.07 Makindye-Kibuye-24h'!L91,'27.07 Makindye-Kibuye-24h'!L91)</f>
        <v>0</v>
      </c>
      <c r="M91" s="49">
        <f>AVERAGE('26.07 Makindye-Kibuye-24h'!M91,'27.07 Makindye-Kibuye-24h'!M91)</f>
        <v>18</v>
      </c>
      <c r="N91" s="49">
        <f>AVERAGE('26.07 Makindye-Kibuye-24h'!N91,'27.07 Makindye-Kibuye-24h'!N91)</f>
        <v>0</v>
      </c>
      <c r="O91" s="15">
        <f t="shared" si="35"/>
        <v>9.5</v>
      </c>
      <c r="P91" s="15">
        <f t="shared" si="36"/>
        <v>27.5</v>
      </c>
      <c r="R91" s="8"/>
      <c r="T91"/>
    </row>
    <row r="92" spans="2:20" ht="23.1" customHeight="1" x14ac:dyDescent="0.25">
      <c r="B92" s="25" t="s">
        <v>133</v>
      </c>
      <c r="C92" s="49">
        <f>AVERAGE('26.07 Makindye-Kibuye-24h'!C92,'27.07 Makindye-Kibuye-24h'!C92)</f>
        <v>12.5</v>
      </c>
      <c r="D92" s="49">
        <f>AVERAGE('26.07 Makindye-Kibuye-24h'!D92,'27.07 Makindye-Kibuye-24h'!D92)</f>
        <v>0</v>
      </c>
      <c r="E92" s="49">
        <f>AVERAGE('26.07 Makindye-Kibuye-24h'!E92,'27.07 Makindye-Kibuye-24h'!E92)</f>
        <v>0</v>
      </c>
      <c r="F92" s="49">
        <f>AVERAGE('26.07 Makindye-Kibuye-24h'!F92,'27.07 Makindye-Kibuye-24h'!F92)</f>
        <v>1</v>
      </c>
      <c r="G92" s="49">
        <f>AVERAGE('26.07 Makindye-Kibuye-24h'!G92,'27.07 Makindye-Kibuye-24h'!G92)</f>
        <v>0</v>
      </c>
      <c r="H92" s="49">
        <f>AVERAGE('26.07 Makindye-Kibuye-24h'!H92,'27.07 Makindye-Kibuye-24h'!H92)</f>
        <v>0</v>
      </c>
      <c r="I92" s="49">
        <f>AVERAGE('26.07 Makindye-Kibuye-24h'!I92,'27.07 Makindye-Kibuye-24h'!I92)</f>
        <v>0</v>
      </c>
      <c r="J92" s="49">
        <f>AVERAGE('26.07 Makindye-Kibuye-24h'!J92,'27.07 Makindye-Kibuye-24h'!J92)</f>
        <v>0</v>
      </c>
      <c r="K92" s="49">
        <f>AVERAGE('26.07 Makindye-Kibuye-24h'!K92,'27.07 Makindye-Kibuye-24h'!K92)</f>
        <v>0</v>
      </c>
      <c r="L92" s="49">
        <f>AVERAGE('26.07 Makindye-Kibuye-24h'!L92,'27.07 Makindye-Kibuye-24h'!L92)</f>
        <v>0</v>
      </c>
      <c r="M92" s="49">
        <f>AVERAGE('26.07 Makindye-Kibuye-24h'!M92,'27.07 Makindye-Kibuye-24h'!M92)</f>
        <v>18</v>
      </c>
      <c r="N92" s="49">
        <f>AVERAGE('26.07 Makindye-Kibuye-24h'!N92,'27.07 Makindye-Kibuye-24h'!N92)</f>
        <v>0</v>
      </c>
      <c r="O92" s="15">
        <f t="shared" si="35"/>
        <v>13.5</v>
      </c>
      <c r="P92" s="15">
        <f t="shared" si="36"/>
        <v>31.5</v>
      </c>
      <c r="R92" s="8"/>
      <c r="T92"/>
    </row>
    <row r="93" spans="2:20" ht="23.1" customHeight="1" x14ac:dyDescent="0.25">
      <c r="B93" s="23" t="s">
        <v>134</v>
      </c>
      <c r="C93" s="49">
        <f>AVERAGE('26.07 Makindye-Kibuye-24h'!C93,'27.07 Makindye-Kibuye-24h'!C93)</f>
        <v>2</v>
      </c>
      <c r="D93" s="49">
        <f>AVERAGE('26.07 Makindye-Kibuye-24h'!D93,'27.07 Makindye-Kibuye-24h'!D93)</f>
        <v>0</v>
      </c>
      <c r="E93" s="49">
        <f>AVERAGE('26.07 Makindye-Kibuye-24h'!E93,'27.07 Makindye-Kibuye-24h'!E93)</f>
        <v>0</v>
      </c>
      <c r="F93" s="49">
        <f>AVERAGE('26.07 Makindye-Kibuye-24h'!F93,'27.07 Makindye-Kibuye-24h'!F93)</f>
        <v>0</v>
      </c>
      <c r="G93" s="49">
        <f>AVERAGE('26.07 Makindye-Kibuye-24h'!G93,'27.07 Makindye-Kibuye-24h'!G93)</f>
        <v>0</v>
      </c>
      <c r="H93" s="49">
        <f>AVERAGE('26.07 Makindye-Kibuye-24h'!H93,'27.07 Makindye-Kibuye-24h'!H93)</f>
        <v>0</v>
      </c>
      <c r="I93" s="49">
        <f>AVERAGE('26.07 Makindye-Kibuye-24h'!I93,'27.07 Makindye-Kibuye-24h'!I93)</f>
        <v>0</v>
      </c>
      <c r="J93" s="49">
        <f>AVERAGE('26.07 Makindye-Kibuye-24h'!J93,'27.07 Makindye-Kibuye-24h'!J93)</f>
        <v>0</v>
      </c>
      <c r="K93" s="49">
        <f>AVERAGE('26.07 Makindye-Kibuye-24h'!K93,'27.07 Makindye-Kibuye-24h'!K93)</f>
        <v>0</v>
      </c>
      <c r="L93" s="49">
        <f>AVERAGE('26.07 Makindye-Kibuye-24h'!L93,'27.07 Makindye-Kibuye-24h'!L93)</f>
        <v>0</v>
      </c>
      <c r="M93" s="49">
        <f>AVERAGE('26.07 Makindye-Kibuye-24h'!M93,'27.07 Makindye-Kibuye-24h'!M93)</f>
        <v>29</v>
      </c>
      <c r="N93" s="49">
        <f>AVERAGE('26.07 Makindye-Kibuye-24h'!N93,'27.07 Makindye-Kibuye-24h'!N93)</f>
        <v>0</v>
      </c>
      <c r="O93" s="15">
        <f t="shared" si="35"/>
        <v>2</v>
      </c>
      <c r="P93" s="15">
        <f t="shared" si="36"/>
        <v>31</v>
      </c>
      <c r="R93" s="8"/>
      <c r="T93"/>
    </row>
    <row r="94" spans="2:20" ht="23.1" customHeight="1" x14ac:dyDescent="0.25">
      <c r="B94" s="24" t="s">
        <v>135</v>
      </c>
      <c r="C94" s="49">
        <f>AVERAGE('26.07 Makindye-Kibuye-24h'!C94,'27.07 Makindye-Kibuye-24h'!C94)</f>
        <v>11.5</v>
      </c>
      <c r="D94" s="49">
        <f>AVERAGE('26.07 Makindye-Kibuye-24h'!D94,'27.07 Makindye-Kibuye-24h'!D94)</f>
        <v>0.5</v>
      </c>
      <c r="E94" s="49">
        <f>AVERAGE('26.07 Makindye-Kibuye-24h'!E94,'27.07 Makindye-Kibuye-24h'!E94)</f>
        <v>0</v>
      </c>
      <c r="F94" s="49">
        <f>AVERAGE('26.07 Makindye-Kibuye-24h'!F94,'27.07 Makindye-Kibuye-24h'!F94)</f>
        <v>3</v>
      </c>
      <c r="G94" s="49">
        <f>AVERAGE('26.07 Makindye-Kibuye-24h'!G94,'27.07 Makindye-Kibuye-24h'!G94)</f>
        <v>0</v>
      </c>
      <c r="H94" s="49">
        <f>AVERAGE('26.07 Makindye-Kibuye-24h'!H94,'27.07 Makindye-Kibuye-24h'!H94)</f>
        <v>0</v>
      </c>
      <c r="I94" s="49">
        <f>AVERAGE('26.07 Makindye-Kibuye-24h'!I94,'27.07 Makindye-Kibuye-24h'!I94)</f>
        <v>1.5</v>
      </c>
      <c r="J94" s="49">
        <f>AVERAGE('26.07 Makindye-Kibuye-24h'!J94,'27.07 Makindye-Kibuye-24h'!J94)</f>
        <v>0</v>
      </c>
      <c r="K94" s="49">
        <f>AVERAGE('26.07 Makindye-Kibuye-24h'!K94,'27.07 Makindye-Kibuye-24h'!K94)</f>
        <v>0</v>
      </c>
      <c r="L94" s="49">
        <f>AVERAGE('26.07 Makindye-Kibuye-24h'!L94,'27.07 Makindye-Kibuye-24h'!L94)</f>
        <v>0.5</v>
      </c>
      <c r="M94" s="49">
        <f>AVERAGE('26.07 Makindye-Kibuye-24h'!M94,'27.07 Makindye-Kibuye-24h'!M94)</f>
        <v>45</v>
      </c>
      <c r="N94" s="49">
        <f>AVERAGE('26.07 Makindye-Kibuye-24h'!N94,'27.07 Makindye-Kibuye-24h'!N94)</f>
        <v>0</v>
      </c>
      <c r="O94" s="15">
        <f t="shared" si="35"/>
        <v>17</v>
      </c>
      <c r="P94" s="15">
        <f t="shared" si="36"/>
        <v>62</v>
      </c>
      <c r="R94" s="8"/>
      <c r="T94"/>
    </row>
    <row r="95" spans="2:20" ht="23.1" customHeight="1" x14ac:dyDescent="0.25">
      <c r="B95" s="23" t="s">
        <v>136</v>
      </c>
      <c r="C95" s="49">
        <f>AVERAGE('26.07 Makindye-Kibuye-24h'!C95,'27.07 Makindye-Kibuye-24h'!C95)</f>
        <v>7.5</v>
      </c>
      <c r="D95" s="49">
        <f>AVERAGE('26.07 Makindye-Kibuye-24h'!D95,'27.07 Makindye-Kibuye-24h'!D95)</f>
        <v>0</v>
      </c>
      <c r="E95" s="49">
        <f>AVERAGE('26.07 Makindye-Kibuye-24h'!E95,'27.07 Makindye-Kibuye-24h'!E95)</f>
        <v>0</v>
      </c>
      <c r="F95" s="49">
        <f>AVERAGE('26.07 Makindye-Kibuye-24h'!F95,'27.07 Makindye-Kibuye-24h'!F95)</f>
        <v>14</v>
      </c>
      <c r="G95" s="49">
        <f>AVERAGE('26.07 Makindye-Kibuye-24h'!G95,'27.07 Makindye-Kibuye-24h'!G95)</f>
        <v>0</v>
      </c>
      <c r="H95" s="49">
        <f>AVERAGE('26.07 Makindye-Kibuye-24h'!H95,'27.07 Makindye-Kibuye-24h'!H95)</f>
        <v>0</v>
      </c>
      <c r="I95" s="49">
        <f>AVERAGE('26.07 Makindye-Kibuye-24h'!I95,'27.07 Makindye-Kibuye-24h'!I95)</f>
        <v>0</v>
      </c>
      <c r="J95" s="49">
        <f>AVERAGE('26.07 Makindye-Kibuye-24h'!J95,'27.07 Makindye-Kibuye-24h'!J95)</f>
        <v>0</v>
      </c>
      <c r="K95" s="49">
        <f>AVERAGE('26.07 Makindye-Kibuye-24h'!K95,'27.07 Makindye-Kibuye-24h'!K95)</f>
        <v>0</v>
      </c>
      <c r="L95" s="49">
        <f>AVERAGE('26.07 Makindye-Kibuye-24h'!L95,'27.07 Makindye-Kibuye-24h'!L95)</f>
        <v>0</v>
      </c>
      <c r="M95" s="49">
        <f>AVERAGE('26.07 Makindye-Kibuye-24h'!M95,'27.07 Makindye-Kibuye-24h'!M95)</f>
        <v>45</v>
      </c>
      <c r="N95" s="49">
        <f>AVERAGE('26.07 Makindye-Kibuye-24h'!N95,'27.07 Makindye-Kibuye-24h'!N95)</f>
        <v>0</v>
      </c>
      <c r="O95" s="15">
        <f t="shared" si="35"/>
        <v>21.5</v>
      </c>
      <c r="P95" s="15">
        <f t="shared" si="36"/>
        <v>66.5</v>
      </c>
      <c r="R95" s="8"/>
      <c r="T95"/>
    </row>
    <row r="96" spans="2:20" ht="23.1" customHeight="1" x14ac:dyDescent="0.25">
      <c r="B96" s="25" t="s">
        <v>137</v>
      </c>
      <c r="C96" s="49">
        <f>AVERAGE('26.07 Makindye-Kibuye-24h'!C96,'27.07 Makindye-Kibuye-24h'!C96)</f>
        <v>12.5</v>
      </c>
      <c r="D96" s="49">
        <f>AVERAGE('26.07 Makindye-Kibuye-24h'!D96,'27.07 Makindye-Kibuye-24h'!D96)</f>
        <v>1</v>
      </c>
      <c r="E96" s="49">
        <f>AVERAGE('26.07 Makindye-Kibuye-24h'!E96,'27.07 Makindye-Kibuye-24h'!E96)</f>
        <v>0</v>
      </c>
      <c r="F96" s="49">
        <f>AVERAGE('26.07 Makindye-Kibuye-24h'!F96,'27.07 Makindye-Kibuye-24h'!F96)</f>
        <v>9.5</v>
      </c>
      <c r="G96" s="49">
        <f>AVERAGE('26.07 Makindye-Kibuye-24h'!G96,'27.07 Makindye-Kibuye-24h'!G96)</f>
        <v>0</v>
      </c>
      <c r="H96" s="49">
        <f>AVERAGE('26.07 Makindye-Kibuye-24h'!H96,'27.07 Makindye-Kibuye-24h'!H96)</f>
        <v>0</v>
      </c>
      <c r="I96" s="49">
        <f>AVERAGE('26.07 Makindye-Kibuye-24h'!I96,'27.07 Makindye-Kibuye-24h'!I96)</f>
        <v>0</v>
      </c>
      <c r="J96" s="49">
        <f>AVERAGE('26.07 Makindye-Kibuye-24h'!J96,'27.07 Makindye-Kibuye-24h'!J96)</f>
        <v>0</v>
      </c>
      <c r="K96" s="49">
        <f>AVERAGE('26.07 Makindye-Kibuye-24h'!K96,'27.07 Makindye-Kibuye-24h'!K96)</f>
        <v>0</v>
      </c>
      <c r="L96" s="49">
        <f>AVERAGE('26.07 Makindye-Kibuye-24h'!L96,'27.07 Makindye-Kibuye-24h'!L96)</f>
        <v>0</v>
      </c>
      <c r="M96" s="49">
        <f>AVERAGE('26.07 Makindye-Kibuye-24h'!M96,'27.07 Makindye-Kibuye-24h'!M96)</f>
        <v>17.5</v>
      </c>
      <c r="N96" s="49">
        <f>AVERAGE('26.07 Makindye-Kibuye-24h'!N96,'27.07 Makindye-Kibuye-24h'!N96)</f>
        <v>0</v>
      </c>
      <c r="O96" s="15">
        <f t="shared" si="35"/>
        <v>23</v>
      </c>
      <c r="P96" s="15">
        <f t="shared" si="36"/>
        <v>40.5</v>
      </c>
      <c r="R96" s="8"/>
      <c r="T96"/>
    </row>
    <row r="97" spans="2:20" ht="23.1" customHeight="1" x14ac:dyDescent="0.25">
      <c r="B97" s="23" t="s">
        <v>138</v>
      </c>
      <c r="C97" s="49">
        <f>AVERAGE('26.07 Makindye-Kibuye-24h'!C97,'27.07 Makindye-Kibuye-24h'!C97)</f>
        <v>14</v>
      </c>
      <c r="D97" s="49">
        <f>AVERAGE('26.07 Makindye-Kibuye-24h'!D97,'27.07 Makindye-Kibuye-24h'!D97)</f>
        <v>1</v>
      </c>
      <c r="E97" s="49">
        <f>AVERAGE('26.07 Makindye-Kibuye-24h'!E97,'27.07 Makindye-Kibuye-24h'!E97)</f>
        <v>0.5</v>
      </c>
      <c r="F97" s="49">
        <f>AVERAGE('26.07 Makindye-Kibuye-24h'!F97,'27.07 Makindye-Kibuye-24h'!F97)</f>
        <v>6</v>
      </c>
      <c r="G97" s="49">
        <f>AVERAGE('26.07 Makindye-Kibuye-24h'!G97,'27.07 Makindye-Kibuye-24h'!G97)</f>
        <v>0</v>
      </c>
      <c r="H97" s="49">
        <f>AVERAGE('26.07 Makindye-Kibuye-24h'!H97,'27.07 Makindye-Kibuye-24h'!H97)</f>
        <v>0</v>
      </c>
      <c r="I97" s="49">
        <f>AVERAGE('26.07 Makindye-Kibuye-24h'!I97,'27.07 Makindye-Kibuye-24h'!I97)</f>
        <v>0</v>
      </c>
      <c r="J97" s="49">
        <f>AVERAGE('26.07 Makindye-Kibuye-24h'!J97,'27.07 Makindye-Kibuye-24h'!J97)</f>
        <v>0</v>
      </c>
      <c r="K97" s="49">
        <f>AVERAGE('26.07 Makindye-Kibuye-24h'!K97,'27.07 Makindye-Kibuye-24h'!K97)</f>
        <v>0.5</v>
      </c>
      <c r="L97" s="49">
        <f>AVERAGE('26.07 Makindye-Kibuye-24h'!L97,'27.07 Makindye-Kibuye-24h'!L97)</f>
        <v>0</v>
      </c>
      <c r="M97" s="49">
        <f>AVERAGE('26.07 Makindye-Kibuye-24h'!M97,'27.07 Makindye-Kibuye-24h'!M97)</f>
        <v>17.5</v>
      </c>
      <c r="N97" s="49">
        <f>AVERAGE('26.07 Makindye-Kibuye-24h'!N97,'27.07 Makindye-Kibuye-24h'!N97)</f>
        <v>0</v>
      </c>
      <c r="O97" s="15">
        <f t="shared" si="35"/>
        <v>22</v>
      </c>
      <c r="P97" s="15">
        <f t="shared" si="36"/>
        <v>39.5</v>
      </c>
      <c r="R97" s="8"/>
      <c r="T97"/>
    </row>
    <row r="98" spans="2:20" ht="23.1" customHeight="1" x14ac:dyDescent="0.25">
      <c r="B98" s="24" t="s">
        <v>139</v>
      </c>
      <c r="C98" s="49">
        <f>AVERAGE('26.07 Makindye-Kibuye-24h'!C98,'27.07 Makindye-Kibuye-24h'!C98)</f>
        <v>20</v>
      </c>
      <c r="D98" s="49">
        <f>AVERAGE('26.07 Makindye-Kibuye-24h'!D98,'27.07 Makindye-Kibuye-24h'!D98)</f>
        <v>0</v>
      </c>
      <c r="E98" s="49">
        <f>AVERAGE('26.07 Makindye-Kibuye-24h'!E98,'27.07 Makindye-Kibuye-24h'!E98)</f>
        <v>0</v>
      </c>
      <c r="F98" s="49">
        <f>AVERAGE('26.07 Makindye-Kibuye-24h'!F98,'27.07 Makindye-Kibuye-24h'!F98)</f>
        <v>7</v>
      </c>
      <c r="G98" s="49">
        <f>AVERAGE('26.07 Makindye-Kibuye-24h'!G98,'27.07 Makindye-Kibuye-24h'!G98)</f>
        <v>0</v>
      </c>
      <c r="H98" s="49">
        <f>AVERAGE('26.07 Makindye-Kibuye-24h'!H98,'27.07 Makindye-Kibuye-24h'!H98)</f>
        <v>0</v>
      </c>
      <c r="I98" s="49">
        <f>AVERAGE('26.07 Makindye-Kibuye-24h'!I98,'27.07 Makindye-Kibuye-24h'!I98)</f>
        <v>0</v>
      </c>
      <c r="J98" s="49">
        <f>AVERAGE('26.07 Makindye-Kibuye-24h'!J98,'27.07 Makindye-Kibuye-24h'!J98)</f>
        <v>1</v>
      </c>
      <c r="K98" s="49">
        <f>AVERAGE('26.07 Makindye-Kibuye-24h'!K98,'27.07 Makindye-Kibuye-24h'!K98)</f>
        <v>0</v>
      </c>
      <c r="L98" s="49">
        <f>AVERAGE('26.07 Makindye-Kibuye-24h'!L98,'27.07 Makindye-Kibuye-24h'!L98)</f>
        <v>0</v>
      </c>
      <c r="M98" s="49">
        <f>AVERAGE('26.07 Makindye-Kibuye-24h'!M98,'27.07 Makindye-Kibuye-24h'!M98)</f>
        <v>45</v>
      </c>
      <c r="N98" s="49">
        <f>AVERAGE('26.07 Makindye-Kibuye-24h'!N98,'27.07 Makindye-Kibuye-24h'!N98)</f>
        <v>0</v>
      </c>
      <c r="O98" s="15">
        <f t="shared" si="35"/>
        <v>28</v>
      </c>
      <c r="P98" s="15">
        <f t="shared" si="36"/>
        <v>73</v>
      </c>
      <c r="R98" s="8"/>
      <c r="T98"/>
    </row>
    <row r="99" spans="2:20" ht="23.1" customHeight="1" x14ac:dyDescent="0.25">
      <c r="B99" s="23" t="s">
        <v>140</v>
      </c>
      <c r="C99" s="49">
        <f>AVERAGE('26.07 Makindye-Kibuye-24h'!C99,'27.07 Makindye-Kibuye-24h'!C99)</f>
        <v>12.5</v>
      </c>
      <c r="D99" s="49">
        <f>AVERAGE('26.07 Makindye-Kibuye-24h'!D99,'27.07 Makindye-Kibuye-24h'!D99)</f>
        <v>2.5</v>
      </c>
      <c r="E99" s="49">
        <f>AVERAGE('26.07 Makindye-Kibuye-24h'!E99,'27.07 Makindye-Kibuye-24h'!E99)</f>
        <v>12.5</v>
      </c>
      <c r="F99" s="49">
        <f>AVERAGE('26.07 Makindye-Kibuye-24h'!F99,'27.07 Makindye-Kibuye-24h'!F99)</f>
        <v>5</v>
      </c>
      <c r="G99" s="49">
        <f>AVERAGE('26.07 Makindye-Kibuye-24h'!G99,'27.07 Makindye-Kibuye-24h'!G99)</f>
        <v>0</v>
      </c>
      <c r="H99" s="49">
        <f>AVERAGE('26.07 Makindye-Kibuye-24h'!H99,'27.07 Makindye-Kibuye-24h'!H99)</f>
        <v>0</v>
      </c>
      <c r="I99" s="49">
        <f>AVERAGE('26.07 Makindye-Kibuye-24h'!I99,'27.07 Makindye-Kibuye-24h'!I99)</f>
        <v>1.5</v>
      </c>
      <c r="J99" s="49">
        <f>AVERAGE('26.07 Makindye-Kibuye-24h'!J99,'27.07 Makindye-Kibuye-24h'!J99)</f>
        <v>0.5</v>
      </c>
      <c r="K99" s="49">
        <f>AVERAGE('26.07 Makindye-Kibuye-24h'!K99,'27.07 Makindye-Kibuye-24h'!K99)</f>
        <v>0</v>
      </c>
      <c r="L99" s="49">
        <f>AVERAGE('26.07 Makindye-Kibuye-24h'!L99,'27.07 Makindye-Kibuye-24h'!L99)</f>
        <v>0.5</v>
      </c>
      <c r="M99" s="49">
        <f>AVERAGE('26.07 Makindye-Kibuye-24h'!M99,'27.07 Makindye-Kibuye-24h'!M99)</f>
        <v>45</v>
      </c>
      <c r="N99" s="49">
        <f>AVERAGE('26.07 Makindye-Kibuye-24h'!N99,'27.07 Makindye-Kibuye-24h'!N99)</f>
        <v>0</v>
      </c>
      <c r="O99" s="15">
        <f t="shared" si="35"/>
        <v>35</v>
      </c>
      <c r="P99" s="15">
        <f t="shared" si="36"/>
        <v>80</v>
      </c>
      <c r="R99" s="8"/>
      <c r="T99"/>
    </row>
    <row r="100" spans="2:20" ht="23.1" customHeight="1" x14ac:dyDescent="0.25">
      <c r="B100" s="25" t="s">
        <v>141</v>
      </c>
      <c r="C100" s="49">
        <f>AVERAGE('26.07 Makindye-Kibuye-24h'!C100,'27.07 Makindye-Kibuye-24h'!C100)</f>
        <v>5</v>
      </c>
      <c r="D100" s="49">
        <f>AVERAGE('26.07 Makindye-Kibuye-24h'!D100,'27.07 Makindye-Kibuye-24h'!D100)</f>
        <v>0</v>
      </c>
      <c r="E100" s="49">
        <f>AVERAGE('26.07 Makindye-Kibuye-24h'!E100,'27.07 Makindye-Kibuye-24h'!E100)</f>
        <v>1</v>
      </c>
      <c r="F100" s="49">
        <f>AVERAGE('26.07 Makindye-Kibuye-24h'!F100,'27.07 Makindye-Kibuye-24h'!F100)</f>
        <v>15</v>
      </c>
      <c r="G100" s="49">
        <f>AVERAGE('26.07 Makindye-Kibuye-24h'!G100,'27.07 Makindye-Kibuye-24h'!G100)</f>
        <v>0</v>
      </c>
      <c r="H100" s="49">
        <f>AVERAGE('26.07 Makindye-Kibuye-24h'!H100,'27.07 Makindye-Kibuye-24h'!H100)</f>
        <v>0</v>
      </c>
      <c r="I100" s="49">
        <f>AVERAGE('26.07 Makindye-Kibuye-24h'!I100,'27.07 Makindye-Kibuye-24h'!I100)</f>
        <v>0</v>
      </c>
      <c r="J100" s="49">
        <f>AVERAGE('26.07 Makindye-Kibuye-24h'!J100,'27.07 Makindye-Kibuye-24h'!J100)</f>
        <v>0.5</v>
      </c>
      <c r="K100" s="49">
        <f>AVERAGE('26.07 Makindye-Kibuye-24h'!K100,'27.07 Makindye-Kibuye-24h'!K100)</f>
        <v>0</v>
      </c>
      <c r="L100" s="49">
        <f>AVERAGE('26.07 Makindye-Kibuye-24h'!L100,'27.07 Makindye-Kibuye-24h'!L100)</f>
        <v>0</v>
      </c>
      <c r="M100" s="49">
        <f>AVERAGE('26.07 Makindye-Kibuye-24h'!M100,'27.07 Makindye-Kibuye-24h'!M100)</f>
        <v>40</v>
      </c>
      <c r="N100" s="49">
        <f>AVERAGE('26.07 Makindye-Kibuye-24h'!N100,'27.07 Makindye-Kibuye-24h'!N100)</f>
        <v>0</v>
      </c>
      <c r="O100" s="15">
        <f t="shared" si="35"/>
        <v>21.5</v>
      </c>
      <c r="P100" s="15">
        <f t="shared" si="36"/>
        <v>61.5</v>
      </c>
      <c r="R100" s="8"/>
      <c r="T100"/>
    </row>
    <row r="101" spans="2:20" ht="23.1" customHeight="1" x14ac:dyDescent="0.25">
      <c r="B101" s="23" t="s">
        <v>142</v>
      </c>
      <c r="C101" s="49">
        <f>AVERAGE('26.07 Makindye-Kibuye-24h'!C101,'27.07 Makindye-Kibuye-24h'!C101)</f>
        <v>3</v>
      </c>
      <c r="D101" s="49">
        <f>AVERAGE('26.07 Makindye-Kibuye-24h'!D101,'27.07 Makindye-Kibuye-24h'!D101)</f>
        <v>1</v>
      </c>
      <c r="E101" s="49">
        <f>AVERAGE('26.07 Makindye-Kibuye-24h'!E101,'27.07 Makindye-Kibuye-24h'!E101)</f>
        <v>0</v>
      </c>
      <c r="F101" s="49">
        <f>AVERAGE('26.07 Makindye-Kibuye-24h'!F101,'27.07 Makindye-Kibuye-24h'!F101)</f>
        <v>13.5</v>
      </c>
      <c r="G101" s="49">
        <f>AVERAGE('26.07 Makindye-Kibuye-24h'!G101,'27.07 Makindye-Kibuye-24h'!G101)</f>
        <v>0</v>
      </c>
      <c r="H101" s="49">
        <f>AVERAGE('26.07 Makindye-Kibuye-24h'!H101,'27.07 Makindye-Kibuye-24h'!H101)</f>
        <v>0</v>
      </c>
      <c r="I101" s="49">
        <f>AVERAGE('26.07 Makindye-Kibuye-24h'!I101,'27.07 Makindye-Kibuye-24h'!I101)</f>
        <v>0</v>
      </c>
      <c r="J101" s="49">
        <f>AVERAGE('26.07 Makindye-Kibuye-24h'!J101,'27.07 Makindye-Kibuye-24h'!J101)</f>
        <v>0</v>
      </c>
      <c r="K101" s="49">
        <f>AVERAGE('26.07 Makindye-Kibuye-24h'!K101,'27.07 Makindye-Kibuye-24h'!K101)</f>
        <v>0.5</v>
      </c>
      <c r="L101" s="49">
        <f>AVERAGE('26.07 Makindye-Kibuye-24h'!L101,'27.07 Makindye-Kibuye-24h'!L101)</f>
        <v>0.5</v>
      </c>
      <c r="M101" s="49">
        <f>AVERAGE('26.07 Makindye-Kibuye-24h'!M101,'27.07 Makindye-Kibuye-24h'!M101)</f>
        <v>30</v>
      </c>
      <c r="N101" s="49">
        <f>AVERAGE('26.07 Makindye-Kibuye-24h'!N101,'27.07 Makindye-Kibuye-24h'!N101)</f>
        <v>0</v>
      </c>
      <c r="O101" s="15">
        <f t="shared" si="35"/>
        <v>18.5</v>
      </c>
      <c r="P101" s="15">
        <f t="shared" si="36"/>
        <v>48.5</v>
      </c>
      <c r="R101" s="8"/>
      <c r="T101"/>
    </row>
    <row r="102" spans="2:20" ht="23.1" customHeight="1" x14ac:dyDescent="0.25">
      <c r="B102" s="24" t="s">
        <v>143</v>
      </c>
      <c r="C102" s="49">
        <f>AVERAGE('26.07 Makindye-Kibuye-24h'!C102,'27.07 Makindye-Kibuye-24h'!C102)</f>
        <v>28.5</v>
      </c>
      <c r="D102" s="49">
        <f>AVERAGE('26.07 Makindye-Kibuye-24h'!D102,'27.07 Makindye-Kibuye-24h'!D102)</f>
        <v>3.5</v>
      </c>
      <c r="E102" s="49">
        <f>AVERAGE('26.07 Makindye-Kibuye-24h'!E102,'27.07 Makindye-Kibuye-24h'!E102)</f>
        <v>0</v>
      </c>
      <c r="F102" s="49">
        <f>AVERAGE('26.07 Makindye-Kibuye-24h'!F102,'27.07 Makindye-Kibuye-24h'!F102)</f>
        <v>47.5</v>
      </c>
      <c r="G102" s="49">
        <f>AVERAGE('26.07 Makindye-Kibuye-24h'!G102,'27.07 Makindye-Kibuye-24h'!G102)</f>
        <v>0</v>
      </c>
      <c r="H102" s="49">
        <f>AVERAGE('26.07 Makindye-Kibuye-24h'!H102,'27.07 Makindye-Kibuye-24h'!H102)</f>
        <v>0</v>
      </c>
      <c r="I102" s="49">
        <f>AVERAGE('26.07 Makindye-Kibuye-24h'!I102,'27.07 Makindye-Kibuye-24h'!I102)</f>
        <v>0.5</v>
      </c>
      <c r="J102" s="49">
        <f>AVERAGE('26.07 Makindye-Kibuye-24h'!J102,'27.07 Makindye-Kibuye-24h'!J102)</f>
        <v>0.5</v>
      </c>
      <c r="K102" s="49">
        <f>AVERAGE('26.07 Makindye-Kibuye-24h'!K102,'27.07 Makindye-Kibuye-24h'!K102)</f>
        <v>0</v>
      </c>
      <c r="L102" s="49">
        <f>AVERAGE('26.07 Makindye-Kibuye-24h'!L102,'27.07 Makindye-Kibuye-24h'!L102)</f>
        <v>0</v>
      </c>
      <c r="M102" s="49">
        <f>AVERAGE('26.07 Makindye-Kibuye-24h'!M102,'27.07 Makindye-Kibuye-24h'!M102)</f>
        <v>57.5</v>
      </c>
      <c r="N102" s="49">
        <f>AVERAGE('26.07 Makindye-Kibuye-24h'!N102,'27.07 Makindye-Kibuye-24h'!N102)</f>
        <v>0</v>
      </c>
      <c r="O102" s="15">
        <f t="shared" si="35"/>
        <v>80.5</v>
      </c>
      <c r="P102" s="15">
        <f t="shared" si="36"/>
        <v>138</v>
      </c>
      <c r="R102" s="8"/>
      <c r="T102"/>
    </row>
    <row r="103" spans="2:20" ht="23.1" customHeight="1" x14ac:dyDescent="0.25">
      <c r="B103" s="23" t="s">
        <v>144</v>
      </c>
      <c r="C103" s="49">
        <f>AVERAGE('26.07 Makindye-Kibuye-24h'!C103,'27.07 Makindye-Kibuye-24h'!C103)</f>
        <v>35</v>
      </c>
      <c r="D103" s="49">
        <f>AVERAGE('26.07 Makindye-Kibuye-24h'!D103,'27.07 Makindye-Kibuye-24h'!D103)</f>
        <v>0</v>
      </c>
      <c r="E103" s="49">
        <f>AVERAGE('26.07 Makindye-Kibuye-24h'!E103,'27.07 Makindye-Kibuye-24h'!E103)</f>
        <v>0</v>
      </c>
      <c r="F103" s="49">
        <f>AVERAGE('26.07 Makindye-Kibuye-24h'!F103,'27.07 Makindye-Kibuye-24h'!F103)</f>
        <v>43.5</v>
      </c>
      <c r="G103" s="49">
        <f>AVERAGE('26.07 Makindye-Kibuye-24h'!G103,'27.07 Makindye-Kibuye-24h'!G103)</f>
        <v>0</v>
      </c>
      <c r="H103" s="49">
        <f>AVERAGE('26.07 Makindye-Kibuye-24h'!H103,'27.07 Makindye-Kibuye-24h'!H103)</f>
        <v>0</v>
      </c>
      <c r="I103" s="49">
        <f>AVERAGE('26.07 Makindye-Kibuye-24h'!I103,'27.07 Makindye-Kibuye-24h'!I103)</f>
        <v>0</v>
      </c>
      <c r="J103" s="49">
        <f>AVERAGE('26.07 Makindye-Kibuye-24h'!J103,'27.07 Makindye-Kibuye-24h'!J103)</f>
        <v>0</v>
      </c>
      <c r="K103" s="49">
        <f>AVERAGE('26.07 Makindye-Kibuye-24h'!K103,'27.07 Makindye-Kibuye-24h'!K103)</f>
        <v>0</v>
      </c>
      <c r="L103" s="49">
        <f>AVERAGE('26.07 Makindye-Kibuye-24h'!L103,'27.07 Makindye-Kibuye-24h'!L103)</f>
        <v>0</v>
      </c>
      <c r="M103" s="49">
        <f>AVERAGE('26.07 Makindye-Kibuye-24h'!M103,'27.07 Makindye-Kibuye-24h'!M103)</f>
        <v>45</v>
      </c>
      <c r="N103" s="49">
        <f>AVERAGE('26.07 Makindye-Kibuye-24h'!N103,'27.07 Makindye-Kibuye-24h'!N103)</f>
        <v>0</v>
      </c>
      <c r="O103" s="15">
        <f t="shared" si="35"/>
        <v>78.5</v>
      </c>
      <c r="P103" s="15">
        <f t="shared" si="36"/>
        <v>123.5</v>
      </c>
      <c r="R103" s="8"/>
      <c r="T103"/>
    </row>
    <row r="104" spans="2:20" ht="23.1" customHeight="1" x14ac:dyDescent="0.25">
      <c r="B104" s="25" t="s">
        <v>145</v>
      </c>
      <c r="C104" s="49">
        <f>AVERAGE('26.07 Makindye-Kibuye-24h'!C104,'27.07 Makindye-Kibuye-24h'!C104)</f>
        <v>36</v>
      </c>
      <c r="D104" s="49">
        <f>AVERAGE('26.07 Makindye-Kibuye-24h'!D104,'27.07 Makindye-Kibuye-24h'!D104)</f>
        <v>1</v>
      </c>
      <c r="E104" s="49">
        <f>AVERAGE('26.07 Makindye-Kibuye-24h'!E104,'27.07 Makindye-Kibuye-24h'!E104)</f>
        <v>0</v>
      </c>
      <c r="F104" s="49">
        <f>AVERAGE('26.07 Makindye-Kibuye-24h'!F104,'27.07 Makindye-Kibuye-24h'!F104)</f>
        <v>62.5</v>
      </c>
      <c r="G104" s="49">
        <f>AVERAGE('26.07 Makindye-Kibuye-24h'!G104,'27.07 Makindye-Kibuye-24h'!G104)</f>
        <v>0</v>
      </c>
      <c r="H104" s="49">
        <f>AVERAGE('26.07 Makindye-Kibuye-24h'!H104,'27.07 Makindye-Kibuye-24h'!H104)</f>
        <v>0</v>
      </c>
      <c r="I104" s="49">
        <f>AVERAGE('26.07 Makindye-Kibuye-24h'!I104,'27.07 Makindye-Kibuye-24h'!I104)</f>
        <v>0</v>
      </c>
      <c r="J104" s="49">
        <f>AVERAGE('26.07 Makindye-Kibuye-24h'!J104,'27.07 Makindye-Kibuye-24h'!J104)</f>
        <v>0</v>
      </c>
      <c r="K104" s="49">
        <f>AVERAGE('26.07 Makindye-Kibuye-24h'!K104,'27.07 Makindye-Kibuye-24h'!K104)</f>
        <v>0</v>
      </c>
      <c r="L104" s="49">
        <f>AVERAGE('26.07 Makindye-Kibuye-24h'!L104,'27.07 Makindye-Kibuye-24h'!L104)</f>
        <v>0</v>
      </c>
      <c r="M104" s="49">
        <f>AVERAGE('26.07 Makindye-Kibuye-24h'!M104,'27.07 Makindye-Kibuye-24h'!M104)</f>
        <v>57.5</v>
      </c>
      <c r="N104" s="49">
        <f>AVERAGE('26.07 Makindye-Kibuye-24h'!N104,'27.07 Makindye-Kibuye-24h'!N104)</f>
        <v>0</v>
      </c>
      <c r="O104" s="15">
        <f t="shared" si="35"/>
        <v>99.5</v>
      </c>
      <c r="P104" s="15">
        <f t="shared" si="36"/>
        <v>157</v>
      </c>
      <c r="R104" s="8"/>
      <c r="T104"/>
    </row>
    <row r="105" spans="2:20" ht="23.1" customHeight="1" x14ac:dyDescent="0.25">
      <c r="B105" s="23" t="s">
        <v>146</v>
      </c>
      <c r="C105" s="49">
        <f>AVERAGE('26.07 Makindye-Kibuye-24h'!C105,'27.07 Makindye-Kibuye-24h'!C105)</f>
        <v>42.5</v>
      </c>
      <c r="D105" s="49">
        <f>AVERAGE('26.07 Makindye-Kibuye-24h'!D105,'27.07 Makindye-Kibuye-24h'!D105)</f>
        <v>0.5</v>
      </c>
      <c r="E105" s="49">
        <f>AVERAGE('26.07 Makindye-Kibuye-24h'!E105,'27.07 Makindye-Kibuye-24h'!E105)</f>
        <v>0</v>
      </c>
      <c r="F105" s="49">
        <f>AVERAGE('26.07 Makindye-Kibuye-24h'!F105,'27.07 Makindye-Kibuye-24h'!F105)</f>
        <v>44</v>
      </c>
      <c r="G105" s="49">
        <f>AVERAGE('26.07 Makindye-Kibuye-24h'!G105,'27.07 Makindye-Kibuye-24h'!G105)</f>
        <v>0</v>
      </c>
      <c r="H105" s="49">
        <f>AVERAGE('26.07 Makindye-Kibuye-24h'!H105,'27.07 Makindye-Kibuye-24h'!H105)</f>
        <v>0</v>
      </c>
      <c r="I105" s="49">
        <f>AVERAGE('26.07 Makindye-Kibuye-24h'!I105,'27.07 Makindye-Kibuye-24h'!I105)</f>
        <v>0</v>
      </c>
      <c r="J105" s="49">
        <f>AVERAGE('26.07 Makindye-Kibuye-24h'!J105,'27.07 Makindye-Kibuye-24h'!J105)</f>
        <v>0</v>
      </c>
      <c r="K105" s="49">
        <f>AVERAGE('26.07 Makindye-Kibuye-24h'!K105,'27.07 Makindye-Kibuye-24h'!K105)</f>
        <v>0</v>
      </c>
      <c r="L105" s="49">
        <f>AVERAGE('26.07 Makindye-Kibuye-24h'!L105,'27.07 Makindye-Kibuye-24h'!L105)</f>
        <v>0</v>
      </c>
      <c r="M105" s="49">
        <f>AVERAGE('26.07 Makindye-Kibuye-24h'!M105,'27.07 Makindye-Kibuye-24h'!M105)</f>
        <v>60</v>
      </c>
      <c r="N105" s="49">
        <f>AVERAGE('26.07 Makindye-Kibuye-24h'!N105,'27.07 Makindye-Kibuye-24h'!N105)</f>
        <v>0</v>
      </c>
      <c r="O105" s="15">
        <f t="shared" si="35"/>
        <v>87</v>
      </c>
      <c r="P105" s="15">
        <f t="shared" si="36"/>
        <v>147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3145.3571428571427</v>
      </c>
      <c r="D106" s="16">
        <f t="shared" ref="D106:P106" si="37">SUM(D10:D105)</f>
        <v>383.9285714285715</v>
      </c>
      <c r="E106" s="16">
        <f t="shared" si="37"/>
        <v>262.14285714285705</v>
      </c>
      <c r="F106" s="16">
        <f t="shared" si="37"/>
        <v>2531.7142857142853</v>
      </c>
      <c r="G106" s="16">
        <f t="shared" si="37"/>
        <v>12.142857142857144</v>
      </c>
      <c r="H106" s="16">
        <f t="shared" si="37"/>
        <v>1.6428571428571428</v>
      </c>
      <c r="I106" s="16">
        <f t="shared" si="37"/>
        <v>139.78571428571428</v>
      </c>
      <c r="J106" s="16">
        <f t="shared" si="37"/>
        <v>79.714285714285694</v>
      </c>
      <c r="K106" s="16">
        <f t="shared" si="37"/>
        <v>14.642857142857144</v>
      </c>
      <c r="L106" s="16">
        <f t="shared" si="37"/>
        <v>4.2142857142857135</v>
      </c>
      <c r="M106" s="16">
        <f t="shared" si="37"/>
        <v>13922.357142857143</v>
      </c>
      <c r="N106" s="16">
        <f t="shared" si="37"/>
        <v>0.7857142857142857</v>
      </c>
      <c r="O106" s="16">
        <f t="shared" si="37"/>
        <v>6576.0714285714294</v>
      </c>
      <c r="P106" s="16">
        <f t="shared" si="37"/>
        <v>20498.428571428572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0.15344381799301687</v>
      </c>
      <c r="D107" s="43">
        <f t="shared" si="38"/>
        <v>1.8729658719483726E-2</v>
      </c>
      <c r="E107" s="43">
        <f t="shared" si="38"/>
        <v>1.2788436744280044E-2</v>
      </c>
      <c r="F107" s="43">
        <f t="shared" si="38"/>
        <v>0.12350772533086157</v>
      </c>
      <c r="G107" s="43">
        <f t="shared" si="38"/>
        <v>5.9237990368599688E-4</v>
      </c>
      <c r="H107" s="43">
        <f t="shared" si="38"/>
        <v>8.0145516381046618E-5</v>
      </c>
      <c r="I107" s="43">
        <f t="shared" si="38"/>
        <v>6.8193380677264454E-3</v>
      </c>
      <c r="J107" s="43">
        <f t="shared" si="38"/>
        <v>3.8887998383151309E-3</v>
      </c>
      <c r="K107" s="43">
        <f t="shared" si="38"/>
        <v>7.1434047209193742E-4</v>
      </c>
      <c r="L107" s="43">
        <f t="shared" si="38"/>
        <v>2.0559067245572827E-4</v>
      </c>
      <c r="M107" s="43">
        <f t="shared" si="38"/>
        <v>0.67919143627734524</v>
      </c>
      <c r="N107" s="43">
        <f t="shared" si="38"/>
        <v>3.8330464356152733E-5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0.47830337261717254</v>
      </c>
      <c r="D108" s="44">
        <f t="shared" ref="D108:N108" si="39">D106/$O$106</f>
        <v>5.8382664421875854E-2</v>
      </c>
      <c r="E108" s="44">
        <f t="shared" si="39"/>
        <v>3.9863140172704051E-2</v>
      </c>
      <c r="F108" s="44">
        <f t="shared" si="39"/>
        <v>0.38498886656166831</v>
      </c>
      <c r="G108" s="44">
        <f t="shared" si="39"/>
        <v>1.8465214793895617E-3</v>
      </c>
      <c r="H108" s="44">
        <f t="shared" si="39"/>
        <v>2.4982349427035244E-4</v>
      </c>
      <c r="I108" s="44">
        <f t="shared" si="39"/>
        <v>2.125672079509042E-2</v>
      </c>
      <c r="J108" s="44">
        <f t="shared" si="39"/>
        <v>1.2121870417639707E-2</v>
      </c>
      <c r="K108" s="44">
        <f t="shared" si="39"/>
        <v>2.2266876663227068E-3</v>
      </c>
      <c r="L108" s="44">
        <f t="shared" si="39"/>
        <v>6.408515722587301E-4</v>
      </c>
      <c r="M108" s="44"/>
      <c r="N108" s="44">
        <f t="shared" si="39"/>
        <v>1.1948080160755986E-4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J64" zoomScale="60" workbookViewId="0">
      <selection activeCell="AD54" sqref="AD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0" width="10.7109375" customWidth="1"/>
    <col min="31" max="31" width="12.42578125" bestFit="1" customWidth="1"/>
    <col min="32" max="32" width="12.7109375" bestFit="1" customWidth="1"/>
    <col min="33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'28.07 Makindye-Kibuye'!C3:G3</f>
        <v>MCC - C1 - STN01 - MOBUTU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170</v>
      </c>
      <c r="E5" s="66"/>
      <c r="F5" s="41" t="s">
        <v>1</v>
      </c>
      <c r="G5" s="63" t="str">
        <f>'Avg Week Makindye-Kibuye'!G5:H5</f>
        <v>FUELEX MAKINDYE</v>
      </c>
      <c r="H5" s="64"/>
      <c r="I5" s="14"/>
      <c r="J5" s="2" t="s">
        <v>5</v>
      </c>
      <c r="K5" s="63" t="str">
        <f>'Avg Week Makindye-Kibuye'!K5:L5</f>
        <v>WAKWESA ALLAN/CHEMONGES KENNETH/SSONKO SAMUEL/OWOMUGISHA BRENDA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162</v>
      </c>
      <c r="E6" s="68"/>
      <c r="F6" s="2" t="s">
        <v>2</v>
      </c>
      <c r="G6" s="67" t="s">
        <v>162</v>
      </c>
      <c r="H6" s="68"/>
      <c r="J6" s="2" t="s">
        <v>21</v>
      </c>
      <c r="K6" s="63" t="str">
        <f>'Avg Week Makindye-Kibuye'!K6:L6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99</v>
      </c>
      <c r="N9" s="13" t="s">
        <v>98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Kibuye-Makindye'!C10+'Avg Week Makindye-Kibuye'!C10</f>
        <v>50.571428571428569</v>
      </c>
      <c r="D10" s="49">
        <f>'Avg Week Kibuye-Makindye'!D10+'Avg Week Makindye-Kibuye'!D10</f>
        <v>6.8571428571428577</v>
      </c>
      <c r="E10" s="49">
        <f>'Avg Week Kibuye-Makindye'!E10+'Avg Week Makindye-Kibuye'!E10</f>
        <v>3.7142857142857144</v>
      </c>
      <c r="F10" s="49">
        <f>'Avg Week Kibuye-Makindye'!F10+'Avg Week Makindye-Kibuye'!F10</f>
        <v>33.857142857142854</v>
      </c>
      <c r="G10" s="49">
        <f>'Avg Week Kibuye-Makindye'!G10+'Avg Week Makindye-Kibuye'!G10</f>
        <v>0</v>
      </c>
      <c r="H10" s="49">
        <f>'Avg Week Kibuye-Makindye'!H10+'Avg Week Makindye-Kibuye'!H10</f>
        <v>0</v>
      </c>
      <c r="I10" s="49">
        <f>'Avg Week Kibuye-Makindye'!I10+'Avg Week Makindye-Kibuye'!I10</f>
        <v>2.4285714285714288</v>
      </c>
      <c r="J10" s="49">
        <f>'Avg Week Kibuye-Makindye'!J10+'Avg Week Makindye-Kibuye'!J10</f>
        <v>1.1428571428571428</v>
      </c>
      <c r="K10" s="49">
        <f>'Avg Week Kibuye-Makindye'!K10+'Avg Week Makindye-Kibuye'!K10</f>
        <v>0.14285714285714285</v>
      </c>
      <c r="L10" s="49">
        <f>'Avg Week Kibuye-Makindye'!L10+'Avg Week Makindye-Kibuye'!L10</f>
        <v>0</v>
      </c>
      <c r="M10" s="49">
        <f>'Avg Week Kibuye-Makindye'!M10+'Avg Week Makindye-Kibuye'!M10</f>
        <v>261.57142857142856</v>
      </c>
      <c r="N10" s="49">
        <f>'Avg Week Kibuye-Makindye'!N10+'Avg Week Makindye-Kibuye'!N10</f>
        <v>0</v>
      </c>
      <c r="O10" s="15">
        <f t="shared" ref="O10:O57" si="0">SUM(C10:L10,N10)</f>
        <v>98.714285714285708</v>
      </c>
      <c r="P10" s="15">
        <f t="shared" ref="P10:P57" si="1">SUM(C10:N10)</f>
        <v>360.28571428571428</v>
      </c>
      <c r="R10" s="1" t="s">
        <v>6</v>
      </c>
      <c r="S10" s="17">
        <f t="shared" ref="S10:AF10" si="2">SUM(C10:C13)</f>
        <v>280.85714285714289</v>
      </c>
      <c r="T10" s="17">
        <f t="shared" si="2"/>
        <v>49.285714285714285</v>
      </c>
      <c r="U10" s="17">
        <f t="shared" si="2"/>
        <v>25.142857142857142</v>
      </c>
      <c r="V10" s="17">
        <f t="shared" si="2"/>
        <v>183</v>
      </c>
      <c r="W10" s="17">
        <f t="shared" si="2"/>
        <v>1.7142857142857142</v>
      </c>
      <c r="X10" s="17">
        <f t="shared" si="2"/>
        <v>0.2857142857142857</v>
      </c>
      <c r="Y10" s="17">
        <f t="shared" si="2"/>
        <v>14.142857142857144</v>
      </c>
      <c r="Z10" s="17">
        <f t="shared" si="2"/>
        <v>9.2857142857142847</v>
      </c>
      <c r="AA10" s="17">
        <f t="shared" si="2"/>
        <v>1.5714285714285714</v>
      </c>
      <c r="AB10" s="17">
        <f t="shared" si="2"/>
        <v>0.14285714285714285</v>
      </c>
      <c r="AC10" s="17">
        <f t="shared" si="2"/>
        <v>1375.1428571428571</v>
      </c>
      <c r="AD10" s="17">
        <f t="shared" si="2"/>
        <v>0</v>
      </c>
      <c r="AE10" s="31">
        <f t="shared" si="2"/>
        <v>565.42857142857144</v>
      </c>
      <c r="AF10" s="31">
        <f t="shared" si="2"/>
        <v>1940.5714285714284</v>
      </c>
    </row>
    <row r="11" spans="2:32" s="6" customFormat="1" ht="23.1" customHeight="1" x14ac:dyDescent="0.25">
      <c r="B11" s="23" t="s">
        <v>38</v>
      </c>
      <c r="C11" s="49">
        <f>'Avg Week Kibuye-Makindye'!C11+'Avg Week Makindye-Kibuye'!C11</f>
        <v>65.714285714285722</v>
      </c>
      <c r="D11" s="49">
        <f>'Avg Week Kibuye-Makindye'!D11+'Avg Week Makindye-Kibuye'!D11</f>
        <v>12.428571428571429</v>
      </c>
      <c r="E11" s="49">
        <f>'Avg Week Kibuye-Makindye'!E11+'Avg Week Makindye-Kibuye'!E11</f>
        <v>6.1428571428571423</v>
      </c>
      <c r="F11" s="49">
        <f>'Avg Week Kibuye-Makindye'!F11+'Avg Week Makindye-Kibuye'!F11</f>
        <v>44.714285714285715</v>
      </c>
      <c r="G11" s="49">
        <f>'Avg Week Kibuye-Makindye'!G11+'Avg Week Makindye-Kibuye'!G11</f>
        <v>0.71428571428571419</v>
      </c>
      <c r="H11" s="49">
        <f>'Avg Week Kibuye-Makindye'!H11+'Avg Week Makindye-Kibuye'!H11</f>
        <v>0.2857142857142857</v>
      </c>
      <c r="I11" s="49">
        <f>'Avg Week Kibuye-Makindye'!I11+'Avg Week Makindye-Kibuye'!I11</f>
        <v>3.1428571428571432</v>
      </c>
      <c r="J11" s="49">
        <f>'Avg Week Kibuye-Makindye'!J11+'Avg Week Makindye-Kibuye'!J11</f>
        <v>2.4285714285714284</v>
      </c>
      <c r="K11" s="49">
        <f>'Avg Week Kibuye-Makindye'!K11+'Avg Week Makindye-Kibuye'!K11</f>
        <v>0.7142857142857143</v>
      </c>
      <c r="L11" s="49">
        <f>'Avg Week Kibuye-Makindye'!L11+'Avg Week Makindye-Kibuye'!L11</f>
        <v>0</v>
      </c>
      <c r="M11" s="49">
        <f>'Avg Week Kibuye-Makindye'!M11+'Avg Week Makindye-Kibuye'!M11</f>
        <v>334.71428571428572</v>
      </c>
      <c r="N11" s="49">
        <f>'Avg Week Kibuye-Makindye'!N11+'Avg Week Makindye-Kibuye'!N11</f>
        <v>0</v>
      </c>
      <c r="O11" s="15">
        <f t="shared" si="0"/>
        <v>136.28571428571428</v>
      </c>
      <c r="P11" s="15">
        <f t="shared" si="1"/>
        <v>471</v>
      </c>
      <c r="R11" s="1" t="s">
        <v>7</v>
      </c>
      <c r="S11" s="17">
        <f t="shared" ref="S11:AF11" si="3">SUM(C14:C17)</f>
        <v>304.85714285714289</v>
      </c>
      <c r="T11" s="17">
        <f t="shared" si="3"/>
        <v>70.571428571428569</v>
      </c>
      <c r="U11" s="17">
        <f t="shared" si="3"/>
        <v>33.714285714285715</v>
      </c>
      <c r="V11" s="17">
        <f t="shared" si="3"/>
        <v>227.57142857142858</v>
      </c>
      <c r="W11" s="17">
        <f t="shared" si="3"/>
        <v>2.8571428571428568</v>
      </c>
      <c r="X11" s="17">
        <f t="shared" si="3"/>
        <v>0.5714285714285714</v>
      </c>
      <c r="Y11" s="17">
        <f t="shared" si="3"/>
        <v>16.285714285714288</v>
      </c>
      <c r="Z11" s="17">
        <f t="shared" si="3"/>
        <v>11.285714285714286</v>
      </c>
      <c r="AA11" s="17">
        <f t="shared" si="3"/>
        <v>2.4285714285714284</v>
      </c>
      <c r="AB11" s="17">
        <f t="shared" si="3"/>
        <v>0</v>
      </c>
      <c r="AC11" s="17">
        <f t="shared" si="3"/>
        <v>1588.5714285714284</v>
      </c>
      <c r="AD11" s="17">
        <f t="shared" si="3"/>
        <v>0</v>
      </c>
      <c r="AE11" s="31">
        <f t="shared" si="3"/>
        <v>670.14285714285711</v>
      </c>
      <c r="AF11" s="31">
        <f t="shared" si="3"/>
        <v>2258.7142857142858</v>
      </c>
    </row>
    <row r="12" spans="2:32" ht="23.1" customHeight="1" x14ac:dyDescent="0.25">
      <c r="B12" s="23" t="s">
        <v>39</v>
      </c>
      <c r="C12" s="49">
        <f>'Avg Week Kibuye-Makindye'!C12+'Avg Week Makindye-Kibuye'!C12</f>
        <v>77.571428571428584</v>
      </c>
      <c r="D12" s="49">
        <f>'Avg Week Kibuye-Makindye'!D12+'Avg Week Makindye-Kibuye'!D12</f>
        <v>12.285714285714285</v>
      </c>
      <c r="E12" s="49">
        <f>'Avg Week Kibuye-Makindye'!E12+'Avg Week Makindye-Kibuye'!E12</f>
        <v>7.4285714285714288</v>
      </c>
      <c r="F12" s="49">
        <f>'Avg Week Kibuye-Makindye'!F12+'Avg Week Makindye-Kibuye'!F12</f>
        <v>54.285714285714285</v>
      </c>
      <c r="G12" s="49">
        <f>'Avg Week Kibuye-Makindye'!G12+'Avg Week Makindye-Kibuye'!G12</f>
        <v>0.42857142857142855</v>
      </c>
      <c r="H12" s="49">
        <f>'Avg Week Kibuye-Makindye'!H12+'Avg Week Makindye-Kibuye'!H12</f>
        <v>0</v>
      </c>
      <c r="I12" s="49">
        <f>'Avg Week Kibuye-Makindye'!I12+'Avg Week Makindye-Kibuye'!I12</f>
        <v>3.1428571428571428</v>
      </c>
      <c r="J12" s="49">
        <f>'Avg Week Kibuye-Makindye'!J12+'Avg Week Makindye-Kibuye'!J12</f>
        <v>2.8571428571428572</v>
      </c>
      <c r="K12" s="49">
        <f>'Avg Week Kibuye-Makindye'!K12+'Avg Week Makindye-Kibuye'!K12</f>
        <v>0.2857142857142857</v>
      </c>
      <c r="L12" s="49">
        <f>'Avg Week Kibuye-Makindye'!L12+'Avg Week Makindye-Kibuye'!L12</f>
        <v>0</v>
      </c>
      <c r="M12" s="49">
        <f>'Avg Week Kibuye-Makindye'!M12+'Avg Week Makindye-Kibuye'!M12</f>
        <v>391.71428571428572</v>
      </c>
      <c r="N12" s="49">
        <f>'Avg Week Kibuye-Makindye'!N12+'Avg Week Makindye-Kibuye'!N12</f>
        <v>0</v>
      </c>
      <c r="O12" s="15">
        <f t="shared" si="0"/>
        <v>158.28571428571428</v>
      </c>
      <c r="P12" s="15">
        <f t="shared" si="1"/>
        <v>550</v>
      </c>
      <c r="R12" s="1" t="s">
        <v>8</v>
      </c>
      <c r="S12" s="17">
        <f t="shared" ref="S12:AF12" si="4">SUM(C18:C21)</f>
        <v>325.42857142857144</v>
      </c>
      <c r="T12" s="17">
        <f t="shared" si="4"/>
        <v>77</v>
      </c>
      <c r="U12" s="17">
        <f t="shared" si="4"/>
        <v>42.857142857142861</v>
      </c>
      <c r="V12" s="17">
        <f t="shared" si="4"/>
        <v>245.42857142857144</v>
      </c>
      <c r="W12" s="17">
        <f t="shared" si="4"/>
        <v>2.8571428571428568</v>
      </c>
      <c r="X12" s="17">
        <f t="shared" si="4"/>
        <v>0.2857142857142857</v>
      </c>
      <c r="Y12" s="17">
        <f t="shared" si="4"/>
        <v>20.857142857142858</v>
      </c>
      <c r="Z12" s="17">
        <f t="shared" si="4"/>
        <v>15.285714285714285</v>
      </c>
      <c r="AA12" s="17">
        <f t="shared" si="4"/>
        <v>3.5714285714285712</v>
      </c>
      <c r="AB12" s="17">
        <f t="shared" si="4"/>
        <v>0.42857142857142855</v>
      </c>
      <c r="AC12" s="17">
        <f t="shared" si="4"/>
        <v>1608.7142857142858</v>
      </c>
      <c r="AD12" s="17">
        <f t="shared" si="4"/>
        <v>0</v>
      </c>
      <c r="AE12" s="31">
        <f t="shared" si="4"/>
        <v>734</v>
      </c>
      <c r="AF12" s="31">
        <f t="shared" si="4"/>
        <v>2342.7142857142858</v>
      </c>
    </row>
    <row r="13" spans="2:32" ht="23.1" customHeight="1" x14ac:dyDescent="0.25">
      <c r="B13" s="23" t="s">
        <v>40</v>
      </c>
      <c r="C13" s="49">
        <f>'Avg Week Kibuye-Makindye'!C13+'Avg Week Makindye-Kibuye'!C13</f>
        <v>87</v>
      </c>
      <c r="D13" s="49">
        <f>'Avg Week Kibuye-Makindye'!D13+'Avg Week Makindye-Kibuye'!D13</f>
        <v>17.714285714285715</v>
      </c>
      <c r="E13" s="49">
        <f>'Avg Week Kibuye-Makindye'!E13+'Avg Week Makindye-Kibuye'!E13</f>
        <v>7.8571428571428577</v>
      </c>
      <c r="F13" s="49">
        <f>'Avg Week Kibuye-Makindye'!F13+'Avg Week Makindye-Kibuye'!F13</f>
        <v>50.142857142857146</v>
      </c>
      <c r="G13" s="49">
        <f>'Avg Week Kibuye-Makindye'!G13+'Avg Week Makindye-Kibuye'!G13</f>
        <v>0.5714285714285714</v>
      </c>
      <c r="H13" s="49">
        <f>'Avg Week Kibuye-Makindye'!H13+'Avg Week Makindye-Kibuye'!H13</f>
        <v>0</v>
      </c>
      <c r="I13" s="49">
        <f>'Avg Week Kibuye-Makindye'!I13+'Avg Week Makindye-Kibuye'!I13</f>
        <v>5.4285714285714288</v>
      </c>
      <c r="J13" s="49">
        <f>'Avg Week Kibuye-Makindye'!J13+'Avg Week Makindye-Kibuye'!J13</f>
        <v>2.8571428571428568</v>
      </c>
      <c r="K13" s="49">
        <f>'Avg Week Kibuye-Makindye'!K13+'Avg Week Makindye-Kibuye'!K13</f>
        <v>0.42857142857142855</v>
      </c>
      <c r="L13" s="49">
        <f>'Avg Week Kibuye-Makindye'!L13+'Avg Week Makindye-Kibuye'!L13</f>
        <v>0.14285714285714285</v>
      </c>
      <c r="M13" s="49">
        <f>'Avg Week Kibuye-Makindye'!M13+'Avg Week Makindye-Kibuye'!M13</f>
        <v>387.14285714285711</v>
      </c>
      <c r="N13" s="49">
        <f>'Avg Week Kibuye-Makindye'!N13+'Avg Week Makindye-Kibuye'!N13</f>
        <v>0</v>
      </c>
      <c r="O13" s="15">
        <f t="shared" si="0"/>
        <v>172.14285714285714</v>
      </c>
      <c r="P13" s="15">
        <f t="shared" si="1"/>
        <v>559.28571428571422</v>
      </c>
      <c r="R13" s="1" t="s">
        <v>9</v>
      </c>
      <c r="S13" s="17">
        <f t="shared" ref="S13:AF13" si="5">SUM(C22:C25)</f>
        <v>340</v>
      </c>
      <c r="T13" s="17">
        <f t="shared" si="5"/>
        <v>87.142857142857139</v>
      </c>
      <c r="U13" s="17">
        <f t="shared" si="5"/>
        <v>52.428571428571431</v>
      </c>
      <c r="V13" s="17">
        <f t="shared" si="5"/>
        <v>251.71428571428572</v>
      </c>
      <c r="W13" s="17">
        <f t="shared" si="5"/>
        <v>3.1428571428571423</v>
      </c>
      <c r="X13" s="17">
        <f t="shared" si="5"/>
        <v>0.42857142857142855</v>
      </c>
      <c r="Y13" s="17">
        <f t="shared" si="5"/>
        <v>20.428571428571427</v>
      </c>
      <c r="Z13" s="17">
        <f t="shared" si="5"/>
        <v>16.857142857142854</v>
      </c>
      <c r="AA13" s="17">
        <f t="shared" si="5"/>
        <v>4</v>
      </c>
      <c r="AB13" s="17">
        <f t="shared" si="5"/>
        <v>0.8571428571428571</v>
      </c>
      <c r="AC13" s="17">
        <f t="shared" si="5"/>
        <v>1587.1428571428571</v>
      </c>
      <c r="AD13" s="17">
        <f t="shared" si="5"/>
        <v>0</v>
      </c>
      <c r="AE13" s="31">
        <f t="shared" si="5"/>
        <v>777</v>
      </c>
      <c r="AF13" s="31">
        <f t="shared" si="5"/>
        <v>2364.1428571428569</v>
      </c>
    </row>
    <row r="14" spans="2:32" ht="23.1" customHeight="1" x14ac:dyDescent="0.25">
      <c r="B14" s="23" t="s">
        <v>41</v>
      </c>
      <c r="C14" s="49">
        <f>'Avg Week Kibuye-Makindye'!C14+'Avg Week Makindye-Kibuye'!C14</f>
        <v>72.857142857142861</v>
      </c>
      <c r="D14" s="49">
        <f>'Avg Week Kibuye-Makindye'!D14+'Avg Week Makindye-Kibuye'!D14</f>
        <v>16.714285714285715</v>
      </c>
      <c r="E14" s="49">
        <f>'Avg Week Kibuye-Makindye'!E14+'Avg Week Makindye-Kibuye'!E14</f>
        <v>6.2857142857142856</v>
      </c>
      <c r="F14" s="49">
        <f>'Avg Week Kibuye-Makindye'!F14+'Avg Week Makindye-Kibuye'!F14</f>
        <v>53.142857142857139</v>
      </c>
      <c r="G14" s="49">
        <f>'Avg Week Kibuye-Makindye'!G14+'Avg Week Makindye-Kibuye'!G14</f>
        <v>0.8571428571428571</v>
      </c>
      <c r="H14" s="49">
        <f>'Avg Week Kibuye-Makindye'!H14+'Avg Week Makindye-Kibuye'!H14</f>
        <v>0.14285714285714285</v>
      </c>
      <c r="I14" s="49">
        <f>'Avg Week Kibuye-Makindye'!I14+'Avg Week Makindye-Kibuye'!I14</f>
        <v>4.7142857142857144</v>
      </c>
      <c r="J14" s="49">
        <f>'Avg Week Kibuye-Makindye'!J14+'Avg Week Makindye-Kibuye'!J14</f>
        <v>2.2857142857142856</v>
      </c>
      <c r="K14" s="49">
        <f>'Avg Week Kibuye-Makindye'!K14+'Avg Week Makindye-Kibuye'!K14</f>
        <v>1</v>
      </c>
      <c r="L14" s="49">
        <f>'Avg Week Kibuye-Makindye'!L14+'Avg Week Makindye-Kibuye'!L14</f>
        <v>0</v>
      </c>
      <c r="M14" s="49">
        <f>'Avg Week Kibuye-Makindye'!M14+'Avg Week Makindye-Kibuye'!M14</f>
        <v>375.14285714285711</v>
      </c>
      <c r="N14" s="49">
        <f>'Avg Week Kibuye-Makindye'!N14+'Avg Week Makindye-Kibuye'!N14</f>
        <v>0</v>
      </c>
      <c r="O14" s="15">
        <f t="shared" si="0"/>
        <v>158</v>
      </c>
      <c r="P14" s="15">
        <f t="shared" si="1"/>
        <v>533.14285714285711</v>
      </c>
      <c r="R14" s="1" t="s">
        <v>10</v>
      </c>
      <c r="S14" s="17">
        <f t="shared" ref="S14:AF14" si="6">SUM(C26:C29)</f>
        <v>379</v>
      </c>
      <c r="T14" s="17">
        <f t="shared" si="6"/>
        <v>90.857142857142861</v>
      </c>
      <c r="U14" s="17">
        <f t="shared" si="6"/>
        <v>50.571428571428569</v>
      </c>
      <c r="V14" s="17">
        <f t="shared" si="6"/>
        <v>225.85714285714283</v>
      </c>
      <c r="W14" s="17">
        <f t="shared" si="6"/>
        <v>1.5714285714285714</v>
      </c>
      <c r="X14" s="17">
        <f t="shared" si="6"/>
        <v>0</v>
      </c>
      <c r="Y14" s="17">
        <f t="shared" si="6"/>
        <v>19</v>
      </c>
      <c r="Z14" s="17">
        <f t="shared" si="6"/>
        <v>16.142857142857146</v>
      </c>
      <c r="AA14" s="17">
        <f t="shared" si="6"/>
        <v>4.5714285714285712</v>
      </c>
      <c r="AB14" s="17">
        <f t="shared" si="6"/>
        <v>0.85714285714285698</v>
      </c>
      <c r="AC14" s="17">
        <f t="shared" si="6"/>
        <v>1572.5714285714284</v>
      </c>
      <c r="AD14" s="17">
        <f t="shared" si="6"/>
        <v>0</v>
      </c>
      <c r="AE14" s="31">
        <f t="shared" si="6"/>
        <v>788.42857142857133</v>
      </c>
      <c r="AF14" s="31">
        <f t="shared" si="6"/>
        <v>2361</v>
      </c>
    </row>
    <row r="15" spans="2:32" ht="23.1" customHeight="1" x14ac:dyDescent="0.25">
      <c r="B15" s="23" t="s">
        <v>42</v>
      </c>
      <c r="C15" s="49">
        <f>'Avg Week Kibuye-Makindye'!C15+'Avg Week Makindye-Kibuye'!C15</f>
        <v>79.714285714285722</v>
      </c>
      <c r="D15" s="49">
        <f>'Avg Week Kibuye-Makindye'!D15+'Avg Week Makindye-Kibuye'!D15</f>
        <v>17</v>
      </c>
      <c r="E15" s="49">
        <f>'Avg Week Kibuye-Makindye'!E15+'Avg Week Makindye-Kibuye'!E15</f>
        <v>10</v>
      </c>
      <c r="F15" s="49">
        <f>'Avg Week Kibuye-Makindye'!F15+'Avg Week Makindye-Kibuye'!F15</f>
        <v>57.857142857142861</v>
      </c>
      <c r="G15" s="49">
        <f>'Avg Week Kibuye-Makindye'!G15+'Avg Week Makindye-Kibuye'!G15</f>
        <v>0.7142857142857143</v>
      </c>
      <c r="H15" s="49">
        <f>'Avg Week Kibuye-Makindye'!H15+'Avg Week Makindye-Kibuye'!H15</f>
        <v>0</v>
      </c>
      <c r="I15" s="49">
        <f>'Avg Week Kibuye-Makindye'!I15+'Avg Week Makindye-Kibuye'!I15</f>
        <v>3.1428571428571432</v>
      </c>
      <c r="J15" s="49">
        <f>'Avg Week Kibuye-Makindye'!J15+'Avg Week Makindye-Kibuye'!J15</f>
        <v>3.1428571428571428</v>
      </c>
      <c r="K15" s="49">
        <f>'Avg Week Kibuye-Makindye'!K15+'Avg Week Makindye-Kibuye'!K15</f>
        <v>0.2857142857142857</v>
      </c>
      <c r="L15" s="49">
        <f>'Avg Week Kibuye-Makindye'!L15+'Avg Week Makindye-Kibuye'!L15</f>
        <v>0</v>
      </c>
      <c r="M15" s="49">
        <f>'Avg Week Kibuye-Makindye'!M15+'Avg Week Makindye-Kibuye'!M15</f>
        <v>397.28571428571428</v>
      </c>
      <c r="N15" s="49">
        <f>'Avg Week Kibuye-Makindye'!N15+'Avg Week Makindye-Kibuye'!N15</f>
        <v>0</v>
      </c>
      <c r="O15" s="15">
        <f t="shared" si="0"/>
        <v>171.85714285714286</v>
      </c>
      <c r="P15" s="15">
        <f t="shared" si="1"/>
        <v>569.14285714285711</v>
      </c>
      <c r="R15" s="1" t="s">
        <v>11</v>
      </c>
      <c r="S15" s="17">
        <f t="shared" ref="S15:AF15" si="7">SUM(C30:C33)</f>
        <v>357</v>
      </c>
      <c r="T15" s="17">
        <f t="shared" si="7"/>
        <v>90.428571428571431</v>
      </c>
      <c r="U15" s="17">
        <f t="shared" si="7"/>
        <v>46</v>
      </c>
      <c r="V15" s="17">
        <f t="shared" si="7"/>
        <v>234.57142857142858</v>
      </c>
      <c r="W15" s="17">
        <f t="shared" si="7"/>
        <v>1.1428571428571428</v>
      </c>
      <c r="X15" s="17">
        <f t="shared" si="7"/>
        <v>0.42857142857142855</v>
      </c>
      <c r="Y15" s="17">
        <f t="shared" si="7"/>
        <v>22.142857142857142</v>
      </c>
      <c r="Z15" s="17">
        <f t="shared" si="7"/>
        <v>16.571428571428573</v>
      </c>
      <c r="AA15" s="17">
        <f t="shared" si="7"/>
        <v>5</v>
      </c>
      <c r="AB15" s="17">
        <f t="shared" si="7"/>
        <v>0.8571428571428571</v>
      </c>
      <c r="AC15" s="17">
        <f t="shared" si="7"/>
        <v>1593</v>
      </c>
      <c r="AD15" s="17">
        <f t="shared" si="7"/>
        <v>0.14285714285714285</v>
      </c>
      <c r="AE15" s="31">
        <f t="shared" si="7"/>
        <v>774.28571428571433</v>
      </c>
      <c r="AF15" s="31">
        <f t="shared" si="7"/>
        <v>2367.2857142857142</v>
      </c>
    </row>
    <row r="16" spans="2:32" ht="23.1" customHeight="1" x14ac:dyDescent="0.25">
      <c r="B16" s="23" t="s">
        <v>43</v>
      </c>
      <c r="C16" s="49">
        <f>'Avg Week Kibuye-Makindye'!C16+'Avg Week Makindye-Kibuye'!C16</f>
        <v>76.857142857142861</v>
      </c>
      <c r="D16" s="49">
        <f>'Avg Week Kibuye-Makindye'!D16+'Avg Week Makindye-Kibuye'!D16</f>
        <v>19.285714285714285</v>
      </c>
      <c r="E16" s="49">
        <f>'Avg Week Kibuye-Makindye'!E16+'Avg Week Makindye-Kibuye'!E16</f>
        <v>8.8571428571428577</v>
      </c>
      <c r="F16" s="49">
        <f>'Avg Week Kibuye-Makindye'!F16+'Avg Week Makindye-Kibuye'!F16</f>
        <v>61.857142857142861</v>
      </c>
      <c r="G16" s="49">
        <f>'Avg Week Kibuye-Makindye'!G16+'Avg Week Makindye-Kibuye'!G16</f>
        <v>0.8571428571428571</v>
      </c>
      <c r="H16" s="49">
        <f>'Avg Week Kibuye-Makindye'!H16+'Avg Week Makindye-Kibuye'!H16</f>
        <v>0</v>
      </c>
      <c r="I16" s="49">
        <f>'Avg Week Kibuye-Makindye'!I16+'Avg Week Makindye-Kibuye'!I16</f>
        <v>4.7142857142857144</v>
      </c>
      <c r="J16" s="49">
        <f>'Avg Week Kibuye-Makindye'!J16+'Avg Week Makindye-Kibuye'!J16</f>
        <v>2.8571428571428572</v>
      </c>
      <c r="K16" s="49">
        <f>'Avg Week Kibuye-Makindye'!K16+'Avg Week Makindye-Kibuye'!K16</f>
        <v>0.85714285714285721</v>
      </c>
      <c r="L16" s="49">
        <f>'Avg Week Kibuye-Makindye'!L16+'Avg Week Makindye-Kibuye'!L16</f>
        <v>0</v>
      </c>
      <c r="M16" s="49">
        <f>'Avg Week Kibuye-Makindye'!M16+'Avg Week Makindye-Kibuye'!M16</f>
        <v>416.42857142857144</v>
      </c>
      <c r="N16" s="49">
        <f>'Avg Week Kibuye-Makindye'!N16+'Avg Week Makindye-Kibuye'!N16</f>
        <v>0</v>
      </c>
      <c r="O16" s="15">
        <f t="shared" si="0"/>
        <v>176.14285714285717</v>
      </c>
      <c r="P16" s="15">
        <f t="shared" si="1"/>
        <v>592.57142857142867</v>
      </c>
      <c r="R16" s="1" t="s">
        <v>12</v>
      </c>
      <c r="S16" s="17">
        <f t="shared" ref="S16:AF16" si="8">SUM(C34:C37)</f>
        <v>332</v>
      </c>
      <c r="T16" s="17">
        <f t="shared" si="8"/>
        <v>83.285714285714278</v>
      </c>
      <c r="U16" s="17">
        <f t="shared" si="8"/>
        <v>51.142857142857146</v>
      </c>
      <c r="V16" s="17">
        <f t="shared" si="8"/>
        <v>218.57142857142856</v>
      </c>
      <c r="W16" s="17">
        <f t="shared" si="8"/>
        <v>0.71428571428571419</v>
      </c>
      <c r="X16" s="17">
        <f t="shared" si="8"/>
        <v>0.14285714285714285</v>
      </c>
      <c r="Y16" s="17">
        <f t="shared" si="8"/>
        <v>23.285714285714285</v>
      </c>
      <c r="Z16" s="17">
        <f t="shared" si="8"/>
        <v>13.285714285714286</v>
      </c>
      <c r="AA16" s="17">
        <f t="shared" si="8"/>
        <v>1.9999999999999998</v>
      </c>
      <c r="AB16" s="17">
        <f t="shared" si="8"/>
        <v>0.5714285714285714</v>
      </c>
      <c r="AC16" s="17">
        <f t="shared" si="8"/>
        <v>1539.4285714285713</v>
      </c>
      <c r="AD16" s="17">
        <f t="shared" si="8"/>
        <v>0.2857142857142857</v>
      </c>
      <c r="AE16" s="31">
        <f t="shared" si="8"/>
        <v>725.28571428571422</v>
      </c>
      <c r="AF16" s="31">
        <f t="shared" si="8"/>
        <v>2264.7142857142858</v>
      </c>
    </row>
    <row r="17" spans="2:32" ht="23.1" customHeight="1" x14ac:dyDescent="0.25">
      <c r="B17" s="23" t="s">
        <v>44</v>
      </c>
      <c r="C17" s="49">
        <f>'Avg Week Kibuye-Makindye'!C17+'Avg Week Makindye-Kibuye'!C17</f>
        <v>75.428571428571431</v>
      </c>
      <c r="D17" s="49">
        <f>'Avg Week Kibuye-Makindye'!D17+'Avg Week Makindye-Kibuye'!D17</f>
        <v>17.571428571428569</v>
      </c>
      <c r="E17" s="49">
        <f>'Avg Week Kibuye-Makindye'!E17+'Avg Week Makindye-Kibuye'!E17</f>
        <v>8.5714285714285712</v>
      </c>
      <c r="F17" s="49">
        <f>'Avg Week Kibuye-Makindye'!F17+'Avg Week Makindye-Kibuye'!F17</f>
        <v>54.714285714285715</v>
      </c>
      <c r="G17" s="49">
        <f>'Avg Week Kibuye-Makindye'!G17+'Avg Week Makindye-Kibuye'!G17</f>
        <v>0.42857142857142855</v>
      </c>
      <c r="H17" s="49">
        <f>'Avg Week Kibuye-Makindye'!H17+'Avg Week Makindye-Kibuye'!H17</f>
        <v>0.42857142857142855</v>
      </c>
      <c r="I17" s="49">
        <f>'Avg Week Kibuye-Makindye'!I17+'Avg Week Makindye-Kibuye'!I17</f>
        <v>3.7142857142857144</v>
      </c>
      <c r="J17" s="49">
        <f>'Avg Week Kibuye-Makindye'!J17+'Avg Week Makindye-Kibuye'!J17</f>
        <v>3</v>
      </c>
      <c r="K17" s="49">
        <f>'Avg Week Kibuye-Makindye'!K17+'Avg Week Makindye-Kibuye'!K17</f>
        <v>0.2857142857142857</v>
      </c>
      <c r="L17" s="49">
        <f>'Avg Week Kibuye-Makindye'!L17+'Avg Week Makindye-Kibuye'!L17</f>
        <v>0</v>
      </c>
      <c r="M17" s="49">
        <f>'Avg Week Kibuye-Makindye'!M17+'Avg Week Makindye-Kibuye'!M17</f>
        <v>399.71428571428572</v>
      </c>
      <c r="N17" s="49">
        <f>'Avg Week Kibuye-Makindye'!N17+'Avg Week Makindye-Kibuye'!N17</f>
        <v>0</v>
      </c>
      <c r="O17" s="15">
        <f t="shared" si="0"/>
        <v>164.14285714285711</v>
      </c>
      <c r="P17" s="15">
        <f t="shared" si="1"/>
        <v>563.85714285714289</v>
      </c>
      <c r="R17" s="1" t="s">
        <v>13</v>
      </c>
      <c r="S17" s="17">
        <f t="shared" ref="S17:AF17" si="9">SUM(C38:C41)</f>
        <v>326.71428571428572</v>
      </c>
      <c r="T17" s="17">
        <f t="shared" si="9"/>
        <v>95.571428571428584</v>
      </c>
      <c r="U17" s="17">
        <f t="shared" si="9"/>
        <v>38.714285714285715</v>
      </c>
      <c r="V17" s="17">
        <f t="shared" si="9"/>
        <v>207.85714285714286</v>
      </c>
      <c r="W17" s="17">
        <f t="shared" si="9"/>
        <v>1.1428571428571428</v>
      </c>
      <c r="X17" s="17">
        <f t="shared" si="9"/>
        <v>0.5714285714285714</v>
      </c>
      <c r="Y17" s="17">
        <f t="shared" si="9"/>
        <v>20</v>
      </c>
      <c r="Z17" s="17">
        <f t="shared" si="9"/>
        <v>10.571428571428569</v>
      </c>
      <c r="AA17" s="17">
        <f t="shared" si="9"/>
        <v>2.1428571428571428</v>
      </c>
      <c r="AB17" s="17">
        <f t="shared" si="9"/>
        <v>0.85714285714285698</v>
      </c>
      <c r="AC17" s="17">
        <f t="shared" si="9"/>
        <v>1464.1428571428571</v>
      </c>
      <c r="AD17" s="17">
        <f t="shared" si="9"/>
        <v>0</v>
      </c>
      <c r="AE17" s="31">
        <f t="shared" si="9"/>
        <v>704.142857142857</v>
      </c>
      <c r="AF17" s="31">
        <f t="shared" si="9"/>
        <v>2168.2857142857142</v>
      </c>
    </row>
    <row r="18" spans="2:32" ht="23.1" customHeight="1" x14ac:dyDescent="0.25">
      <c r="B18" s="23" t="s">
        <v>45</v>
      </c>
      <c r="C18" s="49">
        <f>'Avg Week Kibuye-Makindye'!C18+'Avg Week Makindye-Kibuye'!C18</f>
        <v>89.285714285714278</v>
      </c>
      <c r="D18" s="49">
        <f>'Avg Week Kibuye-Makindye'!D18+'Avg Week Makindye-Kibuye'!D18</f>
        <v>19.428571428571431</v>
      </c>
      <c r="E18" s="49">
        <f>'Avg Week Kibuye-Makindye'!E18+'Avg Week Makindye-Kibuye'!E18</f>
        <v>9.7142857142857153</v>
      </c>
      <c r="F18" s="49">
        <f>'Avg Week Kibuye-Makindye'!F18+'Avg Week Makindye-Kibuye'!F18</f>
        <v>68.714285714285708</v>
      </c>
      <c r="G18" s="49">
        <f>'Avg Week Kibuye-Makindye'!G18+'Avg Week Makindye-Kibuye'!G18</f>
        <v>0.7142857142857143</v>
      </c>
      <c r="H18" s="49">
        <f>'Avg Week Kibuye-Makindye'!H18+'Avg Week Makindye-Kibuye'!H18</f>
        <v>0.14285714285714285</v>
      </c>
      <c r="I18" s="49">
        <f>'Avg Week Kibuye-Makindye'!I18+'Avg Week Makindye-Kibuye'!I18</f>
        <v>3.8571428571428572</v>
      </c>
      <c r="J18" s="49">
        <f>'Avg Week Kibuye-Makindye'!J18+'Avg Week Makindye-Kibuye'!J18</f>
        <v>2.7142857142857144</v>
      </c>
      <c r="K18" s="49">
        <f>'Avg Week Kibuye-Makindye'!K18+'Avg Week Makindye-Kibuye'!K18</f>
        <v>1.1428571428571428</v>
      </c>
      <c r="L18" s="49">
        <f>'Avg Week Kibuye-Makindye'!L18+'Avg Week Makindye-Kibuye'!L18</f>
        <v>0.14285714285714285</v>
      </c>
      <c r="M18" s="49">
        <f>'Avg Week Kibuye-Makindye'!M18+'Avg Week Makindye-Kibuye'!M18</f>
        <v>408.57142857142856</v>
      </c>
      <c r="N18" s="49">
        <f>'Avg Week Kibuye-Makindye'!N18+'Avg Week Makindye-Kibuye'!N18</f>
        <v>0</v>
      </c>
      <c r="O18" s="15">
        <f t="shared" si="0"/>
        <v>195.85714285714283</v>
      </c>
      <c r="P18" s="15">
        <f t="shared" si="1"/>
        <v>604.42857142857133</v>
      </c>
      <c r="R18" s="1" t="s">
        <v>14</v>
      </c>
      <c r="S18" s="17">
        <f t="shared" ref="S18:AF18" si="10">SUM(C42:C45)</f>
        <v>344.42857142857139</v>
      </c>
      <c r="T18" s="17">
        <f t="shared" si="10"/>
        <v>100.28571428571429</v>
      </c>
      <c r="U18" s="17">
        <f t="shared" si="10"/>
        <v>46</v>
      </c>
      <c r="V18" s="17">
        <f t="shared" si="10"/>
        <v>205.71428571428572</v>
      </c>
      <c r="W18" s="17">
        <f t="shared" si="10"/>
        <v>0.8571428571428571</v>
      </c>
      <c r="X18" s="17">
        <f t="shared" si="10"/>
        <v>0.42857142857142855</v>
      </c>
      <c r="Y18" s="17">
        <f t="shared" si="10"/>
        <v>23.428571428571427</v>
      </c>
      <c r="Z18" s="17">
        <f t="shared" si="10"/>
        <v>14.285714285714285</v>
      </c>
      <c r="AA18" s="17">
        <f t="shared" si="10"/>
        <v>3.1428571428571428</v>
      </c>
      <c r="AB18" s="17">
        <f t="shared" si="10"/>
        <v>1.5714285714285714</v>
      </c>
      <c r="AC18" s="17">
        <f t="shared" si="10"/>
        <v>1472.4285714285716</v>
      </c>
      <c r="AD18" s="17">
        <f t="shared" si="10"/>
        <v>0.2857142857142857</v>
      </c>
      <c r="AE18" s="31">
        <f t="shared" si="10"/>
        <v>740.42857142857133</v>
      </c>
      <c r="AF18" s="31">
        <f t="shared" si="10"/>
        <v>2212.8571428571431</v>
      </c>
    </row>
    <row r="19" spans="2:32" ht="23.1" customHeight="1" x14ac:dyDescent="0.25">
      <c r="B19" s="23" t="s">
        <v>46</v>
      </c>
      <c r="C19" s="49">
        <f>'Avg Week Kibuye-Makindye'!C19+'Avg Week Makindye-Kibuye'!C19</f>
        <v>80.714285714285722</v>
      </c>
      <c r="D19" s="49">
        <f>'Avg Week Kibuye-Makindye'!D19+'Avg Week Makindye-Kibuye'!D19</f>
        <v>19.142857142857142</v>
      </c>
      <c r="E19" s="49">
        <f>'Avg Week Kibuye-Makindye'!E19+'Avg Week Makindye-Kibuye'!E19</f>
        <v>11.714285714285715</v>
      </c>
      <c r="F19" s="49">
        <f>'Avg Week Kibuye-Makindye'!F19+'Avg Week Makindye-Kibuye'!F19</f>
        <v>62.285714285714285</v>
      </c>
      <c r="G19" s="49">
        <f>'Avg Week Kibuye-Makindye'!G19+'Avg Week Makindye-Kibuye'!G19</f>
        <v>0.71428571428571419</v>
      </c>
      <c r="H19" s="49">
        <f>'Avg Week Kibuye-Makindye'!H19+'Avg Week Makindye-Kibuye'!H19</f>
        <v>0.14285714285714285</v>
      </c>
      <c r="I19" s="49">
        <f>'Avg Week Kibuye-Makindye'!I19+'Avg Week Makindye-Kibuye'!I19</f>
        <v>4.4285714285714288</v>
      </c>
      <c r="J19" s="49">
        <f>'Avg Week Kibuye-Makindye'!J19+'Avg Week Makindye-Kibuye'!J19</f>
        <v>5.4285714285714288</v>
      </c>
      <c r="K19" s="49">
        <f>'Avg Week Kibuye-Makindye'!K19+'Avg Week Makindye-Kibuye'!K19</f>
        <v>0.5714285714285714</v>
      </c>
      <c r="L19" s="49">
        <f>'Avg Week Kibuye-Makindye'!L19+'Avg Week Makindye-Kibuye'!L19</f>
        <v>0</v>
      </c>
      <c r="M19" s="49">
        <f>'Avg Week Kibuye-Makindye'!M19+'Avg Week Makindye-Kibuye'!M19</f>
        <v>399.28571428571433</v>
      </c>
      <c r="N19" s="49">
        <f>'Avg Week Kibuye-Makindye'!N19+'Avg Week Makindye-Kibuye'!N19</f>
        <v>0</v>
      </c>
      <c r="O19" s="15">
        <f t="shared" si="0"/>
        <v>185.14285714285714</v>
      </c>
      <c r="P19" s="15">
        <f t="shared" si="1"/>
        <v>584.42857142857144</v>
      </c>
      <c r="R19" s="1" t="s">
        <v>15</v>
      </c>
      <c r="S19" s="17">
        <f t="shared" ref="S19:AF19" si="11">SUM(C46:C49)</f>
        <v>400.14285714285717</v>
      </c>
      <c r="T19" s="17">
        <f t="shared" si="11"/>
        <v>100.85714285714286</v>
      </c>
      <c r="U19" s="17">
        <f t="shared" si="11"/>
        <v>50.428571428571423</v>
      </c>
      <c r="V19" s="17">
        <f t="shared" si="11"/>
        <v>186.85714285714286</v>
      </c>
      <c r="W19" s="17">
        <f t="shared" si="11"/>
        <v>1.9999999999999998</v>
      </c>
      <c r="X19" s="17">
        <f t="shared" si="11"/>
        <v>0.14285714285714285</v>
      </c>
      <c r="Y19" s="17">
        <f t="shared" si="11"/>
        <v>21</v>
      </c>
      <c r="Z19" s="17">
        <f t="shared" si="11"/>
        <v>12.714285714285715</v>
      </c>
      <c r="AA19" s="17">
        <f t="shared" si="11"/>
        <v>1.857142857142857</v>
      </c>
      <c r="AB19" s="17">
        <f t="shared" si="11"/>
        <v>0.14285714285714285</v>
      </c>
      <c r="AC19" s="17">
        <f t="shared" si="11"/>
        <v>1573.2857142857142</v>
      </c>
      <c r="AD19" s="17">
        <f t="shared" si="11"/>
        <v>0</v>
      </c>
      <c r="AE19" s="31">
        <f t="shared" si="11"/>
        <v>776.14285714285711</v>
      </c>
      <c r="AF19" s="31">
        <f t="shared" si="11"/>
        <v>2349.4285714285711</v>
      </c>
    </row>
    <row r="20" spans="2:32" ht="23.1" customHeight="1" x14ac:dyDescent="0.25">
      <c r="B20" s="23" t="s">
        <v>47</v>
      </c>
      <c r="C20" s="49">
        <f>'Avg Week Kibuye-Makindye'!C20+'Avg Week Makindye-Kibuye'!C20</f>
        <v>72.142857142857139</v>
      </c>
      <c r="D20" s="49">
        <f>'Avg Week Kibuye-Makindye'!D20+'Avg Week Makindye-Kibuye'!D20</f>
        <v>21.285714285714285</v>
      </c>
      <c r="E20" s="49">
        <f>'Avg Week Kibuye-Makindye'!E20+'Avg Week Makindye-Kibuye'!E20</f>
        <v>10.428571428571429</v>
      </c>
      <c r="F20" s="49">
        <f>'Avg Week Kibuye-Makindye'!F20+'Avg Week Makindye-Kibuye'!F20</f>
        <v>56.857142857142854</v>
      </c>
      <c r="G20" s="49">
        <f>'Avg Week Kibuye-Makindye'!G20+'Avg Week Makindye-Kibuye'!G20</f>
        <v>0.42857142857142855</v>
      </c>
      <c r="H20" s="49">
        <f>'Avg Week Kibuye-Makindye'!H20+'Avg Week Makindye-Kibuye'!H20</f>
        <v>0</v>
      </c>
      <c r="I20" s="49">
        <f>'Avg Week Kibuye-Makindye'!I20+'Avg Week Makindye-Kibuye'!I20</f>
        <v>6.7142857142857135</v>
      </c>
      <c r="J20" s="49">
        <f>'Avg Week Kibuye-Makindye'!J20+'Avg Week Makindye-Kibuye'!J20</f>
        <v>4.5714285714285712</v>
      </c>
      <c r="K20" s="49">
        <f>'Avg Week Kibuye-Makindye'!K20+'Avg Week Makindye-Kibuye'!K20</f>
        <v>0.8571428571428571</v>
      </c>
      <c r="L20" s="49">
        <f>'Avg Week Kibuye-Makindye'!L20+'Avg Week Makindye-Kibuye'!L20</f>
        <v>0.2857142857142857</v>
      </c>
      <c r="M20" s="49">
        <f>'Avg Week Kibuye-Makindye'!M20+'Avg Week Makindye-Kibuye'!M20</f>
        <v>395.85714285714289</v>
      </c>
      <c r="N20" s="49">
        <f>'Avg Week Kibuye-Makindye'!N20+'Avg Week Makindye-Kibuye'!N20</f>
        <v>0</v>
      </c>
      <c r="O20" s="15">
        <f t="shared" si="0"/>
        <v>173.57142857142856</v>
      </c>
      <c r="P20" s="15">
        <f t="shared" si="1"/>
        <v>569.42857142857144</v>
      </c>
      <c r="R20" s="1" t="s">
        <v>16</v>
      </c>
      <c r="S20" s="17">
        <f t="shared" ref="S20:AF20" si="12">SUM(C50:C53)</f>
        <v>396</v>
      </c>
      <c r="T20" s="17">
        <f t="shared" si="12"/>
        <v>97.571428571428569</v>
      </c>
      <c r="U20" s="17">
        <f t="shared" si="12"/>
        <v>49</v>
      </c>
      <c r="V20" s="17">
        <f t="shared" si="12"/>
        <v>189.14285714285717</v>
      </c>
      <c r="W20" s="17">
        <f t="shared" si="12"/>
        <v>3.5714285714285712</v>
      </c>
      <c r="X20" s="17">
        <f t="shared" si="12"/>
        <v>0.71428571428571419</v>
      </c>
      <c r="Y20" s="17">
        <f t="shared" si="12"/>
        <v>15.714285714285712</v>
      </c>
      <c r="Z20" s="17">
        <f t="shared" si="12"/>
        <v>11.285714285714286</v>
      </c>
      <c r="AA20" s="17">
        <f t="shared" si="12"/>
        <v>3.4285714285714284</v>
      </c>
      <c r="AB20" s="17">
        <f t="shared" si="12"/>
        <v>1.1428571428571428</v>
      </c>
      <c r="AC20" s="17">
        <f t="shared" si="12"/>
        <v>1489.5714285714284</v>
      </c>
      <c r="AD20" s="17">
        <f t="shared" si="12"/>
        <v>0</v>
      </c>
      <c r="AE20" s="31">
        <f t="shared" si="12"/>
        <v>767.57142857142856</v>
      </c>
      <c r="AF20" s="31">
        <f t="shared" si="12"/>
        <v>2257.1428571428573</v>
      </c>
    </row>
    <row r="21" spans="2:32" ht="23.1" customHeight="1" x14ac:dyDescent="0.25">
      <c r="B21" s="23" t="s">
        <v>48</v>
      </c>
      <c r="C21" s="49">
        <f>'Avg Week Kibuye-Makindye'!C21+'Avg Week Makindye-Kibuye'!C21</f>
        <v>83.285714285714278</v>
      </c>
      <c r="D21" s="49">
        <f>'Avg Week Kibuye-Makindye'!D21+'Avg Week Makindye-Kibuye'!D21</f>
        <v>17.142857142857142</v>
      </c>
      <c r="E21" s="49">
        <f>'Avg Week Kibuye-Makindye'!E21+'Avg Week Makindye-Kibuye'!E21</f>
        <v>11</v>
      </c>
      <c r="F21" s="49">
        <f>'Avg Week Kibuye-Makindye'!F21+'Avg Week Makindye-Kibuye'!F21</f>
        <v>57.571428571428569</v>
      </c>
      <c r="G21" s="49">
        <f>'Avg Week Kibuye-Makindye'!G21+'Avg Week Makindye-Kibuye'!G21</f>
        <v>1</v>
      </c>
      <c r="H21" s="49">
        <f>'Avg Week Kibuye-Makindye'!H21+'Avg Week Makindye-Kibuye'!H21</f>
        <v>0</v>
      </c>
      <c r="I21" s="49">
        <f>'Avg Week Kibuye-Makindye'!I21+'Avg Week Makindye-Kibuye'!I21</f>
        <v>5.8571428571428577</v>
      </c>
      <c r="J21" s="49">
        <f>'Avg Week Kibuye-Makindye'!J21+'Avg Week Makindye-Kibuye'!J21</f>
        <v>2.5714285714285712</v>
      </c>
      <c r="K21" s="49">
        <f>'Avg Week Kibuye-Makindye'!K21+'Avg Week Makindye-Kibuye'!K21</f>
        <v>1</v>
      </c>
      <c r="L21" s="49">
        <f>'Avg Week Kibuye-Makindye'!L21+'Avg Week Makindye-Kibuye'!L21</f>
        <v>0</v>
      </c>
      <c r="M21" s="49">
        <f>'Avg Week Kibuye-Makindye'!M21+'Avg Week Makindye-Kibuye'!M21</f>
        <v>405</v>
      </c>
      <c r="N21" s="49">
        <f>'Avg Week Kibuye-Makindye'!N21+'Avg Week Makindye-Kibuye'!N21</f>
        <v>0</v>
      </c>
      <c r="O21" s="15">
        <f t="shared" si="0"/>
        <v>179.42857142857144</v>
      </c>
      <c r="P21" s="15">
        <f t="shared" si="1"/>
        <v>584.42857142857144</v>
      </c>
      <c r="R21" s="36" t="s">
        <v>20</v>
      </c>
      <c r="S21" s="34">
        <f t="shared" ref="S21:AF21" si="13">SUM(C54:C57)</f>
        <v>366.57142857142861</v>
      </c>
      <c r="T21" s="17">
        <f t="shared" si="13"/>
        <v>71.428571428571431</v>
      </c>
      <c r="U21" s="17">
        <f t="shared" si="13"/>
        <v>34.428571428571423</v>
      </c>
      <c r="V21" s="17">
        <f t="shared" si="13"/>
        <v>167</v>
      </c>
      <c r="W21" s="17">
        <f t="shared" si="13"/>
        <v>4.4285714285714279</v>
      </c>
      <c r="X21" s="17">
        <f t="shared" si="13"/>
        <v>1</v>
      </c>
      <c r="Y21" s="17">
        <f t="shared" si="13"/>
        <v>14.142857142857142</v>
      </c>
      <c r="Z21" s="17">
        <f t="shared" si="13"/>
        <v>7.4285714285714288</v>
      </c>
      <c r="AA21" s="17">
        <f t="shared" si="13"/>
        <v>3.714285714285714</v>
      </c>
      <c r="AB21" s="17">
        <f t="shared" si="13"/>
        <v>35.428571428571431</v>
      </c>
      <c r="AC21" s="17">
        <f t="shared" si="13"/>
        <v>1369.2857142857142</v>
      </c>
      <c r="AD21" s="17">
        <f t="shared" si="13"/>
        <v>0</v>
      </c>
      <c r="AE21" s="31">
        <f t="shared" si="13"/>
        <v>705.57142857142856</v>
      </c>
      <c r="AF21" s="31">
        <f t="shared" si="13"/>
        <v>2074.8571428571431</v>
      </c>
    </row>
    <row r="22" spans="2:32" ht="23.1" customHeight="1" x14ac:dyDescent="0.25">
      <c r="B22" s="23" t="s">
        <v>49</v>
      </c>
      <c r="C22" s="49">
        <f>'Avg Week Kibuye-Makindye'!C22+'Avg Week Makindye-Kibuye'!C22</f>
        <v>92.428571428571416</v>
      </c>
      <c r="D22" s="49">
        <f>'Avg Week Kibuye-Makindye'!D22+'Avg Week Makindye-Kibuye'!D22</f>
        <v>19.571428571428573</v>
      </c>
      <c r="E22" s="49">
        <f>'Avg Week Kibuye-Makindye'!E22+'Avg Week Makindye-Kibuye'!E22</f>
        <v>12.857142857142858</v>
      </c>
      <c r="F22" s="49">
        <f>'Avg Week Kibuye-Makindye'!F22+'Avg Week Makindye-Kibuye'!F22</f>
        <v>67.285714285714292</v>
      </c>
      <c r="G22" s="49">
        <f>'Avg Week Kibuye-Makindye'!G22+'Avg Week Makindye-Kibuye'!G22</f>
        <v>0.85714285714285721</v>
      </c>
      <c r="H22" s="49">
        <f>'Avg Week Kibuye-Makindye'!H22+'Avg Week Makindye-Kibuye'!H22</f>
        <v>0</v>
      </c>
      <c r="I22" s="49">
        <f>'Avg Week Kibuye-Makindye'!I22+'Avg Week Makindye-Kibuye'!I22</f>
        <v>4.5714285714285712</v>
      </c>
      <c r="J22" s="49">
        <f>'Avg Week Kibuye-Makindye'!J22+'Avg Week Makindye-Kibuye'!J22</f>
        <v>4</v>
      </c>
      <c r="K22" s="49">
        <f>'Avg Week Kibuye-Makindye'!K22+'Avg Week Makindye-Kibuye'!K22</f>
        <v>0.71428571428571419</v>
      </c>
      <c r="L22" s="49">
        <f>'Avg Week Kibuye-Makindye'!L22+'Avg Week Makindye-Kibuye'!L22</f>
        <v>0</v>
      </c>
      <c r="M22" s="49">
        <f>'Avg Week Kibuye-Makindye'!M22+'Avg Week Makindye-Kibuye'!M22</f>
        <v>408.71428571428572</v>
      </c>
      <c r="N22" s="49">
        <f>'Avg Week Kibuye-Makindye'!N22+'Avg Week Makindye-Kibuye'!N22</f>
        <v>0</v>
      </c>
      <c r="O22" s="15">
        <f t="shared" si="0"/>
        <v>202.28571428571431</v>
      </c>
      <c r="P22" s="15">
        <f t="shared" si="1"/>
        <v>611</v>
      </c>
      <c r="R22" s="1" t="s">
        <v>147</v>
      </c>
      <c r="S22" s="34">
        <f>SUM(C58:C61)</f>
        <v>444.25</v>
      </c>
      <c r="T22" s="34">
        <f t="shared" ref="T22:AF22" si="14">SUM(D58:D61)</f>
        <v>69</v>
      </c>
      <c r="U22" s="34">
        <f t="shared" si="14"/>
        <v>23</v>
      </c>
      <c r="V22" s="34">
        <f t="shared" si="14"/>
        <v>229.25</v>
      </c>
      <c r="W22" s="34">
        <f t="shared" si="14"/>
        <v>1.75</v>
      </c>
      <c r="X22" s="34">
        <f t="shared" si="14"/>
        <v>2</v>
      </c>
      <c r="Y22" s="34">
        <f t="shared" si="14"/>
        <v>15.5</v>
      </c>
      <c r="Z22" s="34">
        <f t="shared" si="14"/>
        <v>6.75</v>
      </c>
      <c r="AA22" s="34">
        <f t="shared" si="14"/>
        <v>2.75</v>
      </c>
      <c r="AB22" s="34">
        <f t="shared" si="14"/>
        <v>0</v>
      </c>
      <c r="AC22" s="34">
        <f t="shared" si="14"/>
        <v>1121.25</v>
      </c>
      <c r="AD22" s="34">
        <f t="shared" si="14"/>
        <v>0</v>
      </c>
      <c r="AE22" s="31">
        <f t="shared" si="14"/>
        <v>794.25</v>
      </c>
      <c r="AF22" s="31">
        <f t="shared" si="14"/>
        <v>1915.5</v>
      </c>
    </row>
    <row r="23" spans="2:32" ht="23.1" customHeight="1" x14ac:dyDescent="0.25">
      <c r="B23" s="23" t="s">
        <v>50</v>
      </c>
      <c r="C23" s="49">
        <f>'Avg Week Kibuye-Makindye'!C23+'Avg Week Makindye-Kibuye'!C23</f>
        <v>82.857142857142861</v>
      </c>
      <c r="D23" s="49">
        <f>'Avg Week Kibuye-Makindye'!D23+'Avg Week Makindye-Kibuye'!D23</f>
        <v>21.428571428571431</v>
      </c>
      <c r="E23" s="49">
        <f>'Avg Week Kibuye-Makindye'!E23+'Avg Week Makindye-Kibuye'!E23</f>
        <v>11.571428571428571</v>
      </c>
      <c r="F23" s="49">
        <f>'Avg Week Kibuye-Makindye'!F23+'Avg Week Makindye-Kibuye'!F23</f>
        <v>63</v>
      </c>
      <c r="G23" s="49">
        <f>'Avg Week Kibuye-Makindye'!G23+'Avg Week Makindye-Kibuye'!G23</f>
        <v>1.2857142857142856</v>
      </c>
      <c r="H23" s="49">
        <f>'Avg Week Kibuye-Makindye'!H23+'Avg Week Makindye-Kibuye'!H23</f>
        <v>0.14285714285714285</v>
      </c>
      <c r="I23" s="49">
        <f>'Avg Week Kibuye-Makindye'!I23+'Avg Week Makindye-Kibuye'!I23</f>
        <v>3.1428571428571428</v>
      </c>
      <c r="J23" s="49">
        <f>'Avg Week Kibuye-Makindye'!J23+'Avg Week Makindye-Kibuye'!J23</f>
        <v>4.2857142857142856</v>
      </c>
      <c r="K23" s="49">
        <f>'Avg Week Kibuye-Makindye'!K23+'Avg Week Makindye-Kibuye'!K23</f>
        <v>0.42857142857142855</v>
      </c>
      <c r="L23" s="49">
        <f>'Avg Week Kibuye-Makindye'!L23+'Avg Week Makindye-Kibuye'!L23</f>
        <v>0.42857142857142855</v>
      </c>
      <c r="M23" s="49">
        <f>'Avg Week Kibuye-Makindye'!M23+'Avg Week Makindye-Kibuye'!M23</f>
        <v>392.57142857142856</v>
      </c>
      <c r="N23" s="49">
        <f>'Avg Week Kibuye-Makindye'!N23+'Avg Week Makindye-Kibuye'!N23</f>
        <v>0</v>
      </c>
      <c r="O23" s="15">
        <f t="shared" si="0"/>
        <v>188.57142857142853</v>
      </c>
      <c r="P23" s="15">
        <f t="shared" si="1"/>
        <v>581.14285714285711</v>
      </c>
      <c r="R23" s="1" t="s">
        <v>148</v>
      </c>
      <c r="S23" s="34">
        <f>SUM(C62:C65)</f>
        <v>393</v>
      </c>
      <c r="T23" s="34">
        <f t="shared" ref="T23:AF23" si="15">SUM(D62:D65)</f>
        <v>57</v>
      </c>
      <c r="U23" s="34">
        <f t="shared" si="15"/>
        <v>30</v>
      </c>
      <c r="V23" s="34">
        <f t="shared" si="15"/>
        <v>318.5</v>
      </c>
      <c r="W23" s="34">
        <f t="shared" si="15"/>
        <v>0.5</v>
      </c>
      <c r="X23" s="34">
        <f t="shared" si="15"/>
        <v>2</v>
      </c>
      <c r="Y23" s="34">
        <f t="shared" si="15"/>
        <v>20</v>
      </c>
      <c r="Z23" s="34">
        <f t="shared" si="15"/>
        <v>4.5</v>
      </c>
      <c r="AA23" s="34">
        <f t="shared" si="15"/>
        <v>1.5</v>
      </c>
      <c r="AB23" s="34">
        <f t="shared" si="15"/>
        <v>0</v>
      </c>
      <c r="AC23" s="34">
        <f t="shared" si="15"/>
        <v>899.5</v>
      </c>
      <c r="AD23" s="34">
        <f t="shared" si="15"/>
        <v>0</v>
      </c>
      <c r="AE23" s="31">
        <f t="shared" si="15"/>
        <v>827</v>
      </c>
      <c r="AF23" s="31">
        <f t="shared" si="15"/>
        <v>1726.5</v>
      </c>
    </row>
    <row r="24" spans="2:32" ht="23.1" customHeight="1" x14ac:dyDescent="0.25">
      <c r="B24" s="23" t="s">
        <v>51</v>
      </c>
      <c r="C24" s="49">
        <f>'Avg Week Kibuye-Makindye'!C24+'Avg Week Makindye-Kibuye'!C24</f>
        <v>75.285714285714292</v>
      </c>
      <c r="D24" s="49">
        <f>'Avg Week Kibuye-Makindye'!D24+'Avg Week Makindye-Kibuye'!D24</f>
        <v>20.857142857142858</v>
      </c>
      <c r="E24" s="49">
        <f>'Avg Week Kibuye-Makindye'!E24+'Avg Week Makindye-Kibuye'!E24</f>
        <v>12.857142857142858</v>
      </c>
      <c r="F24" s="49">
        <f>'Avg Week Kibuye-Makindye'!F24+'Avg Week Makindye-Kibuye'!F24</f>
        <v>62</v>
      </c>
      <c r="G24" s="49">
        <f>'Avg Week Kibuye-Makindye'!G24+'Avg Week Makindye-Kibuye'!G24</f>
        <v>0.42857142857142855</v>
      </c>
      <c r="H24" s="49">
        <f>'Avg Week Kibuye-Makindye'!H24+'Avg Week Makindye-Kibuye'!H24</f>
        <v>0.14285714285714285</v>
      </c>
      <c r="I24" s="49">
        <f>'Avg Week Kibuye-Makindye'!I24+'Avg Week Makindye-Kibuye'!I24</f>
        <v>5.7142857142857144</v>
      </c>
      <c r="J24" s="49">
        <f>'Avg Week Kibuye-Makindye'!J24+'Avg Week Makindye-Kibuye'!J24</f>
        <v>4.2857142857142856</v>
      </c>
      <c r="K24" s="49">
        <f>'Avg Week Kibuye-Makindye'!K24+'Avg Week Makindye-Kibuye'!K24</f>
        <v>1.8571428571428572</v>
      </c>
      <c r="L24" s="49">
        <f>'Avg Week Kibuye-Makindye'!L24+'Avg Week Makindye-Kibuye'!L24</f>
        <v>0.42857142857142855</v>
      </c>
      <c r="M24" s="49">
        <f>'Avg Week Kibuye-Makindye'!M24+'Avg Week Makindye-Kibuye'!M24</f>
        <v>390.71428571428572</v>
      </c>
      <c r="N24" s="49">
        <f>'Avg Week Kibuye-Makindye'!N24+'Avg Week Makindye-Kibuye'!N24</f>
        <v>0</v>
      </c>
      <c r="O24" s="15">
        <f t="shared" si="0"/>
        <v>183.85714285714283</v>
      </c>
      <c r="P24" s="15">
        <f t="shared" si="1"/>
        <v>574.57142857142856</v>
      </c>
      <c r="R24" s="1" t="s">
        <v>149</v>
      </c>
      <c r="S24" s="34">
        <f>SUM(C66:C69)</f>
        <v>352</v>
      </c>
      <c r="T24" s="34">
        <f t="shared" ref="T24:AF24" si="16">SUM(D66:D69)</f>
        <v>70.5</v>
      </c>
      <c r="U24" s="34">
        <f t="shared" si="16"/>
        <v>31.5</v>
      </c>
      <c r="V24" s="34">
        <f t="shared" si="16"/>
        <v>137.5</v>
      </c>
      <c r="W24" s="34">
        <f t="shared" si="16"/>
        <v>1.5</v>
      </c>
      <c r="X24" s="34">
        <f t="shared" si="16"/>
        <v>0.5</v>
      </c>
      <c r="Y24" s="34">
        <f t="shared" si="16"/>
        <v>22.5</v>
      </c>
      <c r="Z24" s="34">
        <f t="shared" si="16"/>
        <v>6</v>
      </c>
      <c r="AA24" s="34">
        <f t="shared" si="16"/>
        <v>0</v>
      </c>
      <c r="AB24" s="34">
        <f t="shared" si="16"/>
        <v>0</v>
      </c>
      <c r="AC24" s="34">
        <f t="shared" si="16"/>
        <v>1108.5</v>
      </c>
      <c r="AD24" s="34">
        <f t="shared" si="16"/>
        <v>0</v>
      </c>
      <c r="AE24" s="31">
        <f t="shared" si="16"/>
        <v>622</v>
      </c>
      <c r="AF24" s="31">
        <f t="shared" si="16"/>
        <v>1730.5</v>
      </c>
    </row>
    <row r="25" spans="2:32" ht="23.1" customHeight="1" x14ac:dyDescent="0.25">
      <c r="B25" s="23" t="s">
        <v>52</v>
      </c>
      <c r="C25" s="49">
        <f>'Avg Week Kibuye-Makindye'!C25+'Avg Week Makindye-Kibuye'!C25</f>
        <v>89.428571428571431</v>
      </c>
      <c r="D25" s="49">
        <f>'Avg Week Kibuye-Makindye'!D25+'Avg Week Makindye-Kibuye'!D25</f>
        <v>25.285714285714285</v>
      </c>
      <c r="E25" s="49">
        <f>'Avg Week Kibuye-Makindye'!E25+'Avg Week Makindye-Kibuye'!E25</f>
        <v>15.142857142857142</v>
      </c>
      <c r="F25" s="49">
        <f>'Avg Week Kibuye-Makindye'!F25+'Avg Week Makindye-Kibuye'!F25</f>
        <v>59.428571428571431</v>
      </c>
      <c r="G25" s="49">
        <f>'Avg Week Kibuye-Makindye'!G25+'Avg Week Makindye-Kibuye'!G25</f>
        <v>0.5714285714285714</v>
      </c>
      <c r="H25" s="49">
        <f>'Avg Week Kibuye-Makindye'!H25+'Avg Week Makindye-Kibuye'!H25</f>
        <v>0.14285714285714285</v>
      </c>
      <c r="I25" s="49">
        <f>'Avg Week Kibuye-Makindye'!I25+'Avg Week Makindye-Kibuye'!I25</f>
        <v>7</v>
      </c>
      <c r="J25" s="49">
        <f>'Avg Week Kibuye-Makindye'!J25+'Avg Week Makindye-Kibuye'!J25</f>
        <v>4.2857142857142856</v>
      </c>
      <c r="K25" s="49">
        <f>'Avg Week Kibuye-Makindye'!K25+'Avg Week Makindye-Kibuye'!K25</f>
        <v>1</v>
      </c>
      <c r="L25" s="49">
        <f>'Avg Week Kibuye-Makindye'!L25+'Avg Week Makindye-Kibuye'!L25</f>
        <v>0</v>
      </c>
      <c r="M25" s="49">
        <f>'Avg Week Kibuye-Makindye'!M25+'Avg Week Makindye-Kibuye'!M25</f>
        <v>395.14285714285711</v>
      </c>
      <c r="N25" s="49">
        <f>'Avg Week Kibuye-Makindye'!N25+'Avg Week Makindye-Kibuye'!N25</f>
        <v>0</v>
      </c>
      <c r="O25" s="15">
        <f t="shared" si="0"/>
        <v>202.28571428571428</v>
      </c>
      <c r="P25" s="15">
        <f t="shared" si="1"/>
        <v>597.42857142857133</v>
      </c>
      <c r="R25" s="1" t="s">
        <v>150</v>
      </c>
      <c r="S25" s="34">
        <f>SUM(C70:C73)</f>
        <v>363.5</v>
      </c>
      <c r="T25" s="34">
        <f t="shared" ref="T25:AF25" si="17">SUM(D70:D73)</f>
        <v>47.5</v>
      </c>
      <c r="U25" s="34">
        <f t="shared" si="17"/>
        <v>23.5</v>
      </c>
      <c r="V25" s="34">
        <f t="shared" si="17"/>
        <v>146</v>
      </c>
      <c r="W25" s="34">
        <f t="shared" si="17"/>
        <v>0.5</v>
      </c>
      <c r="X25" s="34">
        <f t="shared" si="17"/>
        <v>1.5</v>
      </c>
      <c r="Y25" s="34">
        <f t="shared" si="17"/>
        <v>11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889</v>
      </c>
      <c r="AD25" s="34">
        <f t="shared" si="17"/>
        <v>0</v>
      </c>
      <c r="AE25" s="31">
        <f t="shared" si="17"/>
        <v>594.5</v>
      </c>
      <c r="AF25" s="31">
        <f t="shared" si="17"/>
        <v>1483.5</v>
      </c>
    </row>
    <row r="26" spans="2:32" ht="23.1" customHeight="1" x14ac:dyDescent="0.25">
      <c r="B26" s="23" t="s">
        <v>53</v>
      </c>
      <c r="C26" s="49">
        <f>'Avg Week Kibuye-Makindye'!C26+'Avg Week Makindye-Kibuye'!C26</f>
        <v>92</v>
      </c>
      <c r="D26" s="49">
        <f>'Avg Week Kibuye-Makindye'!D26+'Avg Week Makindye-Kibuye'!D26</f>
        <v>21.428571428571431</v>
      </c>
      <c r="E26" s="49">
        <f>'Avg Week Kibuye-Makindye'!E26+'Avg Week Makindye-Kibuye'!E26</f>
        <v>10.571428571428571</v>
      </c>
      <c r="F26" s="49">
        <f>'Avg Week Kibuye-Makindye'!F26+'Avg Week Makindye-Kibuye'!F26</f>
        <v>54.571428571428569</v>
      </c>
      <c r="G26" s="49">
        <f>'Avg Week Kibuye-Makindye'!G26+'Avg Week Makindye-Kibuye'!G26</f>
        <v>0.2857142857142857</v>
      </c>
      <c r="H26" s="49">
        <f>'Avg Week Kibuye-Makindye'!H26+'Avg Week Makindye-Kibuye'!H26</f>
        <v>0</v>
      </c>
      <c r="I26" s="49">
        <f>'Avg Week Kibuye-Makindye'!I26+'Avg Week Makindye-Kibuye'!I26</f>
        <v>4.1428571428571423</v>
      </c>
      <c r="J26" s="49">
        <f>'Avg Week Kibuye-Makindye'!J26+'Avg Week Makindye-Kibuye'!J26</f>
        <v>2.7142857142857144</v>
      </c>
      <c r="K26" s="49">
        <f>'Avg Week Kibuye-Makindye'!K26+'Avg Week Makindye-Kibuye'!K26</f>
        <v>1.5714285714285714</v>
      </c>
      <c r="L26" s="49">
        <f>'Avg Week Kibuye-Makindye'!L26+'Avg Week Makindye-Kibuye'!L26</f>
        <v>0.14285714285714285</v>
      </c>
      <c r="M26" s="49">
        <f>'Avg Week Kibuye-Makindye'!M26+'Avg Week Makindye-Kibuye'!M26</f>
        <v>389.42857142857144</v>
      </c>
      <c r="N26" s="49">
        <f>'Avg Week Kibuye-Makindye'!N26+'Avg Week Makindye-Kibuye'!N26</f>
        <v>0</v>
      </c>
      <c r="O26" s="15">
        <f t="shared" si="0"/>
        <v>187.42857142857142</v>
      </c>
      <c r="P26" s="15">
        <f t="shared" si="1"/>
        <v>576.85714285714289</v>
      </c>
      <c r="R26" s="1" t="s">
        <v>151</v>
      </c>
      <c r="S26" s="34">
        <f>SUM(C74:C77)</f>
        <v>287</v>
      </c>
      <c r="T26" s="34">
        <f t="shared" ref="T26:AF26" si="18">SUM(D74:D77)</f>
        <v>61</v>
      </c>
      <c r="U26" s="34">
        <f t="shared" si="18"/>
        <v>24</v>
      </c>
      <c r="V26" s="34">
        <f t="shared" si="18"/>
        <v>117.5</v>
      </c>
      <c r="W26" s="34">
        <f t="shared" si="18"/>
        <v>1</v>
      </c>
      <c r="X26" s="34">
        <f t="shared" si="18"/>
        <v>0</v>
      </c>
      <c r="Y26" s="34">
        <f t="shared" si="18"/>
        <v>10</v>
      </c>
      <c r="Z26" s="34">
        <f t="shared" si="18"/>
        <v>4</v>
      </c>
      <c r="AA26" s="34">
        <f t="shared" si="18"/>
        <v>0</v>
      </c>
      <c r="AB26" s="34">
        <f t="shared" si="18"/>
        <v>0</v>
      </c>
      <c r="AC26" s="34">
        <f t="shared" si="18"/>
        <v>692.5</v>
      </c>
      <c r="AD26" s="34">
        <f t="shared" si="18"/>
        <v>0.5</v>
      </c>
      <c r="AE26" s="31">
        <f t="shared" si="18"/>
        <v>505</v>
      </c>
      <c r="AF26" s="31">
        <f t="shared" si="18"/>
        <v>1197.5</v>
      </c>
    </row>
    <row r="27" spans="2:32" ht="23.1" customHeight="1" x14ac:dyDescent="0.25">
      <c r="B27" s="23" t="s">
        <v>54</v>
      </c>
      <c r="C27" s="49">
        <f>'Avg Week Kibuye-Makindye'!C27+'Avg Week Makindye-Kibuye'!C27</f>
        <v>98.428571428571416</v>
      </c>
      <c r="D27" s="49">
        <f>'Avg Week Kibuye-Makindye'!D27+'Avg Week Makindye-Kibuye'!D27</f>
        <v>23.571428571428569</v>
      </c>
      <c r="E27" s="49">
        <f>'Avg Week Kibuye-Makindye'!E27+'Avg Week Makindye-Kibuye'!E27</f>
        <v>13.285714285714285</v>
      </c>
      <c r="F27" s="49">
        <f>'Avg Week Kibuye-Makindye'!F27+'Avg Week Makindye-Kibuye'!F27</f>
        <v>57.857142857142854</v>
      </c>
      <c r="G27" s="49">
        <f>'Avg Week Kibuye-Makindye'!G27+'Avg Week Makindye-Kibuye'!G27</f>
        <v>0.2857142857142857</v>
      </c>
      <c r="H27" s="49">
        <f>'Avg Week Kibuye-Makindye'!H27+'Avg Week Makindye-Kibuye'!H27</f>
        <v>0</v>
      </c>
      <c r="I27" s="49">
        <f>'Avg Week Kibuye-Makindye'!I27+'Avg Week Makindye-Kibuye'!I27</f>
        <v>6.1428571428571423</v>
      </c>
      <c r="J27" s="49">
        <f>'Avg Week Kibuye-Makindye'!J27+'Avg Week Makindye-Kibuye'!J27</f>
        <v>3.7142857142857144</v>
      </c>
      <c r="K27" s="49">
        <f>'Avg Week Kibuye-Makindye'!K27+'Avg Week Makindye-Kibuye'!K27</f>
        <v>1.1428571428571428</v>
      </c>
      <c r="L27" s="49">
        <f>'Avg Week Kibuye-Makindye'!L27+'Avg Week Makindye-Kibuye'!L27</f>
        <v>0.42857142857142855</v>
      </c>
      <c r="M27" s="49">
        <f>'Avg Week Kibuye-Makindye'!M27+'Avg Week Makindye-Kibuye'!M27</f>
        <v>374</v>
      </c>
      <c r="N27" s="49">
        <f>'Avg Week Kibuye-Makindye'!N27+'Avg Week Makindye-Kibuye'!N27</f>
        <v>0</v>
      </c>
      <c r="O27" s="15">
        <f t="shared" si="0"/>
        <v>204.85714285714283</v>
      </c>
      <c r="P27" s="15">
        <f t="shared" si="1"/>
        <v>578.85714285714289</v>
      </c>
      <c r="R27" s="1" t="s">
        <v>152</v>
      </c>
      <c r="S27" s="34">
        <f>SUM(C78:C81)</f>
        <v>159.5</v>
      </c>
      <c r="T27" s="34">
        <f t="shared" ref="T27:AF27" si="19">SUM(D78:D81)</f>
        <v>26.5</v>
      </c>
      <c r="U27" s="34">
        <f t="shared" si="19"/>
        <v>5.5</v>
      </c>
      <c r="V27" s="34">
        <f t="shared" si="19"/>
        <v>41.5</v>
      </c>
      <c r="W27" s="34">
        <f t="shared" si="19"/>
        <v>0</v>
      </c>
      <c r="X27" s="34">
        <f t="shared" si="19"/>
        <v>2</v>
      </c>
      <c r="Y27" s="34">
        <f t="shared" si="19"/>
        <v>5.5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533</v>
      </c>
      <c r="AD27" s="34">
        <f t="shared" si="19"/>
        <v>0</v>
      </c>
      <c r="AE27" s="31">
        <f t="shared" si="19"/>
        <v>240.5</v>
      </c>
      <c r="AF27" s="31">
        <f t="shared" si="19"/>
        <v>773.5</v>
      </c>
    </row>
    <row r="28" spans="2:32" ht="23.1" customHeight="1" x14ac:dyDescent="0.25">
      <c r="B28" s="23" t="s">
        <v>55</v>
      </c>
      <c r="C28" s="49">
        <f>'Avg Week Kibuye-Makindye'!C28+'Avg Week Makindye-Kibuye'!C28</f>
        <v>104</v>
      </c>
      <c r="D28" s="49">
        <f>'Avg Week Kibuye-Makindye'!D28+'Avg Week Makindye-Kibuye'!D28</f>
        <v>25.571428571428569</v>
      </c>
      <c r="E28" s="49">
        <f>'Avg Week Kibuye-Makindye'!E28+'Avg Week Makindye-Kibuye'!E28</f>
        <v>14.857142857142858</v>
      </c>
      <c r="F28" s="49">
        <f>'Avg Week Kibuye-Makindye'!F28+'Avg Week Makindye-Kibuye'!F28</f>
        <v>57.714285714285708</v>
      </c>
      <c r="G28" s="49">
        <f>'Avg Week Kibuye-Makindye'!G28+'Avg Week Makindye-Kibuye'!G28</f>
        <v>0.5714285714285714</v>
      </c>
      <c r="H28" s="49">
        <f>'Avg Week Kibuye-Makindye'!H28+'Avg Week Makindye-Kibuye'!H28</f>
        <v>0</v>
      </c>
      <c r="I28" s="49">
        <f>'Avg Week Kibuye-Makindye'!I28+'Avg Week Makindye-Kibuye'!I28</f>
        <v>4.7142857142857144</v>
      </c>
      <c r="J28" s="49">
        <f>'Avg Week Kibuye-Makindye'!J28+'Avg Week Makindye-Kibuye'!J28</f>
        <v>4.4285714285714288</v>
      </c>
      <c r="K28" s="49">
        <f>'Avg Week Kibuye-Makindye'!K28+'Avg Week Makindye-Kibuye'!K28</f>
        <v>0.71428571428571419</v>
      </c>
      <c r="L28" s="49">
        <f>'Avg Week Kibuye-Makindye'!L28+'Avg Week Makindye-Kibuye'!L28</f>
        <v>0.14285714285714285</v>
      </c>
      <c r="M28" s="49">
        <f>'Avg Week Kibuye-Makindye'!M28+'Avg Week Makindye-Kibuye'!M28</f>
        <v>402.71428571428567</v>
      </c>
      <c r="N28" s="49">
        <f>'Avg Week Kibuye-Makindye'!N28+'Avg Week Makindye-Kibuye'!N28</f>
        <v>0</v>
      </c>
      <c r="O28" s="15">
        <f t="shared" si="0"/>
        <v>212.71428571428569</v>
      </c>
      <c r="P28" s="15">
        <f t="shared" si="1"/>
        <v>615.42857142857133</v>
      </c>
      <c r="R28" s="1" t="s">
        <v>153</v>
      </c>
      <c r="S28" s="34">
        <f>SUM(C82:C85)</f>
        <v>94</v>
      </c>
      <c r="T28" s="34">
        <f t="shared" ref="T28:AF28" si="20">SUM(D82:D85)</f>
        <v>14</v>
      </c>
      <c r="U28" s="34">
        <f t="shared" si="20"/>
        <v>3.5</v>
      </c>
      <c r="V28" s="34">
        <f t="shared" si="20"/>
        <v>13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0.5</v>
      </c>
      <c r="AA28" s="34">
        <f t="shared" si="20"/>
        <v>0.5</v>
      </c>
      <c r="AB28" s="34">
        <f t="shared" si="20"/>
        <v>0.5</v>
      </c>
      <c r="AC28" s="34">
        <f t="shared" si="20"/>
        <v>369</v>
      </c>
      <c r="AD28" s="34">
        <f t="shared" si="20"/>
        <v>0</v>
      </c>
      <c r="AE28" s="31">
        <f t="shared" si="20"/>
        <v>129</v>
      </c>
      <c r="AF28" s="31">
        <f t="shared" si="20"/>
        <v>498</v>
      </c>
    </row>
    <row r="29" spans="2:32" ht="23.1" customHeight="1" x14ac:dyDescent="0.25">
      <c r="B29" s="23" t="s">
        <v>56</v>
      </c>
      <c r="C29" s="49">
        <f>'Avg Week Kibuye-Makindye'!C29+'Avg Week Makindye-Kibuye'!C29</f>
        <v>84.571428571428569</v>
      </c>
      <c r="D29" s="49">
        <f>'Avg Week Kibuye-Makindye'!D29+'Avg Week Makindye-Kibuye'!D29</f>
        <v>20.285714285714285</v>
      </c>
      <c r="E29" s="49">
        <f>'Avg Week Kibuye-Makindye'!E29+'Avg Week Makindye-Kibuye'!E29</f>
        <v>11.857142857142858</v>
      </c>
      <c r="F29" s="49">
        <f>'Avg Week Kibuye-Makindye'!F29+'Avg Week Makindye-Kibuye'!F29</f>
        <v>55.714285714285722</v>
      </c>
      <c r="G29" s="49">
        <f>'Avg Week Kibuye-Makindye'!G29+'Avg Week Makindye-Kibuye'!G29</f>
        <v>0.42857142857142855</v>
      </c>
      <c r="H29" s="49">
        <f>'Avg Week Kibuye-Makindye'!H29+'Avg Week Makindye-Kibuye'!H29</f>
        <v>0</v>
      </c>
      <c r="I29" s="49">
        <f>'Avg Week Kibuye-Makindye'!I29+'Avg Week Makindye-Kibuye'!I29</f>
        <v>4</v>
      </c>
      <c r="J29" s="49">
        <f>'Avg Week Kibuye-Makindye'!J29+'Avg Week Makindye-Kibuye'!J29</f>
        <v>5.2857142857142865</v>
      </c>
      <c r="K29" s="49">
        <f>'Avg Week Kibuye-Makindye'!K29+'Avg Week Makindye-Kibuye'!K29</f>
        <v>1.1428571428571428</v>
      </c>
      <c r="L29" s="49">
        <f>'Avg Week Kibuye-Makindye'!L29+'Avg Week Makindye-Kibuye'!L29</f>
        <v>0.14285714285714285</v>
      </c>
      <c r="M29" s="49">
        <f>'Avg Week Kibuye-Makindye'!M29+'Avg Week Makindye-Kibuye'!M29</f>
        <v>406.42857142857144</v>
      </c>
      <c r="N29" s="49">
        <f>'Avg Week Kibuye-Makindye'!N29+'Avg Week Makindye-Kibuye'!N29</f>
        <v>0</v>
      </c>
      <c r="O29" s="15">
        <f t="shared" si="0"/>
        <v>183.42857142857142</v>
      </c>
      <c r="P29" s="15">
        <f t="shared" si="1"/>
        <v>589.85714285714289</v>
      </c>
      <c r="R29" s="1" t="s">
        <v>154</v>
      </c>
      <c r="S29" s="34">
        <f>SUM(C86:C89)</f>
        <v>104.5</v>
      </c>
      <c r="T29" s="34">
        <f t="shared" ref="T29:AF29" si="21">SUM(D86:D89)</f>
        <v>11.5</v>
      </c>
      <c r="U29" s="34">
        <f t="shared" si="21"/>
        <v>6.5</v>
      </c>
      <c r="V29" s="34">
        <f t="shared" si="21"/>
        <v>17.5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1.5</v>
      </c>
      <c r="AA29" s="34">
        <f t="shared" si="21"/>
        <v>1</v>
      </c>
      <c r="AB29" s="34">
        <f t="shared" si="21"/>
        <v>0</v>
      </c>
      <c r="AC29" s="34">
        <f t="shared" si="21"/>
        <v>239</v>
      </c>
      <c r="AD29" s="34">
        <f t="shared" si="21"/>
        <v>0</v>
      </c>
      <c r="AE29" s="31">
        <f t="shared" si="21"/>
        <v>143.5</v>
      </c>
      <c r="AF29" s="31">
        <f t="shared" si="21"/>
        <v>382.5</v>
      </c>
    </row>
    <row r="30" spans="2:32" ht="23.1" customHeight="1" x14ac:dyDescent="0.25">
      <c r="B30" s="23" t="s">
        <v>57</v>
      </c>
      <c r="C30" s="49">
        <f>'Avg Week Kibuye-Makindye'!C30+'Avg Week Makindye-Kibuye'!C30</f>
        <v>97.142857142857139</v>
      </c>
      <c r="D30" s="49">
        <f>'Avg Week Kibuye-Makindye'!D30+'Avg Week Makindye-Kibuye'!D30</f>
        <v>24.142857142857142</v>
      </c>
      <c r="E30" s="49">
        <f>'Avg Week Kibuye-Makindye'!E30+'Avg Week Makindye-Kibuye'!E30</f>
        <v>12.285714285714285</v>
      </c>
      <c r="F30" s="49">
        <f>'Avg Week Kibuye-Makindye'!F30+'Avg Week Makindye-Kibuye'!F30</f>
        <v>63.857142857142854</v>
      </c>
      <c r="G30" s="49">
        <f>'Avg Week Kibuye-Makindye'!G30+'Avg Week Makindye-Kibuye'!G30</f>
        <v>0.2857142857142857</v>
      </c>
      <c r="H30" s="49">
        <f>'Avg Week Kibuye-Makindye'!H30+'Avg Week Makindye-Kibuye'!H30</f>
        <v>0.14285714285714285</v>
      </c>
      <c r="I30" s="49">
        <f>'Avg Week Kibuye-Makindye'!I30+'Avg Week Makindye-Kibuye'!I30</f>
        <v>6.7142857142857135</v>
      </c>
      <c r="J30" s="49">
        <f>'Avg Week Kibuye-Makindye'!J30+'Avg Week Makindye-Kibuye'!J30</f>
        <v>4.8571428571428568</v>
      </c>
      <c r="K30" s="49">
        <f>'Avg Week Kibuye-Makindye'!K30+'Avg Week Makindye-Kibuye'!K30</f>
        <v>1.2857142857142856</v>
      </c>
      <c r="L30" s="49">
        <f>'Avg Week Kibuye-Makindye'!L30+'Avg Week Makindye-Kibuye'!L30</f>
        <v>0.14285714285714285</v>
      </c>
      <c r="M30" s="49">
        <f>'Avg Week Kibuye-Makindye'!M30+'Avg Week Makindye-Kibuye'!M30</f>
        <v>413.28571428571428</v>
      </c>
      <c r="N30" s="49">
        <f>'Avg Week Kibuye-Makindye'!N30+'Avg Week Makindye-Kibuye'!N30</f>
        <v>0</v>
      </c>
      <c r="O30" s="15">
        <f t="shared" si="0"/>
        <v>210.85714285714283</v>
      </c>
      <c r="P30" s="15">
        <f t="shared" si="1"/>
        <v>624.14285714285711</v>
      </c>
      <c r="R30" s="1" t="s">
        <v>155</v>
      </c>
      <c r="S30" s="34">
        <f>SUM(C90:C93)</f>
        <v>67</v>
      </c>
      <c r="T30" s="34">
        <f t="shared" ref="T30:AF30" si="22">SUM(D90:D93)</f>
        <v>13</v>
      </c>
      <c r="U30" s="34">
        <f t="shared" si="22"/>
        <v>2.5</v>
      </c>
      <c r="V30" s="34">
        <f t="shared" si="22"/>
        <v>5</v>
      </c>
      <c r="W30" s="34">
        <f t="shared" si="22"/>
        <v>0</v>
      </c>
      <c r="X30" s="34">
        <f t="shared" si="22"/>
        <v>0</v>
      </c>
      <c r="Y30" s="34">
        <f t="shared" si="22"/>
        <v>5.5</v>
      </c>
      <c r="Z30" s="34">
        <f t="shared" si="22"/>
        <v>0.5</v>
      </c>
      <c r="AA30" s="34">
        <f t="shared" si="22"/>
        <v>1</v>
      </c>
      <c r="AB30" s="34">
        <f t="shared" si="22"/>
        <v>0</v>
      </c>
      <c r="AC30" s="34">
        <f t="shared" si="22"/>
        <v>165</v>
      </c>
      <c r="AD30" s="34">
        <f t="shared" si="22"/>
        <v>0</v>
      </c>
      <c r="AE30" s="31">
        <f t="shared" si="22"/>
        <v>94.5</v>
      </c>
      <c r="AF30" s="31">
        <f t="shared" si="22"/>
        <v>259.5</v>
      </c>
    </row>
    <row r="31" spans="2:32" ht="23.1" customHeight="1" x14ac:dyDescent="0.25">
      <c r="B31" s="24" t="s">
        <v>58</v>
      </c>
      <c r="C31" s="49">
        <f>'Avg Week Kibuye-Makindye'!C31+'Avg Week Makindye-Kibuye'!C31</f>
        <v>96.857142857142861</v>
      </c>
      <c r="D31" s="49">
        <f>'Avg Week Kibuye-Makindye'!D31+'Avg Week Makindye-Kibuye'!D31</f>
        <v>22.285714285714285</v>
      </c>
      <c r="E31" s="49">
        <f>'Avg Week Kibuye-Makindye'!E31+'Avg Week Makindye-Kibuye'!E31</f>
        <v>15.714285714285715</v>
      </c>
      <c r="F31" s="49">
        <f>'Avg Week Kibuye-Makindye'!F31+'Avg Week Makindye-Kibuye'!F31</f>
        <v>61.714285714285715</v>
      </c>
      <c r="G31" s="49">
        <f>'Avg Week Kibuye-Makindye'!G31+'Avg Week Makindye-Kibuye'!G31</f>
        <v>0.5714285714285714</v>
      </c>
      <c r="H31" s="49">
        <f>'Avg Week Kibuye-Makindye'!H31+'Avg Week Makindye-Kibuye'!H31</f>
        <v>0.14285714285714285</v>
      </c>
      <c r="I31" s="49">
        <f>'Avg Week Kibuye-Makindye'!I31+'Avg Week Makindye-Kibuye'!I31</f>
        <v>6</v>
      </c>
      <c r="J31" s="49">
        <f>'Avg Week Kibuye-Makindye'!J31+'Avg Week Makindye-Kibuye'!J31</f>
        <v>3.8571428571428572</v>
      </c>
      <c r="K31" s="49">
        <f>'Avg Week Kibuye-Makindye'!K31+'Avg Week Makindye-Kibuye'!K31</f>
        <v>1.1428571428571428</v>
      </c>
      <c r="L31" s="49">
        <f>'Avg Week Kibuye-Makindye'!L31+'Avg Week Makindye-Kibuye'!L31</f>
        <v>0.14285714285714285</v>
      </c>
      <c r="M31" s="49">
        <f>'Avg Week Kibuye-Makindye'!M31+'Avg Week Makindye-Kibuye'!M31</f>
        <v>411.57142857142856</v>
      </c>
      <c r="N31" s="49">
        <f>'Avg Week Kibuye-Makindye'!N31+'Avg Week Makindye-Kibuye'!N31</f>
        <v>0</v>
      </c>
      <c r="O31" s="15">
        <f t="shared" si="0"/>
        <v>208.42857142857144</v>
      </c>
      <c r="P31" s="15">
        <f t="shared" si="1"/>
        <v>620</v>
      </c>
      <c r="R31" s="1" t="s">
        <v>156</v>
      </c>
      <c r="S31" s="34">
        <f>SUM(C94:C97)</f>
        <v>80.5</v>
      </c>
      <c r="T31" s="34">
        <f t="shared" ref="T31:AF31" si="23">SUM(D94:D97)</f>
        <v>14</v>
      </c>
      <c r="U31" s="34">
        <f t="shared" si="23"/>
        <v>3.5</v>
      </c>
      <c r="V31" s="34">
        <f t="shared" si="23"/>
        <v>34</v>
      </c>
      <c r="W31" s="34">
        <f t="shared" si="23"/>
        <v>0</v>
      </c>
      <c r="X31" s="34">
        <f t="shared" si="23"/>
        <v>0</v>
      </c>
      <c r="Y31" s="34">
        <f t="shared" si="23"/>
        <v>6</v>
      </c>
      <c r="Z31" s="34">
        <f t="shared" si="23"/>
        <v>0.5</v>
      </c>
      <c r="AA31" s="34">
        <f t="shared" si="23"/>
        <v>0.5</v>
      </c>
      <c r="AB31" s="34">
        <f t="shared" si="23"/>
        <v>0.5</v>
      </c>
      <c r="AC31" s="34">
        <f t="shared" si="23"/>
        <v>189</v>
      </c>
      <c r="AD31" s="34">
        <f t="shared" si="23"/>
        <v>0</v>
      </c>
      <c r="AE31" s="31">
        <f t="shared" si="23"/>
        <v>139.5</v>
      </c>
      <c r="AF31" s="31">
        <f t="shared" si="23"/>
        <v>328.5</v>
      </c>
    </row>
    <row r="32" spans="2:32" ht="23.1" customHeight="1" x14ac:dyDescent="0.25">
      <c r="B32" s="24" t="s">
        <v>59</v>
      </c>
      <c r="C32" s="49">
        <f>'Avg Week Kibuye-Makindye'!C32+'Avg Week Makindye-Kibuye'!C32</f>
        <v>80.857142857142861</v>
      </c>
      <c r="D32" s="49">
        <f>'Avg Week Kibuye-Makindye'!D32+'Avg Week Makindye-Kibuye'!D32</f>
        <v>24</v>
      </c>
      <c r="E32" s="49">
        <f>'Avg Week Kibuye-Makindye'!E32+'Avg Week Makindye-Kibuye'!E32</f>
        <v>10.285714285714285</v>
      </c>
      <c r="F32" s="49">
        <f>'Avg Week Kibuye-Makindye'!F32+'Avg Week Makindye-Kibuye'!F32</f>
        <v>58.857142857142861</v>
      </c>
      <c r="G32" s="49">
        <f>'Avg Week Kibuye-Makindye'!G32+'Avg Week Makindye-Kibuye'!G32</f>
        <v>0.2857142857142857</v>
      </c>
      <c r="H32" s="49">
        <f>'Avg Week Kibuye-Makindye'!H32+'Avg Week Makindye-Kibuye'!H32</f>
        <v>0.14285714285714285</v>
      </c>
      <c r="I32" s="49">
        <f>'Avg Week Kibuye-Makindye'!I32+'Avg Week Makindye-Kibuye'!I32</f>
        <v>3.7142857142857144</v>
      </c>
      <c r="J32" s="49">
        <f>'Avg Week Kibuye-Makindye'!J32+'Avg Week Makindye-Kibuye'!J32</f>
        <v>4.1428571428571432</v>
      </c>
      <c r="K32" s="49">
        <f>'Avg Week Kibuye-Makindye'!K32+'Avg Week Makindye-Kibuye'!K32</f>
        <v>1.2857142857142856</v>
      </c>
      <c r="L32" s="49">
        <f>'Avg Week Kibuye-Makindye'!L32+'Avg Week Makindye-Kibuye'!L32</f>
        <v>0</v>
      </c>
      <c r="M32" s="49">
        <f>'Avg Week Kibuye-Makindye'!M32+'Avg Week Makindye-Kibuye'!M32</f>
        <v>405</v>
      </c>
      <c r="N32" s="49">
        <f>'Avg Week Kibuye-Makindye'!N32+'Avg Week Makindye-Kibuye'!N32</f>
        <v>0.14285714285714285</v>
      </c>
      <c r="O32" s="15">
        <f t="shared" si="0"/>
        <v>183.71428571428569</v>
      </c>
      <c r="P32" s="15">
        <f t="shared" si="1"/>
        <v>588.71428571428567</v>
      </c>
      <c r="R32" s="1" t="s">
        <v>157</v>
      </c>
      <c r="S32" s="34">
        <f>SUM(C98:C101)</f>
        <v>64</v>
      </c>
      <c r="T32" s="34">
        <f t="shared" ref="T32:AF32" si="24">SUM(D98:D101)</f>
        <v>15</v>
      </c>
      <c r="U32" s="34">
        <f t="shared" si="24"/>
        <v>14.5</v>
      </c>
      <c r="V32" s="34">
        <f t="shared" si="24"/>
        <v>49.5</v>
      </c>
      <c r="W32" s="34">
        <f t="shared" si="24"/>
        <v>0</v>
      </c>
      <c r="X32" s="34">
        <f t="shared" si="24"/>
        <v>0</v>
      </c>
      <c r="Y32" s="34">
        <f t="shared" si="24"/>
        <v>2.5</v>
      </c>
      <c r="Z32" s="34">
        <f t="shared" si="24"/>
        <v>2</v>
      </c>
      <c r="AA32" s="34">
        <f t="shared" si="24"/>
        <v>0.5</v>
      </c>
      <c r="AB32" s="34">
        <f t="shared" si="24"/>
        <v>1.5</v>
      </c>
      <c r="AC32" s="34">
        <f t="shared" si="24"/>
        <v>242.5</v>
      </c>
      <c r="AD32" s="34">
        <f t="shared" si="24"/>
        <v>0</v>
      </c>
      <c r="AE32" s="31">
        <f t="shared" si="24"/>
        <v>149.5</v>
      </c>
      <c r="AF32" s="31">
        <f t="shared" si="24"/>
        <v>392</v>
      </c>
    </row>
    <row r="33" spans="2:32" ht="23.1" customHeight="1" x14ac:dyDescent="0.25">
      <c r="B33" s="23" t="s">
        <v>60</v>
      </c>
      <c r="C33" s="49">
        <f>'Avg Week Kibuye-Makindye'!C33+'Avg Week Makindye-Kibuye'!C33</f>
        <v>82.142857142857139</v>
      </c>
      <c r="D33" s="49">
        <f>'Avg Week Kibuye-Makindye'!D33+'Avg Week Makindye-Kibuye'!D33</f>
        <v>20</v>
      </c>
      <c r="E33" s="49">
        <f>'Avg Week Kibuye-Makindye'!E33+'Avg Week Makindye-Kibuye'!E33</f>
        <v>7.7142857142857144</v>
      </c>
      <c r="F33" s="49">
        <f>'Avg Week Kibuye-Makindye'!F33+'Avg Week Makindye-Kibuye'!F33</f>
        <v>50.142857142857146</v>
      </c>
      <c r="G33" s="49">
        <f>'Avg Week Kibuye-Makindye'!G33+'Avg Week Makindye-Kibuye'!G33</f>
        <v>0</v>
      </c>
      <c r="H33" s="49">
        <f>'Avg Week Kibuye-Makindye'!H33+'Avg Week Makindye-Kibuye'!H33</f>
        <v>0</v>
      </c>
      <c r="I33" s="49">
        <f>'Avg Week Kibuye-Makindye'!I33+'Avg Week Makindye-Kibuye'!I33</f>
        <v>5.7142857142857144</v>
      </c>
      <c r="J33" s="49">
        <f>'Avg Week Kibuye-Makindye'!J33+'Avg Week Makindye-Kibuye'!J33</f>
        <v>3.7142857142857144</v>
      </c>
      <c r="K33" s="49">
        <f>'Avg Week Kibuye-Makindye'!K33+'Avg Week Makindye-Kibuye'!K33</f>
        <v>1.2857142857142856</v>
      </c>
      <c r="L33" s="49">
        <f>'Avg Week Kibuye-Makindye'!L33+'Avg Week Makindye-Kibuye'!L33</f>
        <v>0.5714285714285714</v>
      </c>
      <c r="M33" s="49">
        <f>'Avg Week Kibuye-Makindye'!M33+'Avg Week Makindye-Kibuye'!M33</f>
        <v>363.14285714285711</v>
      </c>
      <c r="N33" s="49">
        <f>'Avg Week Kibuye-Makindye'!N33+'Avg Week Makindye-Kibuye'!N33</f>
        <v>0</v>
      </c>
      <c r="O33" s="15">
        <f t="shared" si="0"/>
        <v>171.28571428571431</v>
      </c>
      <c r="P33" s="15">
        <f t="shared" si="1"/>
        <v>534.42857142857144</v>
      </c>
      <c r="R33" s="1" t="s">
        <v>158</v>
      </c>
      <c r="S33" s="34">
        <f>SUM(C102:C105)</f>
        <v>159.5</v>
      </c>
      <c r="T33" s="34">
        <f t="shared" ref="T33:AF33" si="25">SUM(D102:D105)</f>
        <v>9</v>
      </c>
      <c r="U33" s="34">
        <f t="shared" si="25"/>
        <v>5.5</v>
      </c>
      <c r="V33" s="34">
        <f t="shared" si="25"/>
        <v>213</v>
      </c>
      <c r="W33" s="34">
        <f t="shared" si="25"/>
        <v>0</v>
      </c>
      <c r="X33" s="34">
        <f t="shared" si="25"/>
        <v>0</v>
      </c>
      <c r="Y33" s="34">
        <f t="shared" si="25"/>
        <v>4</v>
      </c>
      <c r="Z33" s="34">
        <f t="shared" si="25"/>
        <v>1</v>
      </c>
      <c r="AA33" s="34">
        <f t="shared" si="25"/>
        <v>2</v>
      </c>
      <c r="AB33" s="34">
        <f t="shared" si="25"/>
        <v>1.5</v>
      </c>
      <c r="AC33" s="34">
        <f t="shared" si="25"/>
        <v>294</v>
      </c>
      <c r="AD33" s="34">
        <f t="shared" si="25"/>
        <v>0</v>
      </c>
      <c r="AE33" s="31">
        <f t="shared" si="25"/>
        <v>395.5</v>
      </c>
      <c r="AF33" s="31">
        <f t="shared" si="25"/>
        <v>689.5</v>
      </c>
    </row>
    <row r="34" spans="2:32" ht="23.1" customHeight="1" x14ac:dyDescent="0.25">
      <c r="B34" s="24" t="s">
        <v>61</v>
      </c>
      <c r="C34" s="49">
        <f>'Avg Week Kibuye-Makindye'!C34+'Avg Week Makindye-Kibuye'!C34</f>
        <v>79.285714285714278</v>
      </c>
      <c r="D34" s="49">
        <f>'Avg Week Kibuye-Makindye'!D34+'Avg Week Makindye-Kibuye'!D34</f>
        <v>22.428571428571431</v>
      </c>
      <c r="E34" s="49">
        <f>'Avg Week Kibuye-Makindye'!E34+'Avg Week Makindye-Kibuye'!E34</f>
        <v>12.857142857142858</v>
      </c>
      <c r="F34" s="49">
        <f>'Avg Week Kibuye-Makindye'!F34+'Avg Week Makindye-Kibuye'!F34</f>
        <v>60</v>
      </c>
      <c r="G34" s="49">
        <f>'Avg Week Kibuye-Makindye'!G34+'Avg Week Makindye-Kibuye'!G34</f>
        <v>0</v>
      </c>
      <c r="H34" s="49">
        <f>'Avg Week Kibuye-Makindye'!H34+'Avg Week Makindye-Kibuye'!H34</f>
        <v>0</v>
      </c>
      <c r="I34" s="49">
        <f>'Avg Week Kibuye-Makindye'!I34+'Avg Week Makindye-Kibuye'!I34</f>
        <v>6.4285714285714288</v>
      </c>
      <c r="J34" s="49">
        <f>'Avg Week Kibuye-Makindye'!J34+'Avg Week Makindye-Kibuye'!J34</f>
        <v>3.5714285714285712</v>
      </c>
      <c r="K34" s="49">
        <f>'Avg Week Kibuye-Makindye'!K34+'Avg Week Makindye-Kibuye'!K34</f>
        <v>0.2857142857142857</v>
      </c>
      <c r="L34" s="49">
        <f>'Avg Week Kibuye-Makindye'!L34+'Avg Week Makindye-Kibuye'!L34</f>
        <v>0.14285714285714285</v>
      </c>
      <c r="M34" s="49">
        <f>'Avg Week Kibuye-Makindye'!M34+'Avg Week Makindye-Kibuye'!M34</f>
        <v>401.57142857142856</v>
      </c>
      <c r="N34" s="49">
        <f>'Avg Week Kibuye-Makindye'!N34+'Avg Week Makindye-Kibuye'!N34</f>
        <v>0</v>
      </c>
      <c r="O34" s="15">
        <f t="shared" si="0"/>
        <v>184.99999999999997</v>
      </c>
      <c r="P34" s="15">
        <f t="shared" si="1"/>
        <v>586.57142857142856</v>
      </c>
      <c r="R34" s="38" t="s">
        <v>90</v>
      </c>
      <c r="S34" s="39">
        <f t="shared" ref="S34:AF34" si="26">MAX(S10:S12)</f>
        <v>325.42857142857144</v>
      </c>
      <c r="T34" s="39">
        <f t="shared" si="26"/>
        <v>77</v>
      </c>
      <c r="U34" s="39">
        <f t="shared" si="26"/>
        <v>42.857142857142861</v>
      </c>
      <c r="V34" s="39">
        <f t="shared" si="26"/>
        <v>245.42857142857144</v>
      </c>
      <c r="W34" s="39">
        <f t="shared" si="26"/>
        <v>2.8571428571428568</v>
      </c>
      <c r="X34" s="39">
        <f t="shared" si="26"/>
        <v>0.5714285714285714</v>
      </c>
      <c r="Y34" s="39">
        <f t="shared" si="26"/>
        <v>20.857142857142858</v>
      </c>
      <c r="Z34" s="39">
        <f t="shared" si="26"/>
        <v>15.285714285714285</v>
      </c>
      <c r="AA34" s="39">
        <f t="shared" si="26"/>
        <v>3.5714285714285712</v>
      </c>
      <c r="AB34" s="39">
        <f t="shared" si="26"/>
        <v>0.42857142857142855</v>
      </c>
      <c r="AC34" s="39">
        <f t="shared" si="26"/>
        <v>1608.7142857142858</v>
      </c>
      <c r="AD34" s="39">
        <f t="shared" si="26"/>
        <v>0</v>
      </c>
      <c r="AE34" s="40">
        <f t="shared" si="26"/>
        <v>734</v>
      </c>
      <c r="AF34" s="40">
        <f t="shared" si="26"/>
        <v>2342.7142857142858</v>
      </c>
    </row>
    <row r="35" spans="2:32" ht="23.1" customHeight="1" x14ac:dyDescent="0.25">
      <c r="B35" s="24" t="s">
        <v>62</v>
      </c>
      <c r="C35" s="49">
        <f>'Avg Week Kibuye-Makindye'!C35+'Avg Week Makindye-Kibuye'!C35</f>
        <v>88.857142857142861</v>
      </c>
      <c r="D35" s="49">
        <f>'Avg Week Kibuye-Makindye'!D35+'Avg Week Makindye-Kibuye'!D35</f>
        <v>21.571428571428569</v>
      </c>
      <c r="E35" s="49">
        <f>'Avg Week Kibuye-Makindye'!E35+'Avg Week Makindye-Kibuye'!E35</f>
        <v>12.571428571428571</v>
      </c>
      <c r="F35" s="49">
        <f>'Avg Week Kibuye-Makindye'!F35+'Avg Week Makindye-Kibuye'!F35</f>
        <v>58.571428571428569</v>
      </c>
      <c r="G35" s="49">
        <f>'Avg Week Kibuye-Makindye'!G35+'Avg Week Makindye-Kibuye'!G35</f>
        <v>0.14285714285714285</v>
      </c>
      <c r="H35" s="49">
        <f>'Avg Week Kibuye-Makindye'!H35+'Avg Week Makindye-Kibuye'!H35</f>
        <v>0</v>
      </c>
      <c r="I35" s="49">
        <f>'Avg Week Kibuye-Makindye'!I35+'Avg Week Makindye-Kibuye'!I35</f>
        <v>4.8571428571428577</v>
      </c>
      <c r="J35" s="49">
        <f>'Avg Week Kibuye-Makindye'!J35+'Avg Week Makindye-Kibuye'!J35</f>
        <v>2.4285714285714288</v>
      </c>
      <c r="K35" s="49">
        <f>'Avg Week Kibuye-Makindye'!K35+'Avg Week Makindye-Kibuye'!K35</f>
        <v>0.5714285714285714</v>
      </c>
      <c r="L35" s="49">
        <f>'Avg Week Kibuye-Makindye'!L35+'Avg Week Makindye-Kibuye'!L35</f>
        <v>0</v>
      </c>
      <c r="M35" s="49">
        <f>'Avg Week Kibuye-Makindye'!M35+'Avg Week Makindye-Kibuye'!M35</f>
        <v>384.57142857142856</v>
      </c>
      <c r="N35" s="49">
        <f>'Avg Week Kibuye-Makindye'!N35+'Avg Week Makindye-Kibuye'!N35</f>
        <v>0</v>
      </c>
      <c r="O35" s="15">
        <f t="shared" si="0"/>
        <v>189.57142857142856</v>
      </c>
      <c r="P35" s="15">
        <f t="shared" si="1"/>
        <v>574.14285714285711</v>
      </c>
      <c r="R35" s="38" t="s">
        <v>91</v>
      </c>
      <c r="S35" s="39">
        <f t="shared" ref="S35:AF35" si="27">MAX(S13:S18)</f>
        <v>379</v>
      </c>
      <c r="T35" s="39">
        <f t="shared" si="27"/>
        <v>100.28571428571429</v>
      </c>
      <c r="U35" s="39">
        <f t="shared" si="27"/>
        <v>52.428571428571431</v>
      </c>
      <c r="V35" s="39">
        <f t="shared" si="27"/>
        <v>251.71428571428572</v>
      </c>
      <c r="W35" s="39">
        <f t="shared" si="27"/>
        <v>3.1428571428571423</v>
      </c>
      <c r="X35" s="39">
        <f t="shared" si="27"/>
        <v>0.5714285714285714</v>
      </c>
      <c r="Y35" s="39">
        <f t="shared" si="27"/>
        <v>23.428571428571427</v>
      </c>
      <c r="Z35" s="39">
        <f t="shared" si="27"/>
        <v>16.857142857142854</v>
      </c>
      <c r="AA35" s="39">
        <f t="shared" si="27"/>
        <v>5</v>
      </c>
      <c r="AB35" s="39">
        <f t="shared" si="27"/>
        <v>1.5714285714285714</v>
      </c>
      <c r="AC35" s="39">
        <f t="shared" si="27"/>
        <v>1593</v>
      </c>
      <c r="AD35" s="39">
        <f t="shared" si="27"/>
        <v>0.2857142857142857</v>
      </c>
      <c r="AE35" s="40">
        <f t="shared" si="27"/>
        <v>788.42857142857133</v>
      </c>
      <c r="AF35" s="40">
        <f t="shared" si="27"/>
        <v>2367.2857142857142</v>
      </c>
    </row>
    <row r="36" spans="2:32" ht="23.1" customHeight="1" x14ac:dyDescent="0.25">
      <c r="B36" s="24" t="s">
        <v>63</v>
      </c>
      <c r="C36" s="49">
        <f>'Avg Week Kibuye-Makindye'!C36+'Avg Week Makindye-Kibuye'!C36</f>
        <v>81.571428571428569</v>
      </c>
      <c r="D36" s="49">
        <f>'Avg Week Kibuye-Makindye'!D36+'Avg Week Makindye-Kibuye'!D36</f>
        <v>22.285714285714285</v>
      </c>
      <c r="E36" s="49">
        <f>'Avg Week Kibuye-Makindye'!E36+'Avg Week Makindye-Kibuye'!E36</f>
        <v>15.285714285714285</v>
      </c>
      <c r="F36" s="49">
        <f>'Avg Week Kibuye-Makindye'!F36+'Avg Week Makindye-Kibuye'!F36</f>
        <v>51.571428571428569</v>
      </c>
      <c r="G36" s="49">
        <f>'Avg Week Kibuye-Makindye'!G36+'Avg Week Makindye-Kibuye'!G36</f>
        <v>0.14285714285714285</v>
      </c>
      <c r="H36" s="49">
        <f>'Avg Week Kibuye-Makindye'!H36+'Avg Week Makindye-Kibuye'!H36</f>
        <v>0.14285714285714285</v>
      </c>
      <c r="I36" s="49">
        <f>'Avg Week Kibuye-Makindye'!I36+'Avg Week Makindye-Kibuye'!I36</f>
        <v>6</v>
      </c>
      <c r="J36" s="49">
        <f>'Avg Week Kibuye-Makindye'!J36+'Avg Week Makindye-Kibuye'!J36</f>
        <v>4.7142857142857144</v>
      </c>
      <c r="K36" s="49">
        <f>'Avg Week Kibuye-Makindye'!K36+'Avg Week Makindye-Kibuye'!K36</f>
        <v>0.5714285714285714</v>
      </c>
      <c r="L36" s="49">
        <f>'Avg Week Kibuye-Makindye'!L36+'Avg Week Makindye-Kibuye'!L36</f>
        <v>0.14285714285714285</v>
      </c>
      <c r="M36" s="49">
        <f>'Avg Week Kibuye-Makindye'!M36+'Avg Week Makindye-Kibuye'!M36</f>
        <v>370.42857142857144</v>
      </c>
      <c r="N36" s="49">
        <f>'Avg Week Kibuye-Makindye'!N36+'Avg Week Makindye-Kibuye'!N36</f>
        <v>0</v>
      </c>
      <c r="O36" s="15">
        <f t="shared" si="0"/>
        <v>182.42857142857144</v>
      </c>
      <c r="P36" s="15">
        <f t="shared" si="1"/>
        <v>552.85714285714289</v>
      </c>
      <c r="R36" s="38" t="s">
        <v>92</v>
      </c>
      <c r="S36" s="39">
        <f t="shared" ref="S36:AF36" si="28">MAX(S19:S21)</f>
        <v>400.14285714285717</v>
      </c>
      <c r="T36" s="39">
        <f t="shared" si="28"/>
        <v>100.85714285714286</v>
      </c>
      <c r="U36" s="39">
        <f t="shared" si="28"/>
        <v>50.428571428571423</v>
      </c>
      <c r="V36" s="39">
        <f t="shared" si="28"/>
        <v>189.14285714285717</v>
      </c>
      <c r="W36" s="39">
        <f t="shared" si="28"/>
        <v>4.4285714285714279</v>
      </c>
      <c r="X36" s="39">
        <f t="shared" si="28"/>
        <v>1</v>
      </c>
      <c r="Y36" s="39">
        <f t="shared" si="28"/>
        <v>21</v>
      </c>
      <c r="Z36" s="39">
        <f t="shared" si="28"/>
        <v>12.714285714285715</v>
      </c>
      <c r="AA36" s="39">
        <f t="shared" si="28"/>
        <v>3.714285714285714</v>
      </c>
      <c r="AB36" s="39">
        <f t="shared" si="28"/>
        <v>35.428571428571431</v>
      </c>
      <c r="AC36" s="39">
        <f t="shared" si="28"/>
        <v>1573.2857142857142</v>
      </c>
      <c r="AD36" s="39">
        <f t="shared" si="28"/>
        <v>0</v>
      </c>
      <c r="AE36" s="40">
        <f t="shared" si="28"/>
        <v>776.14285714285711</v>
      </c>
      <c r="AF36" s="40">
        <f t="shared" si="28"/>
        <v>2349.4285714285711</v>
      </c>
    </row>
    <row r="37" spans="2:32" ht="23.1" customHeight="1" x14ac:dyDescent="0.25">
      <c r="B37" s="23" t="s">
        <v>64</v>
      </c>
      <c r="C37" s="49">
        <f>'Avg Week Kibuye-Makindye'!C37+'Avg Week Makindye-Kibuye'!C37</f>
        <v>82.285714285714278</v>
      </c>
      <c r="D37" s="49">
        <f>'Avg Week Kibuye-Makindye'!D37+'Avg Week Makindye-Kibuye'!D37</f>
        <v>17</v>
      </c>
      <c r="E37" s="49">
        <f>'Avg Week Kibuye-Makindye'!E37+'Avg Week Makindye-Kibuye'!E37</f>
        <v>10.428571428571429</v>
      </c>
      <c r="F37" s="49">
        <f>'Avg Week Kibuye-Makindye'!F37+'Avg Week Makindye-Kibuye'!F37</f>
        <v>48.428571428571431</v>
      </c>
      <c r="G37" s="49">
        <f>'Avg Week Kibuye-Makindye'!G37+'Avg Week Makindye-Kibuye'!G37</f>
        <v>0.42857142857142855</v>
      </c>
      <c r="H37" s="49">
        <f>'Avg Week Kibuye-Makindye'!H37+'Avg Week Makindye-Kibuye'!H37</f>
        <v>0</v>
      </c>
      <c r="I37" s="49">
        <f>'Avg Week Kibuye-Makindye'!I37+'Avg Week Makindye-Kibuye'!I37</f>
        <v>6</v>
      </c>
      <c r="J37" s="49">
        <f>'Avg Week Kibuye-Makindye'!J37+'Avg Week Makindye-Kibuye'!J37</f>
        <v>2.5714285714285712</v>
      </c>
      <c r="K37" s="49">
        <f>'Avg Week Kibuye-Makindye'!K37+'Avg Week Makindye-Kibuye'!K37</f>
        <v>0.5714285714285714</v>
      </c>
      <c r="L37" s="49">
        <f>'Avg Week Kibuye-Makindye'!L37+'Avg Week Makindye-Kibuye'!L37</f>
        <v>0.2857142857142857</v>
      </c>
      <c r="M37" s="49">
        <f>'Avg Week Kibuye-Makindye'!M37+'Avg Week Makindye-Kibuye'!M37</f>
        <v>382.85714285714289</v>
      </c>
      <c r="N37" s="49">
        <f>'Avg Week Kibuye-Makindye'!N37+'Avg Week Makindye-Kibuye'!N37</f>
        <v>0.2857142857142857</v>
      </c>
      <c r="O37" s="15">
        <f t="shared" si="0"/>
        <v>168.28571428571428</v>
      </c>
      <c r="P37" s="15">
        <f t="shared" si="1"/>
        <v>551.14285714285722</v>
      </c>
      <c r="R37" s="37" t="s">
        <v>85</v>
      </c>
      <c r="S37" s="35">
        <f t="shared" ref="S37:AF37" si="29">SUM(S10:S12)</f>
        <v>911.14285714285722</v>
      </c>
      <c r="T37" s="16">
        <f t="shared" si="29"/>
        <v>196.85714285714286</v>
      </c>
      <c r="U37" s="16">
        <f t="shared" si="29"/>
        <v>101.71428571428572</v>
      </c>
      <c r="V37" s="16">
        <f t="shared" si="29"/>
        <v>656</v>
      </c>
      <c r="W37" s="16">
        <f t="shared" si="29"/>
        <v>7.4285714285714279</v>
      </c>
      <c r="X37" s="16">
        <f t="shared" si="29"/>
        <v>1.1428571428571428</v>
      </c>
      <c r="Y37" s="16">
        <f t="shared" si="29"/>
        <v>51.285714285714292</v>
      </c>
      <c r="Z37" s="16">
        <f t="shared" si="29"/>
        <v>35.857142857142854</v>
      </c>
      <c r="AA37" s="16">
        <f t="shared" si="29"/>
        <v>7.5714285714285712</v>
      </c>
      <c r="AB37" s="16">
        <f t="shared" si="29"/>
        <v>0.5714285714285714</v>
      </c>
      <c r="AC37" s="16">
        <f t="shared" si="29"/>
        <v>4572.4285714285706</v>
      </c>
      <c r="AD37" s="16">
        <f t="shared" si="29"/>
        <v>0</v>
      </c>
      <c r="AE37" s="32">
        <f t="shared" si="29"/>
        <v>1969.5714285714284</v>
      </c>
      <c r="AF37" s="32">
        <f t="shared" si="29"/>
        <v>6542</v>
      </c>
    </row>
    <row r="38" spans="2:32" ht="23.1" customHeight="1" x14ac:dyDescent="0.25">
      <c r="B38" s="24" t="s">
        <v>65</v>
      </c>
      <c r="C38" s="49">
        <f>'Avg Week Kibuye-Makindye'!C38+'Avg Week Makindye-Kibuye'!C38</f>
        <v>84.714285714285722</v>
      </c>
      <c r="D38" s="49">
        <f>'Avg Week Kibuye-Makindye'!D38+'Avg Week Makindye-Kibuye'!D38</f>
        <v>20.428571428571431</v>
      </c>
      <c r="E38" s="49">
        <f>'Avg Week Kibuye-Makindye'!E38+'Avg Week Makindye-Kibuye'!E38</f>
        <v>12.142857142857142</v>
      </c>
      <c r="F38" s="49">
        <f>'Avg Week Kibuye-Makindye'!F38+'Avg Week Makindye-Kibuye'!F38</f>
        <v>56</v>
      </c>
      <c r="G38" s="49">
        <f>'Avg Week Kibuye-Makindye'!G38+'Avg Week Makindye-Kibuye'!G38</f>
        <v>0.14285714285714285</v>
      </c>
      <c r="H38" s="49">
        <f>'Avg Week Kibuye-Makindye'!H38+'Avg Week Makindye-Kibuye'!H38</f>
        <v>0</v>
      </c>
      <c r="I38" s="49">
        <f>'Avg Week Kibuye-Makindye'!I38+'Avg Week Makindye-Kibuye'!I38</f>
        <v>7.1428571428571423</v>
      </c>
      <c r="J38" s="49">
        <f>'Avg Week Kibuye-Makindye'!J38+'Avg Week Makindye-Kibuye'!J38</f>
        <v>3.5714285714285712</v>
      </c>
      <c r="K38" s="49">
        <f>'Avg Week Kibuye-Makindye'!K38+'Avg Week Makindye-Kibuye'!K38</f>
        <v>0.14285714285714285</v>
      </c>
      <c r="L38" s="49">
        <f>'Avg Week Kibuye-Makindye'!L38+'Avg Week Makindye-Kibuye'!L38</f>
        <v>0.14285714285714285</v>
      </c>
      <c r="M38" s="49">
        <f>'Avg Week Kibuye-Makindye'!M38+'Avg Week Makindye-Kibuye'!M38</f>
        <v>376.71428571428572</v>
      </c>
      <c r="N38" s="49">
        <f>'Avg Week Kibuye-Makindye'!N38+'Avg Week Makindye-Kibuye'!N38</f>
        <v>0</v>
      </c>
      <c r="O38" s="15">
        <f t="shared" si="0"/>
        <v>184.42857142857142</v>
      </c>
      <c r="P38" s="15">
        <f t="shared" si="1"/>
        <v>561.14285714285711</v>
      </c>
      <c r="R38" s="28" t="s">
        <v>86</v>
      </c>
      <c r="S38" s="16">
        <f t="shared" ref="S38:AF38" si="30">SUM(S13:S18)</f>
        <v>2079.1428571428573</v>
      </c>
      <c r="T38" s="16">
        <f t="shared" si="30"/>
        <v>547.57142857142867</v>
      </c>
      <c r="U38" s="16">
        <f t="shared" si="30"/>
        <v>284.85714285714289</v>
      </c>
      <c r="V38" s="16">
        <f t="shared" si="30"/>
        <v>1344.2857142857142</v>
      </c>
      <c r="W38" s="16">
        <f t="shared" si="30"/>
        <v>8.5714285714285712</v>
      </c>
      <c r="X38" s="16">
        <f t="shared" si="30"/>
        <v>2</v>
      </c>
      <c r="Y38" s="16">
        <f t="shared" si="30"/>
        <v>128.28571428571428</v>
      </c>
      <c r="Z38" s="16">
        <f t="shared" si="30"/>
        <v>87.714285714285694</v>
      </c>
      <c r="AA38" s="16">
        <f t="shared" si="30"/>
        <v>20.857142857142858</v>
      </c>
      <c r="AB38" s="16">
        <f t="shared" si="30"/>
        <v>5.5714285714285703</v>
      </c>
      <c r="AC38" s="16">
        <f t="shared" si="30"/>
        <v>9228.7142857142862</v>
      </c>
      <c r="AD38" s="16">
        <f t="shared" si="30"/>
        <v>0.71428571428571419</v>
      </c>
      <c r="AE38" s="32">
        <f t="shared" si="30"/>
        <v>4509.5714285714284</v>
      </c>
      <c r="AF38" s="32">
        <f t="shared" si="30"/>
        <v>13738.285714285714</v>
      </c>
    </row>
    <row r="39" spans="2:32" ht="23.1" customHeight="1" x14ac:dyDescent="0.25">
      <c r="B39" s="24" t="s">
        <v>66</v>
      </c>
      <c r="C39" s="49">
        <f>'Avg Week Kibuye-Makindye'!C39+'Avg Week Makindye-Kibuye'!C39</f>
        <v>78.142857142857139</v>
      </c>
      <c r="D39" s="49">
        <f>'Avg Week Kibuye-Makindye'!D39+'Avg Week Makindye-Kibuye'!D39</f>
        <v>22.857142857142858</v>
      </c>
      <c r="E39" s="49">
        <f>'Avg Week Kibuye-Makindye'!E39+'Avg Week Makindye-Kibuye'!E39</f>
        <v>9.7142857142857153</v>
      </c>
      <c r="F39" s="49">
        <f>'Avg Week Kibuye-Makindye'!F39+'Avg Week Makindye-Kibuye'!F39</f>
        <v>57.857142857142854</v>
      </c>
      <c r="G39" s="49">
        <f>'Avg Week Kibuye-Makindye'!G39+'Avg Week Makindye-Kibuye'!G39</f>
        <v>0.2857142857142857</v>
      </c>
      <c r="H39" s="49">
        <f>'Avg Week Kibuye-Makindye'!H39+'Avg Week Makindye-Kibuye'!H39</f>
        <v>0.42857142857142855</v>
      </c>
      <c r="I39" s="49">
        <f>'Avg Week Kibuye-Makindye'!I39+'Avg Week Makindye-Kibuye'!I39</f>
        <v>4.2857142857142856</v>
      </c>
      <c r="J39" s="49">
        <f>'Avg Week Kibuye-Makindye'!J39+'Avg Week Makindye-Kibuye'!J39</f>
        <v>3.7142857142857144</v>
      </c>
      <c r="K39" s="49">
        <f>'Avg Week Kibuye-Makindye'!K39+'Avg Week Makindye-Kibuye'!K39</f>
        <v>0.2857142857142857</v>
      </c>
      <c r="L39" s="49">
        <f>'Avg Week Kibuye-Makindye'!L39+'Avg Week Makindye-Kibuye'!L39</f>
        <v>0.14285714285714285</v>
      </c>
      <c r="M39" s="49">
        <f>'Avg Week Kibuye-Makindye'!M39+'Avg Week Makindye-Kibuye'!M39</f>
        <v>370.14285714285711</v>
      </c>
      <c r="N39" s="49">
        <f>'Avg Week Kibuye-Makindye'!N39+'Avg Week Makindye-Kibuye'!N39</f>
        <v>0</v>
      </c>
      <c r="O39" s="15">
        <f t="shared" si="0"/>
        <v>177.71428571428569</v>
      </c>
      <c r="P39" s="15">
        <f t="shared" si="1"/>
        <v>547.85714285714278</v>
      </c>
      <c r="R39" s="29" t="s">
        <v>87</v>
      </c>
      <c r="S39" s="16">
        <f t="shared" ref="S39:AF39" si="31">SUM(S19:S21)</f>
        <v>1162.7142857142858</v>
      </c>
      <c r="T39" s="16">
        <f t="shared" si="31"/>
        <v>269.85714285714289</v>
      </c>
      <c r="U39" s="16">
        <f t="shared" si="31"/>
        <v>133.85714285714283</v>
      </c>
      <c r="V39" s="16">
        <f t="shared" si="31"/>
        <v>543</v>
      </c>
      <c r="W39" s="16">
        <f t="shared" si="31"/>
        <v>10</v>
      </c>
      <c r="X39" s="16">
        <f t="shared" si="31"/>
        <v>1.857142857142857</v>
      </c>
      <c r="Y39" s="16">
        <f t="shared" si="31"/>
        <v>50.857142857142847</v>
      </c>
      <c r="Z39" s="16">
        <f t="shared" si="31"/>
        <v>31.428571428571431</v>
      </c>
      <c r="AA39" s="16">
        <f t="shared" si="31"/>
        <v>9</v>
      </c>
      <c r="AB39" s="16">
        <f t="shared" si="31"/>
        <v>36.714285714285715</v>
      </c>
      <c r="AC39" s="16">
        <f t="shared" si="31"/>
        <v>4432.1428571428569</v>
      </c>
      <c r="AD39" s="16">
        <f t="shared" si="31"/>
        <v>0</v>
      </c>
      <c r="AE39" s="32">
        <f t="shared" si="31"/>
        <v>2249.2857142857142</v>
      </c>
      <c r="AF39" s="32">
        <f t="shared" si="31"/>
        <v>6681.4285714285716</v>
      </c>
    </row>
    <row r="40" spans="2:32" ht="23.1" customHeight="1" x14ac:dyDescent="0.25">
      <c r="B40" s="24" t="s">
        <v>67</v>
      </c>
      <c r="C40" s="49">
        <f>'Avg Week Kibuye-Makindye'!C40+'Avg Week Makindye-Kibuye'!C40</f>
        <v>86.142857142857139</v>
      </c>
      <c r="D40" s="49">
        <f>'Avg Week Kibuye-Makindye'!D40+'Avg Week Makindye-Kibuye'!D40</f>
        <v>26.857142857142858</v>
      </c>
      <c r="E40" s="49">
        <f>'Avg Week Kibuye-Makindye'!E40+'Avg Week Makindye-Kibuye'!E40</f>
        <v>10.428571428571429</v>
      </c>
      <c r="F40" s="49">
        <f>'Avg Week Kibuye-Makindye'!F40+'Avg Week Makindye-Kibuye'!F40</f>
        <v>52.857142857142861</v>
      </c>
      <c r="G40" s="49">
        <f>'Avg Week Kibuye-Makindye'!G40+'Avg Week Makindye-Kibuye'!G40</f>
        <v>0.71428571428571419</v>
      </c>
      <c r="H40" s="49">
        <f>'Avg Week Kibuye-Makindye'!H40+'Avg Week Makindye-Kibuye'!H40</f>
        <v>0</v>
      </c>
      <c r="I40" s="49">
        <f>'Avg Week Kibuye-Makindye'!I40+'Avg Week Makindye-Kibuye'!I40</f>
        <v>4.5714285714285712</v>
      </c>
      <c r="J40" s="49">
        <f>'Avg Week Kibuye-Makindye'!J40+'Avg Week Makindye-Kibuye'!J40</f>
        <v>2</v>
      </c>
      <c r="K40" s="49">
        <f>'Avg Week Kibuye-Makindye'!K40+'Avg Week Makindye-Kibuye'!K40</f>
        <v>1.2857142857142856</v>
      </c>
      <c r="L40" s="49">
        <f>'Avg Week Kibuye-Makindye'!L40+'Avg Week Makindye-Kibuye'!L40</f>
        <v>0.42857142857142855</v>
      </c>
      <c r="M40" s="49">
        <f>'Avg Week Kibuye-Makindye'!M40+'Avg Week Makindye-Kibuye'!M40</f>
        <v>350.42857142857144</v>
      </c>
      <c r="N40" s="49">
        <f>'Avg Week Kibuye-Makindye'!N40+'Avg Week Makindye-Kibuye'!N40</f>
        <v>0</v>
      </c>
      <c r="O40" s="15">
        <f t="shared" si="0"/>
        <v>185.28571428571428</v>
      </c>
      <c r="P40" s="15">
        <f t="shared" si="1"/>
        <v>535.71428571428578</v>
      </c>
      <c r="R40" s="5" t="s">
        <v>17</v>
      </c>
      <c r="S40" s="16">
        <f t="shared" ref="S40:AF40" si="32">SUM(S10:S21)</f>
        <v>4153.0000000000009</v>
      </c>
      <c r="T40" s="16">
        <f t="shared" si="32"/>
        <v>1014.2857142857144</v>
      </c>
      <c r="U40" s="16">
        <f t="shared" si="32"/>
        <v>520.42857142857144</v>
      </c>
      <c r="V40" s="16">
        <f t="shared" si="32"/>
        <v>2543.2857142857147</v>
      </c>
      <c r="W40" s="16">
        <f t="shared" si="32"/>
        <v>25.999999999999996</v>
      </c>
      <c r="X40" s="16">
        <f t="shared" si="32"/>
        <v>5</v>
      </c>
      <c r="Y40" s="16">
        <f t="shared" si="32"/>
        <v>230.42857142857142</v>
      </c>
      <c r="Z40" s="16">
        <f t="shared" si="32"/>
        <v>155</v>
      </c>
      <c r="AA40" s="16">
        <f t="shared" si="32"/>
        <v>37.428571428571431</v>
      </c>
      <c r="AB40" s="16">
        <f t="shared" si="32"/>
        <v>42.857142857142861</v>
      </c>
      <c r="AC40" s="16">
        <f t="shared" si="32"/>
        <v>18233.28571428571</v>
      </c>
      <c r="AD40" s="16">
        <f t="shared" si="32"/>
        <v>0.71428571428571419</v>
      </c>
      <c r="AE40" s="32">
        <f t="shared" si="32"/>
        <v>8728.4285714285725</v>
      </c>
      <c r="AF40" s="32">
        <f t="shared" si="32"/>
        <v>26961.71428571429</v>
      </c>
    </row>
    <row r="41" spans="2:32" ht="23.1" customHeight="1" x14ac:dyDescent="0.25">
      <c r="B41" s="23" t="s">
        <v>68</v>
      </c>
      <c r="C41" s="49">
        <f>'Avg Week Kibuye-Makindye'!C41+'Avg Week Makindye-Kibuye'!C41</f>
        <v>77.714285714285722</v>
      </c>
      <c r="D41" s="49">
        <f>'Avg Week Kibuye-Makindye'!D41+'Avg Week Makindye-Kibuye'!D41</f>
        <v>25.428571428571427</v>
      </c>
      <c r="E41" s="49">
        <f>'Avg Week Kibuye-Makindye'!E41+'Avg Week Makindye-Kibuye'!E41</f>
        <v>6.4285714285714288</v>
      </c>
      <c r="F41" s="49">
        <f>'Avg Week Kibuye-Makindye'!F41+'Avg Week Makindye-Kibuye'!F41</f>
        <v>41.142857142857139</v>
      </c>
      <c r="G41" s="49">
        <f>'Avg Week Kibuye-Makindye'!G41+'Avg Week Makindye-Kibuye'!G41</f>
        <v>0</v>
      </c>
      <c r="H41" s="49">
        <f>'Avg Week Kibuye-Makindye'!H41+'Avg Week Makindye-Kibuye'!H41</f>
        <v>0.14285714285714285</v>
      </c>
      <c r="I41" s="49">
        <f>'Avg Week Kibuye-Makindye'!I41+'Avg Week Makindye-Kibuye'!I41</f>
        <v>4</v>
      </c>
      <c r="J41" s="49">
        <f>'Avg Week Kibuye-Makindye'!J41+'Avg Week Makindye-Kibuye'!J41</f>
        <v>1.2857142857142856</v>
      </c>
      <c r="K41" s="49">
        <f>'Avg Week Kibuye-Makindye'!K41+'Avg Week Makindye-Kibuye'!K41</f>
        <v>0.42857142857142855</v>
      </c>
      <c r="L41" s="49">
        <f>'Avg Week Kibuye-Makindye'!L41+'Avg Week Makindye-Kibuye'!L41</f>
        <v>0.14285714285714285</v>
      </c>
      <c r="M41" s="49">
        <f>'Avg Week Kibuye-Makindye'!M41+'Avg Week Makindye-Kibuye'!M41</f>
        <v>366.85714285714289</v>
      </c>
      <c r="N41" s="49">
        <f>'Avg Week Kibuye-Makindye'!N41+'Avg Week Makindye-Kibuye'!N41</f>
        <v>0</v>
      </c>
      <c r="O41" s="15">
        <f t="shared" si="0"/>
        <v>156.71428571428569</v>
      </c>
      <c r="P41" s="15">
        <f t="shared" si="1"/>
        <v>523.57142857142856</v>
      </c>
      <c r="R41" s="5" t="s">
        <v>176</v>
      </c>
      <c r="S41" s="51">
        <f>SUM(S10:S33)</f>
        <v>6721.7500000000009</v>
      </c>
      <c r="T41" s="51">
        <f t="shared" ref="T41:AD41" si="33">SUM(T10:T33)</f>
        <v>1422.2857142857144</v>
      </c>
      <c r="U41" s="51">
        <f t="shared" si="33"/>
        <v>693.92857142857144</v>
      </c>
      <c r="V41" s="51">
        <f t="shared" si="33"/>
        <v>3865.5357142857147</v>
      </c>
      <c r="W41" s="51">
        <f t="shared" si="33"/>
        <v>31.249999999999996</v>
      </c>
      <c r="X41" s="51">
        <f t="shared" si="33"/>
        <v>13</v>
      </c>
      <c r="Y41" s="51">
        <f t="shared" si="33"/>
        <v>336.92857142857144</v>
      </c>
      <c r="Z41" s="51">
        <f t="shared" si="33"/>
        <v>183.25</v>
      </c>
      <c r="AA41" s="51">
        <f t="shared" si="33"/>
        <v>47.178571428571431</v>
      </c>
      <c r="AB41" s="51">
        <f t="shared" si="33"/>
        <v>46.857142857142861</v>
      </c>
      <c r="AC41" s="51">
        <f t="shared" si="33"/>
        <v>24975.53571428571</v>
      </c>
      <c r="AD41" s="51">
        <f t="shared" si="33"/>
        <v>1.2142857142857142</v>
      </c>
      <c r="AE41" s="52">
        <f>SUM(AE10:AE33)</f>
        <v>13363.178571428572</v>
      </c>
      <c r="AF41" s="52">
        <f>SUM(AF10:AF33)</f>
        <v>38338.71428571429</v>
      </c>
    </row>
    <row r="42" spans="2:32" ht="23.1" customHeight="1" x14ac:dyDescent="0.25">
      <c r="B42" s="24" t="s">
        <v>69</v>
      </c>
      <c r="C42" s="49">
        <f>'Avg Week Kibuye-Makindye'!C42+'Avg Week Makindye-Kibuye'!C42</f>
        <v>82.571428571428569</v>
      </c>
      <c r="D42" s="49">
        <f>'Avg Week Kibuye-Makindye'!D42+'Avg Week Makindye-Kibuye'!D42</f>
        <v>23.142857142857146</v>
      </c>
      <c r="E42" s="49">
        <f>'Avg Week Kibuye-Makindye'!E42+'Avg Week Makindye-Kibuye'!E42</f>
        <v>13.142857142857142</v>
      </c>
      <c r="F42" s="49">
        <f>'Avg Week Kibuye-Makindye'!F42+'Avg Week Makindye-Kibuye'!F42</f>
        <v>49.142857142857139</v>
      </c>
      <c r="G42" s="49">
        <f>'Avg Week Kibuye-Makindye'!G42+'Avg Week Makindye-Kibuye'!G42</f>
        <v>0.14285714285714285</v>
      </c>
      <c r="H42" s="49">
        <f>'Avg Week Kibuye-Makindye'!H42+'Avg Week Makindye-Kibuye'!H42</f>
        <v>0.14285714285714285</v>
      </c>
      <c r="I42" s="49">
        <f>'Avg Week Kibuye-Makindye'!I42+'Avg Week Makindye-Kibuye'!I42</f>
        <v>6</v>
      </c>
      <c r="J42" s="49">
        <f>'Avg Week Kibuye-Makindye'!J42+'Avg Week Makindye-Kibuye'!J42</f>
        <v>3.2857142857142856</v>
      </c>
      <c r="K42" s="49">
        <f>'Avg Week Kibuye-Makindye'!K42+'Avg Week Makindye-Kibuye'!K42</f>
        <v>0.2857142857142857</v>
      </c>
      <c r="L42" s="49">
        <f>'Avg Week Kibuye-Makindye'!L42+'Avg Week Makindye-Kibuye'!L42</f>
        <v>0</v>
      </c>
      <c r="M42" s="49">
        <f>'Avg Week Kibuye-Makindye'!M42+'Avg Week Makindye-Kibuye'!M42</f>
        <v>374.57142857142856</v>
      </c>
      <c r="N42" s="49">
        <f>'Avg Week Kibuye-Makindye'!N42+'Avg Week Makindye-Kibuye'!N42</f>
        <v>0.2857142857142857</v>
      </c>
      <c r="O42" s="15">
        <f t="shared" si="0"/>
        <v>178.14285714285711</v>
      </c>
      <c r="P42" s="15">
        <f t="shared" si="1"/>
        <v>552.71428571428567</v>
      </c>
      <c r="R42" s="5" t="s">
        <v>161</v>
      </c>
      <c r="S42" s="48">
        <f>S41/S40</f>
        <v>1.6185287743799661</v>
      </c>
      <c r="T42" s="48">
        <f t="shared" ref="T42:AF42" si="34">T41/T40</f>
        <v>1.4022535211267606</v>
      </c>
      <c r="U42" s="48">
        <f t="shared" si="34"/>
        <v>1.3333790831732089</v>
      </c>
      <c r="V42" s="48">
        <f t="shared" si="34"/>
        <v>1.5198983317418411</v>
      </c>
      <c r="W42" s="48">
        <f t="shared" si="34"/>
        <v>1.2019230769230769</v>
      </c>
      <c r="X42" s="48">
        <f t="shared" si="34"/>
        <v>2.6</v>
      </c>
      <c r="Y42" s="48">
        <f t="shared" si="34"/>
        <v>1.4621822690638564</v>
      </c>
      <c r="Z42" s="48">
        <f t="shared" si="34"/>
        <v>1.1822580645161291</v>
      </c>
      <c r="AA42" s="48">
        <f t="shared" si="34"/>
        <v>1.2604961832061068</v>
      </c>
      <c r="AB42" s="48">
        <f t="shared" si="34"/>
        <v>1.0933333333333333</v>
      </c>
      <c r="AC42" s="48">
        <f t="shared" si="34"/>
        <v>1.369777016915688</v>
      </c>
      <c r="AD42" s="48">
        <f t="shared" si="34"/>
        <v>1.7000000000000002</v>
      </c>
      <c r="AE42" s="53">
        <f t="shared" si="34"/>
        <v>1.5309947789652858</v>
      </c>
      <c r="AF42" s="53">
        <f t="shared" si="34"/>
        <v>1.4219687175465738</v>
      </c>
    </row>
    <row r="43" spans="2:32" ht="23.1" customHeight="1" x14ac:dyDescent="0.25">
      <c r="B43" s="23" t="s">
        <v>70</v>
      </c>
      <c r="C43" s="49">
        <f>'Avg Week Kibuye-Makindye'!C43+'Avg Week Makindye-Kibuye'!C43</f>
        <v>88.285714285714278</v>
      </c>
      <c r="D43" s="49">
        <f>'Avg Week Kibuye-Makindye'!D43+'Avg Week Makindye-Kibuye'!D43</f>
        <v>24.571428571428569</v>
      </c>
      <c r="E43" s="49">
        <f>'Avg Week Kibuye-Makindye'!E43+'Avg Week Makindye-Kibuye'!E43</f>
        <v>11.142857142857142</v>
      </c>
      <c r="F43" s="49">
        <f>'Avg Week Kibuye-Makindye'!F43+'Avg Week Makindye-Kibuye'!F43</f>
        <v>58.428571428571431</v>
      </c>
      <c r="G43" s="49">
        <f>'Avg Week Kibuye-Makindye'!G43+'Avg Week Makindye-Kibuye'!G43</f>
        <v>0</v>
      </c>
      <c r="H43" s="49">
        <f>'Avg Week Kibuye-Makindye'!H43+'Avg Week Makindye-Kibuye'!H43</f>
        <v>0</v>
      </c>
      <c r="I43" s="49">
        <f>'Avg Week Kibuye-Makindye'!I43+'Avg Week Makindye-Kibuye'!I43</f>
        <v>7.4285714285714288</v>
      </c>
      <c r="J43" s="49">
        <f>'Avg Week Kibuye-Makindye'!J43+'Avg Week Makindye-Kibuye'!J43</f>
        <v>4.7142857142857144</v>
      </c>
      <c r="K43" s="49">
        <f>'Avg Week Kibuye-Makindye'!K43+'Avg Week Makindye-Kibuye'!K43</f>
        <v>0.71428571428571419</v>
      </c>
      <c r="L43" s="49">
        <f>'Avg Week Kibuye-Makindye'!L43+'Avg Week Makindye-Kibuye'!L43</f>
        <v>0.42857142857142855</v>
      </c>
      <c r="M43" s="49">
        <f>'Avg Week Kibuye-Makindye'!M43+'Avg Week Makindye-Kibuye'!M43</f>
        <v>364.28571428571428</v>
      </c>
      <c r="N43" s="49">
        <f>'Avg Week Kibuye-Makindye'!N43+'Avg Week Makindye-Kibuye'!N43</f>
        <v>0</v>
      </c>
      <c r="O43" s="15">
        <f t="shared" si="0"/>
        <v>195.71428571428569</v>
      </c>
      <c r="P43" s="15">
        <f t="shared" si="1"/>
        <v>560</v>
      </c>
    </row>
    <row r="44" spans="2:32" ht="23.1" customHeight="1" x14ac:dyDescent="0.25">
      <c r="B44" s="25" t="s">
        <v>71</v>
      </c>
      <c r="C44" s="49">
        <f>'Avg Week Kibuye-Makindye'!C44+'Avg Week Makindye-Kibuye'!C44</f>
        <v>80.571428571428569</v>
      </c>
      <c r="D44" s="49">
        <f>'Avg Week Kibuye-Makindye'!D44+'Avg Week Makindye-Kibuye'!D44</f>
        <v>24.142857142857146</v>
      </c>
      <c r="E44" s="49">
        <f>'Avg Week Kibuye-Makindye'!E44+'Avg Week Makindye-Kibuye'!E44</f>
        <v>11.428571428571429</v>
      </c>
      <c r="F44" s="49">
        <f>'Avg Week Kibuye-Makindye'!F44+'Avg Week Makindye-Kibuye'!F44</f>
        <v>47.428571428571431</v>
      </c>
      <c r="G44" s="49">
        <f>'Avg Week Kibuye-Makindye'!G44+'Avg Week Makindye-Kibuye'!G44</f>
        <v>0.14285714285714285</v>
      </c>
      <c r="H44" s="49">
        <f>'Avg Week Kibuye-Makindye'!H44+'Avg Week Makindye-Kibuye'!H44</f>
        <v>0</v>
      </c>
      <c r="I44" s="49">
        <f>'Avg Week Kibuye-Makindye'!I44+'Avg Week Makindye-Kibuye'!I44</f>
        <v>5.7142857142857144</v>
      </c>
      <c r="J44" s="49">
        <f>'Avg Week Kibuye-Makindye'!J44+'Avg Week Makindye-Kibuye'!J44</f>
        <v>3.1428571428571428</v>
      </c>
      <c r="K44" s="49">
        <f>'Avg Week Kibuye-Makindye'!K44+'Avg Week Makindye-Kibuye'!K44</f>
        <v>1</v>
      </c>
      <c r="L44" s="49">
        <f>'Avg Week Kibuye-Makindye'!L44+'Avg Week Makindye-Kibuye'!L44</f>
        <v>0.71428571428571419</v>
      </c>
      <c r="M44" s="49">
        <f>'Avg Week Kibuye-Makindye'!M44+'Avg Week Makindye-Kibuye'!M44</f>
        <v>371.57142857142856</v>
      </c>
      <c r="N44" s="49">
        <f>'Avg Week Kibuye-Makindye'!N44+'Avg Week Makindye-Kibuye'!N44</f>
        <v>0</v>
      </c>
      <c r="O44" s="15">
        <f t="shared" si="0"/>
        <v>174.28571428571431</v>
      </c>
      <c r="P44" s="15">
        <f t="shared" si="1"/>
        <v>545.85714285714289</v>
      </c>
    </row>
    <row r="45" spans="2:32" ht="23.1" customHeight="1" x14ac:dyDescent="0.25">
      <c r="B45" s="23" t="s">
        <v>72</v>
      </c>
      <c r="C45" s="49">
        <f>'Avg Week Kibuye-Makindye'!C45+'Avg Week Makindye-Kibuye'!C45</f>
        <v>93</v>
      </c>
      <c r="D45" s="49">
        <f>'Avg Week Kibuye-Makindye'!D45+'Avg Week Makindye-Kibuye'!D45</f>
        <v>28.428571428571431</v>
      </c>
      <c r="E45" s="49">
        <f>'Avg Week Kibuye-Makindye'!E45+'Avg Week Makindye-Kibuye'!E45</f>
        <v>10.285714285714285</v>
      </c>
      <c r="F45" s="49">
        <f>'Avg Week Kibuye-Makindye'!F45+'Avg Week Makindye-Kibuye'!F45</f>
        <v>50.714285714285708</v>
      </c>
      <c r="G45" s="49">
        <f>'Avg Week Kibuye-Makindye'!G45+'Avg Week Makindye-Kibuye'!G45</f>
        <v>0.5714285714285714</v>
      </c>
      <c r="H45" s="49">
        <f>'Avg Week Kibuye-Makindye'!H45+'Avg Week Makindye-Kibuye'!H45</f>
        <v>0.2857142857142857</v>
      </c>
      <c r="I45" s="49">
        <f>'Avg Week Kibuye-Makindye'!I45+'Avg Week Makindye-Kibuye'!I45</f>
        <v>4.2857142857142856</v>
      </c>
      <c r="J45" s="49">
        <f>'Avg Week Kibuye-Makindye'!J45+'Avg Week Makindye-Kibuye'!J45</f>
        <v>3.1428571428571428</v>
      </c>
      <c r="K45" s="49">
        <f>'Avg Week Kibuye-Makindye'!K45+'Avg Week Makindye-Kibuye'!K45</f>
        <v>1.1428571428571428</v>
      </c>
      <c r="L45" s="49">
        <f>'Avg Week Kibuye-Makindye'!L45+'Avg Week Makindye-Kibuye'!L45</f>
        <v>0.42857142857142855</v>
      </c>
      <c r="M45" s="49">
        <f>'Avg Week Kibuye-Makindye'!M45+'Avg Week Makindye-Kibuye'!M45</f>
        <v>362</v>
      </c>
      <c r="N45" s="49">
        <f>'Avg Week Kibuye-Makindye'!N45+'Avg Week Makindye-Kibuye'!N45</f>
        <v>0</v>
      </c>
      <c r="O45" s="15">
        <f t="shared" si="0"/>
        <v>192.28571428571428</v>
      </c>
      <c r="P45" s="15">
        <f t="shared" si="1"/>
        <v>554.28571428571422</v>
      </c>
    </row>
    <row r="46" spans="2:32" ht="23.1" customHeight="1" x14ac:dyDescent="0.25">
      <c r="B46" s="24" t="s">
        <v>73</v>
      </c>
      <c r="C46" s="49">
        <f>'Avg Week Kibuye-Makindye'!C46+'Avg Week Makindye-Kibuye'!C46</f>
        <v>92.857142857142861</v>
      </c>
      <c r="D46" s="49">
        <f>'Avg Week Kibuye-Makindye'!D46+'Avg Week Makindye-Kibuye'!D46</f>
        <v>24.571428571428573</v>
      </c>
      <c r="E46" s="49">
        <f>'Avg Week Kibuye-Makindye'!E46+'Avg Week Makindye-Kibuye'!E46</f>
        <v>14.285714285714285</v>
      </c>
      <c r="F46" s="49">
        <f>'Avg Week Kibuye-Makindye'!F46+'Avg Week Makindye-Kibuye'!F46</f>
        <v>45.857142857142861</v>
      </c>
      <c r="G46" s="49">
        <f>'Avg Week Kibuye-Makindye'!G46+'Avg Week Makindye-Kibuye'!G46</f>
        <v>0.42857142857142855</v>
      </c>
      <c r="H46" s="49">
        <f>'Avg Week Kibuye-Makindye'!H46+'Avg Week Makindye-Kibuye'!H46</f>
        <v>0</v>
      </c>
      <c r="I46" s="49">
        <f>'Avg Week Kibuye-Makindye'!I46+'Avg Week Makindye-Kibuye'!I46</f>
        <v>5</v>
      </c>
      <c r="J46" s="49">
        <f>'Avg Week Kibuye-Makindye'!J46+'Avg Week Makindye-Kibuye'!J46</f>
        <v>4.2857142857142856</v>
      </c>
      <c r="K46" s="49">
        <f>'Avg Week Kibuye-Makindye'!K46+'Avg Week Makindye-Kibuye'!K46</f>
        <v>0.71428571428571419</v>
      </c>
      <c r="L46" s="49">
        <f>'Avg Week Kibuye-Makindye'!L46+'Avg Week Makindye-Kibuye'!L46</f>
        <v>0.14285714285714285</v>
      </c>
      <c r="M46" s="49">
        <f>'Avg Week Kibuye-Makindye'!M46+'Avg Week Makindye-Kibuye'!M46</f>
        <v>404.14285714285711</v>
      </c>
      <c r="N46" s="49">
        <f>'Avg Week Kibuye-Makindye'!N46+'Avg Week Makindye-Kibuye'!N46</f>
        <v>0</v>
      </c>
      <c r="O46" s="15">
        <f t="shared" si="0"/>
        <v>188.14285714285714</v>
      </c>
      <c r="P46" s="15">
        <f t="shared" si="1"/>
        <v>592.28571428571422</v>
      </c>
      <c r="R46" s="8"/>
      <c r="T46"/>
    </row>
    <row r="47" spans="2:32" ht="23.1" customHeight="1" x14ac:dyDescent="0.25">
      <c r="B47" s="24" t="s">
        <v>74</v>
      </c>
      <c r="C47" s="49">
        <f>'Avg Week Kibuye-Makindye'!C47+'Avg Week Makindye-Kibuye'!C47</f>
        <v>102.28571428571429</v>
      </c>
      <c r="D47" s="49">
        <f>'Avg Week Kibuye-Makindye'!D47+'Avg Week Makindye-Kibuye'!D47</f>
        <v>26.428571428571431</v>
      </c>
      <c r="E47" s="49">
        <f>'Avg Week Kibuye-Makindye'!E47+'Avg Week Makindye-Kibuye'!E47</f>
        <v>14.142857142857142</v>
      </c>
      <c r="F47" s="49">
        <f>'Avg Week Kibuye-Makindye'!F47+'Avg Week Makindye-Kibuye'!F47</f>
        <v>47.142857142857139</v>
      </c>
      <c r="G47" s="49">
        <f>'Avg Week Kibuye-Makindye'!G47+'Avg Week Makindye-Kibuye'!G47</f>
        <v>0.42857142857142855</v>
      </c>
      <c r="H47" s="49">
        <f>'Avg Week Kibuye-Makindye'!H47+'Avg Week Makindye-Kibuye'!H47</f>
        <v>0</v>
      </c>
      <c r="I47" s="49">
        <f>'Avg Week Kibuye-Makindye'!I47+'Avg Week Makindye-Kibuye'!I47</f>
        <v>5.2857142857142856</v>
      </c>
      <c r="J47" s="49">
        <f>'Avg Week Kibuye-Makindye'!J47+'Avg Week Makindye-Kibuye'!J47</f>
        <v>2.4285714285714284</v>
      </c>
      <c r="K47" s="49">
        <f>'Avg Week Kibuye-Makindye'!K47+'Avg Week Makindye-Kibuye'!K47</f>
        <v>0.5714285714285714</v>
      </c>
      <c r="L47" s="49">
        <f>'Avg Week Kibuye-Makindye'!L47+'Avg Week Makindye-Kibuye'!L47</f>
        <v>0</v>
      </c>
      <c r="M47" s="49">
        <f>'Avg Week Kibuye-Makindye'!M47+'Avg Week Makindye-Kibuye'!M47</f>
        <v>394.57142857142856</v>
      </c>
      <c r="N47" s="49">
        <f>'Avg Week Kibuye-Makindye'!N47+'Avg Week Makindye-Kibuye'!N47</f>
        <v>0</v>
      </c>
      <c r="O47" s="15">
        <f t="shared" si="0"/>
        <v>198.71428571428569</v>
      </c>
      <c r="P47" s="15">
        <f t="shared" si="1"/>
        <v>593.28571428571422</v>
      </c>
      <c r="R47" s="8"/>
      <c r="T47"/>
    </row>
    <row r="48" spans="2:32" ht="23.1" customHeight="1" x14ac:dyDescent="0.25">
      <c r="B48" s="24" t="s">
        <v>75</v>
      </c>
      <c r="C48" s="49">
        <f>'Avg Week Kibuye-Makindye'!C48+'Avg Week Makindye-Kibuye'!C48</f>
        <v>100</v>
      </c>
      <c r="D48" s="49">
        <f>'Avg Week Kibuye-Makindye'!D48+'Avg Week Makindye-Kibuye'!D48</f>
        <v>24</v>
      </c>
      <c r="E48" s="49">
        <f>'Avg Week Kibuye-Makindye'!E48+'Avg Week Makindye-Kibuye'!E48</f>
        <v>11.714285714285715</v>
      </c>
      <c r="F48" s="49">
        <f>'Avg Week Kibuye-Makindye'!F48+'Avg Week Makindye-Kibuye'!F48</f>
        <v>52</v>
      </c>
      <c r="G48" s="49">
        <f>'Avg Week Kibuye-Makindye'!G48+'Avg Week Makindye-Kibuye'!G48</f>
        <v>0.42857142857142855</v>
      </c>
      <c r="H48" s="49">
        <f>'Avg Week Kibuye-Makindye'!H48+'Avg Week Makindye-Kibuye'!H48</f>
        <v>0.14285714285714285</v>
      </c>
      <c r="I48" s="49">
        <f>'Avg Week Kibuye-Makindye'!I48+'Avg Week Makindye-Kibuye'!I48</f>
        <v>6.2857142857142856</v>
      </c>
      <c r="J48" s="49">
        <f>'Avg Week Kibuye-Makindye'!J48+'Avg Week Makindye-Kibuye'!J48</f>
        <v>3.2857142857142856</v>
      </c>
      <c r="K48" s="49">
        <f>'Avg Week Kibuye-Makindye'!K48+'Avg Week Makindye-Kibuye'!K48</f>
        <v>0.14285714285714285</v>
      </c>
      <c r="L48" s="49">
        <f>'Avg Week Kibuye-Makindye'!L48+'Avg Week Makindye-Kibuye'!L48</f>
        <v>0</v>
      </c>
      <c r="M48" s="49">
        <f>'Avg Week Kibuye-Makindye'!M48+'Avg Week Makindye-Kibuye'!M48</f>
        <v>388.85714285714283</v>
      </c>
      <c r="N48" s="49">
        <f>'Avg Week Kibuye-Makindye'!N48+'Avg Week Makindye-Kibuye'!N48</f>
        <v>0</v>
      </c>
      <c r="O48" s="15">
        <f t="shared" si="0"/>
        <v>197.99999999999997</v>
      </c>
      <c r="P48" s="15">
        <f t="shared" si="1"/>
        <v>586.85714285714278</v>
      </c>
      <c r="R48" s="8"/>
      <c r="T48"/>
    </row>
    <row r="49" spans="2:20" ht="23.1" customHeight="1" x14ac:dyDescent="0.25">
      <c r="B49" s="23" t="s">
        <v>76</v>
      </c>
      <c r="C49" s="49">
        <f>'Avg Week Kibuye-Makindye'!C49+'Avg Week Makindye-Kibuye'!C49</f>
        <v>105</v>
      </c>
      <c r="D49" s="49">
        <f>'Avg Week Kibuye-Makindye'!D49+'Avg Week Makindye-Kibuye'!D49</f>
        <v>25.857142857142854</v>
      </c>
      <c r="E49" s="49">
        <f>'Avg Week Kibuye-Makindye'!E49+'Avg Week Makindye-Kibuye'!E49</f>
        <v>10.285714285714285</v>
      </c>
      <c r="F49" s="49">
        <f>'Avg Week Kibuye-Makindye'!F49+'Avg Week Makindye-Kibuye'!F49</f>
        <v>41.857142857142854</v>
      </c>
      <c r="G49" s="49">
        <f>'Avg Week Kibuye-Makindye'!G49+'Avg Week Makindye-Kibuye'!G49</f>
        <v>0.71428571428571419</v>
      </c>
      <c r="H49" s="49">
        <f>'Avg Week Kibuye-Makindye'!H49+'Avg Week Makindye-Kibuye'!H49</f>
        <v>0</v>
      </c>
      <c r="I49" s="49">
        <f>'Avg Week Kibuye-Makindye'!I49+'Avg Week Makindye-Kibuye'!I49</f>
        <v>4.4285714285714288</v>
      </c>
      <c r="J49" s="49">
        <f>'Avg Week Kibuye-Makindye'!J49+'Avg Week Makindye-Kibuye'!J49</f>
        <v>2.7142857142857144</v>
      </c>
      <c r="K49" s="49">
        <f>'Avg Week Kibuye-Makindye'!K49+'Avg Week Makindye-Kibuye'!K49</f>
        <v>0.42857142857142855</v>
      </c>
      <c r="L49" s="49">
        <f>'Avg Week Kibuye-Makindye'!L49+'Avg Week Makindye-Kibuye'!L49</f>
        <v>0</v>
      </c>
      <c r="M49" s="49">
        <f>'Avg Week Kibuye-Makindye'!M49+'Avg Week Makindye-Kibuye'!M49</f>
        <v>385.71428571428567</v>
      </c>
      <c r="N49" s="49">
        <f>'Avg Week Kibuye-Makindye'!N49+'Avg Week Makindye-Kibuye'!N49</f>
        <v>0</v>
      </c>
      <c r="O49" s="15">
        <f t="shared" si="0"/>
        <v>191.28571428571428</v>
      </c>
      <c r="P49" s="15">
        <f t="shared" si="1"/>
        <v>577</v>
      </c>
      <c r="R49" s="8"/>
      <c r="T49"/>
    </row>
    <row r="50" spans="2:20" ht="23.1" customHeight="1" x14ac:dyDescent="0.25">
      <c r="B50" s="24" t="s">
        <v>77</v>
      </c>
      <c r="C50" s="49">
        <f>'Avg Week Kibuye-Makindye'!C50+'Avg Week Makindye-Kibuye'!C50</f>
        <v>104.85714285714286</v>
      </c>
      <c r="D50" s="49">
        <f>'Avg Week Kibuye-Makindye'!D50+'Avg Week Makindye-Kibuye'!D50</f>
        <v>23.285714285714285</v>
      </c>
      <c r="E50" s="49">
        <f>'Avg Week Kibuye-Makindye'!E50+'Avg Week Makindye-Kibuye'!E50</f>
        <v>13.142857142857142</v>
      </c>
      <c r="F50" s="49">
        <f>'Avg Week Kibuye-Makindye'!F50+'Avg Week Makindye-Kibuye'!F50</f>
        <v>54.714285714285722</v>
      </c>
      <c r="G50" s="49">
        <f>'Avg Week Kibuye-Makindye'!G50+'Avg Week Makindye-Kibuye'!G50</f>
        <v>0.5714285714285714</v>
      </c>
      <c r="H50" s="49">
        <f>'Avg Week Kibuye-Makindye'!H50+'Avg Week Makindye-Kibuye'!H50</f>
        <v>0</v>
      </c>
      <c r="I50" s="49">
        <f>'Avg Week Kibuye-Makindye'!I50+'Avg Week Makindye-Kibuye'!I50</f>
        <v>4.2857142857142856</v>
      </c>
      <c r="J50" s="49">
        <f>'Avg Week Kibuye-Makindye'!J50+'Avg Week Makindye-Kibuye'!J50</f>
        <v>3.7142857142857144</v>
      </c>
      <c r="K50" s="49">
        <f>'Avg Week Kibuye-Makindye'!K50+'Avg Week Makindye-Kibuye'!K50</f>
        <v>0.8571428571428571</v>
      </c>
      <c r="L50" s="49">
        <f>'Avg Week Kibuye-Makindye'!L50+'Avg Week Makindye-Kibuye'!L50</f>
        <v>0.14285714285714285</v>
      </c>
      <c r="M50" s="49">
        <f>'Avg Week Kibuye-Makindye'!M50+'Avg Week Makindye-Kibuye'!M50</f>
        <v>360.85714285714289</v>
      </c>
      <c r="N50" s="49">
        <f>'Avg Week Kibuye-Makindye'!N50+'Avg Week Makindye-Kibuye'!N50</f>
        <v>0</v>
      </c>
      <c r="O50" s="15">
        <f t="shared" si="0"/>
        <v>205.57142857142858</v>
      </c>
      <c r="P50" s="15">
        <f t="shared" si="1"/>
        <v>566.42857142857144</v>
      </c>
      <c r="R50" s="8"/>
      <c r="T50"/>
    </row>
    <row r="51" spans="2:20" ht="23.1" customHeight="1" x14ac:dyDescent="0.25">
      <c r="B51" s="24" t="s">
        <v>78</v>
      </c>
      <c r="C51" s="49">
        <f>'Avg Week Kibuye-Makindye'!C51+'Avg Week Makindye-Kibuye'!C51</f>
        <v>95.571428571428569</v>
      </c>
      <c r="D51" s="49">
        <f>'Avg Week Kibuye-Makindye'!D51+'Avg Week Makindye-Kibuye'!D51</f>
        <v>29.857142857142858</v>
      </c>
      <c r="E51" s="49">
        <f>'Avg Week Kibuye-Makindye'!E51+'Avg Week Makindye-Kibuye'!E51</f>
        <v>11.142857142857142</v>
      </c>
      <c r="F51" s="49">
        <f>'Avg Week Kibuye-Makindye'!F51+'Avg Week Makindye-Kibuye'!F51</f>
        <v>43</v>
      </c>
      <c r="G51" s="49">
        <f>'Avg Week Kibuye-Makindye'!G51+'Avg Week Makindye-Kibuye'!G51</f>
        <v>0.85714285714285721</v>
      </c>
      <c r="H51" s="49">
        <f>'Avg Week Kibuye-Makindye'!H51+'Avg Week Makindye-Kibuye'!H51</f>
        <v>0.14285714285714285</v>
      </c>
      <c r="I51" s="49">
        <f>'Avg Week Kibuye-Makindye'!I51+'Avg Week Makindye-Kibuye'!I51</f>
        <v>3.2857142857142856</v>
      </c>
      <c r="J51" s="49">
        <f>'Avg Week Kibuye-Makindye'!J51+'Avg Week Makindye-Kibuye'!J51</f>
        <v>2.7142857142857144</v>
      </c>
      <c r="K51" s="49">
        <f>'Avg Week Kibuye-Makindye'!K51+'Avg Week Makindye-Kibuye'!K51</f>
        <v>0.5714285714285714</v>
      </c>
      <c r="L51" s="49">
        <f>'Avg Week Kibuye-Makindye'!L51+'Avg Week Makindye-Kibuye'!L51</f>
        <v>0.2857142857142857</v>
      </c>
      <c r="M51" s="49">
        <f>'Avg Week Kibuye-Makindye'!M51+'Avg Week Makindye-Kibuye'!M51</f>
        <v>383.57142857142856</v>
      </c>
      <c r="N51" s="49">
        <f>'Avg Week Kibuye-Makindye'!N51+'Avg Week Makindye-Kibuye'!N51</f>
        <v>0</v>
      </c>
      <c r="O51" s="15">
        <f t="shared" si="0"/>
        <v>187.42857142857144</v>
      </c>
      <c r="P51" s="15">
        <f t="shared" si="1"/>
        <v>571</v>
      </c>
      <c r="R51" s="8"/>
      <c r="T51"/>
    </row>
    <row r="52" spans="2:20" ht="23.1" customHeight="1" x14ac:dyDescent="0.25">
      <c r="B52" s="24" t="s">
        <v>79</v>
      </c>
      <c r="C52" s="49">
        <f>'Avg Week Kibuye-Makindye'!C52+'Avg Week Makindye-Kibuye'!C52</f>
        <v>102.14285714285714</v>
      </c>
      <c r="D52" s="49">
        <f>'Avg Week Kibuye-Makindye'!D52+'Avg Week Makindye-Kibuye'!D52</f>
        <v>24</v>
      </c>
      <c r="E52" s="49">
        <f>'Avg Week Kibuye-Makindye'!E52+'Avg Week Makindye-Kibuye'!E52</f>
        <v>13.857142857142858</v>
      </c>
      <c r="F52" s="49">
        <f>'Avg Week Kibuye-Makindye'!F52+'Avg Week Makindye-Kibuye'!F52</f>
        <v>44.428571428571431</v>
      </c>
      <c r="G52" s="49">
        <f>'Avg Week Kibuye-Makindye'!G52+'Avg Week Makindye-Kibuye'!G52</f>
        <v>0.71428571428571419</v>
      </c>
      <c r="H52" s="49">
        <f>'Avg Week Kibuye-Makindye'!H52+'Avg Week Makindye-Kibuye'!H52</f>
        <v>0.14285714285714285</v>
      </c>
      <c r="I52" s="49">
        <f>'Avg Week Kibuye-Makindye'!I52+'Avg Week Makindye-Kibuye'!I52</f>
        <v>3.8571428571428568</v>
      </c>
      <c r="J52" s="49">
        <f>'Avg Week Kibuye-Makindye'!J52+'Avg Week Makindye-Kibuye'!J52</f>
        <v>3</v>
      </c>
      <c r="K52" s="49">
        <f>'Avg Week Kibuye-Makindye'!K52+'Avg Week Makindye-Kibuye'!K52</f>
        <v>1.1428571428571428</v>
      </c>
      <c r="L52" s="49">
        <f>'Avg Week Kibuye-Makindye'!L52+'Avg Week Makindye-Kibuye'!L52</f>
        <v>0.2857142857142857</v>
      </c>
      <c r="M52" s="49">
        <f>'Avg Week Kibuye-Makindye'!M52+'Avg Week Makindye-Kibuye'!M52</f>
        <v>378.57142857142856</v>
      </c>
      <c r="N52" s="49">
        <f>'Avg Week Kibuye-Makindye'!N52+'Avg Week Makindye-Kibuye'!N52</f>
        <v>0</v>
      </c>
      <c r="O52" s="15">
        <f t="shared" si="0"/>
        <v>193.57142857142858</v>
      </c>
      <c r="P52" s="15">
        <f t="shared" si="1"/>
        <v>572.14285714285711</v>
      </c>
      <c r="R52" s="8"/>
      <c r="T52"/>
    </row>
    <row r="53" spans="2:20" ht="23.1" customHeight="1" x14ac:dyDescent="0.25">
      <c r="B53" s="23" t="s">
        <v>80</v>
      </c>
      <c r="C53" s="49">
        <f>'Avg Week Kibuye-Makindye'!C53+'Avg Week Makindye-Kibuye'!C53</f>
        <v>93.428571428571431</v>
      </c>
      <c r="D53" s="49">
        <f>'Avg Week Kibuye-Makindye'!D53+'Avg Week Makindye-Kibuye'!D53</f>
        <v>20.428571428571427</v>
      </c>
      <c r="E53" s="49">
        <f>'Avg Week Kibuye-Makindye'!E53+'Avg Week Makindye-Kibuye'!E53</f>
        <v>10.857142857142858</v>
      </c>
      <c r="F53" s="49">
        <f>'Avg Week Kibuye-Makindye'!F53+'Avg Week Makindye-Kibuye'!F53</f>
        <v>47</v>
      </c>
      <c r="G53" s="49">
        <f>'Avg Week Kibuye-Makindye'!G53+'Avg Week Makindye-Kibuye'!G53</f>
        <v>1.4285714285714286</v>
      </c>
      <c r="H53" s="49">
        <f>'Avg Week Kibuye-Makindye'!H53+'Avg Week Makindye-Kibuye'!H53</f>
        <v>0.42857142857142855</v>
      </c>
      <c r="I53" s="49">
        <f>'Avg Week Kibuye-Makindye'!I53+'Avg Week Makindye-Kibuye'!I53</f>
        <v>4.2857142857142856</v>
      </c>
      <c r="J53" s="49">
        <f>'Avg Week Kibuye-Makindye'!J53+'Avg Week Makindye-Kibuye'!J53</f>
        <v>1.8571428571428572</v>
      </c>
      <c r="K53" s="49">
        <f>'Avg Week Kibuye-Makindye'!K53+'Avg Week Makindye-Kibuye'!K53</f>
        <v>0.8571428571428571</v>
      </c>
      <c r="L53" s="49">
        <f>'Avg Week Kibuye-Makindye'!L53+'Avg Week Makindye-Kibuye'!L53</f>
        <v>0.42857142857142855</v>
      </c>
      <c r="M53" s="49">
        <f>'Avg Week Kibuye-Makindye'!M53+'Avg Week Makindye-Kibuye'!M53</f>
        <v>366.57142857142856</v>
      </c>
      <c r="N53" s="49">
        <f>'Avg Week Kibuye-Makindye'!N53+'Avg Week Makindye-Kibuye'!N53</f>
        <v>0</v>
      </c>
      <c r="O53" s="15">
        <f t="shared" si="0"/>
        <v>180.99999999999997</v>
      </c>
      <c r="P53" s="15">
        <f t="shared" si="1"/>
        <v>547.57142857142856</v>
      </c>
      <c r="R53" s="8"/>
      <c r="T53"/>
    </row>
    <row r="54" spans="2:20" ht="23.1" customHeight="1" x14ac:dyDescent="0.25">
      <c r="B54" s="23" t="s">
        <v>81</v>
      </c>
      <c r="C54" s="49">
        <f>'Avg Week Kibuye-Makindye'!C54+'Avg Week Makindye-Kibuye'!C54</f>
        <v>95.142857142857139</v>
      </c>
      <c r="D54" s="49">
        <f>'Avg Week Kibuye-Makindye'!D54+'Avg Week Makindye-Kibuye'!D54</f>
        <v>22.142857142857142</v>
      </c>
      <c r="E54" s="49">
        <f>'Avg Week Kibuye-Makindye'!E54+'Avg Week Makindye-Kibuye'!E54</f>
        <v>12.285714285714285</v>
      </c>
      <c r="F54" s="49">
        <f>'Avg Week Kibuye-Makindye'!F54+'Avg Week Makindye-Kibuye'!F54</f>
        <v>43.857142857142861</v>
      </c>
      <c r="G54" s="49">
        <f>'Avg Week Kibuye-Makindye'!G54+'Avg Week Makindye-Kibuye'!G54</f>
        <v>0.8571428571428571</v>
      </c>
      <c r="H54" s="49">
        <f>'Avg Week Kibuye-Makindye'!H54+'Avg Week Makindye-Kibuye'!H54</f>
        <v>0.14285714285714285</v>
      </c>
      <c r="I54" s="49">
        <f>'Avg Week Kibuye-Makindye'!I54+'Avg Week Makindye-Kibuye'!I54</f>
        <v>5</v>
      </c>
      <c r="J54" s="49">
        <f>'Avg Week Kibuye-Makindye'!J54+'Avg Week Makindye-Kibuye'!J54</f>
        <v>2</v>
      </c>
      <c r="K54" s="49">
        <f>'Avg Week Kibuye-Makindye'!K54+'Avg Week Makindye-Kibuye'!K54</f>
        <v>1</v>
      </c>
      <c r="L54" s="49">
        <f>'Avg Week Kibuye-Makindye'!L54+'Avg Week Makindye-Kibuye'!L54</f>
        <v>0.2857142857142857</v>
      </c>
      <c r="M54" s="49">
        <f>'Avg Week Kibuye-Makindye'!M54+'Avg Week Makindye-Kibuye'!M54</f>
        <v>350.14285714285711</v>
      </c>
      <c r="N54" s="49">
        <f>'Avg Week Kibuye-Makindye'!N54+'Avg Week Makindye-Kibuye'!N54</f>
        <v>0</v>
      </c>
      <c r="O54" s="15">
        <f t="shared" si="0"/>
        <v>182.71428571428569</v>
      </c>
      <c r="P54" s="15">
        <f t="shared" si="1"/>
        <v>532.85714285714278</v>
      </c>
      <c r="R54" s="8"/>
      <c r="T54"/>
    </row>
    <row r="55" spans="2:20" ht="23.1" customHeight="1" x14ac:dyDescent="0.25">
      <c r="B55" s="23" t="s">
        <v>82</v>
      </c>
      <c r="C55" s="49">
        <f>'Avg Week Kibuye-Makindye'!C55+'Avg Week Makindye-Kibuye'!C55</f>
        <v>93.285714285714292</v>
      </c>
      <c r="D55" s="49">
        <f>'Avg Week Kibuye-Makindye'!D55+'Avg Week Makindye-Kibuye'!D55</f>
        <v>17.571428571428573</v>
      </c>
      <c r="E55" s="49">
        <f>'Avg Week Kibuye-Makindye'!E55+'Avg Week Makindye-Kibuye'!E55</f>
        <v>7.2857142857142856</v>
      </c>
      <c r="F55" s="49">
        <f>'Avg Week Kibuye-Makindye'!F55+'Avg Week Makindye-Kibuye'!F55</f>
        <v>43.571428571428569</v>
      </c>
      <c r="G55" s="49">
        <f>'Avg Week Kibuye-Makindye'!G55+'Avg Week Makindye-Kibuye'!G55</f>
        <v>1</v>
      </c>
      <c r="H55" s="49">
        <f>'Avg Week Kibuye-Makindye'!H55+'Avg Week Makindye-Kibuye'!H55</f>
        <v>0.2857142857142857</v>
      </c>
      <c r="I55" s="49">
        <f>'Avg Week Kibuye-Makindye'!I55+'Avg Week Makindye-Kibuye'!I55</f>
        <v>4.2857142857142856</v>
      </c>
      <c r="J55" s="49">
        <f>'Avg Week Kibuye-Makindye'!J55+'Avg Week Makindye-Kibuye'!J55</f>
        <v>2.7142857142857144</v>
      </c>
      <c r="K55" s="49">
        <f>'Avg Week Kibuye-Makindye'!K55+'Avg Week Makindye-Kibuye'!K55</f>
        <v>0.8571428571428571</v>
      </c>
      <c r="L55" s="49">
        <f>'Avg Week Kibuye-Makindye'!L55+'Avg Week Makindye-Kibuye'!L55</f>
        <v>0.42857142857142855</v>
      </c>
      <c r="M55" s="49">
        <f>'Avg Week Kibuye-Makindye'!M55+'Avg Week Makindye-Kibuye'!M55</f>
        <v>336.57142857142856</v>
      </c>
      <c r="N55" s="49">
        <f>'Avg Week Kibuye-Makindye'!N55+'Avg Week Makindye-Kibuye'!N55</f>
        <v>0</v>
      </c>
      <c r="O55" s="15">
        <f t="shared" si="0"/>
        <v>171.28571428571428</v>
      </c>
      <c r="P55" s="15">
        <f t="shared" si="1"/>
        <v>507.85714285714283</v>
      </c>
      <c r="R55" s="8"/>
      <c r="T55"/>
    </row>
    <row r="56" spans="2:20" ht="23.1" customHeight="1" x14ac:dyDescent="0.25">
      <c r="B56" s="23" t="s">
        <v>83</v>
      </c>
      <c r="C56" s="49">
        <f>'Avg Week Kibuye-Makindye'!C56+'Avg Week Makindye-Kibuye'!C56</f>
        <v>89.714285714285708</v>
      </c>
      <c r="D56" s="49">
        <f>'Avg Week Kibuye-Makindye'!D56+'Avg Week Makindye-Kibuye'!D56</f>
        <v>17.142857142857142</v>
      </c>
      <c r="E56" s="49">
        <f>'Avg Week Kibuye-Makindye'!E56+'Avg Week Makindye-Kibuye'!E56</f>
        <v>7.2857142857142856</v>
      </c>
      <c r="F56" s="49">
        <f>'Avg Week Kibuye-Makindye'!F56+'Avg Week Makindye-Kibuye'!F56</f>
        <v>38.428571428571431</v>
      </c>
      <c r="G56" s="49">
        <f>'Avg Week Kibuye-Makindye'!G56+'Avg Week Makindye-Kibuye'!G56</f>
        <v>1.7142857142857142</v>
      </c>
      <c r="H56" s="49">
        <f>'Avg Week Kibuye-Makindye'!H56+'Avg Week Makindye-Kibuye'!H56</f>
        <v>0.14285714285714285</v>
      </c>
      <c r="I56" s="49">
        <f>'Avg Week Kibuye-Makindye'!I56+'Avg Week Makindye-Kibuye'!I56</f>
        <v>2.7142857142857144</v>
      </c>
      <c r="J56" s="49">
        <f>'Avg Week Kibuye-Makindye'!J56+'Avg Week Makindye-Kibuye'!J56</f>
        <v>1.1428571428571428</v>
      </c>
      <c r="K56" s="49">
        <f>'Avg Week Kibuye-Makindye'!K56+'Avg Week Makindye-Kibuye'!K56</f>
        <v>0.71428571428571419</v>
      </c>
      <c r="L56" s="49">
        <f>'Avg Week Kibuye-Makindye'!L56+'Avg Week Makindye-Kibuye'!L56</f>
        <v>0.42857142857142855</v>
      </c>
      <c r="M56" s="49">
        <f>'Avg Week Kibuye-Makindye'!M56+'Avg Week Makindye-Kibuye'!M56</f>
        <v>361.85714285714289</v>
      </c>
      <c r="N56" s="49">
        <f>'Avg Week Kibuye-Makindye'!N56+'Avg Week Makindye-Kibuye'!N56</f>
        <v>0</v>
      </c>
      <c r="O56" s="15">
        <f t="shared" si="0"/>
        <v>159.42857142857142</v>
      </c>
      <c r="P56" s="15">
        <f t="shared" si="1"/>
        <v>521.28571428571433</v>
      </c>
      <c r="R56" s="8"/>
      <c r="T56"/>
    </row>
    <row r="57" spans="2:20" ht="23.1" customHeight="1" x14ac:dyDescent="0.25">
      <c r="B57" s="23" t="s">
        <v>84</v>
      </c>
      <c r="C57" s="49">
        <f>'Avg Week Kibuye-Makindye'!C57+'Avg Week Makindye-Kibuye'!C57</f>
        <v>88.428571428571431</v>
      </c>
      <c r="D57" s="49">
        <f>'Avg Week Kibuye-Makindye'!D57+'Avg Week Makindye-Kibuye'!D57</f>
        <v>14.571428571428571</v>
      </c>
      <c r="E57" s="49">
        <f>'Avg Week Kibuye-Makindye'!E57+'Avg Week Makindye-Kibuye'!E57</f>
        <v>7.5714285714285712</v>
      </c>
      <c r="F57" s="49">
        <f>'Avg Week Kibuye-Makindye'!F57+'Avg Week Makindye-Kibuye'!F57</f>
        <v>41.142857142857139</v>
      </c>
      <c r="G57" s="49">
        <f>'Avg Week Kibuye-Makindye'!G57+'Avg Week Makindye-Kibuye'!G57</f>
        <v>0.8571428571428571</v>
      </c>
      <c r="H57" s="49">
        <f>'Avg Week Kibuye-Makindye'!H57+'Avg Week Makindye-Kibuye'!H57</f>
        <v>0.42857142857142855</v>
      </c>
      <c r="I57" s="49">
        <f>'Avg Week Kibuye-Makindye'!I57+'Avg Week Makindye-Kibuye'!I57</f>
        <v>2.1428571428571428</v>
      </c>
      <c r="J57" s="49">
        <f>'Avg Week Kibuye-Makindye'!J57+'Avg Week Makindye-Kibuye'!J57</f>
        <v>1.5714285714285714</v>
      </c>
      <c r="K57" s="49">
        <f>'Avg Week Kibuye-Makindye'!K57+'Avg Week Makindye-Kibuye'!K57</f>
        <v>1.1428571428571428</v>
      </c>
      <c r="L57" s="49">
        <f>'Avg Week Kibuye-Makindye'!L57+'Avg Week Makindye-Kibuye'!L57</f>
        <v>34.285714285714285</v>
      </c>
      <c r="M57" s="49">
        <f>'Avg Week Kibuye-Makindye'!M57+'Avg Week Makindye-Kibuye'!M57</f>
        <v>320.71428571428572</v>
      </c>
      <c r="N57" s="49">
        <f>'Avg Week Kibuye-Makindye'!N57+'Avg Week Makindye-Kibuye'!N57</f>
        <v>0</v>
      </c>
      <c r="O57" s="15">
        <f t="shared" si="0"/>
        <v>192.14285714285714</v>
      </c>
      <c r="P57" s="15">
        <f t="shared" si="1"/>
        <v>512.85714285714289</v>
      </c>
      <c r="R57" s="8"/>
      <c r="T57"/>
    </row>
    <row r="58" spans="2:20" ht="23.1" customHeight="1" x14ac:dyDescent="0.25">
      <c r="B58" s="23" t="s">
        <v>100</v>
      </c>
      <c r="C58" s="49">
        <f>'Avg Week Kibuye-Makindye'!C58+'Avg Week Makindye-Kibuye'!C58</f>
        <v>118.75</v>
      </c>
      <c r="D58" s="49">
        <f>'Avg Week Kibuye-Makindye'!D58+'Avg Week Makindye-Kibuye'!D58</f>
        <v>24</v>
      </c>
      <c r="E58" s="49">
        <f>'Avg Week Kibuye-Makindye'!E58+'Avg Week Makindye-Kibuye'!E58</f>
        <v>7.5</v>
      </c>
      <c r="F58" s="49">
        <f>'Avg Week Kibuye-Makindye'!F58+'Avg Week Makindye-Kibuye'!F58</f>
        <v>52.75</v>
      </c>
      <c r="G58" s="49">
        <f>'Avg Week Kibuye-Makindye'!G58+'Avg Week Makindye-Kibuye'!G58</f>
        <v>0.25</v>
      </c>
      <c r="H58" s="49">
        <f>'Avg Week Kibuye-Makindye'!H58+'Avg Week Makindye-Kibuye'!H58</f>
        <v>1</v>
      </c>
      <c r="I58" s="49">
        <f>'Avg Week Kibuye-Makindye'!I58+'Avg Week Makindye-Kibuye'!I58</f>
        <v>3</v>
      </c>
      <c r="J58" s="49">
        <f>'Avg Week Kibuye-Makindye'!J58+'Avg Week Makindye-Kibuye'!J58</f>
        <v>2.25</v>
      </c>
      <c r="K58" s="49">
        <f>'Avg Week Kibuye-Makindye'!K58+'Avg Week Makindye-Kibuye'!K58</f>
        <v>0.75</v>
      </c>
      <c r="L58" s="49">
        <f>'Avg Week Kibuye-Makindye'!L58+'Avg Week Makindye-Kibuye'!L58</f>
        <v>0</v>
      </c>
      <c r="M58" s="49">
        <f>'Avg Week Kibuye-Makindye'!M58+'Avg Week Makindye-Kibuye'!M58</f>
        <v>443.25</v>
      </c>
      <c r="N58" s="49">
        <f>'Avg Week Kibuye-Makindye'!N58+'Avg Week Makindye-Kibuye'!N58</f>
        <v>0</v>
      </c>
      <c r="O58" s="15">
        <f t="shared" ref="O58:O105" si="35">SUM(C58:L58,N58)</f>
        <v>210.25</v>
      </c>
      <c r="P58" s="15">
        <f t="shared" ref="P58:P105" si="36">SUM(C58:N58)</f>
        <v>653.5</v>
      </c>
      <c r="R58" s="8"/>
      <c r="T58"/>
    </row>
    <row r="59" spans="2:20" ht="23.1" customHeight="1" x14ac:dyDescent="0.25">
      <c r="B59" s="23" t="s">
        <v>101</v>
      </c>
      <c r="C59" s="49">
        <f>'Avg Week Kibuye-Makindye'!C59+'Avg Week Makindye-Kibuye'!C59</f>
        <v>90</v>
      </c>
      <c r="D59" s="49">
        <f>'Avg Week Kibuye-Makindye'!D59+'Avg Week Makindye-Kibuye'!D59</f>
        <v>19.5</v>
      </c>
      <c r="E59" s="49">
        <f>'Avg Week Kibuye-Makindye'!E59+'Avg Week Makindye-Kibuye'!E59</f>
        <v>7</v>
      </c>
      <c r="F59" s="49">
        <f>'Avg Week Kibuye-Makindye'!F59+'Avg Week Makindye-Kibuye'!F59</f>
        <v>47.5</v>
      </c>
      <c r="G59" s="49">
        <f>'Avg Week Kibuye-Makindye'!G59+'Avg Week Makindye-Kibuye'!G59</f>
        <v>0</v>
      </c>
      <c r="H59" s="49">
        <f>'Avg Week Kibuye-Makindye'!H59+'Avg Week Makindye-Kibuye'!H59</f>
        <v>0</v>
      </c>
      <c r="I59" s="49">
        <f>'Avg Week Kibuye-Makindye'!I59+'Avg Week Makindye-Kibuye'!I59</f>
        <v>4</v>
      </c>
      <c r="J59" s="49">
        <f>'Avg Week Kibuye-Makindye'!J59+'Avg Week Makindye-Kibuye'!J59</f>
        <v>1</v>
      </c>
      <c r="K59" s="49">
        <f>'Avg Week Kibuye-Makindye'!K59+'Avg Week Makindye-Kibuye'!K59</f>
        <v>0</v>
      </c>
      <c r="L59" s="49">
        <f>'Avg Week Kibuye-Makindye'!L59+'Avg Week Makindye-Kibuye'!L59</f>
        <v>0</v>
      </c>
      <c r="M59" s="49">
        <f>'Avg Week Kibuye-Makindye'!M59+'Avg Week Makindye-Kibuye'!M59</f>
        <v>183.5</v>
      </c>
      <c r="N59" s="49">
        <f>'Avg Week Kibuye-Makindye'!N59+'Avg Week Makindye-Kibuye'!N59</f>
        <v>0</v>
      </c>
      <c r="O59" s="15">
        <f t="shared" si="35"/>
        <v>169</v>
      </c>
      <c r="P59" s="15">
        <f t="shared" si="36"/>
        <v>352.5</v>
      </c>
      <c r="R59" s="8"/>
      <c r="T59"/>
    </row>
    <row r="60" spans="2:20" ht="23.1" customHeight="1" x14ac:dyDescent="0.25">
      <c r="B60" s="23" t="s">
        <v>102</v>
      </c>
      <c r="C60" s="49">
        <f>'Avg Week Kibuye-Makindye'!C60+'Avg Week Makindye-Kibuye'!C60</f>
        <v>124</v>
      </c>
      <c r="D60" s="49">
        <f>'Avg Week Kibuye-Makindye'!D60+'Avg Week Makindye-Kibuye'!D60</f>
        <v>14.5</v>
      </c>
      <c r="E60" s="49">
        <f>'Avg Week Kibuye-Makindye'!E60+'Avg Week Makindye-Kibuye'!E60</f>
        <v>4</v>
      </c>
      <c r="F60" s="49">
        <f>'Avg Week Kibuye-Makindye'!F60+'Avg Week Makindye-Kibuye'!F60</f>
        <v>64</v>
      </c>
      <c r="G60" s="49">
        <f>'Avg Week Kibuye-Makindye'!G60+'Avg Week Makindye-Kibuye'!G60</f>
        <v>1.5</v>
      </c>
      <c r="H60" s="49">
        <f>'Avg Week Kibuye-Makindye'!H60+'Avg Week Makindye-Kibuye'!H60</f>
        <v>1</v>
      </c>
      <c r="I60" s="49">
        <f>'Avg Week Kibuye-Makindye'!I60+'Avg Week Makindye-Kibuye'!I60</f>
        <v>4</v>
      </c>
      <c r="J60" s="49">
        <f>'Avg Week Kibuye-Makindye'!J60+'Avg Week Makindye-Kibuye'!J60</f>
        <v>3</v>
      </c>
      <c r="K60" s="49">
        <f>'Avg Week Kibuye-Makindye'!K60+'Avg Week Makindye-Kibuye'!K60</f>
        <v>2</v>
      </c>
      <c r="L60" s="49">
        <f>'Avg Week Kibuye-Makindye'!L60+'Avg Week Makindye-Kibuye'!L60</f>
        <v>0</v>
      </c>
      <c r="M60" s="49">
        <f>'Avg Week Kibuye-Makindye'!M60+'Avg Week Makindye-Kibuye'!M60</f>
        <v>243.5</v>
      </c>
      <c r="N60" s="49">
        <f>'Avg Week Kibuye-Makindye'!N60+'Avg Week Makindye-Kibuye'!N60</f>
        <v>0</v>
      </c>
      <c r="O60" s="15">
        <f t="shared" si="35"/>
        <v>218</v>
      </c>
      <c r="P60" s="15">
        <f t="shared" si="36"/>
        <v>461.5</v>
      </c>
      <c r="R60" s="8"/>
      <c r="T60"/>
    </row>
    <row r="61" spans="2:20" ht="23.1" customHeight="1" x14ac:dyDescent="0.25">
      <c r="B61" s="23" t="s">
        <v>103</v>
      </c>
      <c r="C61" s="49">
        <f>'Avg Week Kibuye-Makindye'!C61+'Avg Week Makindye-Kibuye'!C61</f>
        <v>111.5</v>
      </c>
      <c r="D61" s="49">
        <f>'Avg Week Kibuye-Makindye'!D61+'Avg Week Makindye-Kibuye'!D61</f>
        <v>11</v>
      </c>
      <c r="E61" s="49">
        <f>'Avg Week Kibuye-Makindye'!E61+'Avg Week Makindye-Kibuye'!E61</f>
        <v>4.5</v>
      </c>
      <c r="F61" s="49">
        <f>'Avg Week Kibuye-Makindye'!F61+'Avg Week Makindye-Kibuye'!F61</f>
        <v>65</v>
      </c>
      <c r="G61" s="49">
        <f>'Avg Week Kibuye-Makindye'!G61+'Avg Week Makindye-Kibuye'!G61</f>
        <v>0</v>
      </c>
      <c r="H61" s="49">
        <f>'Avg Week Kibuye-Makindye'!H61+'Avg Week Makindye-Kibuye'!H61</f>
        <v>0</v>
      </c>
      <c r="I61" s="49">
        <f>'Avg Week Kibuye-Makindye'!I61+'Avg Week Makindye-Kibuye'!I61</f>
        <v>4.5</v>
      </c>
      <c r="J61" s="49">
        <f>'Avg Week Kibuye-Makindye'!J61+'Avg Week Makindye-Kibuye'!J61</f>
        <v>0.5</v>
      </c>
      <c r="K61" s="49">
        <f>'Avg Week Kibuye-Makindye'!K61+'Avg Week Makindye-Kibuye'!K61</f>
        <v>0</v>
      </c>
      <c r="L61" s="49">
        <f>'Avg Week Kibuye-Makindye'!L61+'Avg Week Makindye-Kibuye'!L61</f>
        <v>0</v>
      </c>
      <c r="M61" s="49">
        <f>'Avg Week Kibuye-Makindye'!M61+'Avg Week Makindye-Kibuye'!M61</f>
        <v>251</v>
      </c>
      <c r="N61" s="49">
        <f>'Avg Week Kibuye-Makindye'!N61+'Avg Week Makindye-Kibuye'!N61</f>
        <v>0</v>
      </c>
      <c r="O61" s="15">
        <f t="shared" si="35"/>
        <v>197</v>
      </c>
      <c r="P61" s="15">
        <f t="shared" si="36"/>
        <v>448</v>
      </c>
      <c r="R61" s="8"/>
      <c r="T61"/>
    </row>
    <row r="62" spans="2:20" ht="23.1" customHeight="1" x14ac:dyDescent="0.25">
      <c r="B62" s="23" t="s">
        <v>108</v>
      </c>
      <c r="C62" s="49">
        <f>'Avg Week Kibuye-Makindye'!C62+'Avg Week Makindye-Kibuye'!C62</f>
        <v>82.5</v>
      </c>
      <c r="D62" s="49">
        <f>'Avg Week Kibuye-Makindye'!D62+'Avg Week Makindye-Kibuye'!D62</f>
        <v>17.5</v>
      </c>
      <c r="E62" s="49">
        <f>'Avg Week Kibuye-Makindye'!E62+'Avg Week Makindye-Kibuye'!E62</f>
        <v>7</v>
      </c>
      <c r="F62" s="49">
        <f>'Avg Week Kibuye-Makindye'!F62+'Avg Week Makindye-Kibuye'!F62</f>
        <v>51</v>
      </c>
      <c r="G62" s="49">
        <f>'Avg Week Kibuye-Makindye'!G62+'Avg Week Makindye-Kibuye'!G62</f>
        <v>0</v>
      </c>
      <c r="H62" s="49">
        <f>'Avg Week Kibuye-Makindye'!H62+'Avg Week Makindye-Kibuye'!H62</f>
        <v>1</v>
      </c>
      <c r="I62" s="49">
        <f>'Avg Week Kibuye-Makindye'!I62+'Avg Week Makindye-Kibuye'!I62</f>
        <v>6</v>
      </c>
      <c r="J62" s="49">
        <f>'Avg Week Kibuye-Makindye'!J62+'Avg Week Makindye-Kibuye'!J62</f>
        <v>0.5</v>
      </c>
      <c r="K62" s="49">
        <f>'Avg Week Kibuye-Makindye'!K62+'Avg Week Makindye-Kibuye'!K62</f>
        <v>0</v>
      </c>
      <c r="L62" s="49">
        <f>'Avg Week Kibuye-Makindye'!L62+'Avg Week Makindye-Kibuye'!L62</f>
        <v>0</v>
      </c>
      <c r="M62" s="49">
        <f>'Avg Week Kibuye-Makindye'!M62+'Avg Week Makindye-Kibuye'!M62</f>
        <v>222</v>
      </c>
      <c r="N62" s="49">
        <f>'Avg Week Kibuye-Makindye'!N62+'Avg Week Makindye-Kibuye'!N62</f>
        <v>0</v>
      </c>
      <c r="O62" s="15">
        <f t="shared" si="35"/>
        <v>165.5</v>
      </c>
      <c r="P62" s="15">
        <f t="shared" si="36"/>
        <v>387.5</v>
      </c>
      <c r="R62" s="8"/>
      <c r="T62"/>
    </row>
    <row r="63" spans="2:20" ht="23.1" customHeight="1" x14ac:dyDescent="0.25">
      <c r="B63" s="23" t="s">
        <v>109</v>
      </c>
      <c r="C63" s="49">
        <f>'Avg Week Kibuye-Makindye'!C63+'Avg Week Makindye-Kibuye'!C63</f>
        <v>100</v>
      </c>
      <c r="D63" s="49">
        <f>'Avg Week Kibuye-Makindye'!D63+'Avg Week Makindye-Kibuye'!D63</f>
        <v>12</v>
      </c>
      <c r="E63" s="49">
        <f>'Avg Week Kibuye-Makindye'!E63+'Avg Week Makindye-Kibuye'!E63</f>
        <v>8</v>
      </c>
      <c r="F63" s="49">
        <f>'Avg Week Kibuye-Makindye'!F63+'Avg Week Makindye-Kibuye'!F63</f>
        <v>97.5</v>
      </c>
      <c r="G63" s="49">
        <f>'Avg Week Kibuye-Makindye'!G63+'Avg Week Makindye-Kibuye'!G63</f>
        <v>0</v>
      </c>
      <c r="H63" s="49">
        <f>'Avg Week Kibuye-Makindye'!H63+'Avg Week Makindye-Kibuye'!H63</f>
        <v>0</v>
      </c>
      <c r="I63" s="49">
        <f>'Avg Week Kibuye-Makindye'!I63+'Avg Week Makindye-Kibuye'!I63</f>
        <v>3</v>
      </c>
      <c r="J63" s="49">
        <f>'Avg Week Kibuye-Makindye'!J63+'Avg Week Makindye-Kibuye'!J63</f>
        <v>0</v>
      </c>
      <c r="K63" s="49">
        <f>'Avg Week Kibuye-Makindye'!K63+'Avg Week Makindye-Kibuye'!K63</f>
        <v>0</v>
      </c>
      <c r="L63" s="49">
        <f>'Avg Week Kibuye-Makindye'!L63+'Avg Week Makindye-Kibuye'!L63</f>
        <v>0</v>
      </c>
      <c r="M63" s="49">
        <f>'Avg Week Kibuye-Makindye'!M63+'Avg Week Makindye-Kibuye'!M63</f>
        <v>189</v>
      </c>
      <c r="N63" s="49">
        <f>'Avg Week Kibuye-Makindye'!N63+'Avg Week Makindye-Kibuye'!N63</f>
        <v>0</v>
      </c>
      <c r="O63" s="15">
        <f t="shared" si="35"/>
        <v>220.5</v>
      </c>
      <c r="P63" s="15">
        <f t="shared" si="36"/>
        <v>409.5</v>
      </c>
      <c r="R63" s="8"/>
      <c r="T63"/>
    </row>
    <row r="64" spans="2:20" ht="23.1" customHeight="1" x14ac:dyDescent="0.25">
      <c r="B64" s="23" t="s">
        <v>110</v>
      </c>
      <c r="C64" s="49">
        <f>'Avg Week Kibuye-Makindye'!C64+'Avg Week Makindye-Kibuye'!C64</f>
        <v>118</v>
      </c>
      <c r="D64" s="49">
        <f>'Avg Week Kibuye-Makindye'!D64+'Avg Week Makindye-Kibuye'!D64</f>
        <v>12.5</v>
      </c>
      <c r="E64" s="49">
        <f>'Avg Week Kibuye-Makindye'!E64+'Avg Week Makindye-Kibuye'!E64</f>
        <v>10</v>
      </c>
      <c r="F64" s="49">
        <f>'Avg Week Kibuye-Makindye'!F64+'Avg Week Makindye-Kibuye'!F64</f>
        <v>90</v>
      </c>
      <c r="G64" s="49">
        <f>'Avg Week Kibuye-Makindye'!G64+'Avg Week Makindye-Kibuye'!G64</f>
        <v>0.5</v>
      </c>
      <c r="H64" s="49">
        <f>'Avg Week Kibuye-Makindye'!H64+'Avg Week Makindye-Kibuye'!H64</f>
        <v>0.5</v>
      </c>
      <c r="I64" s="49">
        <f>'Avg Week Kibuye-Makindye'!I64+'Avg Week Makindye-Kibuye'!I64</f>
        <v>6</v>
      </c>
      <c r="J64" s="49">
        <f>'Avg Week Kibuye-Makindye'!J64+'Avg Week Makindye-Kibuye'!J64</f>
        <v>1</v>
      </c>
      <c r="K64" s="49">
        <f>'Avg Week Kibuye-Makindye'!K64+'Avg Week Makindye-Kibuye'!K64</f>
        <v>1</v>
      </c>
      <c r="L64" s="49">
        <f>'Avg Week Kibuye-Makindye'!L64+'Avg Week Makindye-Kibuye'!L64</f>
        <v>0</v>
      </c>
      <c r="M64" s="49">
        <f>'Avg Week Kibuye-Makindye'!M64+'Avg Week Makindye-Kibuye'!M64</f>
        <v>259</v>
      </c>
      <c r="N64" s="49">
        <f>'Avg Week Kibuye-Makindye'!N64+'Avg Week Makindye-Kibuye'!N64</f>
        <v>0</v>
      </c>
      <c r="O64" s="15">
        <f t="shared" si="35"/>
        <v>239.5</v>
      </c>
      <c r="P64" s="15">
        <f t="shared" si="36"/>
        <v>498.5</v>
      </c>
      <c r="R64" s="8"/>
      <c r="T64"/>
    </row>
    <row r="65" spans="2:20" ht="23.1" customHeight="1" x14ac:dyDescent="0.25">
      <c r="B65" s="23" t="s">
        <v>159</v>
      </c>
      <c r="C65" s="49">
        <f>'Avg Week Kibuye-Makindye'!C65+'Avg Week Makindye-Kibuye'!C65</f>
        <v>92.5</v>
      </c>
      <c r="D65" s="49">
        <f>'Avg Week Kibuye-Makindye'!D65+'Avg Week Makindye-Kibuye'!D65</f>
        <v>15</v>
      </c>
      <c r="E65" s="49">
        <f>'Avg Week Kibuye-Makindye'!E65+'Avg Week Makindye-Kibuye'!E65</f>
        <v>5</v>
      </c>
      <c r="F65" s="49">
        <f>'Avg Week Kibuye-Makindye'!F65+'Avg Week Makindye-Kibuye'!F65</f>
        <v>80</v>
      </c>
      <c r="G65" s="49">
        <f>'Avg Week Kibuye-Makindye'!G65+'Avg Week Makindye-Kibuye'!G65</f>
        <v>0</v>
      </c>
      <c r="H65" s="49">
        <f>'Avg Week Kibuye-Makindye'!H65+'Avg Week Makindye-Kibuye'!H65</f>
        <v>0.5</v>
      </c>
      <c r="I65" s="49">
        <f>'Avg Week Kibuye-Makindye'!I65+'Avg Week Makindye-Kibuye'!I65</f>
        <v>5</v>
      </c>
      <c r="J65" s="49">
        <f>'Avg Week Kibuye-Makindye'!J65+'Avg Week Makindye-Kibuye'!J65</f>
        <v>3</v>
      </c>
      <c r="K65" s="49">
        <f>'Avg Week Kibuye-Makindye'!K65+'Avg Week Makindye-Kibuye'!K65</f>
        <v>0.5</v>
      </c>
      <c r="L65" s="49">
        <f>'Avg Week Kibuye-Makindye'!L65+'Avg Week Makindye-Kibuye'!L65</f>
        <v>0</v>
      </c>
      <c r="M65" s="49">
        <f>'Avg Week Kibuye-Makindye'!M65+'Avg Week Makindye-Kibuye'!M65</f>
        <v>229.5</v>
      </c>
      <c r="N65" s="49">
        <f>'Avg Week Kibuye-Makindye'!N65+'Avg Week Makindye-Kibuye'!N65</f>
        <v>0</v>
      </c>
      <c r="O65" s="15">
        <f t="shared" si="35"/>
        <v>201.5</v>
      </c>
      <c r="P65" s="15">
        <f t="shared" si="36"/>
        <v>431</v>
      </c>
      <c r="R65" s="8"/>
      <c r="T65"/>
    </row>
    <row r="66" spans="2:20" ht="23.1" customHeight="1" x14ac:dyDescent="0.25">
      <c r="B66" s="23" t="s">
        <v>104</v>
      </c>
      <c r="C66" s="49">
        <f>'Avg Week Kibuye-Makindye'!C66+'Avg Week Makindye-Kibuye'!C66</f>
        <v>78</v>
      </c>
      <c r="D66" s="49">
        <f>'Avg Week Kibuye-Makindye'!D66+'Avg Week Makindye-Kibuye'!D66</f>
        <v>25.5</v>
      </c>
      <c r="E66" s="49">
        <f>'Avg Week Kibuye-Makindye'!E66+'Avg Week Makindye-Kibuye'!E66</f>
        <v>9</v>
      </c>
      <c r="F66" s="49">
        <f>'Avg Week Kibuye-Makindye'!F66+'Avg Week Makindye-Kibuye'!F66</f>
        <v>34.5</v>
      </c>
      <c r="G66" s="49">
        <f>'Avg Week Kibuye-Makindye'!G66+'Avg Week Makindye-Kibuye'!G66</f>
        <v>0</v>
      </c>
      <c r="H66" s="49">
        <f>'Avg Week Kibuye-Makindye'!H66+'Avg Week Makindye-Kibuye'!H66</f>
        <v>0</v>
      </c>
      <c r="I66" s="49">
        <f>'Avg Week Kibuye-Makindye'!I66+'Avg Week Makindye-Kibuye'!I66</f>
        <v>9</v>
      </c>
      <c r="J66" s="49">
        <f>'Avg Week Kibuye-Makindye'!J66+'Avg Week Makindye-Kibuye'!J66</f>
        <v>2</v>
      </c>
      <c r="K66" s="49">
        <f>'Avg Week Kibuye-Makindye'!K66+'Avg Week Makindye-Kibuye'!K66</f>
        <v>0</v>
      </c>
      <c r="L66" s="49">
        <f>'Avg Week Kibuye-Makindye'!L66+'Avg Week Makindye-Kibuye'!L66</f>
        <v>0</v>
      </c>
      <c r="M66" s="49">
        <f>'Avg Week Kibuye-Makindye'!M66+'Avg Week Makindye-Kibuye'!M66</f>
        <v>315.5</v>
      </c>
      <c r="N66" s="49">
        <f>'Avg Week Kibuye-Makindye'!N66+'Avg Week Makindye-Kibuye'!N66</f>
        <v>0</v>
      </c>
      <c r="O66" s="15">
        <f t="shared" si="35"/>
        <v>158</v>
      </c>
      <c r="P66" s="15">
        <f t="shared" si="36"/>
        <v>473.5</v>
      </c>
      <c r="R66" s="8"/>
      <c r="T66"/>
    </row>
    <row r="67" spans="2:20" ht="23.1" customHeight="1" x14ac:dyDescent="0.25">
      <c r="B67" s="23" t="s">
        <v>105</v>
      </c>
      <c r="C67" s="49">
        <f>'Avg Week Kibuye-Makindye'!C67+'Avg Week Makindye-Kibuye'!C67</f>
        <v>106</v>
      </c>
      <c r="D67" s="49">
        <f>'Avg Week Kibuye-Makindye'!D67+'Avg Week Makindye-Kibuye'!D67</f>
        <v>11.5</v>
      </c>
      <c r="E67" s="49">
        <f>'Avg Week Kibuye-Makindye'!E67+'Avg Week Makindye-Kibuye'!E67</f>
        <v>7.5</v>
      </c>
      <c r="F67" s="49">
        <f>'Avg Week Kibuye-Makindye'!F67+'Avg Week Makindye-Kibuye'!F67</f>
        <v>32.5</v>
      </c>
      <c r="G67" s="49">
        <f>'Avg Week Kibuye-Makindye'!G67+'Avg Week Makindye-Kibuye'!G67</f>
        <v>1</v>
      </c>
      <c r="H67" s="49">
        <f>'Avg Week Kibuye-Makindye'!H67+'Avg Week Makindye-Kibuye'!H67</f>
        <v>0</v>
      </c>
      <c r="I67" s="49">
        <f>'Avg Week Kibuye-Makindye'!I67+'Avg Week Makindye-Kibuye'!I67</f>
        <v>9</v>
      </c>
      <c r="J67" s="49">
        <f>'Avg Week Kibuye-Makindye'!J67+'Avg Week Makindye-Kibuye'!J67</f>
        <v>2</v>
      </c>
      <c r="K67" s="49">
        <f>'Avg Week Kibuye-Makindye'!K67+'Avg Week Makindye-Kibuye'!K67</f>
        <v>0</v>
      </c>
      <c r="L67" s="49">
        <f>'Avg Week Kibuye-Makindye'!L67+'Avg Week Makindye-Kibuye'!L67</f>
        <v>0</v>
      </c>
      <c r="M67" s="49">
        <f>'Avg Week Kibuye-Makindye'!M67+'Avg Week Makindye-Kibuye'!M67</f>
        <v>294</v>
      </c>
      <c r="N67" s="49">
        <f>'Avg Week Kibuye-Makindye'!N67+'Avg Week Makindye-Kibuye'!N67</f>
        <v>0</v>
      </c>
      <c r="O67" s="15">
        <f t="shared" si="35"/>
        <v>169.5</v>
      </c>
      <c r="P67" s="15">
        <f t="shared" si="36"/>
        <v>463.5</v>
      </c>
      <c r="R67" s="8"/>
      <c r="T67"/>
    </row>
    <row r="68" spans="2:20" ht="23.1" customHeight="1" x14ac:dyDescent="0.25">
      <c r="B68" s="23" t="s">
        <v>106</v>
      </c>
      <c r="C68" s="49">
        <f>'Avg Week Kibuye-Makindye'!C68+'Avg Week Makindye-Kibuye'!C68</f>
        <v>91</v>
      </c>
      <c r="D68" s="49">
        <f>'Avg Week Kibuye-Makindye'!D68+'Avg Week Makindye-Kibuye'!D68</f>
        <v>14</v>
      </c>
      <c r="E68" s="49">
        <f>'Avg Week Kibuye-Makindye'!E68+'Avg Week Makindye-Kibuye'!E68</f>
        <v>7.5</v>
      </c>
      <c r="F68" s="49">
        <f>'Avg Week Kibuye-Makindye'!F68+'Avg Week Makindye-Kibuye'!F68</f>
        <v>40.5</v>
      </c>
      <c r="G68" s="49">
        <f>'Avg Week Kibuye-Makindye'!G68+'Avg Week Makindye-Kibuye'!G68</f>
        <v>0.5</v>
      </c>
      <c r="H68" s="49">
        <f>'Avg Week Kibuye-Makindye'!H68+'Avg Week Makindye-Kibuye'!H68</f>
        <v>0.5</v>
      </c>
      <c r="I68" s="49">
        <f>'Avg Week Kibuye-Makindye'!I68+'Avg Week Makindye-Kibuye'!I68</f>
        <v>2.5</v>
      </c>
      <c r="J68" s="49">
        <f>'Avg Week Kibuye-Makindye'!J68+'Avg Week Makindye-Kibuye'!J68</f>
        <v>2</v>
      </c>
      <c r="K68" s="49">
        <f>'Avg Week Kibuye-Makindye'!K68+'Avg Week Makindye-Kibuye'!K68</f>
        <v>0</v>
      </c>
      <c r="L68" s="49">
        <f>'Avg Week Kibuye-Makindye'!L68+'Avg Week Makindye-Kibuye'!L68</f>
        <v>0</v>
      </c>
      <c r="M68" s="49">
        <f>'Avg Week Kibuye-Makindye'!M68+'Avg Week Makindye-Kibuye'!M68</f>
        <v>255.5</v>
      </c>
      <c r="N68" s="49">
        <f>'Avg Week Kibuye-Makindye'!N68+'Avg Week Makindye-Kibuye'!N68</f>
        <v>0</v>
      </c>
      <c r="O68" s="15">
        <f t="shared" si="35"/>
        <v>158.5</v>
      </c>
      <c r="P68" s="15">
        <f t="shared" si="36"/>
        <v>414</v>
      </c>
      <c r="R68" s="8"/>
      <c r="T68"/>
    </row>
    <row r="69" spans="2:20" ht="23.1" customHeight="1" x14ac:dyDescent="0.25">
      <c r="B69" s="23" t="s">
        <v>107</v>
      </c>
      <c r="C69" s="49">
        <f>'Avg Week Kibuye-Makindye'!C69+'Avg Week Makindye-Kibuye'!C69</f>
        <v>77</v>
      </c>
      <c r="D69" s="49">
        <f>'Avg Week Kibuye-Makindye'!D69+'Avg Week Makindye-Kibuye'!D69</f>
        <v>19.5</v>
      </c>
      <c r="E69" s="49">
        <f>'Avg Week Kibuye-Makindye'!E69+'Avg Week Makindye-Kibuye'!E69</f>
        <v>7.5</v>
      </c>
      <c r="F69" s="49">
        <f>'Avg Week Kibuye-Makindye'!F69+'Avg Week Makindye-Kibuye'!F69</f>
        <v>30</v>
      </c>
      <c r="G69" s="49">
        <f>'Avg Week Kibuye-Makindye'!G69+'Avg Week Makindye-Kibuye'!G69</f>
        <v>0</v>
      </c>
      <c r="H69" s="49">
        <f>'Avg Week Kibuye-Makindye'!H69+'Avg Week Makindye-Kibuye'!H69</f>
        <v>0</v>
      </c>
      <c r="I69" s="49">
        <f>'Avg Week Kibuye-Makindye'!I69+'Avg Week Makindye-Kibuye'!I69</f>
        <v>2</v>
      </c>
      <c r="J69" s="49">
        <f>'Avg Week Kibuye-Makindye'!J69+'Avg Week Makindye-Kibuye'!J69</f>
        <v>0</v>
      </c>
      <c r="K69" s="49">
        <f>'Avg Week Kibuye-Makindye'!K69+'Avg Week Makindye-Kibuye'!K69</f>
        <v>0</v>
      </c>
      <c r="L69" s="49">
        <f>'Avg Week Kibuye-Makindye'!L69+'Avg Week Makindye-Kibuye'!L69</f>
        <v>0</v>
      </c>
      <c r="M69" s="49">
        <f>'Avg Week Kibuye-Makindye'!M69+'Avg Week Makindye-Kibuye'!M69</f>
        <v>243.5</v>
      </c>
      <c r="N69" s="49">
        <f>'Avg Week Kibuye-Makindye'!N69+'Avg Week Makindye-Kibuye'!N69</f>
        <v>0</v>
      </c>
      <c r="O69" s="15">
        <f t="shared" si="35"/>
        <v>136</v>
      </c>
      <c r="P69" s="15">
        <f t="shared" si="36"/>
        <v>379.5</v>
      </c>
      <c r="R69" s="8"/>
      <c r="T69"/>
    </row>
    <row r="70" spans="2:20" ht="23.1" customHeight="1" x14ac:dyDescent="0.25">
      <c r="B70" s="23" t="s">
        <v>111</v>
      </c>
      <c r="C70" s="49">
        <f>'Avg Week Kibuye-Makindye'!C70+'Avg Week Makindye-Kibuye'!C70</f>
        <v>68</v>
      </c>
      <c r="D70" s="49">
        <f>'Avg Week Kibuye-Makindye'!D70+'Avg Week Makindye-Kibuye'!D70</f>
        <v>11.5</v>
      </c>
      <c r="E70" s="49">
        <f>'Avg Week Kibuye-Makindye'!E70+'Avg Week Makindye-Kibuye'!E70</f>
        <v>3</v>
      </c>
      <c r="F70" s="49">
        <f>'Avg Week Kibuye-Makindye'!F70+'Avg Week Makindye-Kibuye'!F70</f>
        <v>44.5</v>
      </c>
      <c r="G70" s="49">
        <f>'Avg Week Kibuye-Makindye'!G70+'Avg Week Makindye-Kibuye'!G70</f>
        <v>0.5</v>
      </c>
      <c r="H70" s="49">
        <f>'Avg Week Kibuye-Makindye'!H70+'Avg Week Makindye-Kibuye'!H70</f>
        <v>0.5</v>
      </c>
      <c r="I70" s="49">
        <f>'Avg Week Kibuye-Makindye'!I70+'Avg Week Makindye-Kibuye'!I70</f>
        <v>2.5</v>
      </c>
      <c r="J70" s="49">
        <f>'Avg Week Kibuye-Makindye'!J70+'Avg Week Makindye-Kibuye'!J70</f>
        <v>1</v>
      </c>
      <c r="K70" s="49">
        <f>'Avg Week Kibuye-Makindye'!K70+'Avg Week Makindye-Kibuye'!K70</f>
        <v>0</v>
      </c>
      <c r="L70" s="49">
        <f>'Avg Week Kibuye-Makindye'!L70+'Avg Week Makindye-Kibuye'!L70</f>
        <v>0</v>
      </c>
      <c r="M70" s="49">
        <f>'Avg Week Kibuye-Makindye'!M70+'Avg Week Makindye-Kibuye'!M70</f>
        <v>248</v>
      </c>
      <c r="N70" s="49">
        <f>'Avg Week Kibuye-Makindye'!N70+'Avg Week Makindye-Kibuye'!N70</f>
        <v>0</v>
      </c>
      <c r="O70" s="15">
        <f t="shared" si="35"/>
        <v>131.5</v>
      </c>
      <c r="P70" s="15">
        <f t="shared" si="36"/>
        <v>379.5</v>
      </c>
      <c r="R70" s="8"/>
      <c r="T70"/>
    </row>
    <row r="71" spans="2:20" ht="23.1" customHeight="1" x14ac:dyDescent="0.25">
      <c r="B71" s="23" t="s">
        <v>112</v>
      </c>
      <c r="C71" s="49">
        <f>'Avg Week Kibuye-Makindye'!C71+'Avg Week Makindye-Kibuye'!C71</f>
        <v>78.5</v>
      </c>
      <c r="D71" s="49">
        <f>'Avg Week Kibuye-Makindye'!D71+'Avg Week Makindye-Kibuye'!D71</f>
        <v>15.5</v>
      </c>
      <c r="E71" s="49">
        <f>'Avg Week Kibuye-Makindye'!E71+'Avg Week Makindye-Kibuye'!E71</f>
        <v>10</v>
      </c>
      <c r="F71" s="49">
        <f>'Avg Week Kibuye-Makindye'!F71+'Avg Week Makindye-Kibuye'!F71</f>
        <v>36.5</v>
      </c>
      <c r="G71" s="49">
        <f>'Avg Week Kibuye-Makindye'!G71+'Avg Week Makindye-Kibuye'!G71</f>
        <v>0</v>
      </c>
      <c r="H71" s="49">
        <f>'Avg Week Kibuye-Makindye'!H71+'Avg Week Makindye-Kibuye'!H71</f>
        <v>1</v>
      </c>
      <c r="I71" s="49">
        <f>'Avg Week Kibuye-Makindye'!I71+'Avg Week Makindye-Kibuye'!I71</f>
        <v>2</v>
      </c>
      <c r="J71" s="49">
        <f>'Avg Week Kibuye-Makindye'!J71+'Avg Week Makindye-Kibuye'!J71</f>
        <v>0</v>
      </c>
      <c r="K71" s="49">
        <f>'Avg Week Kibuye-Makindye'!K71+'Avg Week Makindye-Kibuye'!K71</f>
        <v>0</v>
      </c>
      <c r="L71" s="49">
        <f>'Avg Week Kibuye-Makindye'!L71+'Avg Week Makindye-Kibuye'!L71</f>
        <v>0</v>
      </c>
      <c r="M71" s="49">
        <f>'Avg Week Kibuye-Makindye'!M71+'Avg Week Makindye-Kibuye'!M71</f>
        <v>302.5</v>
      </c>
      <c r="N71" s="49">
        <f>'Avg Week Kibuye-Makindye'!N71+'Avg Week Makindye-Kibuye'!N71</f>
        <v>0</v>
      </c>
      <c r="O71" s="15">
        <f t="shared" si="35"/>
        <v>143.5</v>
      </c>
      <c r="P71" s="15">
        <f t="shared" si="36"/>
        <v>446</v>
      </c>
      <c r="R71" s="8"/>
      <c r="T71"/>
    </row>
    <row r="72" spans="2:20" ht="23.1" customHeight="1" x14ac:dyDescent="0.25">
      <c r="B72" s="23" t="s">
        <v>113</v>
      </c>
      <c r="C72" s="49">
        <f>'Avg Week Kibuye-Makindye'!C72+'Avg Week Makindye-Kibuye'!C72</f>
        <v>103</v>
      </c>
      <c r="D72" s="49">
        <f>'Avg Week Kibuye-Makindye'!D72+'Avg Week Makindye-Kibuye'!D72</f>
        <v>8</v>
      </c>
      <c r="E72" s="49">
        <f>'Avg Week Kibuye-Makindye'!E72+'Avg Week Makindye-Kibuye'!E72</f>
        <v>2.5</v>
      </c>
      <c r="F72" s="49">
        <f>'Avg Week Kibuye-Makindye'!F72+'Avg Week Makindye-Kibuye'!F72</f>
        <v>48.5</v>
      </c>
      <c r="G72" s="49">
        <f>'Avg Week Kibuye-Makindye'!G72+'Avg Week Makindye-Kibuye'!G72</f>
        <v>0</v>
      </c>
      <c r="H72" s="49">
        <f>'Avg Week Kibuye-Makindye'!H72+'Avg Week Makindye-Kibuye'!H72</f>
        <v>0</v>
      </c>
      <c r="I72" s="49">
        <f>'Avg Week Kibuye-Makindye'!I72+'Avg Week Makindye-Kibuye'!I72</f>
        <v>3.5</v>
      </c>
      <c r="J72" s="49">
        <f>'Avg Week Kibuye-Makindye'!J72+'Avg Week Makindye-Kibuye'!J72</f>
        <v>0</v>
      </c>
      <c r="K72" s="49">
        <f>'Avg Week Kibuye-Makindye'!K72+'Avg Week Makindye-Kibuye'!K72</f>
        <v>0</v>
      </c>
      <c r="L72" s="49">
        <f>'Avg Week Kibuye-Makindye'!L72+'Avg Week Makindye-Kibuye'!L72</f>
        <v>0</v>
      </c>
      <c r="M72" s="49">
        <f>'Avg Week Kibuye-Makindye'!M72+'Avg Week Makindye-Kibuye'!M72</f>
        <v>218.5</v>
      </c>
      <c r="N72" s="49">
        <f>'Avg Week Kibuye-Makindye'!N72+'Avg Week Makindye-Kibuye'!N72</f>
        <v>0</v>
      </c>
      <c r="O72" s="15">
        <f t="shared" si="35"/>
        <v>165.5</v>
      </c>
      <c r="P72" s="15">
        <f t="shared" si="36"/>
        <v>384</v>
      </c>
      <c r="R72" s="8"/>
      <c r="T72"/>
    </row>
    <row r="73" spans="2:20" ht="23.1" customHeight="1" x14ac:dyDescent="0.25">
      <c r="B73" s="23" t="s">
        <v>114</v>
      </c>
      <c r="C73" s="49">
        <f>'Avg Week Kibuye-Makindye'!C73+'Avg Week Makindye-Kibuye'!C73</f>
        <v>114</v>
      </c>
      <c r="D73" s="49">
        <f>'Avg Week Kibuye-Makindye'!D73+'Avg Week Makindye-Kibuye'!D73</f>
        <v>12.5</v>
      </c>
      <c r="E73" s="49">
        <f>'Avg Week Kibuye-Makindye'!E73+'Avg Week Makindye-Kibuye'!E73</f>
        <v>8</v>
      </c>
      <c r="F73" s="49">
        <f>'Avg Week Kibuye-Makindye'!F73+'Avg Week Makindye-Kibuye'!F73</f>
        <v>16.5</v>
      </c>
      <c r="G73" s="49">
        <f>'Avg Week Kibuye-Makindye'!G73+'Avg Week Makindye-Kibuye'!G73</f>
        <v>0</v>
      </c>
      <c r="H73" s="49">
        <f>'Avg Week Kibuye-Makindye'!H73+'Avg Week Makindye-Kibuye'!H73</f>
        <v>0</v>
      </c>
      <c r="I73" s="49">
        <f>'Avg Week Kibuye-Makindye'!I73+'Avg Week Makindye-Kibuye'!I73</f>
        <v>3</v>
      </c>
      <c r="J73" s="49">
        <f>'Avg Week Kibuye-Makindye'!J73+'Avg Week Makindye-Kibuye'!J73</f>
        <v>0</v>
      </c>
      <c r="K73" s="49">
        <f>'Avg Week Kibuye-Makindye'!K73+'Avg Week Makindye-Kibuye'!K73</f>
        <v>0</v>
      </c>
      <c r="L73" s="49">
        <f>'Avg Week Kibuye-Makindye'!L73+'Avg Week Makindye-Kibuye'!L73</f>
        <v>0</v>
      </c>
      <c r="M73" s="49">
        <f>'Avg Week Kibuye-Makindye'!M73+'Avg Week Makindye-Kibuye'!M73</f>
        <v>120</v>
      </c>
      <c r="N73" s="49">
        <f>'Avg Week Kibuye-Makindye'!N73+'Avg Week Makindye-Kibuye'!N73</f>
        <v>0</v>
      </c>
      <c r="O73" s="15">
        <f t="shared" si="35"/>
        <v>154</v>
      </c>
      <c r="P73" s="15">
        <f t="shared" si="36"/>
        <v>274</v>
      </c>
      <c r="R73" s="8"/>
      <c r="T73"/>
    </row>
    <row r="74" spans="2:20" ht="23.1" customHeight="1" x14ac:dyDescent="0.25">
      <c r="B74" s="23" t="s">
        <v>115</v>
      </c>
      <c r="C74" s="49">
        <f>'Avg Week Kibuye-Makindye'!C74+'Avg Week Makindye-Kibuye'!C74</f>
        <v>67</v>
      </c>
      <c r="D74" s="49">
        <f>'Avg Week Kibuye-Makindye'!D74+'Avg Week Makindye-Kibuye'!D74</f>
        <v>11</v>
      </c>
      <c r="E74" s="49">
        <f>'Avg Week Kibuye-Makindye'!E74+'Avg Week Makindye-Kibuye'!E74</f>
        <v>9</v>
      </c>
      <c r="F74" s="49">
        <f>'Avg Week Kibuye-Makindye'!F74+'Avg Week Makindye-Kibuye'!F74</f>
        <v>41.5</v>
      </c>
      <c r="G74" s="49">
        <f>'Avg Week Kibuye-Makindye'!G74+'Avg Week Makindye-Kibuye'!G74</f>
        <v>0</v>
      </c>
      <c r="H74" s="49">
        <f>'Avg Week Kibuye-Makindye'!H74+'Avg Week Makindye-Kibuye'!H74</f>
        <v>0</v>
      </c>
      <c r="I74" s="49">
        <f>'Avg Week Kibuye-Makindye'!I74+'Avg Week Makindye-Kibuye'!I74</f>
        <v>2</v>
      </c>
      <c r="J74" s="49">
        <f>'Avg Week Kibuye-Makindye'!J74+'Avg Week Makindye-Kibuye'!J74</f>
        <v>1.5</v>
      </c>
      <c r="K74" s="49">
        <f>'Avg Week Kibuye-Makindye'!K74+'Avg Week Makindye-Kibuye'!K74</f>
        <v>0</v>
      </c>
      <c r="L74" s="49">
        <f>'Avg Week Kibuye-Makindye'!L74+'Avg Week Makindye-Kibuye'!L74</f>
        <v>0</v>
      </c>
      <c r="M74" s="49">
        <f>'Avg Week Kibuye-Makindye'!M74+'Avg Week Makindye-Kibuye'!M74</f>
        <v>175.5</v>
      </c>
      <c r="N74" s="49">
        <f>'Avg Week Kibuye-Makindye'!N74+'Avg Week Makindye-Kibuye'!N74</f>
        <v>0.5</v>
      </c>
      <c r="O74" s="15">
        <f t="shared" si="35"/>
        <v>132.5</v>
      </c>
      <c r="P74" s="15">
        <f t="shared" si="36"/>
        <v>308</v>
      </c>
      <c r="R74" s="8"/>
      <c r="T74"/>
    </row>
    <row r="75" spans="2:20" ht="23.1" customHeight="1" x14ac:dyDescent="0.25">
      <c r="B75" s="23" t="s">
        <v>116</v>
      </c>
      <c r="C75" s="49">
        <f>'Avg Week Kibuye-Makindye'!C75+'Avg Week Makindye-Kibuye'!C75</f>
        <v>67.5</v>
      </c>
      <c r="D75" s="49">
        <f>'Avg Week Kibuye-Makindye'!D75+'Avg Week Makindye-Kibuye'!D75</f>
        <v>21</v>
      </c>
      <c r="E75" s="49">
        <f>'Avg Week Kibuye-Makindye'!E75+'Avg Week Makindye-Kibuye'!E75</f>
        <v>4</v>
      </c>
      <c r="F75" s="49">
        <f>'Avg Week Kibuye-Makindye'!F75+'Avg Week Makindye-Kibuye'!F75</f>
        <v>39.5</v>
      </c>
      <c r="G75" s="49">
        <f>'Avg Week Kibuye-Makindye'!G75+'Avg Week Makindye-Kibuye'!G75</f>
        <v>0</v>
      </c>
      <c r="H75" s="49">
        <f>'Avg Week Kibuye-Makindye'!H75+'Avg Week Makindye-Kibuye'!H75</f>
        <v>0</v>
      </c>
      <c r="I75" s="49">
        <f>'Avg Week Kibuye-Makindye'!I75+'Avg Week Makindye-Kibuye'!I75</f>
        <v>1</v>
      </c>
      <c r="J75" s="49">
        <f>'Avg Week Kibuye-Makindye'!J75+'Avg Week Makindye-Kibuye'!J75</f>
        <v>1.5</v>
      </c>
      <c r="K75" s="49">
        <f>'Avg Week Kibuye-Makindye'!K75+'Avg Week Makindye-Kibuye'!K75</f>
        <v>0</v>
      </c>
      <c r="L75" s="49">
        <f>'Avg Week Kibuye-Makindye'!L75+'Avg Week Makindye-Kibuye'!L75</f>
        <v>0</v>
      </c>
      <c r="M75" s="49">
        <f>'Avg Week Kibuye-Makindye'!M75+'Avg Week Makindye-Kibuye'!M75</f>
        <v>163</v>
      </c>
      <c r="N75" s="49">
        <f>'Avg Week Kibuye-Makindye'!N75+'Avg Week Makindye-Kibuye'!N75</f>
        <v>0</v>
      </c>
      <c r="O75" s="15">
        <f t="shared" si="35"/>
        <v>134.5</v>
      </c>
      <c r="P75" s="15">
        <f t="shared" si="36"/>
        <v>297.5</v>
      </c>
      <c r="R75" s="8"/>
      <c r="T75"/>
    </row>
    <row r="76" spans="2:20" ht="23.1" customHeight="1" x14ac:dyDescent="0.25">
      <c r="B76" s="23" t="s">
        <v>117</v>
      </c>
      <c r="C76" s="49">
        <f>'Avg Week Kibuye-Makindye'!C76+'Avg Week Makindye-Kibuye'!C76</f>
        <v>55</v>
      </c>
      <c r="D76" s="49">
        <f>'Avg Week Kibuye-Makindye'!D76+'Avg Week Makindye-Kibuye'!D76</f>
        <v>16.5</v>
      </c>
      <c r="E76" s="49">
        <f>'Avg Week Kibuye-Makindye'!E76+'Avg Week Makindye-Kibuye'!E76</f>
        <v>8.5</v>
      </c>
      <c r="F76" s="49">
        <f>'Avg Week Kibuye-Makindye'!F76+'Avg Week Makindye-Kibuye'!F76</f>
        <v>29</v>
      </c>
      <c r="G76" s="49">
        <f>'Avg Week Kibuye-Makindye'!G76+'Avg Week Makindye-Kibuye'!G76</f>
        <v>1</v>
      </c>
      <c r="H76" s="49">
        <f>'Avg Week Kibuye-Makindye'!H76+'Avg Week Makindye-Kibuye'!H76</f>
        <v>0</v>
      </c>
      <c r="I76" s="49">
        <f>'Avg Week Kibuye-Makindye'!I76+'Avg Week Makindye-Kibuye'!I76</f>
        <v>6</v>
      </c>
      <c r="J76" s="49">
        <f>'Avg Week Kibuye-Makindye'!J76+'Avg Week Makindye-Kibuye'!J76</f>
        <v>0.5</v>
      </c>
      <c r="K76" s="49">
        <f>'Avg Week Kibuye-Makindye'!K76+'Avg Week Makindye-Kibuye'!K76</f>
        <v>0</v>
      </c>
      <c r="L76" s="49">
        <f>'Avg Week Kibuye-Makindye'!L76+'Avg Week Makindye-Kibuye'!L76</f>
        <v>0</v>
      </c>
      <c r="M76" s="49">
        <f>'Avg Week Kibuye-Makindye'!M76+'Avg Week Makindye-Kibuye'!M76</f>
        <v>221.5</v>
      </c>
      <c r="N76" s="49">
        <f>'Avg Week Kibuye-Makindye'!N76+'Avg Week Makindye-Kibuye'!N76</f>
        <v>0</v>
      </c>
      <c r="O76" s="15">
        <f t="shared" si="35"/>
        <v>116.5</v>
      </c>
      <c r="P76" s="15">
        <f t="shared" si="36"/>
        <v>338</v>
      </c>
      <c r="R76" s="8"/>
      <c r="T76"/>
    </row>
    <row r="77" spans="2:20" ht="23.1" customHeight="1" x14ac:dyDescent="0.25">
      <c r="B77" s="23" t="s">
        <v>118</v>
      </c>
      <c r="C77" s="49">
        <f>'Avg Week Kibuye-Makindye'!C77+'Avg Week Makindye-Kibuye'!C77</f>
        <v>97.5</v>
      </c>
      <c r="D77" s="49">
        <f>'Avg Week Kibuye-Makindye'!D77+'Avg Week Makindye-Kibuye'!D77</f>
        <v>12.5</v>
      </c>
      <c r="E77" s="49">
        <f>'Avg Week Kibuye-Makindye'!E77+'Avg Week Makindye-Kibuye'!E77</f>
        <v>2.5</v>
      </c>
      <c r="F77" s="49">
        <f>'Avg Week Kibuye-Makindye'!F77+'Avg Week Makindye-Kibuye'!F77</f>
        <v>7.5</v>
      </c>
      <c r="G77" s="49">
        <f>'Avg Week Kibuye-Makindye'!G77+'Avg Week Makindye-Kibuye'!G77</f>
        <v>0</v>
      </c>
      <c r="H77" s="49">
        <f>'Avg Week Kibuye-Makindye'!H77+'Avg Week Makindye-Kibuye'!H77</f>
        <v>0</v>
      </c>
      <c r="I77" s="49">
        <f>'Avg Week Kibuye-Makindye'!I77+'Avg Week Makindye-Kibuye'!I77</f>
        <v>1</v>
      </c>
      <c r="J77" s="49">
        <f>'Avg Week Kibuye-Makindye'!J77+'Avg Week Makindye-Kibuye'!J77</f>
        <v>0.5</v>
      </c>
      <c r="K77" s="49">
        <f>'Avg Week Kibuye-Makindye'!K77+'Avg Week Makindye-Kibuye'!K77</f>
        <v>0</v>
      </c>
      <c r="L77" s="49">
        <f>'Avg Week Kibuye-Makindye'!L77+'Avg Week Makindye-Kibuye'!L77</f>
        <v>0</v>
      </c>
      <c r="M77" s="49">
        <f>'Avg Week Kibuye-Makindye'!M77+'Avg Week Makindye-Kibuye'!M77</f>
        <v>132.5</v>
      </c>
      <c r="N77" s="49">
        <f>'Avg Week Kibuye-Makindye'!N77+'Avg Week Makindye-Kibuye'!N77</f>
        <v>0</v>
      </c>
      <c r="O77" s="15">
        <f t="shared" si="35"/>
        <v>121.5</v>
      </c>
      <c r="P77" s="15">
        <f t="shared" si="36"/>
        <v>254</v>
      </c>
      <c r="R77" s="8"/>
      <c r="T77"/>
    </row>
    <row r="78" spans="2:20" ht="23.1" customHeight="1" x14ac:dyDescent="0.25">
      <c r="B78" s="24" t="s">
        <v>119</v>
      </c>
      <c r="C78" s="49">
        <f>'Avg Week Kibuye-Makindye'!C78+'Avg Week Makindye-Kibuye'!C78</f>
        <v>49.5</v>
      </c>
      <c r="D78" s="49">
        <f>'Avg Week Kibuye-Makindye'!D78+'Avg Week Makindye-Kibuye'!D78</f>
        <v>7.5</v>
      </c>
      <c r="E78" s="49">
        <f>'Avg Week Kibuye-Makindye'!E78+'Avg Week Makindye-Kibuye'!E78</f>
        <v>0</v>
      </c>
      <c r="F78" s="49">
        <f>'Avg Week Kibuye-Makindye'!F78+'Avg Week Makindye-Kibuye'!F78</f>
        <v>18</v>
      </c>
      <c r="G78" s="49">
        <f>'Avg Week Kibuye-Makindye'!G78+'Avg Week Makindye-Kibuye'!G78</f>
        <v>0</v>
      </c>
      <c r="H78" s="49">
        <f>'Avg Week Kibuye-Makindye'!H78+'Avg Week Makindye-Kibuye'!H78</f>
        <v>1</v>
      </c>
      <c r="I78" s="49">
        <f>'Avg Week Kibuye-Makindye'!I78+'Avg Week Makindye-Kibuye'!I78</f>
        <v>1.5</v>
      </c>
      <c r="J78" s="49">
        <f>'Avg Week Kibuye-Makindye'!J78+'Avg Week Makindye-Kibuye'!J78</f>
        <v>0</v>
      </c>
      <c r="K78" s="49">
        <f>'Avg Week Kibuye-Makindye'!K78+'Avg Week Makindye-Kibuye'!K78</f>
        <v>0</v>
      </c>
      <c r="L78" s="49">
        <f>'Avg Week Kibuye-Makindye'!L78+'Avg Week Makindye-Kibuye'!L78</f>
        <v>0</v>
      </c>
      <c r="M78" s="49">
        <f>'Avg Week Kibuye-Makindye'!M78+'Avg Week Makindye-Kibuye'!M78</f>
        <v>153</v>
      </c>
      <c r="N78" s="49">
        <f>'Avg Week Kibuye-Makindye'!N78+'Avg Week Makindye-Kibuye'!N78</f>
        <v>0</v>
      </c>
      <c r="O78" s="15">
        <f t="shared" si="35"/>
        <v>77.5</v>
      </c>
      <c r="P78" s="15">
        <f t="shared" si="36"/>
        <v>230.5</v>
      </c>
      <c r="R78" s="8"/>
      <c r="T78"/>
    </row>
    <row r="79" spans="2:20" ht="23.1" customHeight="1" x14ac:dyDescent="0.25">
      <c r="B79" s="23" t="s">
        <v>120</v>
      </c>
      <c r="C79" s="49">
        <f>'Avg Week Kibuye-Makindye'!C79+'Avg Week Makindye-Kibuye'!C79</f>
        <v>38</v>
      </c>
      <c r="D79" s="49">
        <f>'Avg Week Kibuye-Makindye'!D79+'Avg Week Makindye-Kibuye'!D79</f>
        <v>8</v>
      </c>
      <c r="E79" s="49">
        <f>'Avg Week Kibuye-Makindye'!E79+'Avg Week Makindye-Kibuye'!E79</f>
        <v>2.5</v>
      </c>
      <c r="F79" s="49">
        <f>'Avg Week Kibuye-Makindye'!F79+'Avg Week Makindye-Kibuye'!F79</f>
        <v>15</v>
      </c>
      <c r="G79" s="49">
        <f>'Avg Week Kibuye-Makindye'!G79+'Avg Week Makindye-Kibuye'!G79</f>
        <v>0</v>
      </c>
      <c r="H79" s="49">
        <f>'Avg Week Kibuye-Makindye'!H79+'Avg Week Makindye-Kibuye'!H79</f>
        <v>0.5</v>
      </c>
      <c r="I79" s="49">
        <f>'Avg Week Kibuye-Makindye'!I79+'Avg Week Makindye-Kibuye'!I79</f>
        <v>2</v>
      </c>
      <c r="J79" s="49">
        <f>'Avg Week Kibuye-Makindye'!J79+'Avg Week Makindye-Kibuye'!J79</f>
        <v>0</v>
      </c>
      <c r="K79" s="49">
        <f>'Avg Week Kibuye-Makindye'!K79+'Avg Week Makindye-Kibuye'!K79</f>
        <v>0</v>
      </c>
      <c r="L79" s="49">
        <f>'Avg Week Kibuye-Makindye'!L79+'Avg Week Makindye-Kibuye'!L79</f>
        <v>0</v>
      </c>
      <c r="M79" s="49">
        <f>'Avg Week Kibuye-Makindye'!M79+'Avg Week Makindye-Kibuye'!M79</f>
        <v>104.5</v>
      </c>
      <c r="N79" s="49">
        <f>'Avg Week Kibuye-Makindye'!N79+'Avg Week Makindye-Kibuye'!N79</f>
        <v>0</v>
      </c>
      <c r="O79" s="15">
        <f t="shared" si="35"/>
        <v>66</v>
      </c>
      <c r="P79" s="15">
        <f t="shared" si="36"/>
        <v>170.5</v>
      </c>
      <c r="R79" s="8"/>
      <c r="T79"/>
    </row>
    <row r="80" spans="2:20" ht="23.1" customHeight="1" x14ac:dyDescent="0.25">
      <c r="B80" s="25" t="s">
        <v>121</v>
      </c>
      <c r="C80" s="49">
        <f>'Avg Week Kibuye-Makindye'!C80+'Avg Week Makindye-Kibuye'!C80</f>
        <v>46</v>
      </c>
      <c r="D80" s="49">
        <f>'Avg Week Kibuye-Makindye'!D80+'Avg Week Makindye-Kibuye'!D80</f>
        <v>8</v>
      </c>
      <c r="E80" s="49">
        <f>'Avg Week Kibuye-Makindye'!E80+'Avg Week Makindye-Kibuye'!E80</f>
        <v>2</v>
      </c>
      <c r="F80" s="49">
        <f>'Avg Week Kibuye-Makindye'!F80+'Avg Week Makindye-Kibuye'!F80</f>
        <v>6.5</v>
      </c>
      <c r="G80" s="49">
        <f>'Avg Week Kibuye-Makindye'!G80+'Avg Week Makindye-Kibuye'!G80</f>
        <v>0</v>
      </c>
      <c r="H80" s="49">
        <f>'Avg Week Kibuye-Makindye'!H80+'Avg Week Makindye-Kibuye'!H80</f>
        <v>0.5</v>
      </c>
      <c r="I80" s="49">
        <f>'Avg Week Kibuye-Makindye'!I80+'Avg Week Makindye-Kibuye'!I80</f>
        <v>1.5</v>
      </c>
      <c r="J80" s="49">
        <f>'Avg Week Kibuye-Makindye'!J80+'Avg Week Makindye-Kibuye'!J80</f>
        <v>0</v>
      </c>
      <c r="K80" s="49">
        <f>'Avg Week Kibuye-Makindye'!K80+'Avg Week Makindye-Kibuye'!K80</f>
        <v>0</v>
      </c>
      <c r="L80" s="49">
        <f>'Avg Week Kibuye-Makindye'!L80+'Avg Week Makindye-Kibuye'!L80</f>
        <v>0</v>
      </c>
      <c r="M80" s="49">
        <f>'Avg Week Kibuye-Makindye'!M80+'Avg Week Makindye-Kibuye'!M80</f>
        <v>159</v>
      </c>
      <c r="N80" s="49">
        <f>'Avg Week Kibuye-Makindye'!N80+'Avg Week Makindye-Kibuye'!N80</f>
        <v>0</v>
      </c>
      <c r="O80" s="15">
        <f t="shared" si="35"/>
        <v>64.5</v>
      </c>
      <c r="P80" s="15">
        <f t="shared" si="36"/>
        <v>223.5</v>
      </c>
      <c r="R80" s="8"/>
      <c r="T80"/>
    </row>
    <row r="81" spans="2:20" ht="23.1" customHeight="1" x14ac:dyDescent="0.25">
      <c r="B81" s="23" t="s">
        <v>122</v>
      </c>
      <c r="C81" s="49">
        <f>'Avg Week Kibuye-Makindye'!C81+'Avg Week Makindye-Kibuye'!C81</f>
        <v>26</v>
      </c>
      <c r="D81" s="49">
        <f>'Avg Week Kibuye-Makindye'!D81+'Avg Week Makindye-Kibuye'!D81</f>
        <v>3</v>
      </c>
      <c r="E81" s="49">
        <f>'Avg Week Kibuye-Makindye'!E81+'Avg Week Makindye-Kibuye'!E81</f>
        <v>1</v>
      </c>
      <c r="F81" s="49">
        <f>'Avg Week Kibuye-Makindye'!F81+'Avg Week Makindye-Kibuye'!F81</f>
        <v>2</v>
      </c>
      <c r="G81" s="49">
        <f>'Avg Week Kibuye-Makindye'!G81+'Avg Week Makindye-Kibuye'!G81</f>
        <v>0</v>
      </c>
      <c r="H81" s="49">
        <f>'Avg Week Kibuye-Makindye'!H81+'Avg Week Makindye-Kibuye'!H81</f>
        <v>0</v>
      </c>
      <c r="I81" s="49">
        <f>'Avg Week Kibuye-Makindye'!I81+'Avg Week Makindye-Kibuye'!I81</f>
        <v>0.5</v>
      </c>
      <c r="J81" s="49">
        <f>'Avg Week Kibuye-Makindye'!J81+'Avg Week Makindye-Kibuye'!J81</f>
        <v>0</v>
      </c>
      <c r="K81" s="49">
        <f>'Avg Week Kibuye-Makindye'!K81+'Avg Week Makindye-Kibuye'!K81</f>
        <v>0</v>
      </c>
      <c r="L81" s="49">
        <f>'Avg Week Kibuye-Makindye'!L81+'Avg Week Makindye-Kibuye'!L81</f>
        <v>0</v>
      </c>
      <c r="M81" s="49">
        <f>'Avg Week Kibuye-Makindye'!M81+'Avg Week Makindye-Kibuye'!M81</f>
        <v>116.5</v>
      </c>
      <c r="N81" s="49">
        <f>'Avg Week Kibuye-Makindye'!N81+'Avg Week Makindye-Kibuye'!N81</f>
        <v>0</v>
      </c>
      <c r="O81" s="15">
        <f t="shared" si="35"/>
        <v>32.5</v>
      </c>
      <c r="P81" s="15">
        <f t="shared" si="36"/>
        <v>149</v>
      </c>
      <c r="R81" s="8"/>
      <c r="T81"/>
    </row>
    <row r="82" spans="2:20" ht="23.1" customHeight="1" x14ac:dyDescent="0.25">
      <c r="B82" s="24" t="s">
        <v>123</v>
      </c>
      <c r="C82" s="49">
        <f>'Avg Week Kibuye-Makindye'!C82+'Avg Week Makindye-Kibuye'!C82</f>
        <v>30</v>
      </c>
      <c r="D82" s="49">
        <f>'Avg Week Kibuye-Makindye'!D82+'Avg Week Makindye-Kibuye'!D82</f>
        <v>7.5</v>
      </c>
      <c r="E82" s="49">
        <f>'Avg Week Kibuye-Makindye'!E82+'Avg Week Makindye-Kibuye'!E82</f>
        <v>3</v>
      </c>
      <c r="F82" s="49">
        <f>'Avg Week Kibuye-Makindye'!F82+'Avg Week Makindye-Kibuye'!F82</f>
        <v>3.5</v>
      </c>
      <c r="G82" s="49">
        <f>'Avg Week Kibuye-Makindye'!G82+'Avg Week Makindye-Kibuye'!G82</f>
        <v>0</v>
      </c>
      <c r="H82" s="49">
        <f>'Avg Week Kibuye-Makindye'!H82+'Avg Week Makindye-Kibuye'!H82</f>
        <v>0</v>
      </c>
      <c r="I82" s="49">
        <f>'Avg Week Kibuye-Makindye'!I82+'Avg Week Makindye-Kibuye'!I82</f>
        <v>2</v>
      </c>
      <c r="J82" s="49">
        <f>'Avg Week Kibuye-Makindye'!J82+'Avg Week Makindye-Kibuye'!J82</f>
        <v>0.5</v>
      </c>
      <c r="K82" s="49">
        <f>'Avg Week Kibuye-Makindye'!K82+'Avg Week Makindye-Kibuye'!K82</f>
        <v>0</v>
      </c>
      <c r="L82" s="49">
        <f>'Avg Week Kibuye-Makindye'!L82+'Avg Week Makindye-Kibuye'!L82</f>
        <v>0</v>
      </c>
      <c r="M82" s="49">
        <f>'Avg Week Kibuye-Makindye'!M82+'Avg Week Makindye-Kibuye'!M82</f>
        <v>88</v>
      </c>
      <c r="N82" s="49">
        <f>'Avg Week Kibuye-Makindye'!N82+'Avg Week Makindye-Kibuye'!N82</f>
        <v>0</v>
      </c>
      <c r="O82" s="15">
        <f t="shared" si="35"/>
        <v>46.5</v>
      </c>
      <c r="P82" s="15">
        <f t="shared" si="36"/>
        <v>134.5</v>
      </c>
      <c r="R82" s="8"/>
      <c r="T82"/>
    </row>
    <row r="83" spans="2:20" ht="23.1" customHeight="1" x14ac:dyDescent="0.25">
      <c r="B83" s="23" t="s">
        <v>124</v>
      </c>
      <c r="C83" s="49">
        <f>'Avg Week Kibuye-Makindye'!C83+'Avg Week Makindye-Kibuye'!C83</f>
        <v>27.5</v>
      </c>
      <c r="D83" s="49">
        <f>'Avg Week Kibuye-Makindye'!D83+'Avg Week Makindye-Kibuye'!D83</f>
        <v>3.5</v>
      </c>
      <c r="E83" s="49">
        <f>'Avg Week Kibuye-Makindye'!E83+'Avg Week Makindye-Kibuye'!E83</f>
        <v>0.5</v>
      </c>
      <c r="F83" s="49">
        <f>'Avg Week Kibuye-Makindye'!F83+'Avg Week Makindye-Kibuye'!F83</f>
        <v>2</v>
      </c>
      <c r="G83" s="49">
        <f>'Avg Week Kibuye-Makindye'!G83+'Avg Week Makindye-Kibuye'!G83</f>
        <v>0</v>
      </c>
      <c r="H83" s="49">
        <f>'Avg Week Kibuye-Makindye'!H83+'Avg Week Makindye-Kibuye'!H83</f>
        <v>0</v>
      </c>
      <c r="I83" s="49">
        <f>'Avg Week Kibuye-Makindye'!I83+'Avg Week Makindye-Kibuye'!I83</f>
        <v>0</v>
      </c>
      <c r="J83" s="49">
        <f>'Avg Week Kibuye-Makindye'!J83+'Avg Week Makindye-Kibuye'!J83</f>
        <v>0</v>
      </c>
      <c r="K83" s="49">
        <f>'Avg Week Kibuye-Makindye'!K83+'Avg Week Makindye-Kibuye'!K83</f>
        <v>0</v>
      </c>
      <c r="L83" s="49">
        <f>'Avg Week Kibuye-Makindye'!L83+'Avg Week Makindye-Kibuye'!L83</f>
        <v>0.5</v>
      </c>
      <c r="M83" s="49">
        <f>'Avg Week Kibuye-Makindye'!M83+'Avg Week Makindye-Kibuye'!M83</f>
        <v>90</v>
      </c>
      <c r="N83" s="49">
        <f>'Avg Week Kibuye-Makindye'!N83+'Avg Week Makindye-Kibuye'!N83</f>
        <v>0</v>
      </c>
      <c r="O83" s="15">
        <f t="shared" si="35"/>
        <v>34</v>
      </c>
      <c r="P83" s="15">
        <f t="shared" si="36"/>
        <v>124</v>
      </c>
      <c r="R83" s="8"/>
      <c r="T83"/>
    </row>
    <row r="84" spans="2:20" ht="23.1" customHeight="1" x14ac:dyDescent="0.25">
      <c r="B84" s="25" t="s">
        <v>125</v>
      </c>
      <c r="C84" s="49">
        <f>'Avg Week Kibuye-Makindye'!C84+'Avg Week Makindye-Kibuye'!C84</f>
        <v>17.5</v>
      </c>
      <c r="D84" s="49">
        <f>'Avg Week Kibuye-Makindye'!D84+'Avg Week Makindye-Kibuye'!D84</f>
        <v>0.5</v>
      </c>
      <c r="E84" s="49">
        <f>'Avg Week Kibuye-Makindye'!E84+'Avg Week Makindye-Kibuye'!E84</f>
        <v>0</v>
      </c>
      <c r="F84" s="49">
        <f>'Avg Week Kibuye-Makindye'!F84+'Avg Week Makindye-Kibuye'!F84</f>
        <v>5.5</v>
      </c>
      <c r="G84" s="49">
        <f>'Avg Week Kibuye-Makindye'!G84+'Avg Week Makindye-Kibuye'!G84</f>
        <v>0</v>
      </c>
      <c r="H84" s="49">
        <f>'Avg Week Kibuye-Makindye'!H84+'Avg Week Makindye-Kibuye'!H84</f>
        <v>0</v>
      </c>
      <c r="I84" s="49">
        <f>'Avg Week Kibuye-Makindye'!I84+'Avg Week Makindye-Kibuye'!I84</f>
        <v>1</v>
      </c>
      <c r="J84" s="49">
        <f>'Avg Week Kibuye-Makindye'!J84+'Avg Week Makindye-Kibuye'!J84</f>
        <v>0</v>
      </c>
      <c r="K84" s="49">
        <f>'Avg Week Kibuye-Makindye'!K84+'Avg Week Makindye-Kibuye'!K84</f>
        <v>0</v>
      </c>
      <c r="L84" s="49">
        <f>'Avg Week Kibuye-Makindye'!L84+'Avg Week Makindye-Kibuye'!L84</f>
        <v>0</v>
      </c>
      <c r="M84" s="49">
        <f>'Avg Week Kibuye-Makindye'!M84+'Avg Week Makindye-Kibuye'!M84</f>
        <v>119.5</v>
      </c>
      <c r="N84" s="49">
        <f>'Avg Week Kibuye-Makindye'!N84+'Avg Week Makindye-Kibuye'!N84</f>
        <v>0</v>
      </c>
      <c r="O84" s="15">
        <f t="shared" si="35"/>
        <v>24.5</v>
      </c>
      <c r="P84" s="15">
        <f t="shared" si="36"/>
        <v>144</v>
      </c>
      <c r="R84" s="8"/>
      <c r="T84"/>
    </row>
    <row r="85" spans="2:20" ht="23.1" customHeight="1" x14ac:dyDescent="0.25">
      <c r="B85" s="23" t="s">
        <v>126</v>
      </c>
      <c r="C85" s="49">
        <f>'Avg Week Kibuye-Makindye'!C85+'Avg Week Makindye-Kibuye'!C85</f>
        <v>19</v>
      </c>
      <c r="D85" s="49">
        <f>'Avg Week Kibuye-Makindye'!D85+'Avg Week Makindye-Kibuye'!D85</f>
        <v>2.5</v>
      </c>
      <c r="E85" s="49">
        <f>'Avg Week Kibuye-Makindye'!E85+'Avg Week Makindye-Kibuye'!E85</f>
        <v>0</v>
      </c>
      <c r="F85" s="49">
        <f>'Avg Week Kibuye-Makindye'!F85+'Avg Week Makindye-Kibuye'!F85</f>
        <v>2</v>
      </c>
      <c r="G85" s="49">
        <f>'Avg Week Kibuye-Makindye'!G85+'Avg Week Makindye-Kibuye'!G85</f>
        <v>0</v>
      </c>
      <c r="H85" s="49">
        <f>'Avg Week Kibuye-Makindye'!H85+'Avg Week Makindye-Kibuye'!H85</f>
        <v>0</v>
      </c>
      <c r="I85" s="49">
        <f>'Avg Week Kibuye-Makindye'!I85+'Avg Week Makindye-Kibuye'!I85</f>
        <v>0</v>
      </c>
      <c r="J85" s="49">
        <f>'Avg Week Kibuye-Makindye'!J85+'Avg Week Makindye-Kibuye'!J85</f>
        <v>0</v>
      </c>
      <c r="K85" s="49">
        <f>'Avg Week Kibuye-Makindye'!K85+'Avg Week Makindye-Kibuye'!K85</f>
        <v>0.5</v>
      </c>
      <c r="L85" s="49">
        <f>'Avg Week Kibuye-Makindye'!L85+'Avg Week Makindye-Kibuye'!L85</f>
        <v>0</v>
      </c>
      <c r="M85" s="49">
        <f>'Avg Week Kibuye-Makindye'!M85+'Avg Week Makindye-Kibuye'!M85</f>
        <v>71.5</v>
      </c>
      <c r="N85" s="49">
        <f>'Avg Week Kibuye-Makindye'!N85+'Avg Week Makindye-Kibuye'!N85</f>
        <v>0</v>
      </c>
      <c r="O85" s="15">
        <f t="shared" si="35"/>
        <v>24</v>
      </c>
      <c r="P85" s="15">
        <f t="shared" si="36"/>
        <v>95.5</v>
      </c>
      <c r="R85" s="8"/>
      <c r="T85"/>
    </row>
    <row r="86" spans="2:20" ht="23.1" customHeight="1" x14ac:dyDescent="0.25">
      <c r="B86" s="24" t="s">
        <v>127</v>
      </c>
      <c r="C86" s="49">
        <f>'Avg Week Kibuye-Makindye'!C86+'Avg Week Makindye-Kibuye'!C86</f>
        <v>25.5</v>
      </c>
      <c r="D86" s="49">
        <f>'Avg Week Kibuye-Makindye'!D86+'Avg Week Makindye-Kibuye'!D86</f>
        <v>2.5</v>
      </c>
      <c r="E86" s="49">
        <f>'Avg Week Kibuye-Makindye'!E86+'Avg Week Makindye-Kibuye'!E86</f>
        <v>0.5</v>
      </c>
      <c r="F86" s="49">
        <f>'Avg Week Kibuye-Makindye'!F86+'Avg Week Makindye-Kibuye'!F86</f>
        <v>2.5</v>
      </c>
      <c r="G86" s="49">
        <f>'Avg Week Kibuye-Makindye'!G86+'Avg Week Makindye-Kibuye'!G86</f>
        <v>0</v>
      </c>
      <c r="H86" s="49">
        <f>'Avg Week Kibuye-Makindye'!H86+'Avg Week Makindye-Kibuye'!H86</f>
        <v>0</v>
      </c>
      <c r="I86" s="49">
        <f>'Avg Week Kibuye-Makindye'!I86+'Avg Week Makindye-Kibuye'!I86</f>
        <v>0</v>
      </c>
      <c r="J86" s="49">
        <f>'Avg Week Kibuye-Makindye'!J86+'Avg Week Makindye-Kibuye'!J86</f>
        <v>0</v>
      </c>
      <c r="K86" s="49">
        <f>'Avg Week Kibuye-Makindye'!K86+'Avg Week Makindye-Kibuye'!K86</f>
        <v>0</v>
      </c>
      <c r="L86" s="49">
        <f>'Avg Week Kibuye-Makindye'!L86+'Avg Week Makindye-Kibuye'!L86</f>
        <v>0</v>
      </c>
      <c r="M86" s="49">
        <f>'Avg Week Kibuye-Makindye'!M86+'Avg Week Makindye-Kibuye'!M86</f>
        <v>79</v>
      </c>
      <c r="N86" s="49">
        <f>'Avg Week Kibuye-Makindye'!N86+'Avg Week Makindye-Kibuye'!N86</f>
        <v>0</v>
      </c>
      <c r="O86" s="15">
        <f t="shared" si="35"/>
        <v>31</v>
      </c>
      <c r="P86" s="15">
        <f t="shared" si="36"/>
        <v>110</v>
      </c>
      <c r="R86" s="8"/>
      <c r="T86"/>
    </row>
    <row r="87" spans="2:20" ht="23.1" customHeight="1" x14ac:dyDescent="0.25">
      <c r="B87" s="23" t="s">
        <v>128</v>
      </c>
      <c r="C87" s="49">
        <f>'Avg Week Kibuye-Makindye'!C87+'Avg Week Makindye-Kibuye'!C87</f>
        <v>27.5</v>
      </c>
      <c r="D87" s="49">
        <f>'Avg Week Kibuye-Makindye'!D87+'Avg Week Makindye-Kibuye'!D87</f>
        <v>1.5</v>
      </c>
      <c r="E87" s="49">
        <f>'Avg Week Kibuye-Makindye'!E87+'Avg Week Makindye-Kibuye'!E87</f>
        <v>1</v>
      </c>
      <c r="F87" s="49">
        <f>'Avg Week Kibuye-Makindye'!F87+'Avg Week Makindye-Kibuye'!F87</f>
        <v>5</v>
      </c>
      <c r="G87" s="49">
        <f>'Avg Week Kibuye-Makindye'!G87+'Avg Week Makindye-Kibuye'!G87</f>
        <v>0</v>
      </c>
      <c r="H87" s="49">
        <f>'Avg Week Kibuye-Makindye'!H87+'Avg Week Makindye-Kibuye'!H87</f>
        <v>0</v>
      </c>
      <c r="I87" s="49">
        <f>'Avg Week Kibuye-Makindye'!I87+'Avg Week Makindye-Kibuye'!I87</f>
        <v>0.5</v>
      </c>
      <c r="J87" s="49">
        <f>'Avg Week Kibuye-Makindye'!J87+'Avg Week Makindye-Kibuye'!J87</f>
        <v>0</v>
      </c>
      <c r="K87" s="49">
        <f>'Avg Week Kibuye-Makindye'!K87+'Avg Week Makindye-Kibuye'!K87</f>
        <v>0</v>
      </c>
      <c r="L87" s="49">
        <f>'Avg Week Kibuye-Makindye'!L87+'Avg Week Makindye-Kibuye'!L87</f>
        <v>0</v>
      </c>
      <c r="M87" s="49">
        <f>'Avg Week Kibuye-Makindye'!M87+'Avg Week Makindye-Kibuye'!M87</f>
        <v>62.5</v>
      </c>
      <c r="N87" s="49">
        <f>'Avg Week Kibuye-Makindye'!N87+'Avg Week Makindye-Kibuye'!N87</f>
        <v>0</v>
      </c>
      <c r="O87" s="15">
        <f t="shared" si="35"/>
        <v>35.5</v>
      </c>
      <c r="P87" s="15">
        <f t="shared" si="36"/>
        <v>98</v>
      </c>
      <c r="R87" s="8"/>
      <c r="T87"/>
    </row>
    <row r="88" spans="2:20" ht="23.1" customHeight="1" x14ac:dyDescent="0.25">
      <c r="B88" s="25" t="s">
        <v>129</v>
      </c>
      <c r="C88" s="49">
        <f>'Avg Week Kibuye-Makindye'!C88+'Avg Week Makindye-Kibuye'!C88</f>
        <v>31.5</v>
      </c>
      <c r="D88" s="49">
        <f>'Avg Week Kibuye-Makindye'!D88+'Avg Week Makindye-Kibuye'!D88</f>
        <v>5</v>
      </c>
      <c r="E88" s="49">
        <f>'Avg Week Kibuye-Makindye'!E88+'Avg Week Makindye-Kibuye'!E88</f>
        <v>5</v>
      </c>
      <c r="F88" s="49">
        <f>'Avg Week Kibuye-Makindye'!F88+'Avg Week Makindye-Kibuye'!F88</f>
        <v>4</v>
      </c>
      <c r="G88" s="49">
        <f>'Avg Week Kibuye-Makindye'!G88+'Avg Week Makindye-Kibuye'!G88</f>
        <v>0</v>
      </c>
      <c r="H88" s="49">
        <f>'Avg Week Kibuye-Makindye'!H88+'Avg Week Makindye-Kibuye'!H88</f>
        <v>0</v>
      </c>
      <c r="I88" s="49">
        <f>'Avg Week Kibuye-Makindye'!I88+'Avg Week Makindye-Kibuye'!I88</f>
        <v>0</v>
      </c>
      <c r="J88" s="49">
        <f>'Avg Week Kibuye-Makindye'!J88+'Avg Week Makindye-Kibuye'!J88</f>
        <v>0</v>
      </c>
      <c r="K88" s="49">
        <f>'Avg Week Kibuye-Makindye'!K88+'Avg Week Makindye-Kibuye'!K88</f>
        <v>0.5</v>
      </c>
      <c r="L88" s="49">
        <f>'Avg Week Kibuye-Makindye'!L88+'Avg Week Makindye-Kibuye'!L88</f>
        <v>0</v>
      </c>
      <c r="M88" s="49">
        <f>'Avg Week Kibuye-Makindye'!M88+'Avg Week Makindye-Kibuye'!M88</f>
        <v>63.5</v>
      </c>
      <c r="N88" s="49">
        <f>'Avg Week Kibuye-Makindye'!N88+'Avg Week Makindye-Kibuye'!N88</f>
        <v>0</v>
      </c>
      <c r="O88" s="15">
        <f t="shared" si="35"/>
        <v>46</v>
      </c>
      <c r="P88" s="15">
        <f t="shared" si="36"/>
        <v>109.5</v>
      </c>
      <c r="R88" s="8"/>
      <c r="T88"/>
    </row>
    <row r="89" spans="2:20" ht="23.1" customHeight="1" x14ac:dyDescent="0.25">
      <c r="B89" s="23" t="s">
        <v>130</v>
      </c>
      <c r="C89" s="49">
        <f>'Avg Week Kibuye-Makindye'!C89+'Avg Week Makindye-Kibuye'!C89</f>
        <v>20</v>
      </c>
      <c r="D89" s="49">
        <f>'Avg Week Kibuye-Makindye'!D89+'Avg Week Makindye-Kibuye'!D89</f>
        <v>2.5</v>
      </c>
      <c r="E89" s="49">
        <f>'Avg Week Kibuye-Makindye'!E89+'Avg Week Makindye-Kibuye'!E89</f>
        <v>0</v>
      </c>
      <c r="F89" s="49">
        <f>'Avg Week Kibuye-Makindye'!F89+'Avg Week Makindye-Kibuye'!F89</f>
        <v>6</v>
      </c>
      <c r="G89" s="49">
        <f>'Avg Week Kibuye-Makindye'!G89+'Avg Week Makindye-Kibuye'!G89</f>
        <v>0</v>
      </c>
      <c r="H89" s="49">
        <f>'Avg Week Kibuye-Makindye'!H89+'Avg Week Makindye-Kibuye'!H89</f>
        <v>0</v>
      </c>
      <c r="I89" s="49">
        <f>'Avg Week Kibuye-Makindye'!I89+'Avg Week Makindye-Kibuye'!I89</f>
        <v>0.5</v>
      </c>
      <c r="J89" s="49">
        <f>'Avg Week Kibuye-Makindye'!J89+'Avg Week Makindye-Kibuye'!J89</f>
        <v>1.5</v>
      </c>
      <c r="K89" s="49">
        <f>'Avg Week Kibuye-Makindye'!K89+'Avg Week Makindye-Kibuye'!K89</f>
        <v>0.5</v>
      </c>
      <c r="L89" s="49">
        <f>'Avg Week Kibuye-Makindye'!L89+'Avg Week Makindye-Kibuye'!L89</f>
        <v>0</v>
      </c>
      <c r="M89" s="49">
        <f>'Avg Week Kibuye-Makindye'!M89+'Avg Week Makindye-Kibuye'!M89</f>
        <v>34</v>
      </c>
      <c r="N89" s="49">
        <f>'Avg Week Kibuye-Makindye'!N89+'Avg Week Makindye-Kibuye'!N89</f>
        <v>0</v>
      </c>
      <c r="O89" s="15">
        <f t="shared" si="35"/>
        <v>31</v>
      </c>
      <c r="P89" s="15">
        <f t="shared" si="36"/>
        <v>65</v>
      </c>
      <c r="R89" s="8"/>
      <c r="T89"/>
    </row>
    <row r="90" spans="2:20" ht="23.1" customHeight="1" x14ac:dyDescent="0.25">
      <c r="B90" s="24" t="s">
        <v>131</v>
      </c>
      <c r="C90" s="49">
        <f>'Avg Week Kibuye-Makindye'!C90+'Avg Week Makindye-Kibuye'!C90</f>
        <v>21.5</v>
      </c>
      <c r="D90" s="49">
        <f>'Avg Week Kibuye-Makindye'!D90+'Avg Week Makindye-Kibuye'!D90</f>
        <v>6</v>
      </c>
      <c r="E90" s="49">
        <f>'Avg Week Kibuye-Makindye'!E90+'Avg Week Makindye-Kibuye'!E90</f>
        <v>1.5</v>
      </c>
      <c r="F90" s="49">
        <f>'Avg Week Kibuye-Makindye'!F90+'Avg Week Makindye-Kibuye'!F90</f>
        <v>1.5</v>
      </c>
      <c r="G90" s="49">
        <f>'Avg Week Kibuye-Makindye'!G90+'Avg Week Makindye-Kibuye'!G90</f>
        <v>0</v>
      </c>
      <c r="H90" s="49">
        <f>'Avg Week Kibuye-Makindye'!H90+'Avg Week Makindye-Kibuye'!H90</f>
        <v>0</v>
      </c>
      <c r="I90" s="49">
        <f>'Avg Week Kibuye-Makindye'!I90+'Avg Week Makindye-Kibuye'!I90</f>
        <v>3.5</v>
      </c>
      <c r="J90" s="49">
        <f>'Avg Week Kibuye-Makindye'!J90+'Avg Week Makindye-Kibuye'!J90</f>
        <v>0.5</v>
      </c>
      <c r="K90" s="49">
        <f>'Avg Week Kibuye-Makindye'!K90+'Avg Week Makindye-Kibuye'!K90</f>
        <v>0</v>
      </c>
      <c r="L90" s="49">
        <f>'Avg Week Kibuye-Makindye'!L90+'Avg Week Makindye-Kibuye'!L90</f>
        <v>0</v>
      </c>
      <c r="M90" s="49">
        <f>'Avg Week Kibuye-Makindye'!M90+'Avg Week Makindye-Kibuye'!M90</f>
        <v>48.5</v>
      </c>
      <c r="N90" s="49">
        <f>'Avg Week Kibuye-Makindye'!N90+'Avg Week Makindye-Kibuye'!N90</f>
        <v>0</v>
      </c>
      <c r="O90" s="15">
        <f t="shared" si="35"/>
        <v>34.5</v>
      </c>
      <c r="P90" s="15">
        <f t="shared" si="36"/>
        <v>83</v>
      </c>
      <c r="R90" s="8"/>
      <c r="T90"/>
    </row>
    <row r="91" spans="2:20" ht="23.1" customHeight="1" x14ac:dyDescent="0.25">
      <c r="B91" s="23" t="s">
        <v>132</v>
      </c>
      <c r="C91" s="49">
        <f>'Avg Week Kibuye-Makindye'!C91+'Avg Week Makindye-Kibuye'!C91</f>
        <v>17.5</v>
      </c>
      <c r="D91" s="49">
        <f>'Avg Week Kibuye-Makindye'!D91+'Avg Week Makindye-Kibuye'!D91</f>
        <v>1.5</v>
      </c>
      <c r="E91" s="49">
        <f>'Avg Week Kibuye-Makindye'!E91+'Avg Week Makindye-Kibuye'!E91</f>
        <v>0.5</v>
      </c>
      <c r="F91" s="49">
        <f>'Avg Week Kibuye-Makindye'!F91+'Avg Week Makindye-Kibuye'!F91</f>
        <v>1</v>
      </c>
      <c r="G91" s="49">
        <f>'Avg Week Kibuye-Makindye'!G91+'Avg Week Makindye-Kibuye'!G91</f>
        <v>0</v>
      </c>
      <c r="H91" s="49">
        <f>'Avg Week Kibuye-Makindye'!H91+'Avg Week Makindye-Kibuye'!H91</f>
        <v>0</v>
      </c>
      <c r="I91" s="49">
        <f>'Avg Week Kibuye-Makindye'!I91+'Avg Week Makindye-Kibuye'!I91</f>
        <v>0</v>
      </c>
      <c r="J91" s="49">
        <f>'Avg Week Kibuye-Makindye'!J91+'Avg Week Makindye-Kibuye'!J91</f>
        <v>0</v>
      </c>
      <c r="K91" s="49">
        <f>'Avg Week Kibuye-Makindye'!K91+'Avg Week Makindye-Kibuye'!K91</f>
        <v>1</v>
      </c>
      <c r="L91" s="49">
        <f>'Avg Week Kibuye-Makindye'!L91+'Avg Week Makindye-Kibuye'!L91</f>
        <v>0</v>
      </c>
      <c r="M91" s="49">
        <f>'Avg Week Kibuye-Makindye'!M91+'Avg Week Makindye-Kibuye'!M91</f>
        <v>35</v>
      </c>
      <c r="N91" s="49">
        <f>'Avg Week Kibuye-Makindye'!N91+'Avg Week Makindye-Kibuye'!N91</f>
        <v>0</v>
      </c>
      <c r="O91" s="15">
        <f t="shared" si="35"/>
        <v>21.5</v>
      </c>
      <c r="P91" s="15">
        <f t="shared" si="36"/>
        <v>56.5</v>
      </c>
      <c r="R91" s="8"/>
      <c r="T91"/>
    </row>
    <row r="92" spans="2:20" ht="23.1" customHeight="1" x14ac:dyDescent="0.25">
      <c r="B92" s="25" t="s">
        <v>133</v>
      </c>
      <c r="C92" s="49">
        <f>'Avg Week Kibuye-Makindye'!C92+'Avg Week Makindye-Kibuye'!C92</f>
        <v>21.5</v>
      </c>
      <c r="D92" s="49">
        <f>'Avg Week Kibuye-Makindye'!D92+'Avg Week Makindye-Kibuye'!D92</f>
        <v>2</v>
      </c>
      <c r="E92" s="49">
        <f>'Avg Week Kibuye-Makindye'!E92+'Avg Week Makindye-Kibuye'!E92</f>
        <v>0</v>
      </c>
      <c r="F92" s="49">
        <f>'Avg Week Kibuye-Makindye'!F92+'Avg Week Makindye-Kibuye'!F92</f>
        <v>1.5</v>
      </c>
      <c r="G92" s="49">
        <f>'Avg Week Kibuye-Makindye'!G92+'Avg Week Makindye-Kibuye'!G92</f>
        <v>0</v>
      </c>
      <c r="H92" s="49">
        <f>'Avg Week Kibuye-Makindye'!H92+'Avg Week Makindye-Kibuye'!H92</f>
        <v>0</v>
      </c>
      <c r="I92" s="49">
        <f>'Avg Week Kibuye-Makindye'!I92+'Avg Week Makindye-Kibuye'!I92</f>
        <v>0</v>
      </c>
      <c r="J92" s="49">
        <f>'Avg Week Kibuye-Makindye'!J92+'Avg Week Makindye-Kibuye'!J92</f>
        <v>0</v>
      </c>
      <c r="K92" s="49">
        <f>'Avg Week Kibuye-Makindye'!K92+'Avg Week Makindye-Kibuye'!K92</f>
        <v>0</v>
      </c>
      <c r="L92" s="49">
        <f>'Avg Week Kibuye-Makindye'!L92+'Avg Week Makindye-Kibuye'!L92</f>
        <v>0</v>
      </c>
      <c r="M92" s="49">
        <f>'Avg Week Kibuye-Makindye'!M92+'Avg Week Makindye-Kibuye'!M92</f>
        <v>26</v>
      </c>
      <c r="N92" s="49">
        <f>'Avg Week Kibuye-Makindye'!N92+'Avg Week Makindye-Kibuye'!N92</f>
        <v>0</v>
      </c>
      <c r="O92" s="15">
        <f t="shared" si="35"/>
        <v>25</v>
      </c>
      <c r="P92" s="15">
        <f t="shared" si="36"/>
        <v>51</v>
      </c>
      <c r="R92" s="8"/>
      <c r="T92"/>
    </row>
    <row r="93" spans="2:20" ht="23.1" customHeight="1" x14ac:dyDescent="0.25">
      <c r="B93" s="23" t="s">
        <v>134</v>
      </c>
      <c r="C93" s="49">
        <f>'Avg Week Kibuye-Makindye'!C93+'Avg Week Makindye-Kibuye'!C93</f>
        <v>6.5</v>
      </c>
      <c r="D93" s="49">
        <f>'Avg Week Kibuye-Makindye'!D93+'Avg Week Makindye-Kibuye'!D93</f>
        <v>3.5</v>
      </c>
      <c r="E93" s="49">
        <f>'Avg Week Kibuye-Makindye'!E93+'Avg Week Makindye-Kibuye'!E93</f>
        <v>0.5</v>
      </c>
      <c r="F93" s="49">
        <f>'Avg Week Kibuye-Makindye'!F93+'Avg Week Makindye-Kibuye'!F93</f>
        <v>1</v>
      </c>
      <c r="G93" s="49">
        <f>'Avg Week Kibuye-Makindye'!G93+'Avg Week Makindye-Kibuye'!G93</f>
        <v>0</v>
      </c>
      <c r="H93" s="49">
        <f>'Avg Week Kibuye-Makindye'!H93+'Avg Week Makindye-Kibuye'!H93</f>
        <v>0</v>
      </c>
      <c r="I93" s="49">
        <f>'Avg Week Kibuye-Makindye'!I93+'Avg Week Makindye-Kibuye'!I93</f>
        <v>2</v>
      </c>
      <c r="J93" s="49">
        <f>'Avg Week Kibuye-Makindye'!J93+'Avg Week Makindye-Kibuye'!J93</f>
        <v>0</v>
      </c>
      <c r="K93" s="49">
        <f>'Avg Week Kibuye-Makindye'!K93+'Avg Week Makindye-Kibuye'!K93</f>
        <v>0</v>
      </c>
      <c r="L93" s="49">
        <f>'Avg Week Kibuye-Makindye'!L93+'Avg Week Makindye-Kibuye'!L93</f>
        <v>0</v>
      </c>
      <c r="M93" s="49">
        <f>'Avg Week Kibuye-Makindye'!M93+'Avg Week Makindye-Kibuye'!M93</f>
        <v>55.5</v>
      </c>
      <c r="N93" s="49">
        <f>'Avg Week Kibuye-Makindye'!N93+'Avg Week Makindye-Kibuye'!N93</f>
        <v>0</v>
      </c>
      <c r="O93" s="15">
        <f t="shared" si="35"/>
        <v>13.5</v>
      </c>
      <c r="P93" s="15">
        <f t="shared" si="36"/>
        <v>69</v>
      </c>
      <c r="R93" s="8"/>
      <c r="T93"/>
    </row>
    <row r="94" spans="2:20" ht="23.1" customHeight="1" x14ac:dyDescent="0.25">
      <c r="B94" s="24" t="s">
        <v>135</v>
      </c>
      <c r="C94" s="49">
        <f>'Avg Week Kibuye-Makindye'!C94+'Avg Week Makindye-Kibuye'!C94</f>
        <v>24</v>
      </c>
      <c r="D94" s="49">
        <f>'Avg Week Kibuye-Makindye'!D94+'Avg Week Makindye-Kibuye'!D94</f>
        <v>9</v>
      </c>
      <c r="E94" s="49">
        <f>'Avg Week Kibuye-Makindye'!E94+'Avg Week Makindye-Kibuye'!E94</f>
        <v>0.5</v>
      </c>
      <c r="F94" s="49">
        <f>'Avg Week Kibuye-Makindye'!F94+'Avg Week Makindye-Kibuye'!F94</f>
        <v>4.5</v>
      </c>
      <c r="G94" s="49">
        <f>'Avg Week Kibuye-Makindye'!G94+'Avg Week Makindye-Kibuye'!G94</f>
        <v>0</v>
      </c>
      <c r="H94" s="49">
        <f>'Avg Week Kibuye-Makindye'!H94+'Avg Week Makindye-Kibuye'!H94</f>
        <v>0</v>
      </c>
      <c r="I94" s="49">
        <f>'Avg Week Kibuye-Makindye'!I94+'Avg Week Makindye-Kibuye'!I94</f>
        <v>3</v>
      </c>
      <c r="J94" s="49">
        <f>'Avg Week Kibuye-Makindye'!J94+'Avg Week Makindye-Kibuye'!J94</f>
        <v>0</v>
      </c>
      <c r="K94" s="49">
        <f>'Avg Week Kibuye-Makindye'!K94+'Avg Week Makindye-Kibuye'!K94</f>
        <v>0</v>
      </c>
      <c r="L94" s="49">
        <f>'Avg Week Kibuye-Makindye'!L94+'Avg Week Makindye-Kibuye'!L94</f>
        <v>0.5</v>
      </c>
      <c r="M94" s="49">
        <f>'Avg Week Kibuye-Makindye'!M94+'Avg Week Makindye-Kibuye'!M94</f>
        <v>70</v>
      </c>
      <c r="N94" s="49">
        <f>'Avg Week Kibuye-Makindye'!N94+'Avg Week Makindye-Kibuye'!N94</f>
        <v>0</v>
      </c>
      <c r="O94" s="15">
        <f t="shared" si="35"/>
        <v>41.5</v>
      </c>
      <c r="P94" s="15">
        <f t="shared" si="36"/>
        <v>111.5</v>
      </c>
      <c r="R94" s="8"/>
      <c r="T94"/>
    </row>
    <row r="95" spans="2:20" ht="23.1" customHeight="1" x14ac:dyDescent="0.25">
      <c r="B95" s="23" t="s">
        <v>136</v>
      </c>
      <c r="C95" s="49">
        <f>'Avg Week Kibuye-Makindye'!C95+'Avg Week Makindye-Kibuye'!C95</f>
        <v>15</v>
      </c>
      <c r="D95" s="49">
        <f>'Avg Week Kibuye-Makindye'!D95+'Avg Week Makindye-Kibuye'!D95</f>
        <v>1.5</v>
      </c>
      <c r="E95" s="49">
        <f>'Avg Week Kibuye-Makindye'!E95+'Avg Week Makindye-Kibuye'!E95</f>
        <v>0.5</v>
      </c>
      <c r="F95" s="49">
        <f>'Avg Week Kibuye-Makindye'!F95+'Avg Week Makindye-Kibuye'!F95</f>
        <v>14</v>
      </c>
      <c r="G95" s="49">
        <f>'Avg Week Kibuye-Makindye'!G95+'Avg Week Makindye-Kibuye'!G95</f>
        <v>0</v>
      </c>
      <c r="H95" s="49">
        <f>'Avg Week Kibuye-Makindye'!H95+'Avg Week Makindye-Kibuye'!H95</f>
        <v>0</v>
      </c>
      <c r="I95" s="49">
        <f>'Avg Week Kibuye-Makindye'!I95+'Avg Week Makindye-Kibuye'!I95</f>
        <v>1</v>
      </c>
      <c r="J95" s="49">
        <f>'Avg Week Kibuye-Makindye'!J95+'Avg Week Makindye-Kibuye'!J95</f>
        <v>0.5</v>
      </c>
      <c r="K95" s="49">
        <f>'Avg Week Kibuye-Makindye'!K95+'Avg Week Makindye-Kibuye'!K95</f>
        <v>0</v>
      </c>
      <c r="L95" s="49">
        <f>'Avg Week Kibuye-Makindye'!L95+'Avg Week Makindye-Kibuye'!L95</f>
        <v>0</v>
      </c>
      <c r="M95" s="49">
        <f>'Avg Week Kibuye-Makindye'!M95+'Avg Week Makindye-Kibuye'!M95</f>
        <v>64.5</v>
      </c>
      <c r="N95" s="49">
        <f>'Avg Week Kibuye-Makindye'!N95+'Avg Week Makindye-Kibuye'!N95</f>
        <v>0</v>
      </c>
      <c r="O95" s="15">
        <f t="shared" si="35"/>
        <v>32.5</v>
      </c>
      <c r="P95" s="15">
        <f t="shared" si="36"/>
        <v>97</v>
      </c>
      <c r="R95" s="8"/>
      <c r="T95"/>
    </row>
    <row r="96" spans="2:20" ht="23.1" customHeight="1" x14ac:dyDescent="0.25">
      <c r="B96" s="25" t="s">
        <v>137</v>
      </c>
      <c r="C96" s="49">
        <f>'Avg Week Kibuye-Makindye'!C96+'Avg Week Makindye-Kibuye'!C96</f>
        <v>19</v>
      </c>
      <c r="D96" s="49">
        <f>'Avg Week Kibuye-Makindye'!D96+'Avg Week Makindye-Kibuye'!D96</f>
        <v>2</v>
      </c>
      <c r="E96" s="49">
        <f>'Avg Week Kibuye-Makindye'!E96+'Avg Week Makindye-Kibuye'!E96</f>
        <v>1.5</v>
      </c>
      <c r="F96" s="49">
        <f>'Avg Week Kibuye-Makindye'!F96+'Avg Week Makindye-Kibuye'!F96</f>
        <v>9.5</v>
      </c>
      <c r="G96" s="49">
        <f>'Avg Week Kibuye-Makindye'!G96+'Avg Week Makindye-Kibuye'!G96</f>
        <v>0</v>
      </c>
      <c r="H96" s="49">
        <f>'Avg Week Kibuye-Makindye'!H96+'Avg Week Makindye-Kibuye'!H96</f>
        <v>0</v>
      </c>
      <c r="I96" s="49">
        <f>'Avg Week Kibuye-Makindye'!I96+'Avg Week Makindye-Kibuye'!I96</f>
        <v>0.5</v>
      </c>
      <c r="J96" s="49">
        <f>'Avg Week Kibuye-Makindye'!J96+'Avg Week Makindye-Kibuye'!J96</f>
        <v>0</v>
      </c>
      <c r="K96" s="49">
        <f>'Avg Week Kibuye-Makindye'!K96+'Avg Week Makindye-Kibuye'!K96</f>
        <v>0</v>
      </c>
      <c r="L96" s="49">
        <f>'Avg Week Kibuye-Makindye'!L96+'Avg Week Makindye-Kibuye'!L96</f>
        <v>0</v>
      </c>
      <c r="M96" s="49">
        <f>'Avg Week Kibuye-Makindye'!M96+'Avg Week Makindye-Kibuye'!M96</f>
        <v>28</v>
      </c>
      <c r="N96" s="49">
        <f>'Avg Week Kibuye-Makindye'!N96+'Avg Week Makindye-Kibuye'!N96</f>
        <v>0</v>
      </c>
      <c r="O96" s="15">
        <f t="shared" si="35"/>
        <v>32.5</v>
      </c>
      <c r="P96" s="15">
        <f t="shared" si="36"/>
        <v>60.5</v>
      </c>
      <c r="R96" s="8"/>
      <c r="T96"/>
    </row>
    <row r="97" spans="2:20" ht="23.1" customHeight="1" x14ac:dyDescent="0.25">
      <c r="B97" s="23" t="s">
        <v>138</v>
      </c>
      <c r="C97" s="49">
        <f>'Avg Week Kibuye-Makindye'!C97+'Avg Week Makindye-Kibuye'!C97</f>
        <v>22.5</v>
      </c>
      <c r="D97" s="49">
        <f>'Avg Week Kibuye-Makindye'!D97+'Avg Week Makindye-Kibuye'!D97</f>
        <v>1.5</v>
      </c>
      <c r="E97" s="49">
        <f>'Avg Week Kibuye-Makindye'!E97+'Avg Week Makindye-Kibuye'!E97</f>
        <v>1</v>
      </c>
      <c r="F97" s="49">
        <f>'Avg Week Kibuye-Makindye'!F97+'Avg Week Makindye-Kibuye'!F97</f>
        <v>6</v>
      </c>
      <c r="G97" s="49">
        <f>'Avg Week Kibuye-Makindye'!G97+'Avg Week Makindye-Kibuye'!G97</f>
        <v>0</v>
      </c>
      <c r="H97" s="49">
        <f>'Avg Week Kibuye-Makindye'!H97+'Avg Week Makindye-Kibuye'!H97</f>
        <v>0</v>
      </c>
      <c r="I97" s="49">
        <f>'Avg Week Kibuye-Makindye'!I97+'Avg Week Makindye-Kibuye'!I97</f>
        <v>1.5</v>
      </c>
      <c r="J97" s="49">
        <f>'Avg Week Kibuye-Makindye'!J97+'Avg Week Makindye-Kibuye'!J97</f>
        <v>0</v>
      </c>
      <c r="K97" s="49">
        <f>'Avg Week Kibuye-Makindye'!K97+'Avg Week Makindye-Kibuye'!K97</f>
        <v>0.5</v>
      </c>
      <c r="L97" s="49">
        <f>'Avg Week Kibuye-Makindye'!L97+'Avg Week Makindye-Kibuye'!L97</f>
        <v>0</v>
      </c>
      <c r="M97" s="49">
        <f>'Avg Week Kibuye-Makindye'!M97+'Avg Week Makindye-Kibuye'!M97</f>
        <v>26.5</v>
      </c>
      <c r="N97" s="49">
        <f>'Avg Week Kibuye-Makindye'!N97+'Avg Week Makindye-Kibuye'!N97</f>
        <v>0</v>
      </c>
      <c r="O97" s="15">
        <f t="shared" si="35"/>
        <v>33</v>
      </c>
      <c r="P97" s="15">
        <f t="shared" si="36"/>
        <v>59.5</v>
      </c>
      <c r="R97" s="8"/>
      <c r="T97"/>
    </row>
    <row r="98" spans="2:20" ht="23.1" customHeight="1" x14ac:dyDescent="0.25">
      <c r="B98" s="24" t="s">
        <v>139</v>
      </c>
      <c r="C98" s="49">
        <f>'Avg Week Kibuye-Makindye'!C98+'Avg Week Makindye-Kibuye'!C98</f>
        <v>22.5</v>
      </c>
      <c r="D98" s="49">
        <f>'Avg Week Kibuye-Makindye'!D98+'Avg Week Makindye-Kibuye'!D98</f>
        <v>3.5</v>
      </c>
      <c r="E98" s="49">
        <f>'Avg Week Kibuye-Makindye'!E98+'Avg Week Makindye-Kibuye'!E98</f>
        <v>0.5</v>
      </c>
      <c r="F98" s="49">
        <f>'Avg Week Kibuye-Makindye'!F98+'Avg Week Makindye-Kibuye'!F98</f>
        <v>9</v>
      </c>
      <c r="G98" s="49">
        <f>'Avg Week Kibuye-Makindye'!G98+'Avg Week Makindye-Kibuye'!G98</f>
        <v>0</v>
      </c>
      <c r="H98" s="49">
        <f>'Avg Week Kibuye-Makindye'!H98+'Avg Week Makindye-Kibuye'!H98</f>
        <v>0</v>
      </c>
      <c r="I98" s="49">
        <f>'Avg Week Kibuye-Makindye'!I98+'Avg Week Makindye-Kibuye'!I98</f>
        <v>0.5</v>
      </c>
      <c r="J98" s="49">
        <f>'Avg Week Kibuye-Makindye'!J98+'Avg Week Makindye-Kibuye'!J98</f>
        <v>1</v>
      </c>
      <c r="K98" s="49">
        <f>'Avg Week Kibuye-Makindye'!K98+'Avg Week Makindye-Kibuye'!K98</f>
        <v>0</v>
      </c>
      <c r="L98" s="49">
        <f>'Avg Week Kibuye-Makindye'!L98+'Avg Week Makindye-Kibuye'!L98</f>
        <v>0</v>
      </c>
      <c r="M98" s="49">
        <f>'Avg Week Kibuye-Makindye'!M98+'Avg Week Makindye-Kibuye'!M98</f>
        <v>57</v>
      </c>
      <c r="N98" s="49">
        <f>'Avg Week Kibuye-Makindye'!N98+'Avg Week Makindye-Kibuye'!N98</f>
        <v>0</v>
      </c>
      <c r="O98" s="15">
        <f t="shared" si="35"/>
        <v>37</v>
      </c>
      <c r="P98" s="15">
        <f t="shared" si="36"/>
        <v>94</v>
      </c>
      <c r="R98" s="8"/>
      <c r="T98"/>
    </row>
    <row r="99" spans="2:20" ht="23.1" customHeight="1" x14ac:dyDescent="0.25">
      <c r="B99" s="23" t="s">
        <v>140</v>
      </c>
      <c r="C99" s="49">
        <f>'Avg Week Kibuye-Makindye'!C99+'Avg Week Makindye-Kibuye'!C99</f>
        <v>20</v>
      </c>
      <c r="D99" s="49">
        <f>'Avg Week Kibuye-Makindye'!D99+'Avg Week Makindye-Kibuye'!D99</f>
        <v>4</v>
      </c>
      <c r="E99" s="49">
        <f>'Avg Week Kibuye-Makindye'!E99+'Avg Week Makindye-Kibuye'!E99</f>
        <v>13</v>
      </c>
      <c r="F99" s="49">
        <f>'Avg Week Kibuye-Makindye'!F99+'Avg Week Makindye-Kibuye'!F99</f>
        <v>7.5</v>
      </c>
      <c r="G99" s="49">
        <f>'Avg Week Kibuye-Makindye'!G99+'Avg Week Makindye-Kibuye'!G99</f>
        <v>0</v>
      </c>
      <c r="H99" s="49">
        <f>'Avg Week Kibuye-Makindye'!H99+'Avg Week Makindye-Kibuye'!H99</f>
        <v>0</v>
      </c>
      <c r="I99" s="49">
        <f>'Avg Week Kibuye-Makindye'!I99+'Avg Week Makindye-Kibuye'!I99</f>
        <v>1.5</v>
      </c>
      <c r="J99" s="49">
        <f>'Avg Week Kibuye-Makindye'!J99+'Avg Week Makindye-Kibuye'!J99</f>
        <v>0.5</v>
      </c>
      <c r="K99" s="49">
        <f>'Avg Week Kibuye-Makindye'!K99+'Avg Week Makindye-Kibuye'!K99</f>
        <v>0</v>
      </c>
      <c r="L99" s="49">
        <f>'Avg Week Kibuye-Makindye'!L99+'Avg Week Makindye-Kibuye'!L99</f>
        <v>1</v>
      </c>
      <c r="M99" s="49">
        <f>'Avg Week Kibuye-Makindye'!M99+'Avg Week Makindye-Kibuye'!M99</f>
        <v>62</v>
      </c>
      <c r="N99" s="49">
        <f>'Avg Week Kibuye-Makindye'!N99+'Avg Week Makindye-Kibuye'!N99</f>
        <v>0</v>
      </c>
      <c r="O99" s="15">
        <f t="shared" si="35"/>
        <v>47.5</v>
      </c>
      <c r="P99" s="15">
        <f t="shared" si="36"/>
        <v>109.5</v>
      </c>
      <c r="R99" s="8"/>
      <c r="T99"/>
    </row>
    <row r="100" spans="2:20" ht="23.1" customHeight="1" x14ac:dyDescent="0.25">
      <c r="B100" s="25" t="s">
        <v>141</v>
      </c>
      <c r="C100" s="49">
        <f>'Avg Week Kibuye-Makindye'!C100+'Avg Week Makindye-Kibuye'!C100</f>
        <v>13.5</v>
      </c>
      <c r="D100" s="49">
        <f>'Avg Week Kibuye-Makindye'!D100+'Avg Week Makindye-Kibuye'!D100</f>
        <v>3.5</v>
      </c>
      <c r="E100" s="49">
        <f>'Avg Week Kibuye-Makindye'!E100+'Avg Week Makindye-Kibuye'!E100</f>
        <v>1</v>
      </c>
      <c r="F100" s="49">
        <f>'Avg Week Kibuye-Makindye'!F100+'Avg Week Makindye-Kibuye'!F100</f>
        <v>16.5</v>
      </c>
      <c r="G100" s="49">
        <f>'Avg Week Kibuye-Makindye'!G100+'Avg Week Makindye-Kibuye'!G100</f>
        <v>0</v>
      </c>
      <c r="H100" s="49">
        <f>'Avg Week Kibuye-Makindye'!H100+'Avg Week Makindye-Kibuye'!H100</f>
        <v>0</v>
      </c>
      <c r="I100" s="49">
        <f>'Avg Week Kibuye-Makindye'!I100+'Avg Week Makindye-Kibuye'!I100</f>
        <v>0</v>
      </c>
      <c r="J100" s="49">
        <f>'Avg Week Kibuye-Makindye'!J100+'Avg Week Makindye-Kibuye'!J100</f>
        <v>0.5</v>
      </c>
      <c r="K100" s="49">
        <f>'Avg Week Kibuye-Makindye'!K100+'Avg Week Makindye-Kibuye'!K100</f>
        <v>0</v>
      </c>
      <c r="L100" s="49">
        <f>'Avg Week Kibuye-Makindye'!L100+'Avg Week Makindye-Kibuye'!L100</f>
        <v>0</v>
      </c>
      <c r="M100" s="49">
        <f>'Avg Week Kibuye-Makindye'!M100+'Avg Week Makindye-Kibuye'!M100</f>
        <v>64.5</v>
      </c>
      <c r="N100" s="49">
        <f>'Avg Week Kibuye-Makindye'!N100+'Avg Week Makindye-Kibuye'!N100</f>
        <v>0</v>
      </c>
      <c r="O100" s="15">
        <f t="shared" si="35"/>
        <v>35</v>
      </c>
      <c r="P100" s="15">
        <f t="shared" si="36"/>
        <v>99.5</v>
      </c>
      <c r="R100" s="8"/>
      <c r="T100"/>
    </row>
    <row r="101" spans="2:20" ht="23.1" customHeight="1" x14ac:dyDescent="0.25">
      <c r="B101" s="23" t="s">
        <v>142</v>
      </c>
      <c r="C101" s="49">
        <f>'Avg Week Kibuye-Makindye'!C101+'Avg Week Makindye-Kibuye'!C101</f>
        <v>8</v>
      </c>
      <c r="D101" s="49">
        <f>'Avg Week Kibuye-Makindye'!D101+'Avg Week Makindye-Kibuye'!D101</f>
        <v>4</v>
      </c>
      <c r="E101" s="49">
        <f>'Avg Week Kibuye-Makindye'!E101+'Avg Week Makindye-Kibuye'!E101</f>
        <v>0</v>
      </c>
      <c r="F101" s="49">
        <f>'Avg Week Kibuye-Makindye'!F101+'Avg Week Makindye-Kibuye'!F101</f>
        <v>16.5</v>
      </c>
      <c r="G101" s="49">
        <f>'Avg Week Kibuye-Makindye'!G101+'Avg Week Makindye-Kibuye'!G101</f>
        <v>0</v>
      </c>
      <c r="H101" s="49">
        <f>'Avg Week Kibuye-Makindye'!H101+'Avg Week Makindye-Kibuye'!H101</f>
        <v>0</v>
      </c>
      <c r="I101" s="49">
        <f>'Avg Week Kibuye-Makindye'!I101+'Avg Week Makindye-Kibuye'!I101</f>
        <v>0.5</v>
      </c>
      <c r="J101" s="49">
        <f>'Avg Week Kibuye-Makindye'!J101+'Avg Week Makindye-Kibuye'!J101</f>
        <v>0</v>
      </c>
      <c r="K101" s="49">
        <f>'Avg Week Kibuye-Makindye'!K101+'Avg Week Makindye-Kibuye'!K101</f>
        <v>0.5</v>
      </c>
      <c r="L101" s="49">
        <f>'Avg Week Kibuye-Makindye'!L101+'Avg Week Makindye-Kibuye'!L101</f>
        <v>0.5</v>
      </c>
      <c r="M101" s="49">
        <f>'Avg Week Kibuye-Makindye'!M101+'Avg Week Makindye-Kibuye'!M101</f>
        <v>59</v>
      </c>
      <c r="N101" s="49">
        <f>'Avg Week Kibuye-Makindye'!N101+'Avg Week Makindye-Kibuye'!N101</f>
        <v>0</v>
      </c>
      <c r="O101" s="15">
        <f t="shared" si="35"/>
        <v>30</v>
      </c>
      <c r="P101" s="15">
        <f t="shared" si="36"/>
        <v>89</v>
      </c>
      <c r="R101" s="8"/>
      <c r="T101"/>
    </row>
    <row r="102" spans="2:20" ht="23.1" customHeight="1" x14ac:dyDescent="0.25">
      <c r="B102" s="24" t="s">
        <v>143</v>
      </c>
      <c r="C102" s="49">
        <f>'Avg Week Kibuye-Makindye'!C102+'Avg Week Makindye-Kibuye'!C102</f>
        <v>33.5</v>
      </c>
      <c r="D102" s="49">
        <f>'Avg Week Kibuye-Makindye'!D102+'Avg Week Makindye-Kibuye'!D102</f>
        <v>4</v>
      </c>
      <c r="E102" s="49">
        <f>'Avg Week Kibuye-Makindye'!E102+'Avg Week Makindye-Kibuye'!E102</f>
        <v>2</v>
      </c>
      <c r="F102" s="49">
        <f>'Avg Week Kibuye-Makindye'!F102+'Avg Week Makindye-Kibuye'!F102</f>
        <v>51.5</v>
      </c>
      <c r="G102" s="49">
        <f>'Avg Week Kibuye-Makindye'!G102+'Avg Week Makindye-Kibuye'!G102</f>
        <v>0</v>
      </c>
      <c r="H102" s="49">
        <f>'Avg Week Kibuye-Makindye'!H102+'Avg Week Makindye-Kibuye'!H102</f>
        <v>0</v>
      </c>
      <c r="I102" s="49">
        <f>'Avg Week Kibuye-Makindye'!I102+'Avg Week Makindye-Kibuye'!I102</f>
        <v>1.5</v>
      </c>
      <c r="J102" s="49">
        <f>'Avg Week Kibuye-Makindye'!J102+'Avg Week Makindye-Kibuye'!J102</f>
        <v>0.5</v>
      </c>
      <c r="K102" s="49">
        <f>'Avg Week Kibuye-Makindye'!K102+'Avg Week Makindye-Kibuye'!K102</f>
        <v>0.5</v>
      </c>
      <c r="L102" s="49">
        <f>'Avg Week Kibuye-Makindye'!L102+'Avg Week Makindye-Kibuye'!L102</f>
        <v>0</v>
      </c>
      <c r="M102" s="49">
        <f>'Avg Week Kibuye-Makindye'!M102+'Avg Week Makindye-Kibuye'!M102</f>
        <v>81</v>
      </c>
      <c r="N102" s="49">
        <f>'Avg Week Kibuye-Makindye'!N102+'Avg Week Makindye-Kibuye'!N102</f>
        <v>0</v>
      </c>
      <c r="O102" s="15">
        <f t="shared" si="35"/>
        <v>93.5</v>
      </c>
      <c r="P102" s="15">
        <f t="shared" si="36"/>
        <v>174.5</v>
      </c>
      <c r="R102" s="8"/>
      <c r="T102"/>
    </row>
    <row r="103" spans="2:20" ht="23.1" customHeight="1" x14ac:dyDescent="0.25">
      <c r="B103" s="23" t="s">
        <v>144</v>
      </c>
      <c r="C103" s="49">
        <f>'Avg Week Kibuye-Makindye'!C103+'Avg Week Makindye-Kibuye'!C103</f>
        <v>40.5</v>
      </c>
      <c r="D103" s="49">
        <f>'Avg Week Kibuye-Makindye'!D103+'Avg Week Makindye-Kibuye'!D103</f>
        <v>1.5</v>
      </c>
      <c r="E103" s="49">
        <f>'Avg Week Kibuye-Makindye'!E103+'Avg Week Makindye-Kibuye'!E103</f>
        <v>1.5</v>
      </c>
      <c r="F103" s="49">
        <f>'Avg Week Kibuye-Makindye'!F103+'Avg Week Makindye-Kibuye'!F103</f>
        <v>48.5</v>
      </c>
      <c r="G103" s="49">
        <f>'Avg Week Kibuye-Makindye'!G103+'Avg Week Makindye-Kibuye'!G103</f>
        <v>0</v>
      </c>
      <c r="H103" s="49">
        <f>'Avg Week Kibuye-Makindye'!H103+'Avg Week Makindye-Kibuye'!H103</f>
        <v>0</v>
      </c>
      <c r="I103" s="49">
        <f>'Avg Week Kibuye-Makindye'!I103+'Avg Week Makindye-Kibuye'!I103</f>
        <v>1.5</v>
      </c>
      <c r="J103" s="49">
        <f>'Avg Week Kibuye-Makindye'!J103+'Avg Week Makindye-Kibuye'!J103</f>
        <v>0</v>
      </c>
      <c r="K103" s="49">
        <f>'Avg Week Kibuye-Makindye'!K103+'Avg Week Makindye-Kibuye'!K103</f>
        <v>0.5</v>
      </c>
      <c r="L103" s="49">
        <f>'Avg Week Kibuye-Makindye'!L103+'Avg Week Makindye-Kibuye'!L103</f>
        <v>0.5</v>
      </c>
      <c r="M103" s="49">
        <f>'Avg Week Kibuye-Makindye'!M103+'Avg Week Makindye-Kibuye'!M103</f>
        <v>67</v>
      </c>
      <c r="N103" s="49">
        <f>'Avg Week Kibuye-Makindye'!N103+'Avg Week Makindye-Kibuye'!N103</f>
        <v>0</v>
      </c>
      <c r="O103" s="15">
        <f t="shared" si="35"/>
        <v>94.5</v>
      </c>
      <c r="P103" s="15">
        <f t="shared" si="36"/>
        <v>161.5</v>
      </c>
      <c r="R103" s="8"/>
      <c r="T103"/>
    </row>
    <row r="104" spans="2:20" ht="23.1" customHeight="1" x14ac:dyDescent="0.25">
      <c r="B104" s="25" t="s">
        <v>145</v>
      </c>
      <c r="C104" s="49">
        <f>'Avg Week Kibuye-Makindye'!C104+'Avg Week Makindye-Kibuye'!C104</f>
        <v>40</v>
      </c>
      <c r="D104" s="49">
        <f>'Avg Week Kibuye-Makindye'!D104+'Avg Week Makindye-Kibuye'!D104</f>
        <v>2</v>
      </c>
      <c r="E104" s="49">
        <f>'Avg Week Kibuye-Makindye'!E104+'Avg Week Makindye-Kibuye'!E104</f>
        <v>0.5</v>
      </c>
      <c r="F104" s="49">
        <f>'Avg Week Kibuye-Makindye'!F104+'Avg Week Makindye-Kibuye'!F104</f>
        <v>64</v>
      </c>
      <c r="G104" s="49">
        <f>'Avg Week Kibuye-Makindye'!G104+'Avg Week Makindye-Kibuye'!G104</f>
        <v>0</v>
      </c>
      <c r="H104" s="49">
        <f>'Avg Week Kibuye-Makindye'!H104+'Avg Week Makindye-Kibuye'!H104</f>
        <v>0</v>
      </c>
      <c r="I104" s="49">
        <f>'Avg Week Kibuye-Makindye'!I104+'Avg Week Makindye-Kibuye'!I104</f>
        <v>0</v>
      </c>
      <c r="J104" s="49">
        <f>'Avg Week Kibuye-Makindye'!J104+'Avg Week Makindye-Kibuye'!J104</f>
        <v>0</v>
      </c>
      <c r="K104" s="49">
        <f>'Avg Week Kibuye-Makindye'!K104+'Avg Week Makindye-Kibuye'!K104</f>
        <v>0.5</v>
      </c>
      <c r="L104" s="49">
        <f>'Avg Week Kibuye-Makindye'!L104+'Avg Week Makindye-Kibuye'!L104</f>
        <v>1</v>
      </c>
      <c r="M104" s="49">
        <f>'Avg Week Kibuye-Makindye'!M104+'Avg Week Makindye-Kibuye'!M104</f>
        <v>75.5</v>
      </c>
      <c r="N104" s="49">
        <f>'Avg Week Kibuye-Makindye'!N104+'Avg Week Makindye-Kibuye'!N104</f>
        <v>0</v>
      </c>
      <c r="O104" s="15">
        <f t="shared" si="35"/>
        <v>108</v>
      </c>
      <c r="P104" s="15">
        <f t="shared" si="36"/>
        <v>183.5</v>
      </c>
      <c r="R104" s="8"/>
      <c r="T104"/>
    </row>
    <row r="105" spans="2:20" ht="23.1" customHeight="1" x14ac:dyDescent="0.25">
      <c r="B105" s="23" t="s">
        <v>146</v>
      </c>
      <c r="C105" s="49">
        <f>'Avg Week Kibuye-Makindye'!C105+'Avg Week Makindye-Kibuye'!C105</f>
        <v>45.5</v>
      </c>
      <c r="D105" s="49">
        <f>'Avg Week Kibuye-Makindye'!D105+'Avg Week Makindye-Kibuye'!D105</f>
        <v>1.5</v>
      </c>
      <c r="E105" s="49">
        <f>'Avg Week Kibuye-Makindye'!E105+'Avg Week Makindye-Kibuye'!E105</f>
        <v>1.5</v>
      </c>
      <c r="F105" s="49">
        <f>'Avg Week Kibuye-Makindye'!F105+'Avg Week Makindye-Kibuye'!F105</f>
        <v>49</v>
      </c>
      <c r="G105" s="49">
        <f>'Avg Week Kibuye-Makindye'!G105+'Avg Week Makindye-Kibuye'!G105</f>
        <v>0</v>
      </c>
      <c r="H105" s="49">
        <f>'Avg Week Kibuye-Makindye'!H105+'Avg Week Makindye-Kibuye'!H105</f>
        <v>0</v>
      </c>
      <c r="I105" s="49">
        <f>'Avg Week Kibuye-Makindye'!I105+'Avg Week Makindye-Kibuye'!I105</f>
        <v>1</v>
      </c>
      <c r="J105" s="49">
        <f>'Avg Week Kibuye-Makindye'!J105+'Avg Week Makindye-Kibuye'!J105</f>
        <v>0.5</v>
      </c>
      <c r="K105" s="49">
        <f>'Avg Week Kibuye-Makindye'!K105+'Avg Week Makindye-Kibuye'!K105</f>
        <v>0.5</v>
      </c>
      <c r="L105" s="49">
        <f>'Avg Week Kibuye-Makindye'!L105+'Avg Week Makindye-Kibuye'!L105</f>
        <v>0</v>
      </c>
      <c r="M105" s="49">
        <f>'Avg Week Kibuye-Makindye'!M105+'Avg Week Makindye-Kibuye'!M105</f>
        <v>70.5</v>
      </c>
      <c r="N105" s="49">
        <f>'Avg Week Kibuye-Makindye'!N105+'Avg Week Makindye-Kibuye'!N105</f>
        <v>0</v>
      </c>
      <c r="O105" s="15">
        <f t="shared" si="35"/>
        <v>99.5</v>
      </c>
      <c r="P105" s="15">
        <f t="shared" si="36"/>
        <v>170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6721.7499999999991</v>
      </c>
      <c r="D106" s="16">
        <f t="shared" ref="D106:P106" si="37">SUM(D10:D105)</f>
        <v>1422.2857142857142</v>
      </c>
      <c r="E106" s="16">
        <f t="shared" si="37"/>
        <v>693.92857142857156</v>
      </c>
      <c r="F106" s="16">
        <f t="shared" si="37"/>
        <v>3865.5357142857147</v>
      </c>
      <c r="G106" s="16">
        <f t="shared" si="37"/>
        <v>31.250000000000004</v>
      </c>
      <c r="H106" s="16">
        <f t="shared" si="37"/>
        <v>13</v>
      </c>
      <c r="I106" s="16">
        <f t="shared" si="37"/>
        <v>336.92857142857133</v>
      </c>
      <c r="J106" s="16">
        <f t="shared" si="37"/>
        <v>183.25000000000003</v>
      </c>
      <c r="K106" s="16">
        <f t="shared" si="37"/>
        <v>47.178571428571423</v>
      </c>
      <c r="L106" s="16">
        <f t="shared" si="37"/>
        <v>46.857142857142861</v>
      </c>
      <c r="M106" s="16">
        <f t="shared" si="37"/>
        <v>24975.535714285717</v>
      </c>
      <c r="N106" s="16">
        <f t="shared" si="37"/>
        <v>1.2142857142857142</v>
      </c>
      <c r="O106" s="16">
        <f t="shared" si="37"/>
        <v>13363.178571428571</v>
      </c>
      <c r="P106" s="16">
        <f t="shared" si="37"/>
        <v>38338.714285714275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0.17532538910687073</v>
      </c>
      <c r="D107" s="43">
        <f t="shared" si="38"/>
        <v>3.7097898059030229E-2</v>
      </c>
      <c r="E107" s="43">
        <f t="shared" si="38"/>
        <v>1.8099943734606206E-2</v>
      </c>
      <c r="F107" s="43">
        <f t="shared" si="38"/>
        <v>0.10082590890968104</v>
      </c>
      <c r="G107" s="43">
        <f t="shared" si="38"/>
        <v>8.1510297312302775E-4</v>
      </c>
      <c r="H107" s="43">
        <f t="shared" si="38"/>
        <v>3.3908283681917953E-4</v>
      </c>
      <c r="I107" s="43">
        <f t="shared" si="38"/>
        <v>8.7882073696487328E-3</v>
      </c>
      <c r="J107" s="43">
        <f t="shared" si="38"/>
        <v>4.7797638343934348E-3</v>
      </c>
      <c r="K107" s="43">
        <f t="shared" si="38"/>
        <v>1.2305726028520223E-3</v>
      </c>
      <c r="L107" s="43">
        <f t="shared" si="38"/>
        <v>1.2221886865570427E-3</v>
      </c>
      <c r="M107" s="43">
        <f t="shared" si="38"/>
        <v>0.65144426931374877</v>
      </c>
      <c r="N107" s="43">
        <f t="shared" si="38"/>
        <v>3.1672572669923361E-5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0.50300532647012441</v>
      </c>
      <c r="D108" s="44">
        <f t="shared" ref="D108:N108" si="39">D106/$O$106</f>
        <v>0.10643318928077954</v>
      </c>
      <c r="E108" s="44">
        <f t="shared" si="39"/>
        <v>5.192840668254186E-2</v>
      </c>
      <c r="F108" s="44">
        <f t="shared" si="39"/>
        <v>0.28926768385408735</v>
      </c>
      <c r="G108" s="44">
        <f t="shared" si="39"/>
        <v>2.3385154836450912E-3</v>
      </c>
      <c r="H108" s="44">
        <f t="shared" si="39"/>
        <v>9.728224411963578E-4</v>
      </c>
      <c r="I108" s="44">
        <f t="shared" si="39"/>
        <v>2.5213205797380324E-2</v>
      </c>
      <c r="J108" s="44">
        <f t="shared" si="39"/>
        <v>1.3713054796094816E-2</v>
      </c>
      <c r="K108" s="44">
        <f t="shared" si="39"/>
        <v>3.5304902330230456E-3</v>
      </c>
      <c r="L108" s="44">
        <f t="shared" si="39"/>
        <v>3.506436930905554E-3</v>
      </c>
      <c r="M108" s="44"/>
      <c r="N108" s="44">
        <f t="shared" si="39"/>
        <v>9.0868030221637812E-5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22.07 Kibuye-Makindye</vt:lpstr>
      <vt:lpstr>22.07 Makindye-Kibuye</vt:lpstr>
      <vt:lpstr>23.07 Kibuye-Makindye</vt:lpstr>
      <vt:lpstr>23.07 Makindye-Kibuye</vt:lpstr>
      <vt:lpstr>24.07 Kibuye-Makindye</vt:lpstr>
      <vt:lpstr>24.07 Makindye-Kibuye</vt:lpstr>
      <vt:lpstr>25.07 Kibuye-Makindye</vt:lpstr>
      <vt:lpstr>25.07 Makindye-Kibuye</vt:lpstr>
      <vt:lpstr>26.07 Kibuye-Makindye-24h</vt:lpstr>
      <vt:lpstr>26.07 Makindye-Kibuye-24h</vt:lpstr>
      <vt:lpstr>27.07 Kibuye-Makindye-24h</vt:lpstr>
      <vt:lpstr>27.07 Makindye-Kibuye-24h</vt:lpstr>
      <vt:lpstr>28.07 Kibuye-Makindye</vt:lpstr>
      <vt:lpstr>28.07 Makindye-Kibuye</vt:lpstr>
      <vt:lpstr>Avg Week Kibuye-Makindye</vt:lpstr>
      <vt:lpstr>Avg Week Makindye-Kibuye</vt:lpstr>
      <vt:lpstr>Avg Week Makindye-Kibuye-2Dir</vt:lpstr>
      <vt:lpstr>'22.07 Kibuye-Makindye'!Print_Area</vt:lpstr>
      <vt:lpstr>'22.07 Makindye-Kibuye'!Print_Area</vt:lpstr>
      <vt:lpstr>'23.07 Kibuye-Makindye'!Print_Area</vt:lpstr>
      <vt:lpstr>'23.07 Makindye-Kibuye'!Print_Area</vt:lpstr>
      <vt:lpstr>'24.07 Kibuye-Makindye'!Print_Area</vt:lpstr>
      <vt:lpstr>'24.07 Makindye-Kibuye'!Print_Area</vt:lpstr>
      <vt:lpstr>'25.07 Kibuye-Makindye'!Print_Area</vt:lpstr>
      <vt:lpstr>'25.07 Makindye-Kibuye'!Print_Area</vt:lpstr>
      <vt:lpstr>'26.07 Kibuye-Makindye-24h'!Print_Area</vt:lpstr>
      <vt:lpstr>'26.07 Makindye-Kibuye-24h'!Print_Area</vt:lpstr>
      <vt:lpstr>'27.07 Kibuye-Makindye-24h'!Print_Area</vt:lpstr>
      <vt:lpstr>'27.07 Makindye-Kibuye-24h'!Print_Area</vt:lpstr>
      <vt:lpstr>'28.07 Kibuye-Makindye'!Print_Area</vt:lpstr>
      <vt:lpstr>'28.07 Makindye-Kibuye'!Print_Area</vt:lpstr>
      <vt:lpstr>'Avg Week Kibuye-Makindye'!Print_Area</vt:lpstr>
      <vt:lpstr>'Avg Week Makindye-Kibuye'!Print_Area</vt:lpstr>
      <vt:lpstr>'Avg Week Makindye-Kibuye-2Dir'!Print_Area</vt:lpstr>
      <vt:lpstr>'22.07 Kibuye-Makindye'!Print_Titles</vt:lpstr>
      <vt:lpstr>'22.07 Makindye-Kibuye'!Print_Titles</vt:lpstr>
      <vt:lpstr>'23.07 Kibuye-Makindye'!Print_Titles</vt:lpstr>
      <vt:lpstr>'23.07 Makindye-Kibuye'!Print_Titles</vt:lpstr>
      <vt:lpstr>'24.07 Kibuye-Makindye'!Print_Titles</vt:lpstr>
      <vt:lpstr>'24.07 Makindye-Kibuye'!Print_Titles</vt:lpstr>
      <vt:lpstr>'25.07 Kibuye-Makindye'!Print_Titles</vt:lpstr>
      <vt:lpstr>'25.07 Makindye-Kibuye'!Print_Titles</vt:lpstr>
      <vt:lpstr>'26.07 Kibuye-Makindye-24h'!Print_Titles</vt:lpstr>
      <vt:lpstr>'26.07 Makindye-Kibuye-24h'!Print_Titles</vt:lpstr>
      <vt:lpstr>'27.07 Kibuye-Makindye-24h'!Print_Titles</vt:lpstr>
      <vt:lpstr>'27.07 Makindye-Kibuye-24h'!Print_Titles</vt:lpstr>
      <vt:lpstr>'28.07 Kibuye-Makindye'!Print_Titles</vt:lpstr>
      <vt:lpstr>'28.07 Makindye-Kibuye'!Print_Titles</vt:lpstr>
      <vt:lpstr>'Avg Week Kibuye-Makindye'!Print_Titles</vt:lpstr>
      <vt:lpstr>'Avg Week Makindye-Kibuye'!Print_Titles</vt:lpstr>
      <vt:lpstr>'Avg Week Makindye-Kibuye-2Dir'!Print_Titles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2020-01-15T19:09:11Z</dcterms:modified>
</cp:coreProperties>
</file>